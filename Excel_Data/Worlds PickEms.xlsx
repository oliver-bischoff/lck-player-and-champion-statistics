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ed9de324575cf814/League_Excel/"/>
    </mc:Choice>
  </mc:AlternateContent>
  <xr:revisionPtr revIDLastSave="2351" documentId="8_{8AD2279A-7B67-4B52-A952-C022D0F9E977}" xr6:coauthVersionLast="47" xr6:coauthVersionMax="47" xr10:uidLastSave="{DAF30C2F-A217-43F2-A440-0D5679EB8640}"/>
  <bookViews>
    <workbookView xWindow="-120" yWindow="-120" windowWidth="29040" windowHeight="15720" xr2:uid="{C206A576-B568-48BE-A0F1-4A237DD72A3E}"/>
  </bookViews>
  <sheets>
    <sheet name="Pick'Ems" sheetId="7" r:id="rId1"/>
    <sheet name="Worlds" sheetId="4" r:id="rId2"/>
    <sheet name="Worlds + MSI" sheetId="3" r:id="rId3"/>
    <sheet name="Tabelle1" sheetId="6" r:id="rId4"/>
    <sheet name="2025 Tracker" sheetId="5" r:id="rId5"/>
  </sheets>
  <definedNames>
    <definedName name="_xlnm._FilterDatabase" localSheetId="0" hidden="1">'Pick''Ems'!$G$47:$K$73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7" l="1"/>
  <c r="C76" i="7"/>
  <c r="Q174" i="7"/>
  <c r="R174" i="7"/>
  <c r="Q141" i="7"/>
  <c r="R141" i="7"/>
  <c r="Q164" i="7"/>
  <c r="R164" i="7"/>
  <c r="Q189" i="7"/>
  <c r="R189" i="7"/>
  <c r="Q190" i="7"/>
  <c r="R190" i="7"/>
  <c r="Q182" i="7"/>
  <c r="R182" i="7"/>
  <c r="Q191" i="7"/>
  <c r="R191" i="7"/>
  <c r="Q177" i="7"/>
  <c r="R177" i="7"/>
  <c r="Q147" i="7"/>
  <c r="R147" i="7"/>
  <c r="Q161" i="7"/>
  <c r="R161" i="7"/>
  <c r="Q192" i="7"/>
  <c r="R192" i="7"/>
  <c r="Q159" i="7"/>
  <c r="R159" i="7"/>
  <c r="Q183" i="7"/>
  <c r="R183" i="7"/>
  <c r="Q169" i="7"/>
  <c r="R169" i="7"/>
  <c r="Q175" i="7"/>
  <c r="R175" i="7"/>
  <c r="Q170" i="7"/>
  <c r="R170" i="7"/>
  <c r="Q184" i="7"/>
  <c r="R184" i="7"/>
  <c r="Q167" i="7"/>
  <c r="R167" i="7"/>
  <c r="Q150" i="7"/>
  <c r="R150" i="7"/>
  <c r="Q185" i="7"/>
  <c r="R185" i="7"/>
  <c r="Q178" i="7"/>
  <c r="R178" i="7"/>
  <c r="Q193" i="7"/>
  <c r="R193" i="7"/>
  <c r="Q156" i="7"/>
  <c r="R156" i="7"/>
  <c r="Q194" i="7"/>
  <c r="R194" i="7"/>
  <c r="Q157" i="7"/>
  <c r="R157" i="7"/>
  <c r="Q151" i="7"/>
  <c r="R151" i="7"/>
  <c r="Q148" i="7"/>
  <c r="R148" i="7"/>
  <c r="R142" i="7"/>
  <c r="Q142" i="7"/>
  <c r="R160" i="7"/>
  <c r="Q160" i="7"/>
  <c r="R158" i="7"/>
  <c r="Q158" i="7"/>
  <c r="R153" i="7"/>
  <c r="Q153" i="7"/>
  <c r="R176" i="7"/>
  <c r="Q176" i="7"/>
  <c r="R173" i="7"/>
  <c r="Q173" i="7"/>
  <c r="R163" i="7"/>
  <c r="Q163" i="7"/>
  <c r="R146" i="7"/>
  <c r="Q146" i="7"/>
  <c r="R181" i="7"/>
  <c r="Q181" i="7"/>
  <c r="R144" i="7"/>
  <c r="Q144" i="7"/>
  <c r="R155" i="7"/>
  <c r="Q155" i="7"/>
  <c r="R172" i="7"/>
  <c r="Q172" i="7"/>
  <c r="R145" i="7"/>
  <c r="Q145" i="7"/>
  <c r="R188" i="7"/>
  <c r="Q188" i="7"/>
  <c r="R166" i="7"/>
  <c r="Q166" i="7"/>
  <c r="R187" i="7"/>
  <c r="Q187" i="7"/>
  <c r="R186" i="7"/>
  <c r="Q186" i="7"/>
  <c r="R149" i="7"/>
  <c r="Q149" i="7"/>
  <c r="R154" i="7"/>
  <c r="Q154" i="7"/>
  <c r="R180" i="7"/>
  <c r="Q180" i="7"/>
  <c r="R179" i="7"/>
  <c r="Q179" i="7"/>
  <c r="R171" i="7"/>
  <c r="Q171" i="7"/>
  <c r="R143" i="7"/>
  <c r="Q143" i="7"/>
  <c r="R165" i="7"/>
  <c r="Q165" i="7"/>
  <c r="R168" i="7"/>
  <c r="Q168" i="7"/>
  <c r="R162" i="7"/>
  <c r="Q162" i="7"/>
  <c r="R152" i="7"/>
  <c r="Q152" i="7"/>
  <c r="Q120" i="7"/>
  <c r="R120" i="7"/>
  <c r="Q130" i="7"/>
  <c r="R130" i="7"/>
  <c r="Q124" i="7"/>
  <c r="R124" i="7"/>
  <c r="Q115" i="7"/>
  <c r="R115" i="7"/>
  <c r="R119" i="7"/>
  <c r="Q119" i="7"/>
  <c r="R116" i="7"/>
  <c r="Q116" i="7"/>
  <c r="R137" i="7"/>
  <c r="Q137" i="7"/>
  <c r="R129" i="7"/>
  <c r="Q129" i="7"/>
  <c r="R111" i="7"/>
  <c r="Q111" i="7"/>
  <c r="R126" i="7"/>
  <c r="Q126" i="7"/>
  <c r="R131" i="7"/>
  <c r="Q131" i="7"/>
  <c r="R134" i="7"/>
  <c r="Q134" i="7"/>
  <c r="R125" i="7"/>
  <c r="Q125" i="7"/>
  <c r="R121" i="7"/>
  <c r="Q121" i="7"/>
  <c r="R123" i="7"/>
  <c r="Q123" i="7"/>
  <c r="R132" i="7"/>
  <c r="Q132" i="7"/>
  <c r="R128" i="7"/>
  <c r="Q128" i="7"/>
  <c r="R133" i="7"/>
  <c r="Q133" i="7"/>
  <c r="R135" i="7"/>
  <c r="Q135" i="7"/>
  <c r="R122" i="7"/>
  <c r="Q122" i="7"/>
  <c r="R114" i="7"/>
  <c r="Q114" i="7"/>
  <c r="R112" i="7"/>
  <c r="Q112" i="7"/>
  <c r="R127" i="7"/>
  <c r="Q127" i="7"/>
  <c r="R118" i="7"/>
  <c r="Q118" i="7"/>
  <c r="R136" i="7"/>
  <c r="Q136" i="7"/>
  <c r="R117" i="7"/>
  <c r="Q117" i="7"/>
  <c r="R113" i="7"/>
  <c r="Q113" i="7"/>
  <c r="Q107" i="7"/>
  <c r="R107" i="7"/>
  <c r="Q108" i="7"/>
  <c r="R108" i="7"/>
  <c r="Q95" i="7"/>
  <c r="R95" i="7"/>
  <c r="R98" i="7"/>
  <c r="Q98" i="7"/>
  <c r="R97" i="7"/>
  <c r="Q97" i="7"/>
  <c r="R90" i="7"/>
  <c r="Q90" i="7"/>
  <c r="R105" i="7"/>
  <c r="Q105" i="7"/>
  <c r="R100" i="7"/>
  <c r="Q100" i="7"/>
  <c r="R103" i="7"/>
  <c r="Q103" i="7"/>
  <c r="R101" i="7"/>
  <c r="Q101" i="7"/>
  <c r="R102" i="7"/>
  <c r="Q102" i="7"/>
  <c r="R106" i="7"/>
  <c r="Q106" i="7"/>
  <c r="R104" i="7"/>
  <c r="Q104" i="7"/>
  <c r="R87" i="7"/>
  <c r="Q87" i="7"/>
  <c r="R88" i="7"/>
  <c r="Q88" i="7"/>
  <c r="R94" i="7"/>
  <c r="Q94" i="7"/>
  <c r="R91" i="7"/>
  <c r="Q91" i="7"/>
  <c r="R93" i="7"/>
  <c r="Q93" i="7"/>
  <c r="R92" i="7"/>
  <c r="Q92" i="7"/>
  <c r="R99" i="7"/>
  <c r="Q99" i="7"/>
  <c r="R89" i="7"/>
  <c r="Q89" i="7"/>
  <c r="R96" i="7"/>
  <c r="Q96" i="7"/>
  <c r="R86" i="7"/>
  <c r="Q86" i="7"/>
  <c r="R69" i="7"/>
  <c r="Q69" i="7"/>
  <c r="R82" i="7"/>
  <c r="Q82" i="7"/>
  <c r="Q76" i="7"/>
  <c r="R76" i="7"/>
  <c r="Q67" i="7"/>
  <c r="R67" i="7"/>
  <c r="Q71" i="7"/>
  <c r="R71" i="7"/>
  <c r="Q75" i="7"/>
  <c r="R75" i="7"/>
  <c r="Q64" i="7"/>
  <c r="R64" i="7"/>
  <c r="Q79" i="7"/>
  <c r="R79" i="7"/>
  <c r="Q66" i="7"/>
  <c r="R66" i="7"/>
  <c r="Q78" i="7"/>
  <c r="R78" i="7"/>
  <c r="Q59" i="7"/>
  <c r="R59" i="7"/>
  <c r="Q80" i="7"/>
  <c r="R80" i="7"/>
  <c r="Q61" i="7"/>
  <c r="R61" i="7"/>
  <c r="Q60" i="7"/>
  <c r="R60" i="7"/>
  <c r="Q65" i="7"/>
  <c r="R65" i="7"/>
  <c r="Q83" i="7"/>
  <c r="R83" i="7"/>
  <c r="Q63" i="7"/>
  <c r="R63" i="7"/>
  <c r="Q68" i="7"/>
  <c r="R68" i="7"/>
  <c r="Q62" i="7"/>
  <c r="R62" i="7"/>
  <c r="Q72" i="7"/>
  <c r="R72" i="7"/>
  <c r="Q77" i="7"/>
  <c r="R77" i="7"/>
  <c r="Q70" i="7"/>
  <c r="R70" i="7"/>
  <c r="Q81" i="7"/>
  <c r="R81" i="7"/>
  <c r="Q73" i="7"/>
  <c r="R73" i="7"/>
  <c r="Q74" i="7"/>
  <c r="R74" i="7"/>
  <c r="Q42" i="7"/>
  <c r="Q41" i="7"/>
  <c r="Q44" i="7"/>
  <c r="Q47" i="7"/>
  <c r="Q48" i="7"/>
  <c r="Q49" i="7"/>
  <c r="Q45" i="7"/>
  <c r="Q51" i="7"/>
  <c r="Q40" i="7"/>
  <c r="Q50" i="7"/>
  <c r="Q39" i="7"/>
  <c r="Q53" i="7"/>
  <c r="Q46" i="7"/>
  <c r="R47" i="7"/>
  <c r="R48" i="7"/>
  <c r="R49" i="7"/>
  <c r="R45" i="7"/>
  <c r="R51" i="7"/>
  <c r="R40" i="7"/>
  <c r="R50" i="7"/>
  <c r="R39" i="7"/>
  <c r="R53" i="7"/>
  <c r="R46" i="7"/>
  <c r="R41" i="7"/>
  <c r="R44" i="7"/>
  <c r="Q36" i="7"/>
  <c r="R36" i="7"/>
  <c r="Q52" i="7"/>
  <c r="R52" i="7"/>
  <c r="Q43" i="7"/>
  <c r="R43" i="7"/>
  <c r="Q54" i="7"/>
  <c r="R54" i="7"/>
  <c r="Q55" i="7"/>
  <c r="R55" i="7"/>
  <c r="Q37" i="7"/>
  <c r="R37" i="7"/>
  <c r="R42" i="7"/>
  <c r="R38" i="7"/>
  <c r="Q38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12" i="7"/>
  <c r="Q17" i="7"/>
  <c r="Q33" i="7"/>
  <c r="Q14" i="7"/>
  <c r="Q26" i="7"/>
  <c r="Q24" i="7"/>
  <c r="Q25" i="7"/>
  <c r="Q22" i="7"/>
  <c r="Q19" i="7"/>
  <c r="Q30" i="7"/>
  <c r="Q13" i="7"/>
  <c r="Q31" i="7"/>
  <c r="Q15" i="7"/>
  <c r="Q27" i="7"/>
  <c r="Q16" i="7"/>
  <c r="Q28" i="7"/>
  <c r="Q21" i="7"/>
  <c r="Q12" i="7"/>
  <c r="Q29" i="7"/>
  <c r="Q32" i="7"/>
  <c r="Q20" i="7"/>
  <c r="Q18" i="7"/>
  <c r="Q23" i="7"/>
  <c r="K216" i="7"/>
  <c r="J216" i="7"/>
  <c r="K186" i="7"/>
  <c r="J186" i="7"/>
  <c r="K200" i="7"/>
  <c r="J200" i="7"/>
  <c r="K172" i="7"/>
  <c r="J172" i="7"/>
  <c r="K162" i="7"/>
  <c r="J162" i="7"/>
  <c r="K146" i="7"/>
  <c r="J146" i="7"/>
  <c r="K145" i="7"/>
  <c r="J145" i="7"/>
  <c r="K101" i="7"/>
  <c r="J101" i="7"/>
  <c r="K100" i="7"/>
  <c r="J100" i="7"/>
  <c r="K73" i="7"/>
  <c r="J73" i="7"/>
  <c r="K36" i="7"/>
  <c r="J36" i="7"/>
  <c r="J31" i="7"/>
  <c r="K31" i="7"/>
  <c r="C98" i="7"/>
  <c r="C97" i="7"/>
  <c r="C96" i="7"/>
  <c r="C95" i="7"/>
  <c r="C94" i="7"/>
  <c r="C93" i="7"/>
  <c r="C53" i="7"/>
  <c r="D53" i="7" s="1"/>
  <c r="D44" i="7"/>
  <c r="C43" i="7"/>
  <c r="C42" i="7"/>
  <c r="C41" i="7"/>
  <c r="D87" i="7"/>
  <c r="D88" i="7"/>
  <c r="D89" i="7"/>
  <c r="D90" i="7"/>
  <c r="D91" i="7"/>
  <c r="D86" i="7"/>
  <c r="C78" i="7"/>
  <c r="D77" i="7"/>
  <c r="D76" i="7"/>
  <c r="H1" i="7"/>
  <c r="C63" i="7"/>
  <c r="D66" i="7" s="1"/>
  <c r="D100" i="3"/>
  <c r="C54" i="7"/>
  <c r="D54" i="7" s="1"/>
  <c r="C52" i="7"/>
  <c r="D43" i="7"/>
  <c r="D42" i="7"/>
  <c r="D41" i="7"/>
  <c r="D31" i="7"/>
  <c r="D30" i="7"/>
  <c r="D29" i="7"/>
  <c r="D28" i="7"/>
  <c r="D19" i="7"/>
  <c r="D18" i="7"/>
  <c r="D17" i="7"/>
  <c r="D20" i="7"/>
  <c r="D27" i="7" l="1"/>
  <c r="K211" i="7"/>
  <c r="K220" i="7"/>
  <c r="K210" i="7"/>
  <c r="J182" i="7"/>
  <c r="K183" i="7"/>
  <c r="K171" i="7"/>
  <c r="J167" i="7"/>
  <c r="K156" i="7"/>
  <c r="J134" i="7"/>
  <c r="J124" i="7"/>
  <c r="J116" i="7"/>
  <c r="J128" i="7"/>
  <c r="J76" i="7"/>
  <c r="J86" i="7"/>
  <c r="J96" i="7"/>
  <c r="J85" i="7"/>
  <c r="K70" i="7"/>
  <c r="K62" i="7"/>
  <c r="K50" i="7"/>
  <c r="K47" i="7"/>
  <c r="K13" i="7"/>
  <c r="K15" i="7"/>
  <c r="J26" i="7"/>
  <c r="J44" i="7"/>
  <c r="J32" i="7"/>
  <c r="K24" i="7"/>
  <c r="J56" i="7"/>
  <c r="J16" i="7"/>
  <c r="J29" i="7"/>
  <c r="K87" i="7"/>
  <c r="K29" i="7"/>
  <c r="J14" i="7"/>
  <c r="J115" i="7"/>
  <c r="K52" i="7"/>
  <c r="K170" i="7"/>
  <c r="K35" i="7"/>
  <c r="K125" i="7"/>
  <c r="K207" i="7"/>
  <c r="J80" i="7"/>
  <c r="K131" i="7"/>
  <c r="J49" i="7"/>
  <c r="J211" i="7"/>
  <c r="J220" i="7"/>
  <c r="J210" i="7"/>
  <c r="J180" i="7"/>
  <c r="J183" i="7"/>
  <c r="K159" i="7"/>
  <c r="J163" i="7"/>
  <c r="J156" i="7"/>
  <c r="K134" i="7"/>
  <c r="K124" i="7"/>
  <c r="K116" i="7"/>
  <c r="K128" i="7"/>
  <c r="K76" i="7"/>
  <c r="K86" i="7"/>
  <c r="K96" i="7"/>
  <c r="K85" i="7"/>
  <c r="J70" i="7"/>
  <c r="J62" i="7"/>
  <c r="J50" i="7"/>
  <c r="J47" i="7"/>
  <c r="K26" i="7"/>
  <c r="K44" i="7"/>
  <c r="J24" i="7"/>
  <c r="J65" i="7"/>
  <c r="K33" i="7"/>
  <c r="J41" i="7"/>
  <c r="K91" i="7"/>
  <c r="J55" i="7"/>
  <c r="J18" i="7"/>
  <c r="K149" i="7"/>
  <c r="K99" i="7"/>
  <c r="K58" i="7"/>
  <c r="K78" i="7"/>
  <c r="J20" i="7"/>
  <c r="J110" i="7"/>
  <c r="K51" i="7"/>
  <c r="J217" i="7"/>
  <c r="J22" i="7"/>
  <c r="J121" i="7"/>
  <c r="J84" i="7"/>
  <c r="J40" i="7"/>
  <c r="K157" i="7"/>
  <c r="K79" i="7"/>
  <c r="K215" i="7"/>
  <c r="K209" i="7"/>
  <c r="K180" i="7"/>
  <c r="K190" i="7"/>
  <c r="K199" i="7"/>
  <c r="K168" i="7"/>
  <c r="J160" i="7"/>
  <c r="K175" i="7"/>
  <c r="J135" i="7"/>
  <c r="J122" i="7"/>
  <c r="J126" i="7"/>
  <c r="J123" i="7"/>
  <c r="J89" i="7"/>
  <c r="J105" i="7"/>
  <c r="J97" i="7"/>
  <c r="J98" i="7"/>
  <c r="K71" i="7"/>
  <c r="K65" i="7"/>
  <c r="K56" i="7"/>
  <c r="K48" i="7"/>
  <c r="K32" i="7"/>
  <c r="J33" i="7"/>
  <c r="K41" i="7"/>
  <c r="J68" i="7"/>
  <c r="K21" i="7"/>
  <c r="K195" i="7"/>
  <c r="J77" i="7"/>
  <c r="J39" i="7"/>
  <c r="J170" i="7"/>
  <c r="K112" i="7"/>
  <c r="J117" i="7"/>
  <c r="K49" i="7"/>
  <c r="K121" i="7"/>
  <c r="J61" i="7"/>
  <c r="J215" i="7"/>
  <c r="J209" i="7"/>
  <c r="K182" i="7"/>
  <c r="J190" i="7"/>
  <c r="J199" i="7"/>
  <c r="K154" i="7"/>
  <c r="J169" i="7"/>
  <c r="J175" i="7"/>
  <c r="K135" i="7"/>
  <c r="K122" i="7"/>
  <c r="K126" i="7"/>
  <c r="K123" i="7"/>
  <c r="K89" i="7"/>
  <c r="K105" i="7"/>
  <c r="K97" i="7"/>
  <c r="K98" i="7"/>
  <c r="J71" i="7"/>
  <c r="J48" i="7"/>
  <c r="K214" i="7"/>
  <c r="K38" i="7"/>
  <c r="J112" i="7"/>
  <c r="K20" i="7"/>
  <c r="J166" i="7"/>
  <c r="J51" i="7"/>
  <c r="J131" i="7"/>
  <c r="K22" i="7"/>
  <c r="K143" i="7"/>
  <c r="J13" i="7"/>
  <c r="K205" i="7"/>
  <c r="K213" i="7"/>
  <c r="K189" i="7"/>
  <c r="K196" i="7"/>
  <c r="K197" i="7"/>
  <c r="K164" i="7"/>
  <c r="J152" i="7"/>
  <c r="K174" i="7"/>
  <c r="J118" i="7"/>
  <c r="J137" i="7"/>
  <c r="J140" i="7"/>
  <c r="J133" i="7"/>
  <c r="J102" i="7"/>
  <c r="J94" i="7"/>
  <c r="J91" i="7"/>
  <c r="J87" i="7"/>
  <c r="K68" i="7"/>
  <c r="K60" i="7"/>
  <c r="K55" i="7"/>
  <c r="K16" i="7"/>
  <c r="J21" i="7"/>
  <c r="J157" i="7"/>
  <c r="J78" i="7"/>
  <c r="J52" i="7"/>
  <c r="J132" i="7"/>
  <c r="K165" i="7"/>
  <c r="K107" i="7"/>
  <c r="K150" i="7"/>
  <c r="K59" i="7"/>
  <c r="J191" i="7"/>
  <c r="K80" i="7"/>
  <c r="J205" i="7"/>
  <c r="J213" i="7"/>
  <c r="K185" i="7"/>
  <c r="J196" i="7"/>
  <c r="J197" i="7"/>
  <c r="K152" i="7"/>
  <c r="J164" i="7"/>
  <c r="J174" i="7"/>
  <c r="K118" i="7"/>
  <c r="K137" i="7"/>
  <c r="K140" i="7"/>
  <c r="K133" i="7"/>
  <c r="K102" i="7"/>
  <c r="K94" i="7"/>
  <c r="J60" i="7"/>
  <c r="J142" i="7"/>
  <c r="J92" i="7"/>
  <c r="J34" i="7"/>
  <c r="J58" i="7"/>
  <c r="J107" i="7"/>
  <c r="J184" i="7"/>
  <c r="J37" i="7"/>
  <c r="K61" i="7"/>
  <c r="J28" i="7"/>
  <c r="J207" i="7"/>
  <c r="K28" i="7"/>
  <c r="K219" i="7"/>
  <c r="K218" i="7"/>
  <c r="K184" i="7"/>
  <c r="K192" i="7"/>
  <c r="K198" i="7"/>
  <c r="K169" i="7"/>
  <c r="J154" i="7"/>
  <c r="K153" i="7"/>
  <c r="J136" i="7"/>
  <c r="J138" i="7"/>
  <c r="J141" i="7"/>
  <c r="J144" i="7"/>
  <c r="J81" i="7"/>
  <c r="J106" i="7"/>
  <c r="J108" i="7"/>
  <c r="J111" i="7"/>
  <c r="K72" i="7"/>
  <c r="K67" i="7"/>
  <c r="K54" i="7"/>
  <c r="K18" i="7"/>
  <c r="K14" i="7"/>
  <c r="J25" i="7"/>
  <c r="J23" i="7"/>
  <c r="K23" i="7"/>
  <c r="J19" i="7"/>
  <c r="J83" i="7"/>
  <c r="K64" i="7"/>
  <c r="K30" i="7"/>
  <c r="J27" i="7"/>
  <c r="J64" i="7"/>
  <c r="J53" i="7"/>
  <c r="J38" i="7"/>
  <c r="K193" i="7"/>
  <c r="J43" i="7"/>
  <c r="J125" i="7"/>
  <c r="J173" i="7"/>
  <c r="K77" i="7"/>
  <c r="K39" i="7"/>
  <c r="K206" i="7"/>
  <c r="J79" i="7"/>
  <c r="K117" i="7"/>
  <c r="K84" i="7"/>
  <c r="J219" i="7"/>
  <c r="J218" i="7"/>
  <c r="K181" i="7"/>
  <c r="J192" i="7"/>
  <c r="J198" i="7"/>
  <c r="K160" i="7"/>
  <c r="J168" i="7"/>
  <c r="J153" i="7"/>
  <c r="K136" i="7"/>
  <c r="K138" i="7"/>
  <c r="K141" i="7"/>
  <c r="K144" i="7"/>
  <c r="K81" i="7"/>
  <c r="K106" i="7"/>
  <c r="K108" i="7"/>
  <c r="K111" i="7"/>
  <c r="J72" i="7"/>
  <c r="J67" i="7"/>
  <c r="J54" i="7"/>
  <c r="K25" i="7"/>
  <c r="J30" i="7"/>
  <c r="J93" i="7"/>
  <c r="K53" i="7"/>
  <c r="K19" i="7"/>
  <c r="K93" i="7"/>
  <c r="K27" i="7"/>
  <c r="K158" i="7"/>
  <c r="K63" i="7"/>
  <c r="J35" i="7"/>
  <c r="J165" i="7"/>
  <c r="K130" i="7"/>
  <c r="K104" i="7"/>
  <c r="J57" i="7"/>
  <c r="J185" i="7"/>
  <c r="J90" i="7"/>
  <c r="J158" i="7"/>
  <c r="J59" i="7"/>
  <c r="K208" i="7"/>
  <c r="K204" i="7"/>
  <c r="K187" i="7"/>
  <c r="K194" i="7"/>
  <c r="K179" i="7"/>
  <c r="K163" i="7"/>
  <c r="J159" i="7"/>
  <c r="K161" i="7"/>
  <c r="J129" i="7"/>
  <c r="J139" i="7"/>
  <c r="J127" i="7"/>
  <c r="K120" i="7"/>
  <c r="J103" i="7"/>
  <c r="J109" i="7"/>
  <c r="K69" i="7"/>
  <c r="J17" i="7"/>
  <c r="J42" i="7"/>
  <c r="J188" i="7"/>
  <c r="K90" i="7"/>
  <c r="J178" i="7"/>
  <c r="J66" i="7"/>
  <c r="J143" i="7"/>
  <c r="J150" i="7"/>
  <c r="J88" i="7"/>
  <c r="J208" i="7"/>
  <c r="J204" i="7"/>
  <c r="K188" i="7"/>
  <c r="J194" i="7"/>
  <c r="J179" i="7"/>
  <c r="K167" i="7"/>
  <c r="J171" i="7"/>
  <c r="J161" i="7"/>
  <c r="K129" i="7"/>
  <c r="K139" i="7"/>
  <c r="K127" i="7"/>
  <c r="J120" i="7"/>
  <c r="K103" i="7"/>
  <c r="K83" i="7"/>
  <c r="K109" i="7"/>
  <c r="J69" i="7"/>
  <c r="K17" i="7"/>
  <c r="J119" i="7"/>
  <c r="J82" i="7"/>
  <c r="K42" i="7"/>
  <c r="K43" i="7"/>
  <c r="J130" i="7"/>
  <c r="K132" i="7"/>
  <c r="K110" i="7"/>
  <c r="K191" i="7"/>
  <c r="J104" i="7"/>
  <c r="J15" i="7"/>
  <c r="K203" i="7"/>
  <c r="J95" i="7"/>
  <c r="J155" i="7"/>
  <c r="J203" i="7"/>
  <c r="J214" i="7"/>
  <c r="J187" i="7"/>
  <c r="J193" i="7"/>
  <c r="J195" i="7"/>
  <c r="K155" i="7"/>
  <c r="J151" i="7"/>
  <c r="J149" i="7"/>
  <c r="K119" i="7"/>
  <c r="K115" i="7"/>
  <c r="K142" i="7"/>
  <c r="J99" i="7"/>
  <c r="K82" i="7"/>
  <c r="K95" i="7"/>
  <c r="K92" i="7"/>
  <c r="J63" i="7"/>
  <c r="K34" i="7"/>
  <c r="K66" i="7"/>
  <c r="J12" i="7"/>
  <c r="J212" i="7"/>
  <c r="K12" i="7"/>
  <c r="K88" i="7"/>
  <c r="K37" i="7"/>
  <c r="J189" i="7"/>
  <c r="K40" i="7"/>
  <c r="K212" i="7"/>
  <c r="K217" i="7"/>
  <c r="J181" i="7"/>
  <c r="K178" i="7"/>
  <c r="K166" i="7"/>
  <c r="K173" i="7"/>
  <c r="K57" i="7"/>
  <c r="K151" i="7"/>
  <c r="J206" i="7"/>
  <c r="D95" i="7"/>
  <c r="D16" i="7"/>
  <c r="D97" i="7"/>
  <c r="D93" i="7"/>
  <c r="D96" i="7"/>
  <c r="D94" i="7"/>
  <c r="D98" i="7"/>
  <c r="D75" i="7"/>
  <c r="D78" i="7"/>
  <c r="D67" i="7"/>
  <c r="D65" i="7"/>
  <c r="D64" i="7"/>
  <c r="D62" i="7"/>
  <c r="D51" i="7"/>
  <c r="D52" i="7"/>
  <c r="D40" i="7"/>
  <c r="D13" i="7"/>
  <c r="D90" i="4"/>
  <c r="D82" i="7"/>
  <c r="D81" i="7"/>
  <c r="D71" i="7"/>
  <c r="D72" i="7"/>
  <c r="D73" i="7"/>
  <c r="D74" i="7"/>
  <c r="D70" i="7"/>
  <c r="D58" i="7"/>
  <c r="D59" i="7"/>
  <c r="D60" i="7"/>
  <c r="D61" i="7"/>
  <c r="D57" i="7"/>
  <c r="D48" i="7"/>
  <c r="D49" i="7"/>
  <c r="D50" i="7"/>
  <c r="D47" i="7"/>
  <c r="D35" i="7"/>
  <c r="D36" i="7"/>
  <c r="D37" i="7"/>
  <c r="D38" i="7"/>
  <c r="D39" i="7"/>
  <c r="D34" i="7"/>
  <c r="D24" i="7"/>
  <c r="D25" i="7"/>
  <c r="D26" i="7"/>
  <c r="D23" i="7"/>
  <c r="D14" i="7"/>
  <c r="D15" i="7"/>
  <c r="D12" i="7"/>
  <c r="P15" i="3"/>
  <c r="P9" i="3"/>
  <c r="P10" i="3"/>
  <c r="P11" i="3"/>
  <c r="P12" i="3"/>
  <c r="P13" i="3"/>
  <c r="P8" i="3"/>
  <c r="J29" i="3"/>
  <c r="J41" i="3"/>
  <c r="J42" i="3"/>
  <c r="J43" i="3"/>
  <c r="J44" i="3"/>
  <c r="J45" i="3"/>
  <c r="J46" i="3"/>
  <c r="J47" i="3"/>
  <c r="J48" i="3"/>
  <c r="J40" i="3"/>
  <c r="J20" i="3"/>
  <c r="J13" i="3"/>
  <c r="J12" i="3"/>
  <c r="J11" i="3"/>
  <c r="J10" i="3"/>
  <c r="J9" i="3"/>
  <c r="J8" i="3"/>
  <c r="J23" i="3"/>
  <c r="C39" i="3"/>
  <c r="C38" i="3"/>
  <c r="E7" i="3"/>
  <c r="E45" i="3"/>
  <c r="E30" i="3"/>
  <c r="C17" i="3"/>
  <c r="E24" i="3"/>
  <c r="O40" i="5"/>
  <c r="O39" i="5"/>
  <c r="O38" i="5"/>
  <c r="O37" i="5"/>
  <c r="O36" i="5"/>
  <c r="O35" i="5"/>
  <c r="O34" i="5"/>
  <c r="O33" i="5"/>
  <c r="B33" i="5"/>
  <c r="O32" i="5"/>
  <c r="B32" i="5"/>
  <c r="O31" i="5"/>
  <c r="B31" i="5"/>
  <c r="O30" i="5"/>
  <c r="B30" i="5"/>
  <c r="O29" i="5"/>
  <c r="B29" i="5"/>
  <c r="B28" i="5"/>
  <c r="O25" i="5"/>
  <c r="O24" i="5"/>
  <c r="O23" i="5"/>
  <c r="O22" i="5"/>
  <c r="O21" i="5"/>
  <c r="O20" i="5"/>
  <c r="D20" i="5"/>
  <c r="O19" i="5"/>
  <c r="O18" i="5"/>
  <c r="O17" i="5"/>
  <c r="O16" i="5"/>
  <c r="O15" i="5"/>
  <c r="D14" i="5"/>
  <c r="O12" i="5"/>
  <c r="B12" i="5"/>
  <c r="O11" i="5"/>
  <c r="B11" i="5"/>
  <c r="O10" i="5"/>
  <c r="B10" i="5"/>
  <c r="O9" i="5"/>
  <c r="O8" i="5"/>
  <c r="O7" i="5"/>
  <c r="O6" i="5"/>
  <c r="O5" i="5"/>
  <c r="D4" i="5"/>
  <c r="J30" i="3"/>
  <c r="J31" i="3"/>
  <c r="J32" i="3"/>
  <c r="J33" i="3"/>
  <c r="J34" i="3"/>
  <c r="J35" i="3"/>
  <c r="J36" i="3"/>
  <c r="J37" i="3"/>
  <c r="J26" i="3"/>
  <c r="J25" i="3"/>
  <c r="J24" i="3"/>
  <c r="J22" i="3"/>
  <c r="J21" i="3"/>
  <c r="J19" i="3"/>
  <c r="J18" i="3"/>
  <c r="J15" i="3"/>
  <c r="J14" i="3"/>
  <c r="C43" i="3"/>
  <c r="C40" i="3"/>
  <c r="C41" i="3"/>
  <c r="C42" i="3"/>
  <c r="W66" i="3"/>
  <c r="W65" i="3"/>
  <c r="W64" i="3"/>
  <c r="W63" i="3"/>
  <c r="W62" i="3"/>
  <c r="W61" i="3"/>
  <c r="W60" i="3"/>
  <c r="W59" i="3"/>
  <c r="P44" i="3"/>
  <c r="P43" i="3"/>
  <c r="P42" i="3"/>
  <c r="P41" i="3"/>
  <c r="P40" i="3"/>
  <c r="P39" i="3"/>
  <c r="P38" i="3"/>
  <c r="P37" i="3"/>
  <c r="P36" i="3"/>
  <c r="P35" i="3"/>
  <c r="P34" i="3"/>
  <c r="P33" i="3"/>
  <c r="P25" i="3"/>
  <c r="V25" i="3"/>
  <c r="P24" i="3"/>
  <c r="V24" i="3"/>
  <c r="P23" i="3"/>
  <c r="V23" i="3"/>
  <c r="P22" i="3"/>
  <c r="P20" i="3"/>
  <c r="P19" i="3"/>
  <c r="W59" i="4"/>
  <c r="W60" i="4"/>
  <c r="W61" i="4"/>
  <c r="W62" i="4"/>
  <c r="W63" i="4"/>
  <c r="W64" i="4"/>
  <c r="W65" i="4"/>
  <c r="W58" i="4"/>
  <c r="V20" i="4"/>
  <c r="V21" i="4"/>
  <c r="V22" i="4"/>
  <c r="V23" i="4"/>
  <c r="V24" i="4"/>
  <c r="V25" i="4"/>
  <c r="V26" i="4"/>
  <c r="V27" i="4"/>
  <c r="P32" i="4"/>
  <c r="P33" i="4"/>
  <c r="P34" i="4"/>
  <c r="P35" i="4"/>
  <c r="P36" i="4"/>
  <c r="P37" i="4"/>
  <c r="P38" i="4"/>
  <c r="P39" i="4"/>
  <c r="P40" i="4"/>
  <c r="P41" i="4"/>
  <c r="P42" i="4"/>
  <c r="P43" i="4"/>
  <c r="P25" i="4"/>
  <c r="P19" i="4"/>
  <c r="P20" i="4"/>
  <c r="P21" i="4"/>
  <c r="P22" i="4"/>
  <c r="P23" i="4"/>
  <c r="P24" i="4"/>
  <c r="P26" i="4"/>
  <c r="P27" i="4"/>
  <c r="P28" i="4"/>
  <c r="P18" i="4"/>
  <c r="P9" i="4"/>
  <c r="P10" i="4"/>
  <c r="P11" i="4"/>
  <c r="P12" i="4"/>
  <c r="P13" i="4"/>
  <c r="P14" i="4"/>
  <c r="P15" i="4"/>
  <c r="P8" i="4"/>
  <c r="J29" i="4"/>
  <c r="J30" i="4"/>
  <c r="J31" i="4"/>
  <c r="J32" i="4"/>
  <c r="J33" i="4"/>
  <c r="J34" i="4"/>
  <c r="J35" i="4"/>
  <c r="J36" i="4"/>
  <c r="J28" i="4"/>
  <c r="J19" i="4"/>
  <c r="J20" i="4"/>
  <c r="J21" i="4"/>
  <c r="J22" i="4"/>
  <c r="J23" i="4"/>
  <c r="J24" i="4"/>
  <c r="J25" i="4"/>
  <c r="J18" i="4"/>
  <c r="J9" i="4"/>
  <c r="J10" i="4"/>
  <c r="J11" i="4"/>
  <c r="J12" i="4"/>
  <c r="J13" i="4"/>
  <c r="J14" i="4"/>
  <c r="J15" i="4"/>
  <c r="J8" i="4"/>
  <c r="E23" i="4"/>
  <c r="C19" i="3" l="1"/>
  <c r="C22" i="3"/>
  <c r="C20" i="3"/>
  <c r="C15" i="3"/>
  <c r="C21" i="3"/>
  <c r="C16" i="3"/>
  <c r="C18" i="3"/>
  <c r="E17" i="4"/>
  <c r="E7" i="4"/>
  <c r="C15" i="4"/>
  <c r="C36" i="4"/>
  <c r="C34" i="4"/>
  <c r="C33" i="4"/>
  <c r="C35" i="4"/>
  <c r="C32" i="4"/>
  <c r="C31" i="4"/>
  <c r="C13" i="4" l="1"/>
  <c r="C14" i="4"/>
</calcChain>
</file>

<file path=xl/sharedStrings.xml><?xml version="1.0" encoding="utf-8"?>
<sst xmlns="http://schemas.openxmlformats.org/spreadsheetml/2006/main" count="2496" uniqueCount="398">
  <si>
    <t>Event</t>
  </si>
  <si>
    <t>Longest Game</t>
  </si>
  <si>
    <t>45:00-49:59</t>
  </si>
  <si>
    <t>Total</t>
  </si>
  <si>
    <t>Reverse Sweeps</t>
  </si>
  <si>
    <t>Pentakills</t>
  </si>
  <si>
    <t>Baron Steals</t>
  </si>
  <si>
    <t>3-5</t>
  </si>
  <si>
    <t>Most Killed Drake</t>
  </si>
  <si>
    <t>Infernal</t>
  </si>
  <si>
    <t>Hextech</t>
  </si>
  <si>
    <t>Gamba</t>
  </si>
  <si>
    <t>Cloud</t>
  </si>
  <si>
    <t>Ocean</t>
  </si>
  <si>
    <t>Mountain</t>
  </si>
  <si>
    <t>Chemtech</t>
  </si>
  <si>
    <t>Worlds 2022</t>
  </si>
  <si>
    <t>Worlds 2023</t>
  </si>
  <si>
    <t>Worlds 2024</t>
  </si>
  <si>
    <t xml:space="preserve">Total Events: </t>
  </si>
  <si>
    <t>Bo5 Länge</t>
  </si>
  <si>
    <t># Events</t>
  </si>
  <si>
    <t>Expected RS</t>
  </si>
  <si>
    <t>pro Series</t>
  </si>
  <si>
    <t>40:00-44:59</t>
  </si>
  <si>
    <t>Additional Tables to Calculate Averages:</t>
  </si>
  <si>
    <t>Longest Games</t>
  </si>
  <si>
    <t>Games</t>
  </si>
  <si>
    <t># Games</t>
  </si>
  <si>
    <t>3+</t>
  </si>
  <si>
    <t># Pentas</t>
  </si>
  <si>
    <t>Most Drakes killed</t>
  </si>
  <si>
    <t># Bo5</t>
  </si>
  <si>
    <t>Represented Events</t>
  </si>
  <si>
    <t xml:space="preserve">avg (w): </t>
  </si>
  <si>
    <t>weighted average after Games per Event</t>
  </si>
  <si>
    <t>baron Steals:</t>
  </si>
  <si>
    <t>0-2</t>
  </si>
  <si>
    <t>6-8</t>
  </si>
  <si>
    <t>9+</t>
  </si>
  <si>
    <t># Steals</t>
  </si>
  <si>
    <t>Champions</t>
  </si>
  <si>
    <t>Most Roles</t>
  </si>
  <si>
    <t>Maokai</t>
  </si>
  <si>
    <t>Seraphine</t>
  </si>
  <si>
    <t>Poppy</t>
  </si>
  <si>
    <t>Smolder</t>
  </si>
  <si>
    <t>Most Picked</t>
  </si>
  <si>
    <t>Most Banned</t>
  </si>
  <si>
    <t>Highest Winrate</t>
  </si>
  <si>
    <t>Most Deaths</t>
  </si>
  <si>
    <t>Lowest Winrate</t>
  </si>
  <si>
    <t>Most Kills</t>
  </si>
  <si>
    <t>Players</t>
  </si>
  <si>
    <t>Highest KDA</t>
  </si>
  <si>
    <t>Most Champions</t>
  </si>
  <si>
    <t>Most First Bloods</t>
  </si>
  <si>
    <t>Top KDA</t>
  </si>
  <si>
    <t>1.</t>
  </si>
  <si>
    <t>2.</t>
  </si>
  <si>
    <t>3.</t>
  </si>
  <si>
    <t>4.</t>
  </si>
  <si>
    <t>5.</t>
  </si>
  <si>
    <t>ADC</t>
  </si>
  <si>
    <t>Scout</t>
  </si>
  <si>
    <t>Peyz</t>
  </si>
  <si>
    <t>Gumayusi</t>
  </si>
  <si>
    <t>Keria</t>
  </si>
  <si>
    <t>Knight</t>
  </si>
  <si>
    <t>Elk</t>
  </si>
  <si>
    <t>BeryL</t>
  </si>
  <si>
    <t>Vulcan</t>
  </si>
  <si>
    <t>Ming</t>
  </si>
  <si>
    <t>Upset</t>
  </si>
  <si>
    <t>Shogun</t>
  </si>
  <si>
    <t>Route</t>
  </si>
  <si>
    <t>Slayder</t>
  </si>
  <si>
    <t>Crownie</t>
  </si>
  <si>
    <t>BeanJ</t>
  </si>
  <si>
    <t>Oner</t>
  </si>
  <si>
    <t>Kingen</t>
  </si>
  <si>
    <t>Gala</t>
  </si>
  <si>
    <t>MID</t>
  </si>
  <si>
    <t>SUPP</t>
  </si>
  <si>
    <t>TOP</t>
  </si>
  <si>
    <t>JGL</t>
  </si>
  <si>
    <t>XUN</t>
  </si>
  <si>
    <t>knight</t>
  </si>
  <si>
    <t>Viper</t>
  </si>
  <si>
    <t>Unforgiven</t>
  </si>
  <si>
    <t>Aiming</t>
  </si>
  <si>
    <t>Supa</t>
  </si>
  <si>
    <t>Teams</t>
  </si>
  <si>
    <t>Best Minor Region Team</t>
  </si>
  <si>
    <t>Most Baron Steals</t>
  </si>
  <si>
    <t>Fastest win</t>
  </si>
  <si>
    <t>Kill most Elder Dragons</t>
  </si>
  <si>
    <t>CFO</t>
  </si>
  <si>
    <t>GAM</t>
  </si>
  <si>
    <t>PSG</t>
  </si>
  <si>
    <t>Evil Geniuses</t>
  </si>
  <si>
    <t>DRX</t>
  </si>
  <si>
    <t>Gen.G</t>
  </si>
  <si>
    <t>Weibo</t>
  </si>
  <si>
    <t>BLG</t>
  </si>
  <si>
    <t>NA</t>
  </si>
  <si>
    <t>LCK</t>
  </si>
  <si>
    <t>LPL</t>
  </si>
  <si>
    <t>PCS</t>
  </si>
  <si>
    <t>T1</t>
  </si>
  <si>
    <t>Peanut</t>
  </si>
  <si>
    <t>Elyoya</t>
  </si>
  <si>
    <t>Wei</t>
  </si>
  <si>
    <t>RNG</t>
  </si>
  <si>
    <t>BYG</t>
  </si>
  <si>
    <t>EG</t>
  </si>
  <si>
    <t>100 Thieves</t>
  </si>
  <si>
    <t>DK</t>
  </si>
  <si>
    <t>Fanatic</t>
  </si>
  <si>
    <t>Team BDS</t>
  </si>
  <si>
    <t>FlyQuest</t>
  </si>
  <si>
    <t>G2</t>
  </si>
  <si>
    <t>EU</t>
  </si>
  <si>
    <t>Single</t>
  </si>
  <si>
    <t>MDK</t>
  </si>
  <si>
    <t>BDS</t>
  </si>
  <si>
    <t>WBG</t>
  </si>
  <si>
    <t>6.</t>
  </si>
  <si>
    <t>7.</t>
  </si>
  <si>
    <t>8.</t>
  </si>
  <si>
    <t>Kills</t>
  </si>
  <si>
    <t>no Data…</t>
  </si>
  <si>
    <t>Picks</t>
  </si>
  <si>
    <t>avg</t>
  </si>
  <si>
    <t>Role</t>
  </si>
  <si>
    <t>Bans</t>
  </si>
  <si>
    <t>Deaths</t>
  </si>
  <si>
    <t>winrate</t>
  </si>
  <si>
    <t>avg (w):</t>
  </si>
  <si>
    <t>Top Placement</t>
  </si>
  <si>
    <t>avg per Game</t>
  </si>
  <si>
    <t>Sylas</t>
  </si>
  <si>
    <t>Sejuani</t>
  </si>
  <si>
    <t>Azir</t>
  </si>
  <si>
    <t>Aatrox</t>
  </si>
  <si>
    <t>Kai'Sa</t>
  </si>
  <si>
    <t>Rell</t>
  </si>
  <si>
    <t>Rakan</t>
  </si>
  <si>
    <t>Xayah</t>
  </si>
  <si>
    <t>Caitlyn</t>
  </si>
  <si>
    <t>Yuumi</t>
  </si>
  <si>
    <t>Rumble</t>
  </si>
  <si>
    <t>Orianna</t>
  </si>
  <si>
    <t>Neeko</t>
  </si>
  <si>
    <t>Aurora</t>
  </si>
  <si>
    <t>Yone</t>
  </si>
  <si>
    <t>TOP/MID</t>
  </si>
  <si>
    <t>Leona</t>
  </si>
  <si>
    <t>Jarvan IV</t>
  </si>
  <si>
    <t>Alistar</t>
  </si>
  <si>
    <t>Renekton</t>
  </si>
  <si>
    <t>*since 2023</t>
  </si>
  <si>
    <t>no data</t>
  </si>
  <si>
    <t>TBD</t>
  </si>
  <si>
    <t>Sivir</t>
  </si>
  <si>
    <t>Renata Glasc</t>
  </si>
  <si>
    <t>Nocturne</t>
  </si>
  <si>
    <t>Gragas</t>
  </si>
  <si>
    <t>Wukong</t>
  </si>
  <si>
    <t>Syndra</t>
  </si>
  <si>
    <t>Nautilus</t>
  </si>
  <si>
    <t>Galio</t>
  </si>
  <si>
    <t>Blitzcrank</t>
  </si>
  <si>
    <t>Gwen</t>
  </si>
  <si>
    <t>Chovy</t>
  </si>
  <si>
    <t>Inspired</t>
  </si>
  <si>
    <t>Tarzan</t>
  </si>
  <si>
    <t>On</t>
  </si>
  <si>
    <t>-</t>
  </si>
  <si>
    <t>Zeka</t>
  </si>
  <si>
    <t>Yutapon</t>
  </si>
  <si>
    <t>Kanavi</t>
  </si>
  <si>
    <t>GALA</t>
  </si>
  <si>
    <t>FBI</t>
  </si>
  <si>
    <t>Noah</t>
  </si>
  <si>
    <t>Light</t>
  </si>
  <si>
    <t>Quid</t>
  </si>
  <si>
    <t>12+</t>
  </si>
  <si>
    <t>paIN</t>
  </si>
  <si>
    <t>15+</t>
  </si>
  <si>
    <t>LTA(S)</t>
  </si>
  <si>
    <t>FLY</t>
  </si>
  <si>
    <t>FNC</t>
  </si>
  <si>
    <t>TES</t>
  </si>
  <si>
    <t>MSI 2022</t>
  </si>
  <si>
    <t>MSI 2023</t>
  </si>
  <si>
    <t>MSI 2024</t>
  </si>
  <si>
    <t>MSI 2025</t>
  </si>
  <si>
    <t>50:00-54:59</t>
  </si>
  <si>
    <t># Event</t>
  </si>
  <si>
    <t>K'sante</t>
  </si>
  <si>
    <t>K'Sante</t>
  </si>
  <si>
    <t>Lucian</t>
  </si>
  <si>
    <t>369</t>
  </si>
  <si>
    <t>Most Deaths*</t>
  </si>
  <si>
    <t>*since 2023, only worlds</t>
  </si>
  <si>
    <t>Jax</t>
  </si>
  <si>
    <t>Ornn</t>
  </si>
  <si>
    <t>Miss Fortune</t>
  </si>
  <si>
    <t>Kennen</t>
  </si>
  <si>
    <t>Malphite</t>
  </si>
  <si>
    <t>Kalista</t>
  </si>
  <si>
    <t>Twisted Fate</t>
  </si>
  <si>
    <t>Most Roles*</t>
  </si>
  <si>
    <t>left</t>
  </si>
  <si>
    <t>left?</t>
  </si>
  <si>
    <t>Unique Champs</t>
  </si>
  <si>
    <t>0-99</t>
  </si>
  <si>
    <t>100-104</t>
  </si>
  <si>
    <t>105-109</t>
  </si>
  <si>
    <t>110-114</t>
  </si>
  <si>
    <t>115-119</t>
  </si>
  <si>
    <t>120+</t>
  </si>
  <si>
    <t>Unique Picks</t>
  </si>
  <si>
    <t>Worlds 2025</t>
  </si>
  <si>
    <t>55:00+</t>
  </si>
  <si>
    <t>Corki</t>
  </si>
  <si>
    <t>Xin Zhao</t>
  </si>
  <si>
    <t>Yunara</t>
  </si>
  <si>
    <t>Ryze</t>
  </si>
  <si>
    <t>9.</t>
  </si>
  <si>
    <t>Qiyana</t>
  </si>
  <si>
    <t>*since 2025, only worlds</t>
  </si>
  <si>
    <t>Dr. Mundo</t>
  </si>
  <si>
    <t>Faker</t>
  </si>
  <si>
    <t>Bdd</t>
  </si>
  <si>
    <t>Doran</t>
  </si>
  <si>
    <t>Ruler</t>
  </si>
  <si>
    <t>KT</t>
  </si>
  <si>
    <t>AL</t>
  </si>
  <si>
    <t>Worlds + MSI + FS Pick'Ems Tracker</t>
  </si>
  <si>
    <t>#counter</t>
  </si>
  <si>
    <t>Unique Champions</t>
  </si>
  <si>
    <t>44:59 or less</t>
  </si>
  <si>
    <t>45:00 - 49:59</t>
  </si>
  <si>
    <t>50:00 - 54:59</t>
  </si>
  <si>
    <t>4+</t>
  </si>
  <si>
    <t>%PCT</t>
  </si>
  <si>
    <t>0-30</t>
  </si>
  <si>
    <t>31-45</t>
  </si>
  <si>
    <t>46-54</t>
  </si>
  <si>
    <t>56-65</t>
  </si>
  <si>
    <t>66+</t>
  </si>
  <si>
    <t>Teemo Pick</t>
  </si>
  <si>
    <t>Yes</t>
  </si>
  <si>
    <t>No</t>
  </si>
  <si>
    <t>Most Drakes</t>
  </si>
  <si>
    <t>@avg</t>
  </si>
  <si>
    <t>Event count:</t>
  </si>
  <si>
    <t>#Total</t>
  </si>
  <si>
    <t>Games per Penta:</t>
  </si>
  <si>
    <t>WLDs</t>
  </si>
  <si>
    <t>MSI</t>
  </si>
  <si>
    <t>FiSt</t>
  </si>
  <si>
    <t xml:space="preserve">First Stand: </t>
  </si>
  <si>
    <t>MSI:</t>
  </si>
  <si>
    <t xml:space="preserve">Worlds: </t>
  </si>
  <si>
    <t>Total Games:</t>
  </si>
  <si>
    <t>Games per Steal:</t>
  </si>
  <si>
    <t>avg per Tournament (total):</t>
  </si>
  <si>
    <t>avg with Fearless Draft:</t>
  </si>
  <si>
    <t>add number</t>
  </si>
  <si>
    <t>add in formula</t>
  </si>
  <si>
    <t>avg per Tournament</t>
  </si>
  <si>
    <t>RS Total:</t>
  </si>
  <si>
    <t>Total BO5s:</t>
  </si>
  <si>
    <t>Expected RS for 1x BO5:</t>
  </si>
  <si>
    <t>FiSt (13)</t>
  </si>
  <si>
    <t>MSI (20)</t>
  </si>
  <si>
    <t>WLDs (13)</t>
  </si>
  <si>
    <t>Last Picked:</t>
  </si>
  <si>
    <t>WLDs 2022</t>
  </si>
  <si>
    <t>#Top15</t>
  </si>
  <si>
    <t>Viego</t>
  </si>
  <si>
    <t>Ahri</t>
  </si>
  <si>
    <t>Ezreal</t>
  </si>
  <si>
    <t>Aphelios</t>
  </si>
  <si>
    <t>Jinx</t>
  </si>
  <si>
    <t>Varus</t>
  </si>
  <si>
    <t>Jhin</t>
  </si>
  <si>
    <t>Vi</t>
  </si>
  <si>
    <t>#Top3</t>
  </si>
  <si>
    <t>Skarner</t>
  </si>
  <si>
    <t>%Top3</t>
  </si>
  <si>
    <t>%Top15</t>
  </si>
  <si>
    <t>LeBlanc</t>
  </si>
  <si>
    <t>Annie</t>
  </si>
  <si>
    <t>Senna</t>
  </si>
  <si>
    <t>Ashe</t>
  </si>
  <si>
    <t>Karma</t>
  </si>
  <si>
    <t>Highest WR%</t>
  </si>
  <si>
    <t>Lissandra</t>
  </si>
  <si>
    <t>Pyke</t>
  </si>
  <si>
    <t>Braum</t>
  </si>
  <si>
    <t>Kha'Zix</t>
  </si>
  <si>
    <t>Tristana</t>
  </si>
  <si>
    <t>Vayne</t>
  </si>
  <si>
    <t>Nami</t>
  </si>
  <si>
    <t>Bard</t>
  </si>
  <si>
    <t>Renata Glas</t>
  </si>
  <si>
    <t>Pantheon</t>
  </si>
  <si>
    <t>Lowest WR%</t>
  </si>
  <si>
    <t>Lee Sin</t>
  </si>
  <si>
    <t>Tahm Kench</t>
  </si>
  <si>
    <t>Zeri</t>
  </si>
  <si>
    <t>Taliyah</t>
  </si>
  <si>
    <t>Gnar</t>
  </si>
  <si>
    <t>Mel</t>
  </si>
  <si>
    <t>Ambessa</t>
  </si>
  <si>
    <t>Lulu</t>
  </si>
  <si>
    <t>Most Assists</t>
  </si>
  <si>
    <t>Different Roles (#3)</t>
  </si>
  <si>
    <t>Jayce</t>
  </si>
  <si>
    <t>Milio</t>
  </si>
  <si>
    <t>Trundle</t>
  </si>
  <si>
    <t>Sion</t>
  </si>
  <si>
    <t>Camille</t>
  </si>
  <si>
    <t>Rhuckz</t>
  </si>
  <si>
    <t>Cuzz</t>
  </si>
  <si>
    <t>Xiaohu</t>
  </si>
  <si>
    <t>Yike</t>
  </si>
  <si>
    <t>Doggo</t>
  </si>
  <si>
    <t>Berserker</t>
  </si>
  <si>
    <t>Xun</t>
  </si>
  <si>
    <t>Recency</t>
  </si>
  <si>
    <t>Last 3 Tournies Top15</t>
  </si>
  <si>
    <t>Recency%</t>
  </si>
  <si>
    <t>Top Kills</t>
  </si>
  <si>
    <t>Deft</t>
  </si>
  <si>
    <t>Stixxay</t>
  </si>
  <si>
    <t>Hope</t>
  </si>
  <si>
    <t>Caliste</t>
  </si>
  <si>
    <t>Caps</t>
  </si>
  <si>
    <t>First Bloods</t>
  </si>
  <si>
    <t>Most CS (Single Game)</t>
  </si>
  <si>
    <t>#CS</t>
  </si>
  <si>
    <t>Avg Damage/Game</t>
  </si>
  <si>
    <t>DPG</t>
  </si>
  <si>
    <t>Diable</t>
  </si>
  <si>
    <t>Top</t>
  </si>
  <si>
    <t>Jankos</t>
  </si>
  <si>
    <t>Canyon</t>
  </si>
  <si>
    <t>Hans Sama</t>
  </si>
  <si>
    <t>Top3</t>
  </si>
  <si>
    <t>%4+ FB</t>
  </si>
  <si>
    <t>#4+ FB</t>
  </si>
  <si>
    <t>FB</t>
  </si>
  <si>
    <t>Deokdam</t>
  </si>
  <si>
    <t>Danny</t>
  </si>
  <si>
    <t>Flakked</t>
  </si>
  <si>
    <t>Maple</t>
  </si>
  <si>
    <t>EasyLove</t>
  </si>
  <si>
    <t>Vladi</t>
  </si>
  <si>
    <t>HongQ</t>
  </si>
  <si>
    <t>Serin</t>
  </si>
  <si>
    <t>Humanoid</t>
  </si>
  <si>
    <t>JimieN</t>
  </si>
  <si>
    <t>Keine</t>
  </si>
  <si>
    <t>Bin</t>
  </si>
  <si>
    <t>Wako</t>
  </si>
  <si>
    <t>Tinows</t>
  </si>
  <si>
    <t>Massu</t>
  </si>
  <si>
    <t>JackeyLove</t>
  </si>
  <si>
    <t>Creme</t>
  </si>
  <si>
    <t>Taki</t>
  </si>
  <si>
    <t>BrokenBlade</t>
  </si>
  <si>
    <t>#10+ C</t>
  </si>
  <si>
    <t>%10+ C</t>
  </si>
  <si>
    <t>Huhi</t>
  </si>
  <si>
    <t>Gori</t>
  </si>
  <si>
    <t>River</t>
  </si>
  <si>
    <t>Licorice</t>
  </si>
  <si>
    <t>Mikyx</t>
  </si>
  <si>
    <t>Yagao</t>
  </si>
  <si>
    <t>Zeus</t>
  </si>
  <si>
    <t>Meiko</t>
  </si>
  <si>
    <t>Lehends</t>
  </si>
  <si>
    <t>Woody</t>
  </si>
  <si>
    <t>Bwipo</t>
  </si>
  <si>
    <t>Duro</t>
  </si>
  <si>
    <t>Kiin</t>
  </si>
  <si>
    <t>Shanks</t>
  </si>
  <si>
    <t>Isles</t>
  </si>
  <si>
    <t>Canna</t>
  </si>
  <si>
    <t>Delight</t>
  </si>
  <si>
    <t>Targamas</t>
  </si>
  <si>
    <t>Crisp</t>
  </si>
  <si>
    <t>Labrov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</si>
</sst>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0.0"/>
    <numFmt numFmtId="166" formatCode="[m]:ss"/>
  </numFmts>
  <fonts count="7" x14ac:knownFonts="1">
    <font>
      <sz val="11"/>
      <color theme="1"/>
      <name val="Calibri"/>
      <family val="2"/>
    </font>
    <font>
      <b/>
      <u/>
      <sz val="18"/>
      <name val="Calibri"/>
      <family val="2"/>
    </font>
    <font>
      <b/>
      <sz val="16"/>
      <color theme="1"/>
      <name val="Calibri"/>
      <family val="2"/>
    </font>
    <font>
      <sz val="8"/>
      <name val="Calibri"/>
      <family val="2"/>
    </font>
    <font>
      <b/>
      <u/>
      <sz val="16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46" fontId="0" fillId="0" borderId="0" xfId="0" applyNumberForma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quotePrefix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2" borderId="0" xfId="0" quotePrefix="1" applyFill="1" applyAlignment="1">
      <alignment horizontal="right"/>
    </xf>
    <xf numFmtId="0" fontId="5" fillId="0" borderId="0" xfId="0" applyFont="1" applyAlignment="1">
      <alignment vertical="center"/>
    </xf>
    <xf numFmtId="9" fontId="0" fillId="0" borderId="0" xfId="0" quotePrefix="1" applyNumberFormat="1" applyAlignment="1">
      <alignment horizontal="right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166" fontId="0" fillId="0" borderId="0" xfId="0" applyNumberFormat="1" applyAlignment="1">
      <alignment horizontal="center"/>
    </xf>
    <xf numFmtId="166" fontId="0" fillId="5" borderId="0" xfId="0" applyNumberForma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0" fillId="0" borderId="0" xfId="0" quotePrefix="1" applyAlignment="1">
      <alignment horizontal="right"/>
    </xf>
    <xf numFmtId="1" fontId="0" fillId="6" borderId="0" xfId="0" applyNumberFormat="1" applyFill="1" applyAlignment="1">
      <alignment horizontal="center"/>
    </xf>
    <xf numFmtId="0" fontId="0" fillId="6" borderId="0" xfId="0" quotePrefix="1" applyFill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6" fillId="0" borderId="0" xfId="0" applyFont="1"/>
    <xf numFmtId="1" fontId="0" fillId="6" borderId="0" xfId="0" quotePrefix="1" applyNumberFormat="1" applyFill="1" applyAlignment="1">
      <alignment horizontal="center"/>
    </xf>
    <xf numFmtId="0" fontId="6" fillId="0" borderId="0" xfId="0" applyFont="1" applyAlignment="1">
      <alignment horizontal="right"/>
    </xf>
    <xf numFmtId="3" fontId="0" fillId="6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5CF9-9745-48FC-B9AA-5FA0623C920D}">
  <dimension ref="A1:AA244"/>
  <sheetViews>
    <sheetView tabSelected="1" workbookViewId="0">
      <selection activeCell="O12" sqref="O12:O19"/>
    </sheetView>
  </sheetViews>
  <sheetFormatPr baseColWidth="10" defaultRowHeight="15" x14ac:dyDescent="0.25"/>
  <cols>
    <col min="1" max="1" width="4.28515625" customWidth="1"/>
    <col min="2" max="2" width="14.28515625" customWidth="1"/>
    <col min="3" max="3" width="11.7109375" bestFit="1" customWidth="1"/>
    <col min="6" max="6" width="4.28515625" customWidth="1"/>
    <col min="13" max="13" width="4.28515625" customWidth="1"/>
    <col min="22" max="22" width="3.5703125" customWidth="1"/>
  </cols>
  <sheetData>
    <row r="1" spans="1:25" ht="15" customHeight="1" x14ac:dyDescent="0.25">
      <c r="A1" s="59" t="s">
        <v>240</v>
      </c>
      <c r="B1" s="59"/>
      <c r="C1" s="59"/>
      <c r="D1" s="59"/>
      <c r="E1" s="59"/>
      <c r="F1" s="60" t="s">
        <v>258</v>
      </c>
      <c r="G1" s="60"/>
      <c r="H1" s="60">
        <f>J1+L1+O1</f>
        <v>11</v>
      </c>
      <c r="I1" s="30" t="s">
        <v>264</v>
      </c>
      <c r="J1" s="41">
        <v>2</v>
      </c>
      <c r="K1" s="30" t="s">
        <v>265</v>
      </c>
      <c r="L1" s="40">
        <v>5</v>
      </c>
      <c r="M1" s="23"/>
      <c r="N1" s="28" t="s">
        <v>266</v>
      </c>
      <c r="O1" s="40">
        <v>4</v>
      </c>
      <c r="P1" s="28" t="s">
        <v>267</v>
      </c>
      <c r="Q1" s="39">
        <v>892</v>
      </c>
      <c r="R1" s="28"/>
      <c r="S1" s="36" t="s">
        <v>271</v>
      </c>
      <c r="T1" s="35" t="s">
        <v>272</v>
      </c>
      <c r="U1" s="28"/>
    </row>
    <row r="2" spans="1:25" ht="15" customHeight="1" x14ac:dyDescent="0.25">
      <c r="A2" s="59"/>
      <c r="B2" s="59"/>
      <c r="C2" s="59"/>
      <c r="D2" s="59"/>
      <c r="E2" s="59"/>
      <c r="F2" s="60"/>
      <c r="G2" s="60"/>
      <c r="H2" s="60"/>
      <c r="I2" s="19"/>
      <c r="J2" s="18">
        <v>35</v>
      </c>
      <c r="K2" s="18"/>
      <c r="L2" s="1">
        <v>77</v>
      </c>
      <c r="M2" s="1"/>
      <c r="N2" s="1"/>
      <c r="O2" s="1">
        <v>127</v>
      </c>
      <c r="P2" s="28" t="s">
        <v>275</v>
      </c>
      <c r="Q2" s="39">
        <v>122</v>
      </c>
      <c r="R2" s="28"/>
      <c r="T2" s="28"/>
      <c r="U2" s="28"/>
    </row>
    <row r="3" spans="1:25" x14ac:dyDescent="0.25">
      <c r="J3" s="1">
        <v>45</v>
      </c>
      <c r="K3" s="1"/>
      <c r="L3" s="1">
        <v>76</v>
      </c>
      <c r="M3" s="1"/>
      <c r="N3" s="1"/>
      <c r="O3" s="1">
        <v>113</v>
      </c>
    </row>
    <row r="4" spans="1:25" x14ac:dyDescent="0.25">
      <c r="J4" s="1"/>
      <c r="K4" s="1"/>
      <c r="L4" s="1">
        <v>78</v>
      </c>
      <c r="M4" s="1"/>
      <c r="N4" s="1"/>
      <c r="O4" s="1">
        <v>106</v>
      </c>
    </row>
    <row r="5" spans="1:25" x14ac:dyDescent="0.25">
      <c r="J5" s="1"/>
      <c r="K5" s="1"/>
      <c r="L5" s="1">
        <v>80</v>
      </c>
      <c r="M5" s="1"/>
      <c r="N5" s="1"/>
      <c r="O5" s="1">
        <v>84</v>
      </c>
    </row>
    <row r="6" spans="1:25" x14ac:dyDescent="0.25">
      <c r="J6" s="1"/>
      <c r="K6" s="1"/>
      <c r="L6" s="1">
        <v>71</v>
      </c>
      <c r="M6" s="1"/>
      <c r="N6" s="1"/>
      <c r="O6" s="1"/>
    </row>
    <row r="7" spans="1:25" x14ac:dyDescent="0.25">
      <c r="J7" s="1"/>
      <c r="K7" s="1"/>
      <c r="L7" s="1"/>
      <c r="M7" s="1"/>
      <c r="N7" s="1"/>
      <c r="O7" s="1"/>
    </row>
    <row r="8" spans="1:25" ht="15" customHeight="1" x14ac:dyDescent="0.25">
      <c r="B8" s="58" t="s">
        <v>0</v>
      </c>
      <c r="C8" s="58"/>
      <c r="F8" s="56" t="s">
        <v>41</v>
      </c>
      <c r="G8" s="56"/>
      <c r="H8" s="56"/>
      <c r="L8" s="47"/>
      <c r="M8" s="47"/>
      <c r="N8" s="56" t="s">
        <v>53</v>
      </c>
      <c r="O8" s="56"/>
      <c r="V8" s="56" t="s">
        <v>92</v>
      </c>
      <c r="W8" s="56"/>
    </row>
    <row r="9" spans="1:25" ht="15" customHeight="1" x14ac:dyDescent="0.25">
      <c r="B9" s="58"/>
      <c r="C9" s="58"/>
      <c r="F9" s="56"/>
      <c r="G9" s="56"/>
      <c r="H9" s="56"/>
      <c r="L9" s="47"/>
      <c r="M9" s="47"/>
      <c r="N9" s="56"/>
      <c r="O9" s="56"/>
      <c r="V9" s="56"/>
      <c r="W9" s="56"/>
    </row>
    <row r="10" spans="1:25" x14ac:dyDescent="0.25">
      <c r="P10" s="51" t="s">
        <v>335</v>
      </c>
    </row>
    <row r="11" spans="1:25" x14ac:dyDescent="0.25">
      <c r="B11" s="25" t="s">
        <v>5</v>
      </c>
      <c r="C11" s="21" t="s">
        <v>241</v>
      </c>
      <c r="D11" s="21" t="s">
        <v>247</v>
      </c>
      <c r="F11" s="55" t="s">
        <v>47</v>
      </c>
      <c r="G11" s="55"/>
      <c r="H11" s="21" t="s">
        <v>291</v>
      </c>
      <c r="I11" s="21" t="s">
        <v>282</v>
      </c>
      <c r="J11" s="29" t="s">
        <v>293</v>
      </c>
      <c r="K11" s="21" t="s">
        <v>294</v>
      </c>
      <c r="L11" s="5"/>
      <c r="M11" s="10" t="s">
        <v>54</v>
      </c>
      <c r="N11" s="10"/>
      <c r="O11" s="21" t="s">
        <v>291</v>
      </c>
      <c r="P11" s="21" t="s">
        <v>334</v>
      </c>
      <c r="Q11" s="29" t="s">
        <v>293</v>
      </c>
      <c r="R11" s="29" t="s">
        <v>336</v>
      </c>
      <c r="S11" s="21" t="s">
        <v>57</v>
      </c>
      <c r="T11" s="21" t="s">
        <v>134</v>
      </c>
      <c r="V11" s="57"/>
      <c r="W11" s="57"/>
    </row>
    <row r="12" spans="1:25" x14ac:dyDescent="0.25">
      <c r="B12" s="22">
        <v>0</v>
      </c>
      <c r="C12" s="32">
        <v>3</v>
      </c>
      <c r="D12" s="13">
        <f>C12/SUM($C$12:$C$15)</f>
        <v>0.27272727272727271</v>
      </c>
      <c r="F12" s="1">
        <v>1</v>
      </c>
      <c r="G12" s="5" t="s">
        <v>290</v>
      </c>
      <c r="H12" s="42">
        <v>3</v>
      </c>
      <c r="I12" s="45">
        <v>6</v>
      </c>
      <c r="J12" s="13">
        <f t="shared" ref="J12:J44" si="0">H12/$H$1</f>
        <v>0.27272727272727271</v>
      </c>
      <c r="K12" s="13">
        <f t="shared" ref="K12:K44" si="1">I12/$H$1</f>
        <v>0.54545454545454541</v>
      </c>
      <c r="L12" s="5"/>
      <c r="M12" s="1">
        <v>1</v>
      </c>
      <c r="N12" s="5" t="s">
        <v>88</v>
      </c>
      <c r="O12" s="42">
        <v>3</v>
      </c>
      <c r="P12" s="45">
        <v>3</v>
      </c>
      <c r="Q12" s="13">
        <f t="shared" ref="Q12:Q33" si="2">O12/$H$1</f>
        <v>0.27272727272727271</v>
      </c>
      <c r="R12" s="13">
        <f t="shared" ref="R12:R33" si="3">P12/3</f>
        <v>1</v>
      </c>
      <c r="S12" s="50">
        <v>8.07</v>
      </c>
      <c r="T12" s="1" t="s">
        <v>63</v>
      </c>
      <c r="V12" s="16"/>
      <c r="X12" s="1"/>
      <c r="Y12" s="1"/>
    </row>
    <row r="13" spans="1:25" x14ac:dyDescent="0.25">
      <c r="B13" s="23">
        <v>1</v>
      </c>
      <c r="C13" s="32">
        <v>4</v>
      </c>
      <c r="D13" s="13">
        <f>C13/SUM($C$12:$C$15)</f>
        <v>0.36363636363636365</v>
      </c>
      <c r="E13" s="5"/>
      <c r="F13" s="1">
        <v>2</v>
      </c>
      <c r="G13" t="s">
        <v>201</v>
      </c>
      <c r="H13" s="42">
        <v>3</v>
      </c>
      <c r="I13" s="45">
        <v>5</v>
      </c>
      <c r="J13" s="13">
        <f t="shared" si="0"/>
        <v>0.27272727272727271</v>
      </c>
      <c r="K13" s="13">
        <f t="shared" si="1"/>
        <v>0.45454545454545453</v>
      </c>
      <c r="L13" s="5"/>
      <c r="M13" s="1">
        <v>2</v>
      </c>
      <c r="N13" s="5" t="s">
        <v>68</v>
      </c>
      <c r="O13" s="42">
        <v>3</v>
      </c>
      <c r="P13" s="45">
        <v>2</v>
      </c>
      <c r="Q13" s="13">
        <f t="shared" si="2"/>
        <v>0.27272727272727271</v>
      </c>
      <c r="R13" s="13">
        <f t="shared" si="3"/>
        <v>0.66666666666666663</v>
      </c>
      <c r="S13" s="50">
        <v>8.43</v>
      </c>
      <c r="T13" s="1" t="s">
        <v>82</v>
      </c>
      <c r="V13" s="1"/>
      <c r="X13" s="1"/>
      <c r="Y13" s="1"/>
    </row>
    <row r="14" spans="1:25" x14ac:dyDescent="0.25">
      <c r="B14" s="23">
        <v>2</v>
      </c>
      <c r="C14" s="32">
        <v>2</v>
      </c>
      <c r="D14" s="13">
        <f t="shared" ref="D14:D15" si="4">C14/SUM($C$12:$C$15)</f>
        <v>0.18181818181818182</v>
      </c>
      <c r="E14" s="5"/>
      <c r="F14" s="1">
        <v>3</v>
      </c>
      <c r="G14" s="5" t="s">
        <v>146</v>
      </c>
      <c r="H14" s="42">
        <v>3</v>
      </c>
      <c r="I14" s="45">
        <v>4</v>
      </c>
      <c r="J14" s="13">
        <f t="shared" si="0"/>
        <v>0.27272727272727271</v>
      </c>
      <c r="K14" s="13">
        <f t="shared" si="1"/>
        <v>0.36363636363636365</v>
      </c>
      <c r="L14" s="5"/>
      <c r="M14" s="1">
        <v>3</v>
      </c>
      <c r="N14" s="5" t="s">
        <v>174</v>
      </c>
      <c r="O14" s="42">
        <v>3</v>
      </c>
      <c r="P14" s="45">
        <v>2</v>
      </c>
      <c r="Q14" s="13">
        <f t="shared" si="2"/>
        <v>0.27272727272727271</v>
      </c>
      <c r="R14" s="13">
        <f t="shared" si="3"/>
        <v>0.66666666666666663</v>
      </c>
      <c r="S14" s="50">
        <v>7.28</v>
      </c>
      <c r="T14" s="1" t="s">
        <v>82</v>
      </c>
      <c r="V14" s="1"/>
      <c r="X14" s="1"/>
      <c r="Y14" s="1"/>
    </row>
    <row r="15" spans="1:25" x14ac:dyDescent="0.25">
      <c r="B15" s="23" t="s">
        <v>29</v>
      </c>
      <c r="C15" s="32">
        <v>2</v>
      </c>
      <c r="D15" s="13">
        <f t="shared" si="4"/>
        <v>0.18181818181818182</v>
      </c>
      <c r="E15" s="5"/>
      <c r="F15" s="1">
        <v>4</v>
      </c>
      <c r="G15" s="5" t="s">
        <v>227</v>
      </c>
      <c r="H15" s="42">
        <v>3</v>
      </c>
      <c r="I15" s="45">
        <v>4</v>
      </c>
      <c r="J15" s="13">
        <f t="shared" si="0"/>
        <v>0.27272727272727271</v>
      </c>
      <c r="K15" s="13">
        <f t="shared" si="1"/>
        <v>0.36363636363636365</v>
      </c>
      <c r="L15" s="5"/>
      <c r="M15" s="1">
        <v>4</v>
      </c>
      <c r="N15" s="5" t="s">
        <v>65</v>
      </c>
      <c r="O15" s="42">
        <v>3</v>
      </c>
      <c r="P15" s="45">
        <v>1</v>
      </c>
      <c r="Q15" s="13">
        <f t="shared" si="2"/>
        <v>0.27272727272727271</v>
      </c>
      <c r="R15" s="13">
        <f t="shared" si="3"/>
        <v>0.33333333333333331</v>
      </c>
      <c r="S15" s="50">
        <v>8.5299999999999994</v>
      </c>
      <c r="T15" s="1" t="s">
        <v>63</v>
      </c>
      <c r="V15" s="1"/>
      <c r="X15" s="1"/>
      <c r="Y15" s="1"/>
    </row>
    <row r="16" spans="1:25" x14ac:dyDescent="0.25">
      <c r="B16" s="27" t="s">
        <v>269</v>
      </c>
      <c r="C16" s="31"/>
      <c r="D16" s="14">
        <f>SUM(C17:C19)/$H$1</f>
        <v>1.2727272727272727</v>
      </c>
      <c r="F16" s="1">
        <v>5</v>
      </c>
      <c r="G16" s="5" t="s">
        <v>159</v>
      </c>
      <c r="H16" s="42">
        <v>2</v>
      </c>
      <c r="I16" s="45">
        <v>5</v>
      </c>
      <c r="J16" s="13">
        <f t="shared" si="0"/>
        <v>0.18181818181818182</v>
      </c>
      <c r="K16" s="13">
        <f t="shared" si="1"/>
        <v>0.45454545454545453</v>
      </c>
      <c r="L16" s="5"/>
      <c r="M16" s="1">
        <v>5</v>
      </c>
      <c r="N16" s="5" t="s">
        <v>237</v>
      </c>
      <c r="O16" s="42">
        <v>2</v>
      </c>
      <c r="P16" s="45">
        <v>2</v>
      </c>
      <c r="Q16" s="13">
        <f t="shared" si="2"/>
        <v>0.18181818181818182</v>
      </c>
      <c r="R16" s="13">
        <f t="shared" si="3"/>
        <v>0.66666666666666663</v>
      </c>
      <c r="S16" s="50">
        <v>8.35</v>
      </c>
      <c r="T16" s="1" t="s">
        <v>63</v>
      </c>
      <c r="V16" s="1"/>
      <c r="X16" s="1"/>
      <c r="Y16" s="1"/>
    </row>
    <row r="17" spans="2:25" x14ac:dyDescent="0.25">
      <c r="B17" s="23" t="s">
        <v>263</v>
      </c>
      <c r="C17" s="32">
        <v>2</v>
      </c>
      <c r="D17" s="14">
        <f>C17/$J$1</f>
        <v>1</v>
      </c>
      <c r="E17" s="5"/>
      <c r="F17" s="1">
        <v>6</v>
      </c>
      <c r="G17" s="5" t="s">
        <v>285</v>
      </c>
      <c r="H17" s="42">
        <v>2</v>
      </c>
      <c r="I17" s="45">
        <v>5</v>
      </c>
      <c r="J17" s="13">
        <f t="shared" si="0"/>
        <v>0.18181818181818182</v>
      </c>
      <c r="K17" s="13">
        <f t="shared" si="1"/>
        <v>0.45454545454545453</v>
      </c>
      <c r="L17" s="5"/>
      <c r="M17" s="1">
        <v>6</v>
      </c>
      <c r="N17" s="5" t="s">
        <v>67</v>
      </c>
      <c r="O17" s="42">
        <v>2</v>
      </c>
      <c r="P17" s="45">
        <v>1</v>
      </c>
      <c r="Q17" s="13">
        <f t="shared" si="2"/>
        <v>0.18181818181818182</v>
      </c>
      <c r="R17" s="13">
        <f t="shared" si="3"/>
        <v>0.33333333333333331</v>
      </c>
      <c r="S17" s="50">
        <v>8.3699999999999992</v>
      </c>
      <c r="T17" s="1" t="s">
        <v>83</v>
      </c>
      <c r="V17" s="1"/>
      <c r="X17" s="1"/>
      <c r="Y17" s="1"/>
    </row>
    <row r="18" spans="2:25" x14ac:dyDescent="0.25">
      <c r="B18" s="23" t="s">
        <v>262</v>
      </c>
      <c r="C18" s="32">
        <v>7</v>
      </c>
      <c r="D18" s="14">
        <f>C18/$L$1</f>
        <v>1.4</v>
      </c>
      <c r="E18" s="5"/>
      <c r="F18" s="1">
        <v>7</v>
      </c>
      <c r="G18" s="5" t="s">
        <v>154</v>
      </c>
      <c r="H18" s="42">
        <v>2</v>
      </c>
      <c r="I18" s="46">
        <v>3</v>
      </c>
      <c r="J18" s="13">
        <f t="shared" si="0"/>
        <v>0.18181818181818182</v>
      </c>
      <c r="K18" s="13">
        <f t="shared" si="1"/>
        <v>0.27272727272727271</v>
      </c>
      <c r="L18" s="5"/>
      <c r="M18" s="1">
        <v>7</v>
      </c>
      <c r="N18" s="5" t="s">
        <v>179</v>
      </c>
      <c r="O18" s="42">
        <v>2</v>
      </c>
      <c r="P18" s="45">
        <v>1</v>
      </c>
      <c r="Q18" s="13">
        <f t="shared" si="2"/>
        <v>0.18181818181818182</v>
      </c>
      <c r="R18" s="13">
        <f t="shared" si="3"/>
        <v>0.33333333333333331</v>
      </c>
      <c r="S18" s="50">
        <v>6.61</v>
      </c>
      <c r="T18" s="1" t="s">
        <v>82</v>
      </c>
      <c r="V18" s="1"/>
      <c r="X18" s="1"/>
      <c r="Y18" s="1"/>
    </row>
    <row r="19" spans="2:25" x14ac:dyDescent="0.25">
      <c r="B19" s="23" t="s">
        <v>261</v>
      </c>
      <c r="C19" s="32">
        <v>5</v>
      </c>
      <c r="D19" s="14">
        <f>C19/$O$1</f>
        <v>1.25</v>
      </c>
      <c r="E19" s="5"/>
      <c r="F19" s="1">
        <v>8</v>
      </c>
      <c r="G19" s="5" t="s">
        <v>229</v>
      </c>
      <c r="H19" s="42">
        <v>2</v>
      </c>
      <c r="I19" s="45">
        <v>3</v>
      </c>
      <c r="J19" s="13">
        <f t="shared" si="0"/>
        <v>0.18181818181818182</v>
      </c>
      <c r="K19" s="13">
        <f t="shared" si="1"/>
        <v>0.27272727272727271</v>
      </c>
      <c r="L19" s="5"/>
      <c r="M19" s="1">
        <v>8</v>
      </c>
      <c r="N19" s="5" t="s">
        <v>66</v>
      </c>
      <c r="O19" s="42">
        <v>2</v>
      </c>
      <c r="P19" s="45"/>
      <c r="Q19" s="13">
        <f t="shared" si="2"/>
        <v>0.18181818181818182</v>
      </c>
      <c r="R19" s="13">
        <f t="shared" si="3"/>
        <v>0</v>
      </c>
      <c r="S19" s="50">
        <v>10.58</v>
      </c>
      <c r="T19" s="1" t="s">
        <v>63</v>
      </c>
      <c r="V19" s="1"/>
      <c r="X19" s="1"/>
      <c r="Y19" s="1"/>
    </row>
    <row r="20" spans="2:25" x14ac:dyDescent="0.25">
      <c r="B20" s="27" t="s">
        <v>260</v>
      </c>
      <c r="C20" s="1"/>
      <c r="D20" s="6">
        <f>$Q$1/SUM(C17:C19)</f>
        <v>63.714285714285715</v>
      </c>
      <c r="E20" s="5"/>
      <c r="F20" s="1"/>
      <c r="G20" s="5" t="s">
        <v>288</v>
      </c>
      <c r="H20" s="42">
        <v>2</v>
      </c>
      <c r="I20" s="45">
        <v>3</v>
      </c>
      <c r="J20" s="13">
        <f t="shared" si="0"/>
        <v>0.18181818181818182</v>
      </c>
      <c r="K20" s="13">
        <f t="shared" si="1"/>
        <v>0.27272727272727271</v>
      </c>
      <c r="L20" s="5"/>
      <c r="M20" s="5"/>
      <c r="N20" s="5" t="s">
        <v>333</v>
      </c>
      <c r="O20" s="42">
        <v>1</v>
      </c>
      <c r="P20" s="45">
        <v>2</v>
      </c>
      <c r="Q20" s="13">
        <f t="shared" si="2"/>
        <v>9.0909090909090912E-2</v>
      </c>
      <c r="R20" s="13">
        <f t="shared" si="3"/>
        <v>0.66666666666666663</v>
      </c>
      <c r="S20" s="50">
        <v>5.88</v>
      </c>
      <c r="T20" s="1" t="s">
        <v>85</v>
      </c>
      <c r="V20" s="1"/>
      <c r="X20" s="1"/>
      <c r="Y20" s="1"/>
    </row>
    <row r="21" spans="2:25" x14ac:dyDescent="0.25">
      <c r="F21" s="1"/>
      <c r="G21" s="5" t="s">
        <v>147</v>
      </c>
      <c r="H21" s="42">
        <v>1</v>
      </c>
      <c r="I21" s="46">
        <v>6</v>
      </c>
      <c r="J21" s="13">
        <f t="shared" si="0"/>
        <v>9.0909090909090912E-2</v>
      </c>
      <c r="K21" s="13">
        <f t="shared" si="1"/>
        <v>0.54545454545454541</v>
      </c>
      <c r="L21" s="5"/>
      <c r="M21" s="5"/>
      <c r="N21" s="5" t="s">
        <v>73</v>
      </c>
      <c r="O21" s="42">
        <v>1</v>
      </c>
      <c r="P21" s="45">
        <v>1</v>
      </c>
      <c r="Q21" s="13">
        <f t="shared" si="2"/>
        <v>9.0909090909090912E-2</v>
      </c>
      <c r="R21" s="13">
        <f t="shared" si="3"/>
        <v>0.33333333333333331</v>
      </c>
      <c r="S21" s="50">
        <v>8.8000000000000007</v>
      </c>
      <c r="T21" s="1" t="s">
        <v>63</v>
      </c>
      <c r="V21" s="1"/>
      <c r="X21" s="1"/>
      <c r="Y21" s="1"/>
    </row>
    <row r="22" spans="2:25" x14ac:dyDescent="0.25">
      <c r="B22" s="25" t="s">
        <v>6</v>
      </c>
      <c r="C22" s="21" t="s">
        <v>241</v>
      </c>
      <c r="D22" s="21" t="s">
        <v>247</v>
      </c>
      <c r="F22" s="1"/>
      <c r="G22" s="5" t="s">
        <v>145</v>
      </c>
      <c r="H22" s="42">
        <v>1</v>
      </c>
      <c r="I22" s="45">
        <v>5</v>
      </c>
      <c r="J22" s="13">
        <f t="shared" si="0"/>
        <v>9.0909090909090912E-2</v>
      </c>
      <c r="K22" s="13">
        <f t="shared" si="1"/>
        <v>0.45454545454545453</v>
      </c>
      <c r="L22" s="5"/>
      <c r="M22" s="5"/>
      <c r="N22" s="5" t="s">
        <v>182</v>
      </c>
      <c r="O22" s="42">
        <v>1</v>
      </c>
      <c r="P22" s="45">
        <v>1</v>
      </c>
      <c r="Q22" s="13">
        <f t="shared" si="2"/>
        <v>9.0909090909090912E-2</v>
      </c>
      <c r="R22" s="13">
        <f t="shared" si="3"/>
        <v>0.33333333333333331</v>
      </c>
      <c r="S22" s="50">
        <v>7.37</v>
      </c>
      <c r="T22" s="1" t="s">
        <v>63</v>
      </c>
      <c r="V22" s="1"/>
      <c r="X22" s="1"/>
      <c r="Y22" s="1"/>
    </row>
    <row r="23" spans="2:25" x14ac:dyDescent="0.25">
      <c r="B23" s="24" t="s">
        <v>37</v>
      </c>
      <c r="C23" s="32">
        <v>4</v>
      </c>
      <c r="D23" s="13">
        <f>C23/SUM($C$23:$C$26)</f>
        <v>0.36363636363636365</v>
      </c>
      <c r="F23" s="1"/>
      <c r="G23" s="5" t="s">
        <v>151</v>
      </c>
      <c r="H23" s="42">
        <v>1</v>
      </c>
      <c r="I23" s="45">
        <v>5</v>
      </c>
      <c r="J23" s="13">
        <f t="shared" si="0"/>
        <v>9.0909090909090912E-2</v>
      </c>
      <c r="K23" s="13">
        <f t="shared" si="1"/>
        <v>0.45454545454545453</v>
      </c>
      <c r="L23" s="5"/>
      <c r="M23" s="5"/>
      <c r="N23" s="5" t="s">
        <v>235</v>
      </c>
      <c r="O23" s="42">
        <v>1</v>
      </c>
      <c r="P23" s="46">
        <v>1</v>
      </c>
      <c r="Q23" s="13">
        <f t="shared" si="2"/>
        <v>9.0909090909090912E-2</v>
      </c>
      <c r="R23" s="13">
        <f t="shared" si="3"/>
        <v>0.33333333333333331</v>
      </c>
      <c r="S23" s="50">
        <v>6.53</v>
      </c>
      <c r="T23" s="1" t="s">
        <v>82</v>
      </c>
      <c r="V23" s="1"/>
    </row>
    <row r="24" spans="2:25" x14ac:dyDescent="0.25">
      <c r="B24" s="24" t="s">
        <v>7</v>
      </c>
      <c r="C24" s="32">
        <v>4</v>
      </c>
      <c r="D24" s="13">
        <f t="shared" ref="D24:D26" si="5">C24/SUM($C$23:$C$26)</f>
        <v>0.36363636363636365</v>
      </c>
      <c r="F24" s="1"/>
      <c r="G24" s="5" t="s">
        <v>284</v>
      </c>
      <c r="H24" s="42">
        <v>1</v>
      </c>
      <c r="I24" s="45">
        <v>4</v>
      </c>
      <c r="J24" s="13">
        <f t="shared" si="0"/>
        <v>9.0909090909090912E-2</v>
      </c>
      <c r="K24" s="13">
        <f t="shared" si="1"/>
        <v>0.36363636363636365</v>
      </c>
      <c r="L24" s="5"/>
      <c r="M24" s="5"/>
      <c r="N24" s="5" t="s">
        <v>328</v>
      </c>
      <c r="O24" s="42">
        <v>1</v>
      </c>
      <c r="P24" s="45">
        <v>1</v>
      </c>
      <c r="Q24" s="13">
        <f t="shared" si="2"/>
        <v>9.0909090909090912E-2</v>
      </c>
      <c r="R24" s="13">
        <f t="shared" si="3"/>
        <v>0.33333333333333331</v>
      </c>
      <c r="S24" s="50">
        <v>6.52</v>
      </c>
      <c r="T24" s="1" t="s">
        <v>85</v>
      </c>
      <c r="V24" s="1"/>
    </row>
    <row r="25" spans="2:25" x14ac:dyDescent="0.25">
      <c r="B25" s="24" t="s">
        <v>38</v>
      </c>
      <c r="C25" s="32">
        <v>1</v>
      </c>
      <c r="D25" s="13">
        <f t="shared" si="5"/>
        <v>9.0909090909090912E-2</v>
      </c>
      <c r="F25" s="1"/>
      <c r="G25" s="5" t="s">
        <v>143</v>
      </c>
      <c r="H25" s="42">
        <v>1</v>
      </c>
      <c r="I25" s="45">
        <v>4</v>
      </c>
      <c r="J25" s="13">
        <f t="shared" si="0"/>
        <v>9.0909090909090912E-2</v>
      </c>
      <c r="K25" s="13">
        <f t="shared" si="1"/>
        <v>0.36363636363636365</v>
      </c>
      <c r="L25" s="1"/>
      <c r="M25" s="1"/>
      <c r="N25" s="5" t="s">
        <v>331</v>
      </c>
      <c r="O25" s="42">
        <v>1</v>
      </c>
      <c r="P25" s="45">
        <v>1</v>
      </c>
      <c r="Q25" s="13">
        <f t="shared" si="2"/>
        <v>9.0909090909090912E-2</v>
      </c>
      <c r="R25" s="13">
        <f t="shared" si="3"/>
        <v>0.33333333333333331</v>
      </c>
      <c r="S25" s="50">
        <v>6.05</v>
      </c>
      <c r="T25" s="1" t="s">
        <v>63</v>
      </c>
    </row>
    <row r="26" spans="2:25" x14ac:dyDescent="0.25">
      <c r="B26" s="24" t="s">
        <v>39</v>
      </c>
      <c r="C26" s="32">
        <v>2</v>
      </c>
      <c r="D26" s="13">
        <f t="shared" si="5"/>
        <v>0.18181818181818182</v>
      </c>
      <c r="G26" s="5" t="s">
        <v>157</v>
      </c>
      <c r="H26" s="42">
        <v>1</v>
      </c>
      <c r="I26" s="45">
        <v>4</v>
      </c>
      <c r="J26" s="13">
        <f t="shared" si="0"/>
        <v>9.0909090909090912E-2</v>
      </c>
      <c r="K26" s="13">
        <f t="shared" si="1"/>
        <v>0.36363636363636365</v>
      </c>
      <c r="L26" s="1"/>
      <c r="M26" s="1"/>
      <c r="N26" s="5" t="s">
        <v>332</v>
      </c>
      <c r="O26" s="42">
        <v>1</v>
      </c>
      <c r="P26" s="45">
        <v>1</v>
      </c>
      <c r="Q26" s="13">
        <f t="shared" si="2"/>
        <v>9.0909090909090912E-2</v>
      </c>
      <c r="R26" s="13">
        <f t="shared" si="3"/>
        <v>0.33333333333333331</v>
      </c>
      <c r="S26" s="50">
        <v>5.44</v>
      </c>
      <c r="T26" s="1" t="s">
        <v>63</v>
      </c>
      <c r="V26" s="65"/>
      <c r="W26" s="65"/>
    </row>
    <row r="27" spans="2:25" x14ac:dyDescent="0.25">
      <c r="B27" s="27" t="s">
        <v>269</v>
      </c>
      <c r="C27" s="1"/>
      <c r="D27" s="14">
        <f>SUM(C28:C30)/$H$1</f>
        <v>4.1818181818181817</v>
      </c>
      <c r="F27" s="5"/>
      <c r="G27" s="5" t="s">
        <v>142</v>
      </c>
      <c r="H27" s="42">
        <v>1</v>
      </c>
      <c r="I27" s="42">
        <v>4</v>
      </c>
      <c r="J27" s="13">
        <f t="shared" si="0"/>
        <v>9.0909090909090912E-2</v>
      </c>
      <c r="K27" s="13">
        <f t="shared" si="1"/>
        <v>0.36363636363636365</v>
      </c>
      <c r="L27" s="1"/>
      <c r="M27" s="1"/>
      <c r="N27" s="5" t="s">
        <v>327</v>
      </c>
      <c r="O27" s="42">
        <v>1</v>
      </c>
      <c r="P27" s="45"/>
      <c r="Q27" s="13">
        <f t="shared" si="2"/>
        <v>9.0909090909090912E-2</v>
      </c>
      <c r="R27" s="13">
        <f t="shared" si="3"/>
        <v>0</v>
      </c>
      <c r="S27" s="50">
        <v>22</v>
      </c>
      <c r="T27" s="1" t="s">
        <v>83</v>
      </c>
      <c r="V27" s="66"/>
      <c r="W27" s="66"/>
    </row>
    <row r="28" spans="2:25" x14ac:dyDescent="0.25">
      <c r="B28" s="23" t="s">
        <v>263</v>
      </c>
      <c r="C28" s="32">
        <v>1</v>
      </c>
      <c r="D28" s="14">
        <f>C28/$J$1</f>
        <v>0.5</v>
      </c>
      <c r="F28" s="5"/>
      <c r="G28" s="5" t="s">
        <v>168</v>
      </c>
      <c r="H28" s="42">
        <v>1</v>
      </c>
      <c r="I28" s="45">
        <v>4</v>
      </c>
      <c r="J28" s="13">
        <f t="shared" si="0"/>
        <v>9.0909090909090912E-2</v>
      </c>
      <c r="K28" s="13">
        <f t="shared" si="1"/>
        <v>0.36363636363636365</v>
      </c>
      <c r="L28" s="1"/>
      <c r="M28" s="1"/>
      <c r="N28" s="5" t="s">
        <v>64</v>
      </c>
      <c r="O28" s="42">
        <v>1</v>
      </c>
      <c r="P28" s="46"/>
      <c r="Q28" s="13">
        <f t="shared" si="2"/>
        <v>9.0909090909090912E-2</v>
      </c>
      <c r="R28" s="13">
        <f t="shared" si="3"/>
        <v>0</v>
      </c>
      <c r="S28" s="50">
        <v>9.3000000000000007</v>
      </c>
      <c r="T28" s="1" t="s">
        <v>82</v>
      </c>
      <c r="V28" s="66"/>
      <c r="W28" s="66"/>
    </row>
    <row r="29" spans="2:25" x14ac:dyDescent="0.25">
      <c r="B29" s="23" t="s">
        <v>262</v>
      </c>
      <c r="C29" s="32">
        <v>26</v>
      </c>
      <c r="D29" s="14">
        <f>C29/$L$1</f>
        <v>5.2</v>
      </c>
      <c r="F29" s="5"/>
      <c r="G29" s="5" t="s">
        <v>286</v>
      </c>
      <c r="H29" s="42">
        <v>1</v>
      </c>
      <c r="I29" s="45">
        <v>3</v>
      </c>
      <c r="J29" s="13">
        <f t="shared" si="0"/>
        <v>9.0909090909090912E-2</v>
      </c>
      <c r="K29" s="13">
        <f t="shared" si="1"/>
        <v>0.27272727272727271</v>
      </c>
      <c r="L29" s="1"/>
      <c r="M29" s="1"/>
      <c r="N29" s="5" t="s">
        <v>112</v>
      </c>
      <c r="O29" s="42">
        <v>1</v>
      </c>
      <c r="P29" s="45"/>
      <c r="Q29" s="13">
        <f t="shared" si="2"/>
        <v>9.0909090909090912E-2</v>
      </c>
      <c r="R29" s="13">
        <f t="shared" si="3"/>
        <v>0</v>
      </c>
      <c r="S29" s="50">
        <v>7.41</v>
      </c>
      <c r="T29" s="1" t="s">
        <v>85</v>
      </c>
      <c r="V29" s="66"/>
      <c r="W29" s="66"/>
    </row>
    <row r="30" spans="2:25" x14ac:dyDescent="0.25">
      <c r="B30" s="23" t="s">
        <v>261</v>
      </c>
      <c r="C30" s="32">
        <v>19</v>
      </c>
      <c r="D30" s="14">
        <f>C30/$O$1</f>
        <v>4.75</v>
      </c>
      <c r="F30" s="5"/>
      <c r="G30" s="5" t="s">
        <v>226</v>
      </c>
      <c r="H30" s="42">
        <v>1</v>
      </c>
      <c r="I30" s="45">
        <v>3</v>
      </c>
      <c r="J30" s="13">
        <f t="shared" si="0"/>
        <v>9.0909090909090912E-2</v>
      </c>
      <c r="K30" s="13">
        <f t="shared" si="1"/>
        <v>0.27272727272727271</v>
      </c>
      <c r="L30" s="1"/>
      <c r="M30" s="1"/>
      <c r="N30" s="5" t="s">
        <v>181</v>
      </c>
      <c r="O30" s="42">
        <v>1</v>
      </c>
      <c r="P30" s="42"/>
      <c r="Q30" s="13">
        <f t="shared" si="2"/>
        <v>9.0909090909090912E-2</v>
      </c>
      <c r="R30" s="13">
        <f t="shared" si="3"/>
        <v>0</v>
      </c>
      <c r="S30" s="50">
        <v>6.6</v>
      </c>
      <c r="T30" s="1" t="s">
        <v>85</v>
      </c>
      <c r="V30" s="66"/>
      <c r="W30" s="66"/>
    </row>
    <row r="31" spans="2:25" x14ac:dyDescent="0.25">
      <c r="B31" s="27" t="s">
        <v>268</v>
      </c>
      <c r="C31" s="1"/>
      <c r="D31" s="6">
        <f>$Q$1/SUM(C28:C30)</f>
        <v>19.391304347826086</v>
      </c>
      <c r="F31" s="5"/>
      <c r="G31" s="5" t="s">
        <v>158</v>
      </c>
      <c r="H31" s="42">
        <v>1</v>
      </c>
      <c r="I31" s="45">
        <v>3</v>
      </c>
      <c r="J31" s="13">
        <f t="shared" si="0"/>
        <v>9.0909090909090912E-2</v>
      </c>
      <c r="K31" s="13">
        <f t="shared" si="1"/>
        <v>0.27272727272727271</v>
      </c>
      <c r="L31" s="1"/>
      <c r="M31" s="1"/>
      <c r="N31" s="5" t="s">
        <v>110</v>
      </c>
      <c r="O31" s="42">
        <v>1</v>
      </c>
      <c r="P31" s="46"/>
      <c r="Q31" s="13">
        <f t="shared" si="2"/>
        <v>9.0909090909090912E-2</v>
      </c>
      <c r="R31" s="13">
        <f t="shared" si="3"/>
        <v>0</v>
      </c>
      <c r="S31" s="50">
        <v>6.28</v>
      </c>
      <c r="T31" s="1" t="s">
        <v>85</v>
      </c>
      <c r="V31" s="66"/>
      <c r="W31" s="66"/>
    </row>
    <row r="32" spans="2:25" x14ac:dyDescent="0.25">
      <c r="B32" s="20"/>
      <c r="C32" s="7"/>
      <c r="F32" s="1"/>
      <c r="G32" s="5" t="s">
        <v>170</v>
      </c>
      <c r="H32" s="42">
        <v>1</v>
      </c>
      <c r="I32" s="46">
        <v>3</v>
      </c>
      <c r="J32" s="13">
        <f t="shared" si="0"/>
        <v>9.0909090909090912E-2</v>
      </c>
      <c r="K32" s="13">
        <f t="shared" si="1"/>
        <v>0.27272727272727271</v>
      </c>
      <c r="L32" s="5"/>
      <c r="M32" s="5"/>
      <c r="N32" s="5" t="s">
        <v>329</v>
      </c>
      <c r="O32" s="42">
        <v>1</v>
      </c>
      <c r="P32" s="45"/>
      <c r="Q32" s="13">
        <f t="shared" si="2"/>
        <v>9.0909090909090912E-2</v>
      </c>
      <c r="R32" s="13">
        <f t="shared" si="3"/>
        <v>0</v>
      </c>
      <c r="S32" s="50">
        <v>6.06</v>
      </c>
      <c r="T32" s="1" t="s">
        <v>82</v>
      </c>
      <c r="V32" s="1"/>
      <c r="X32" s="1"/>
    </row>
    <row r="33" spans="2:26" x14ac:dyDescent="0.25">
      <c r="B33" s="26" t="s">
        <v>242</v>
      </c>
      <c r="C33" s="21" t="s">
        <v>241</v>
      </c>
      <c r="D33" s="21" t="s">
        <v>247</v>
      </c>
      <c r="F33" s="1"/>
      <c r="G33" s="5" t="s">
        <v>153</v>
      </c>
      <c r="H33" s="42">
        <v>1</v>
      </c>
      <c r="I33" s="45">
        <v>3</v>
      </c>
      <c r="J33" s="13">
        <f t="shared" si="0"/>
        <v>9.0909090909090912E-2</v>
      </c>
      <c r="K33" s="13">
        <f t="shared" si="1"/>
        <v>0.27272727272727271</v>
      </c>
      <c r="L33" s="5"/>
      <c r="M33" s="5"/>
      <c r="N33" s="5" t="s">
        <v>330</v>
      </c>
      <c r="O33" s="42">
        <v>1</v>
      </c>
      <c r="P33" s="45"/>
      <c r="Q33" s="13">
        <f t="shared" si="2"/>
        <v>9.0909090909090912E-2</v>
      </c>
      <c r="R33" s="13">
        <f t="shared" si="3"/>
        <v>0</v>
      </c>
      <c r="S33" s="50">
        <v>5.57</v>
      </c>
      <c r="T33" s="1" t="s">
        <v>85</v>
      </c>
      <c r="V33" s="1"/>
      <c r="X33" s="1"/>
    </row>
    <row r="34" spans="2:26" x14ac:dyDescent="0.25">
      <c r="B34" s="24" t="s">
        <v>217</v>
      </c>
      <c r="C34" s="32">
        <v>8</v>
      </c>
      <c r="D34" s="13">
        <f>C34/SUM($C$34:$C$39)</f>
        <v>0.72727272727272729</v>
      </c>
      <c r="F34" s="1"/>
      <c r="G34" s="5" t="s">
        <v>206</v>
      </c>
      <c r="H34" s="42">
        <v>1</v>
      </c>
      <c r="I34" s="45">
        <v>2</v>
      </c>
      <c r="J34" s="13">
        <f t="shared" si="0"/>
        <v>9.0909090909090912E-2</v>
      </c>
      <c r="K34" s="13">
        <f t="shared" si="1"/>
        <v>0.18181818181818182</v>
      </c>
      <c r="L34" s="5"/>
      <c r="M34" s="5"/>
      <c r="N34" s="5"/>
      <c r="O34" s="1"/>
      <c r="P34" s="6"/>
      <c r="Q34" s="13"/>
      <c r="R34" s="13"/>
      <c r="V34" s="1"/>
      <c r="X34" s="1"/>
    </row>
    <row r="35" spans="2:26" x14ac:dyDescent="0.25">
      <c r="B35" s="23" t="s">
        <v>218</v>
      </c>
      <c r="C35" s="32">
        <v>1</v>
      </c>
      <c r="D35" s="13">
        <f t="shared" ref="D35:D39" si="6">C35/SUM($C$34:$C$39)</f>
        <v>9.0909090909090912E-2</v>
      </c>
      <c r="F35" s="1"/>
      <c r="G35" s="5" t="s">
        <v>289</v>
      </c>
      <c r="H35" s="42">
        <v>1</v>
      </c>
      <c r="I35" s="45">
        <v>2</v>
      </c>
      <c r="J35" s="13">
        <f t="shared" si="0"/>
        <v>9.0909090909090912E-2</v>
      </c>
      <c r="K35" s="13">
        <f t="shared" si="1"/>
        <v>0.18181818181818182</v>
      </c>
      <c r="L35" s="5"/>
      <c r="M35" s="10" t="s">
        <v>52</v>
      </c>
      <c r="N35" s="10"/>
      <c r="O35" s="21" t="s">
        <v>291</v>
      </c>
      <c r="P35" s="21" t="s">
        <v>334</v>
      </c>
      <c r="Q35" s="29" t="s">
        <v>293</v>
      </c>
      <c r="R35" s="29" t="s">
        <v>336</v>
      </c>
      <c r="S35" s="21" t="s">
        <v>337</v>
      </c>
      <c r="T35" s="21" t="s">
        <v>134</v>
      </c>
      <c r="V35" s="1"/>
      <c r="X35" s="1"/>
      <c r="Y35" s="15"/>
      <c r="Z35" s="1"/>
    </row>
    <row r="36" spans="2:26" x14ac:dyDescent="0.25">
      <c r="B36" s="23" t="s">
        <v>219</v>
      </c>
      <c r="C36" s="32">
        <v>2</v>
      </c>
      <c r="D36" s="13">
        <f t="shared" si="6"/>
        <v>0.18181818181818182</v>
      </c>
      <c r="F36" s="1"/>
      <c r="G36" s="5" t="s">
        <v>312</v>
      </c>
      <c r="H36" s="42">
        <v>1</v>
      </c>
      <c r="I36" s="45">
        <v>2</v>
      </c>
      <c r="J36" s="13">
        <f t="shared" si="0"/>
        <v>9.0909090909090912E-2</v>
      </c>
      <c r="K36" s="13">
        <f t="shared" si="1"/>
        <v>0.18181818181818182</v>
      </c>
      <c r="L36" s="5"/>
      <c r="M36" s="1">
        <v>1</v>
      </c>
      <c r="N36" s="5" t="s">
        <v>66</v>
      </c>
      <c r="O36" s="42">
        <v>4</v>
      </c>
      <c r="P36" s="45">
        <v>2</v>
      </c>
      <c r="Q36" s="13">
        <f t="shared" ref="Q36:Q55" si="7">O36/$H$1</f>
        <v>0.36363636363636365</v>
      </c>
      <c r="R36" s="13">
        <f t="shared" ref="R36:R55" si="8">P36/3</f>
        <v>0.66666666666666663</v>
      </c>
      <c r="S36" s="45">
        <v>130</v>
      </c>
      <c r="T36" s="1" t="s">
        <v>63</v>
      </c>
      <c r="V36" s="1"/>
      <c r="X36" s="1"/>
      <c r="Y36" s="15"/>
      <c r="Z36" s="1"/>
    </row>
    <row r="37" spans="2:26" x14ac:dyDescent="0.25">
      <c r="B37" s="23" t="s">
        <v>220</v>
      </c>
      <c r="C37" s="32">
        <v>0</v>
      </c>
      <c r="D37" s="13">
        <f t="shared" si="6"/>
        <v>0</v>
      </c>
      <c r="F37" s="1"/>
      <c r="G37" t="s">
        <v>283</v>
      </c>
      <c r="H37" s="42">
        <v>1</v>
      </c>
      <c r="I37" s="45">
        <v>2</v>
      </c>
      <c r="J37" s="13">
        <f t="shared" si="0"/>
        <v>9.0909090909090912E-2</v>
      </c>
      <c r="K37" s="13">
        <f t="shared" si="1"/>
        <v>0.18181818181818182</v>
      </c>
      <c r="L37" s="5"/>
      <c r="M37" s="1">
        <v>2</v>
      </c>
      <c r="N37" s="5" t="s">
        <v>68</v>
      </c>
      <c r="O37" s="42">
        <v>4</v>
      </c>
      <c r="P37" s="46">
        <v>2</v>
      </c>
      <c r="Q37" s="13">
        <f t="shared" si="7"/>
        <v>0.36363636363636365</v>
      </c>
      <c r="R37" s="13">
        <f t="shared" si="8"/>
        <v>0.66666666666666663</v>
      </c>
      <c r="S37" s="45">
        <v>93</v>
      </c>
      <c r="T37" s="1" t="s">
        <v>82</v>
      </c>
      <c r="V37" s="1"/>
      <c r="X37" s="1"/>
      <c r="Y37" s="6"/>
      <c r="Z37" s="1"/>
    </row>
    <row r="38" spans="2:26" x14ac:dyDescent="0.25">
      <c r="B38" s="23" t="s">
        <v>221</v>
      </c>
      <c r="C38" s="32">
        <v>0</v>
      </c>
      <c r="D38" s="13">
        <f t="shared" si="6"/>
        <v>0</v>
      </c>
      <c r="E38" s="7"/>
      <c r="F38" s="1"/>
      <c r="G38" t="s">
        <v>173</v>
      </c>
      <c r="H38" s="42">
        <v>1</v>
      </c>
      <c r="I38" s="45">
        <v>1</v>
      </c>
      <c r="J38" s="13">
        <f t="shared" si="0"/>
        <v>9.0909090909090912E-2</v>
      </c>
      <c r="K38" s="13">
        <f t="shared" si="1"/>
        <v>9.0909090909090912E-2</v>
      </c>
      <c r="L38" s="5"/>
      <c r="M38" s="1">
        <v>3</v>
      </c>
      <c r="N38" s="5" t="s">
        <v>179</v>
      </c>
      <c r="O38" s="42">
        <v>3</v>
      </c>
      <c r="P38" s="45">
        <v>1</v>
      </c>
      <c r="Q38" s="13">
        <f t="shared" si="7"/>
        <v>0.27272727272727271</v>
      </c>
      <c r="R38" s="13">
        <f t="shared" si="8"/>
        <v>0.33333333333333331</v>
      </c>
      <c r="S38" s="45">
        <v>121</v>
      </c>
      <c r="T38" s="1" t="s">
        <v>82</v>
      </c>
      <c r="V38" s="1"/>
      <c r="X38" s="1"/>
      <c r="Y38" s="6"/>
      <c r="Z38" s="1"/>
    </row>
    <row r="39" spans="2:26" x14ac:dyDescent="0.25">
      <c r="B39" s="23" t="s">
        <v>222</v>
      </c>
      <c r="C39" s="32">
        <v>0</v>
      </c>
      <c r="D39" s="13">
        <f t="shared" si="6"/>
        <v>0</v>
      </c>
      <c r="F39" s="1"/>
      <c r="G39" t="s">
        <v>287</v>
      </c>
      <c r="H39" s="42">
        <v>1</v>
      </c>
      <c r="I39" s="45">
        <v>1</v>
      </c>
      <c r="J39" s="13">
        <f t="shared" si="0"/>
        <v>9.0909090909090912E-2</v>
      </c>
      <c r="K39" s="13">
        <f t="shared" si="1"/>
        <v>9.0909090909090912E-2</v>
      </c>
      <c r="L39" s="5"/>
      <c r="M39" s="1">
        <v>4</v>
      </c>
      <c r="N39" s="5" t="s">
        <v>88</v>
      </c>
      <c r="O39" s="52">
        <v>2</v>
      </c>
      <c r="P39" s="42">
        <v>3</v>
      </c>
      <c r="Q39" s="13">
        <f t="shared" si="7"/>
        <v>0.18181818181818182</v>
      </c>
      <c r="R39" s="13">
        <f t="shared" si="8"/>
        <v>1</v>
      </c>
      <c r="S39" s="45">
        <v>95</v>
      </c>
      <c r="T39" s="1" t="s">
        <v>63</v>
      </c>
      <c r="V39" s="1"/>
      <c r="X39" s="1"/>
      <c r="Y39" s="6"/>
      <c r="Z39" s="1"/>
    </row>
    <row r="40" spans="2:26" x14ac:dyDescent="0.25">
      <c r="B40" s="27" t="s">
        <v>269</v>
      </c>
      <c r="C40" s="1"/>
      <c r="D40" s="6">
        <f>SUM(C41:C43)/$H$1</f>
        <v>94.272727272727266</v>
      </c>
      <c r="F40" s="1"/>
      <c r="G40" s="5" t="s">
        <v>211</v>
      </c>
      <c r="H40" s="42">
        <v>1</v>
      </c>
      <c r="I40" s="45">
        <v>1</v>
      </c>
      <c r="J40" s="13">
        <f t="shared" si="0"/>
        <v>9.0909090909090912E-2</v>
      </c>
      <c r="K40" s="13">
        <f t="shared" si="1"/>
        <v>9.0909090909090912E-2</v>
      </c>
      <c r="L40" s="5"/>
      <c r="M40" s="1">
        <v>5</v>
      </c>
      <c r="N40" s="5" t="s">
        <v>65</v>
      </c>
      <c r="O40" s="52">
        <v>2</v>
      </c>
      <c r="P40" s="42">
        <v>1</v>
      </c>
      <c r="Q40" s="13">
        <f t="shared" si="7"/>
        <v>0.18181818181818182</v>
      </c>
      <c r="R40" s="13">
        <f t="shared" si="8"/>
        <v>0.33333333333333331</v>
      </c>
      <c r="S40" s="45">
        <v>175</v>
      </c>
      <c r="T40" s="1" t="s">
        <v>63</v>
      </c>
      <c r="V40" s="1"/>
      <c r="X40" s="1"/>
      <c r="Y40" s="6"/>
      <c r="Z40" s="1"/>
    </row>
    <row r="41" spans="2:26" x14ac:dyDescent="0.25">
      <c r="B41" s="23" t="s">
        <v>263</v>
      </c>
      <c r="C41" s="34">
        <f>84+95</f>
        <v>179</v>
      </c>
      <c r="D41" s="6">
        <f>C41/$J$1</f>
        <v>89.5</v>
      </c>
      <c r="F41" s="1"/>
      <c r="G41" s="5" t="s">
        <v>45</v>
      </c>
      <c r="H41" s="42">
        <v>1</v>
      </c>
      <c r="I41" s="45">
        <v>1</v>
      </c>
      <c r="J41" s="13">
        <f t="shared" si="0"/>
        <v>9.0909090909090912E-2</v>
      </c>
      <c r="K41" s="13">
        <f t="shared" si="1"/>
        <v>9.0909090909090912E-2</v>
      </c>
      <c r="L41" s="5"/>
      <c r="M41" s="1">
        <v>6</v>
      </c>
      <c r="N41" s="5" t="s">
        <v>234</v>
      </c>
      <c r="O41" s="42">
        <v>2</v>
      </c>
      <c r="P41" s="46">
        <v>1</v>
      </c>
      <c r="Q41" s="13">
        <f t="shared" si="7"/>
        <v>0.18181818181818182</v>
      </c>
      <c r="R41" s="13">
        <f t="shared" si="8"/>
        <v>0.33333333333333331</v>
      </c>
      <c r="S41" s="45">
        <v>110</v>
      </c>
      <c r="T41" s="1" t="s">
        <v>82</v>
      </c>
      <c r="V41" s="1"/>
      <c r="X41" s="1"/>
      <c r="Y41" s="6"/>
      <c r="Z41" s="1"/>
    </row>
    <row r="42" spans="2:26" x14ac:dyDescent="0.25">
      <c r="B42" s="23" t="s">
        <v>262</v>
      </c>
      <c r="C42" s="34">
        <f>97+79+86+107+101</f>
        <v>470</v>
      </c>
      <c r="D42" s="6">
        <f>C42/$L$1</f>
        <v>94</v>
      </c>
      <c r="F42" s="1"/>
      <c r="G42" s="5" t="s">
        <v>292</v>
      </c>
      <c r="H42" s="42">
        <v>1</v>
      </c>
      <c r="I42" s="46">
        <v>1</v>
      </c>
      <c r="J42" s="13">
        <f t="shared" si="0"/>
        <v>9.0909090909090912E-2</v>
      </c>
      <c r="K42" s="13">
        <f t="shared" si="1"/>
        <v>9.0909090909090912E-2</v>
      </c>
      <c r="L42" s="5"/>
      <c r="M42" s="1">
        <v>7</v>
      </c>
      <c r="N42" s="5" t="s">
        <v>69</v>
      </c>
      <c r="O42" s="42">
        <v>2</v>
      </c>
      <c r="P42" s="45"/>
      <c r="Q42" s="13">
        <f t="shared" si="7"/>
        <v>0.18181818181818182</v>
      </c>
      <c r="R42" s="13">
        <f t="shared" si="8"/>
        <v>0</v>
      </c>
      <c r="S42" s="45">
        <v>159</v>
      </c>
      <c r="T42" s="1" t="s">
        <v>63</v>
      </c>
      <c r="V42" s="1"/>
      <c r="X42" s="1"/>
      <c r="Y42" s="6"/>
      <c r="Z42" s="1"/>
    </row>
    <row r="43" spans="2:26" x14ac:dyDescent="0.25">
      <c r="B43" s="23" t="s">
        <v>261</v>
      </c>
      <c r="C43" s="34">
        <f>109+89+95+95</f>
        <v>388</v>
      </c>
      <c r="D43" s="6">
        <f>C43/$O$1</f>
        <v>97</v>
      </c>
      <c r="F43" s="1"/>
      <c r="G43" s="5" t="s">
        <v>141</v>
      </c>
      <c r="H43" s="42">
        <v>1</v>
      </c>
      <c r="I43" s="45">
        <v>1</v>
      </c>
      <c r="J43" s="13">
        <f t="shared" si="0"/>
        <v>9.0909090909090912E-2</v>
      </c>
      <c r="K43" s="13">
        <f t="shared" si="1"/>
        <v>9.0909090909090912E-2</v>
      </c>
      <c r="L43" s="5"/>
      <c r="M43" s="1">
        <v>8</v>
      </c>
      <c r="N43" s="5" t="s">
        <v>185</v>
      </c>
      <c r="O43" s="42">
        <v>2</v>
      </c>
      <c r="P43" s="45"/>
      <c r="Q43" s="13">
        <f t="shared" si="7"/>
        <v>0.18181818181818182</v>
      </c>
      <c r="R43" s="13">
        <f t="shared" si="8"/>
        <v>0</v>
      </c>
      <c r="S43" s="45">
        <v>84</v>
      </c>
      <c r="T43" s="1" t="s">
        <v>63</v>
      </c>
      <c r="V43" s="1"/>
      <c r="X43" s="1"/>
      <c r="Y43" s="6"/>
      <c r="Z43" s="1"/>
    </row>
    <row r="44" spans="2:26" x14ac:dyDescent="0.25">
      <c r="B44" s="27" t="s">
        <v>270</v>
      </c>
      <c r="C44" s="1"/>
      <c r="D44" s="6">
        <f>(C41+(C42-(97+79+86)+(C43-(109+89+95))))/($J$1+(L1-3)+(O1-3))</f>
        <v>96.4</v>
      </c>
      <c r="G44" s="5" t="s">
        <v>228</v>
      </c>
      <c r="H44" s="42">
        <v>1</v>
      </c>
      <c r="I44" s="46">
        <v>1</v>
      </c>
      <c r="J44" s="13">
        <f t="shared" si="0"/>
        <v>9.0909090909090912E-2</v>
      </c>
      <c r="K44" s="13">
        <f t="shared" si="1"/>
        <v>9.0909090909090912E-2</v>
      </c>
      <c r="L44" s="48"/>
      <c r="M44" s="48"/>
      <c r="N44" s="5" t="s">
        <v>79</v>
      </c>
      <c r="O44" s="45">
        <v>1</v>
      </c>
      <c r="P44" s="42">
        <v>2</v>
      </c>
      <c r="Q44" s="13">
        <f t="shared" si="7"/>
        <v>9.0909090909090912E-2</v>
      </c>
      <c r="R44" s="13">
        <f t="shared" si="8"/>
        <v>0.66666666666666663</v>
      </c>
      <c r="S44" s="45">
        <v>108</v>
      </c>
      <c r="T44" s="1" t="s">
        <v>85</v>
      </c>
      <c r="V44" s="1"/>
      <c r="X44" s="1"/>
      <c r="Y44" s="6"/>
      <c r="Z44" s="1"/>
    </row>
    <row r="45" spans="2:26" x14ac:dyDescent="0.25">
      <c r="B45" s="1"/>
      <c r="C45" s="1"/>
      <c r="L45" s="13"/>
      <c r="M45" s="13"/>
      <c r="N45" s="5" t="s">
        <v>333</v>
      </c>
      <c r="O45" s="42">
        <v>1</v>
      </c>
      <c r="P45" s="42">
        <v>2</v>
      </c>
      <c r="Q45" s="13">
        <f t="shared" si="7"/>
        <v>9.0909090909090912E-2</v>
      </c>
      <c r="R45" s="13">
        <f t="shared" si="8"/>
        <v>0.66666666666666663</v>
      </c>
      <c r="S45" s="45">
        <v>98</v>
      </c>
      <c r="T45" s="1" t="s">
        <v>85</v>
      </c>
      <c r="V45" s="1"/>
      <c r="X45" s="1"/>
      <c r="Y45" s="6"/>
      <c r="Z45" s="1"/>
    </row>
    <row r="46" spans="2:26" x14ac:dyDescent="0.25">
      <c r="B46" s="26" t="s">
        <v>1</v>
      </c>
      <c r="C46" s="21" t="s">
        <v>241</v>
      </c>
      <c r="D46" s="21" t="s">
        <v>247</v>
      </c>
      <c r="F46" s="11" t="s">
        <v>48</v>
      </c>
      <c r="G46" s="11"/>
      <c r="H46" s="21" t="s">
        <v>291</v>
      </c>
      <c r="I46" s="21" t="s">
        <v>282</v>
      </c>
      <c r="J46" s="29" t="s">
        <v>293</v>
      </c>
      <c r="K46" s="21" t="s">
        <v>294</v>
      </c>
      <c r="L46" s="13"/>
      <c r="M46" s="13"/>
      <c r="N46" s="5" t="s">
        <v>342</v>
      </c>
      <c r="O46" s="42">
        <v>1</v>
      </c>
      <c r="P46" s="42">
        <v>2</v>
      </c>
      <c r="Q46" s="13">
        <f t="shared" si="7"/>
        <v>9.0909090909090912E-2</v>
      </c>
      <c r="R46" s="13">
        <f t="shared" si="8"/>
        <v>0.66666666666666663</v>
      </c>
      <c r="S46" s="45">
        <v>73</v>
      </c>
      <c r="T46" s="1" t="s">
        <v>82</v>
      </c>
      <c r="V46" s="1"/>
      <c r="X46" s="1"/>
      <c r="Y46" s="6"/>
      <c r="Z46" s="1"/>
    </row>
    <row r="47" spans="2:26" x14ac:dyDescent="0.25">
      <c r="B47" s="23" t="s">
        <v>243</v>
      </c>
      <c r="C47" s="32">
        <v>3</v>
      </c>
      <c r="D47" s="13">
        <f>C47/SUM($C$47:$C$50)</f>
        <v>0.27272727272727271</v>
      </c>
      <c r="F47" s="1">
        <v>1</v>
      </c>
      <c r="G47" s="5" t="s">
        <v>290</v>
      </c>
      <c r="H47" s="42">
        <v>3</v>
      </c>
      <c r="I47" s="45">
        <v>8</v>
      </c>
      <c r="J47" s="13">
        <f t="shared" ref="J47:J73" si="9">H47/$H$1</f>
        <v>0.27272727272727271</v>
      </c>
      <c r="K47" s="13">
        <f t="shared" ref="K47:K73" si="10">I47/$H$1</f>
        <v>0.72727272727272729</v>
      </c>
      <c r="L47" s="13"/>
      <c r="M47" s="13"/>
      <c r="N47" s="5" t="s">
        <v>182</v>
      </c>
      <c r="O47" s="45">
        <v>1</v>
      </c>
      <c r="P47" s="42">
        <v>1</v>
      </c>
      <c r="Q47" s="13">
        <f t="shared" si="7"/>
        <v>9.0909090909090912E-2</v>
      </c>
      <c r="R47" s="13">
        <f t="shared" si="8"/>
        <v>0.33333333333333331</v>
      </c>
      <c r="S47" s="45">
        <v>124</v>
      </c>
      <c r="T47" s="1" t="s">
        <v>63</v>
      </c>
    </row>
    <row r="48" spans="2:26" x14ac:dyDescent="0.25">
      <c r="B48" s="23" t="s">
        <v>244</v>
      </c>
      <c r="C48" s="32">
        <v>5</v>
      </c>
      <c r="D48" s="13">
        <f>C48/SUM($C$47:$C$50)</f>
        <v>0.45454545454545453</v>
      </c>
      <c r="F48" s="1">
        <v>2</v>
      </c>
      <c r="G48" s="5" t="s">
        <v>152</v>
      </c>
      <c r="H48" s="42">
        <v>3</v>
      </c>
      <c r="I48" s="42">
        <v>6</v>
      </c>
      <c r="J48" s="13">
        <f t="shared" si="9"/>
        <v>0.27272727272727271</v>
      </c>
      <c r="K48" s="13">
        <f t="shared" si="10"/>
        <v>0.54545454545454541</v>
      </c>
      <c r="L48" s="13"/>
      <c r="M48" s="13"/>
      <c r="N48" s="5" t="s">
        <v>112</v>
      </c>
      <c r="O48" s="45">
        <v>1</v>
      </c>
      <c r="P48" s="42"/>
      <c r="Q48" s="13">
        <f t="shared" si="7"/>
        <v>9.0909090909090912E-2</v>
      </c>
      <c r="R48" s="13">
        <f t="shared" si="8"/>
        <v>0</v>
      </c>
      <c r="S48" s="45">
        <v>107</v>
      </c>
      <c r="T48" s="1" t="s">
        <v>85</v>
      </c>
    </row>
    <row r="49" spans="2:26" x14ac:dyDescent="0.25">
      <c r="B49" s="23" t="s">
        <v>245</v>
      </c>
      <c r="C49" s="32">
        <v>2</v>
      </c>
      <c r="D49" s="13">
        <f>C49/SUM($C$47:$C$50)</f>
        <v>0.18181818181818182</v>
      </c>
      <c r="E49" s="7"/>
      <c r="F49" s="1">
        <v>3</v>
      </c>
      <c r="G49" s="5" t="s">
        <v>143</v>
      </c>
      <c r="H49" s="45">
        <v>2</v>
      </c>
      <c r="I49" s="42">
        <v>6</v>
      </c>
      <c r="J49" s="13">
        <f t="shared" si="9"/>
        <v>0.18181818181818182</v>
      </c>
      <c r="K49" s="13">
        <f t="shared" si="10"/>
        <v>0.54545454545454541</v>
      </c>
      <c r="L49" s="13"/>
      <c r="M49" s="13"/>
      <c r="N49" s="5" t="s">
        <v>329</v>
      </c>
      <c r="O49" s="42">
        <v>1</v>
      </c>
      <c r="P49" s="42"/>
      <c r="Q49" s="13">
        <f t="shared" si="7"/>
        <v>9.0909090909090912E-2</v>
      </c>
      <c r="R49" s="13">
        <f t="shared" si="8"/>
        <v>0</v>
      </c>
      <c r="S49" s="45">
        <v>104</v>
      </c>
      <c r="T49" s="1" t="s">
        <v>82</v>
      </c>
      <c r="V49" s="55"/>
      <c r="W49" s="55"/>
      <c r="X49" s="1"/>
      <c r="Y49" s="1"/>
    </row>
    <row r="50" spans="2:26" x14ac:dyDescent="0.25">
      <c r="B50" s="23" t="s">
        <v>225</v>
      </c>
      <c r="C50" s="32">
        <v>1</v>
      </c>
      <c r="D50" s="13">
        <f>C50/SUM($C$47:$C$50)</f>
        <v>9.0909090909090912E-2</v>
      </c>
      <c r="F50" s="1">
        <v>4</v>
      </c>
      <c r="G50" s="5" t="s">
        <v>45</v>
      </c>
      <c r="H50" s="42">
        <v>2</v>
      </c>
      <c r="I50" s="42">
        <v>6</v>
      </c>
      <c r="J50" s="13">
        <f t="shared" si="9"/>
        <v>0.18181818181818182</v>
      </c>
      <c r="K50" s="13">
        <f t="shared" si="10"/>
        <v>0.54545454545454541</v>
      </c>
      <c r="L50" s="13"/>
      <c r="M50" s="13"/>
      <c r="N50" s="5" t="s">
        <v>340</v>
      </c>
      <c r="O50" s="52">
        <v>1</v>
      </c>
      <c r="P50" s="42"/>
      <c r="Q50" s="13">
        <f t="shared" si="7"/>
        <v>9.0909090909090912E-2</v>
      </c>
      <c r="R50" s="13">
        <f t="shared" si="8"/>
        <v>0</v>
      </c>
      <c r="S50" s="45">
        <v>101</v>
      </c>
      <c r="T50" s="1" t="s">
        <v>63</v>
      </c>
      <c r="V50" s="1"/>
      <c r="W50" s="5"/>
      <c r="X50" s="1"/>
      <c r="Y50" s="1"/>
      <c r="Z50" s="1"/>
    </row>
    <row r="51" spans="2:26" x14ac:dyDescent="0.25">
      <c r="B51" s="27" t="s">
        <v>269</v>
      </c>
      <c r="C51" s="1"/>
      <c r="D51" s="37">
        <f>SUM(C52:C54)/$H$1</f>
        <v>3.2669402356902362E-2</v>
      </c>
      <c r="F51" s="1">
        <v>5</v>
      </c>
      <c r="G51" t="s">
        <v>202</v>
      </c>
      <c r="H51" s="42">
        <v>2</v>
      </c>
      <c r="I51" s="45">
        <v>5</v>
      </c>
      <c r="J51" s="13">
        <f t="shared" si="9"/>
        <v>0.18181818181818182</v>
      </c>
      <c r="K51" s="13">
        <f t="shared" si="10"/>
        <v>0.45454545454545453</v>
      </c>
      <c r="L51" s="13"/>
      <c r="M51" s="13"/>
      <c r="N51" s="5" t="s">
        <v>339</v>
      </c>
      <c r="O51" s="52">
        <v>1</v>
      </c>
      <c r="P51" s="42"/>
      <c r="Q51" s="13">
        <f t="shared" si="7"/>
        <v>9.0909090909090912E-2</v>
      </c>
      <c r="R51" s="13">
        <f t="shared" si="8"/>
        <v>0</v>
      </c>
      <c r="S51" s="45">
        <v>93</v>
      </c>
      <c r="T51" s="1" t="s">
        <v>63</v>
      </c>
      <c r="V51" s="1"/>
      <c r="W51" s="5"/>
      <c r="X51" s="1"/>
      <c r="Y51" s="1"/>
      <c r="Z51" s="1"/>
    </row>
    <row r="52" spans="2:26" x14ac:dyDescent="0.25">
      <c r="B52" s="23" t="s">
        <v>263</v>
      </c>
      <c r="C52" s="38">
        <f>TIMEVALUE("0:41:17")+TIMEVALUE("0:41:16")</f>
        <v>5.7326388888888885E-2</v>
      </c>
      <c r="D52" s="37">
        <f>C52/$J$1</f>
        <v>2.8663194444444443E-2</v>
      </c>
      <c r="F52" s="1">
        <v>6</v>
      </c>
      <c r="G52" s="5" t="s">
        <v>298</v>
      </c>
      <c r="H52" s="42">
        <v>2</v>
      </c>
      <c r="I52" s="46">
        <v>2</v>
      </c>
      <c r="J52" s="13">
        <f t="shared" si="9"/>
        <v>0.18181818181818182</v>
      </c>
      <c r="K52" s="13">
        <f t="shared" si="10"/>
        <v>0.18181818181818182</v>
      </c>
      <c r="L52" s="13"/>
      <c r="M52" s="13"/>
      <c r="N52" s="5" t="s">
        <v>338</v>
      </c>
      <c r="O52" s="42">
        <v>1</v>
      </c>
      <c r="P52" s="45"/>
      <c r="Q52" s="13">
        <f t="shared" si="7"/>
        <v>9.0909090909090912E-2</v>
      </c>
      <c r="R52" s="13">
        <f t="shared" si="8"/>
        <v>0</v>
      </c>
      <c r="S52" s="45">
        <v>89</v>
      </c>
      <c r="T52" s="1" t="s">
        <v>63</v>
      </c>
      <c r="V52" s="1"/>
      <c r="W52" s="5"/>
      <c r="X52" s="1"/>
      <c r="Y52" s="1"/>
      <c r="Z52" s="1"/>
    </row>
    <row r="53" spans="2:26" x14ac:dyDescent="0.25">
      <c r="B53" s="23" t="s">
        <v>262</v>
      </c>
      <c r="C53" s="38">
        <f>TIMEVALUE("0:43:46")+TIMEVALUE("0:50:13")+TIMEVALUE("0:47:14")+TIMEVALUE("0:45:51")+TIMEVALUE("0:50:57")</f>
        <v>0.16528935185185187</v>
      </c>
      <c r="D53" s="37">
        <f>C53/$L$1</f>
        <v>3.3057870370370376E-2</v>
      </c>
      <c r="F53" s="1">
        <v>7</v>
      </c>
      <c r="G53" s="5" t="s">
        <v>155</v>
      </c>
      <c r="H53" s="42">
        <v>2</v>
      </c>
      <c r="I53" s="42">
        <v>2</v>
      </c>
      <c r="J53" s="13">
        <f t="shared" si="9"/>
        <v>0.18181818181818182</v>
      </c>
      <c r="K53" s="13">
        <f t="shared" si="10"/>
        <v>0.18181818181818182</v>
      </c>
      <c r="L53" s="13"/>
      <c r="M53" s="13"/>
      <c r="N53" s="5" t="s">
        <v>341</v>
      </c>
      <c r="O53" s="52">
        <v>1</v>
      </c>
      <c r="P53" s="42"/>
      <c r="Q53" s="13">
        <f t="shared" si="7"/>
        <v>9.0909090909090912E-2</v>
      </c>
      <c r="R53" s="13">
        <f t="shared" si="8"/>
        <v>0</v>
      </c>
      <c r="S53" s="45">
        <v>83</v>
      </c>
      <c r="T53" s="1" t="s">
        <v>63</v>
      </c>
      <c r="V53" s="1"/>
      <c r="W53" s="5"/>
      <c r="X53" s="1"/>
      <c r="Y53" s="1"/>
      <c r="Z53" s="1"/>
    </row>
    <row r="54" spans="2:26" x14ac:dyDescent="0.25">
      <c r="B54" s="23" t="s">
        <v>261</v>
      </c>
      <c r="C54" s="38">
        <f>TIMEVALUE("0:46:12")+TIMEVALUE("0:46:11")+TIMEVALUE("0:45:41")+TIMEVALUE("0:58:51")</f>
        <v>0.13674768518518518</v>
      </c>
      <c r="D54" s="37">
        <f>C54/$O$1</f>
        <v>3.4186921296296295E-2</v>
      </c>
      <c r="F54" s="1">
        <v>8</v>
      </c>
      <c r="G54" s="5" t="s">
        <v>211</v>
      </c>
      <c r="H54" s="42">
        <v>1</v>
      </c>
      <c r="I54" s="42">
        <v>7</v>
      </c>
      <c r="J54" s="13">
        <f t="shared" si="9"/>
        <v>9.0909090909090912E-2</v>
      </c>
      <c r="K54" s="13">
        <f t="shared" si="10"/>
        <v>0.63636363636363635</v>
      </c>
      <c r="L54" s="13"/>
      <c r="M54" s="13"/>
      <c r="N54" s="5" t="s">
        <v>76</v>
      </c>
      <c r="O54" s="42">
        <v>1</v>
      </c>
      <c r="P54" s="45"/>
      <c r="Q54" s="13">
        <f t="shared" si="7"/>
        <v>9.0909090909090912E-2</v>
      </c>
      <c r="R54" s="13">
        <f t="shared" si="8"/>
        <v>0</v>
      </c>
      <c r="S54" s="45">
        <v>78</v>
      </c>
      <c r="T54" s="1" t="s">
        <v>63</v>
      </c>
      <c r="V54" s="1"/>
      <c r="W54" s="5"/>
      <c r="X54" s="1"/>
      <c r="Y54" s="1"/>
      <c r="Z54" s="1"/>
    </row>
    <row r="55" spans="2:26" x14ac:dyDescent="0.25">
      <c r="B55" s="12"/>
      <c r="C55" s="1"/>
      <c r="D55" s="5"/>
      <c r="F55" s="1"/>
      <c r="G55" s="5" t="s">
        <v>151</v>
      </c>
      <c r="H55" s="45">
        <v>1</v>
      </c>
      <c r="I55" s="42">
        <v>7</v>
      </c>
      <c r="J55" s="13">
        <f t="shared" si="9"/>
        <v>9.0909090909090912E-2</v>
      </c>
      <c r="K55" s="13">
        <f t="shared" si="10"/>
        <v>0.63636363636363635</v>
      </c>
      <c r="L55" s="13"/>
      <c r="M55" s="13"/>
      <c r="N55" s="5" t="s">
        <v>90</v>
      </c>
      <c r="O55" s="42">
        <v>1</v>
      </c>
      <c r="P55" s="45"/>
      <c r="Q55" s="13">
        <f t="shared" si="7"/>
        <v>9.0909090909090912E-2</v>
      </c>
      <c r="R55" s="13">
        <f t="shared" si="8"/>
        <v>0</v>
      </c>
      <c r="S55" s="45">
        <v>68</v>
      </c>
      <c r="T55" s="1" t="s">
        <v>63</v>
      </c>
      <c r="V55" s="1"/>
      <c r="W55" s="5"/>
      <c r="X55" s="1"/>
      <c r="Y55" s="1"/>
      <c r="Z55" s="1"/>
    </row>
    <row r="56" spans="2:26" x14ac:dyDescent="0.25">
      <c r="B56" s="26" t="s">
        <v>4</v>
      </c>
      <c r="C56" s="21" t="s">
        <v>241</v>
      </c>
      <c r="D56" s="21" t="s">
        <v>247</v>
      </c>
      <c r="F56" s="1"/>
      <c r="G56" s="5" t="s">
        <v>43</v>
      </c>
      <c r="H56" s="42">
        <v>1</v>
      </c>
      <c r="I56" s="42">
        <v>5</v>
      </c>
      <c r="J56" s="13">
        <f t="shared" si="9"/>
        <v>9.0909090909090912E-2</v>
      </c>
      <c r="K56" s="13">
        <f t="shared" si="10"/>
        <v>0.45454545454545453</v>
      </c>
      <c r="L56" s="13"/>
      <c r="M56" s="13"/>
      <c r="N56" s="5"/>
      <c r="O56" s="6"/>
      <c r="P56" s="1"/>
      <c r="Q56" s="13"/>
      <c r="R56" s="13"/>
      <c r="S56" s="6"/>
      <c r="T56" s="1"/>
      <c r="V56" s="1"/>
      <c r="W56" s="5"/>
      <c r="X56" s="1"/>
      <c r="Y56" s="1"/>
      <c r="Z56" s="1"/>
    </row>
    <row r="57" spans="2:26" x14ac:dyDescent="0.25">
      <c r="B57" s="23">
        <v>0</v>
      </c>
      <c r="C57" s="32">
        <v>8</v>
      </c>
      <c r="D57" s="13">
        <f>C57/SUM($C$57:$C$61)</f>
        <v>0.72727272727272729</v>
      </c>
      <c r="G57" s="5" t="s">
        <v>288</v>
      </c>
      <c r="H57" s="45">
        <v>1</v>
      </c>
      <c r="I57" s="42">
        <v>4</v>
      </c>
      <c r="J57" s="13">
        <f t="shared" si="9"/>
        <v>9.0909090909090912E-2</v>
      </c>
      <c r="K57" s="13">
        <f t="shared" si="10"/>
        <v>0.36363636363636365</v>
      </c>
      <c r="L57" s="13"/>
      <c r="O57" s="53"/>
      <c r="P57" s="53" t="s">
        <v>353</v>
      </c>
      <c r="V57" s="1"/>
      <c r="W57" s="5"/>
      <c r="X57" s="1"/>
      <c r="Y57" s="1"/>
      <c r="Z57" s="1"/>
    </row>
    <row r="58" spans="2:26" x14ac:dyDescent="0.25">
      <c r="B58" s="23">
        <v>1</v>
      </c>
      <c r="C58" s="32">
        <v>3</v>
      </c>
      <c r="D58" s="13">
        <f>C58/SUM($C$57:$C$61)</f>
        <v>0.27272727272727271</v>
      </c>
      <c r="G58" s="5" t="s">
        <v>153</v>
      </c>
      <c r="H58" s="45">
        <v>1</v>
      </c>
      <c r="I58" s="42">
        <v>3</v>
      </c>
      <c r="J58" s="13">
        <f t="shared" si="9"/>
        <v>9.0909090909090912E-2</v>
      </c>
      <c r="K58" s="13">
        <f t="shared" si="10"/>
        <v>0.27272727272727271</v>
      </c>
      <c r="L58" s="13"/>
      <c r="M58" s="10" t="s">
        <v>343</v>
      </c>
      <c r="N58" s="10"/>
      <c r="O58" s="21" t="s">
        <v>355</v>
      </c>
      <c r="P58" s="21" t="s">
        <v>334</v>
      </c>
      <c r="Q58" s="29" t="s">
        <v>354</v>
      </c>
      <c r="R58" s="29" t="s">
        <v>336</v>
      </c>
      <c r="S58" s="49" t="s">
        <v>356</v>
      </c>
      <c r="T58" s="21" t="s">
        <v>134</v>
      </c>
      <c r="V58" s="1"/>
      <c r="W58" s="5"/>
      <c r="X58" s="1"/>
      <c r="Y58" s="1"/>
      <c r="Z58" s="1"/>
    </row>
    <row r="59" spans="2:26" x14ac:dyDescent="0.25">
      <c r="B59" s="23">
        <v>2</v>
      </c>
      <c r="C59" s="32">
        <v>0</v>
      </c>
      <c r="D59" s="13">
        <f>C59/SUM($C$57:$C$61)</f>
        <v>0</v>
      </c>
      <c r="G59" s="5" t="s">
        <v>212</v>
      </c>
      <c r="H59" s="45">
        <v>1</v>
      </c>
      <c r="I59" s="42">
        <v>3</v>
      </c>
      <c r="J59" s="13">
        <f t="shared" si="9"/>
        <v>9.0909090909090912E-2</v>
      </c>
      <c r="K59" s="13">
        <f t="shared" si="10"/>
        <v>0.27272727272727271</v>
      </c>
      <c r="L59" s="13"/>
      <c r="M59" s="1">
        <v>1</v>
      </c>
      <c r="N59" s="5" t="s">
        <v>79</v>
      </c>
      <c r="O59" s="42">
        <v>4</v>
      </c>
      <c r="P59" s="45">
        <v>2</v>
      </c>
      <c r="Q59" s="13">
        <f t="shared" ref="Q59:Q83" si="11">O59/($H$1-1)</f>
        <v>0.4</v>
      </c>
      <c r="R59" s="13">
        <f t="shared" ref="R59:R83" si="12">P59/3</f>
        <v>0.66666666666666663</v>
      </c>
      <c r="S59" s="45">
        <v>8</v>
      </c>
      <c r="T59" s="1" t="s">
        <v>85</v>
      </c>
      <c r="V59" s="1"/>
      <c r="W59" s="5"/>
      <c r="X59" s="1"/>
      <c r="Y59" s="1"/>
      <c r="Z59" s="1"/>
    </row>
    <row r="60" spans="2:26" x14ac:dyDescent="0.25">
      <c r="B60" s="23">
        <v>3</v>
      </c>
      <c r="C60" s="32">
        <v>0</v>
      </c>
      <c r="D60" s="13">
        <f>C60/SUM($C$57:$C$61)</f>
        <v>0</v>
      </c>
      <c r="G60" s="5" t="s">
        <v>296</v>
      </c>
      <c r="H60" s="42">
        <v>1</v>
      </c>
      <c r="I60" s="46">
        <v>2</v>
      </c>
      <c r="J60" s="13">
        <f t="shared" si="9"/>
        <v>9.0909090909090912E-2</v>
      </c>
      <c r="K60" s="13">
        <f t="shared" si="10"/>
        <v>0.18181818181818182</v>
      </c>
      <c r="L60" s="13"/>
      <c r="M60" s="1">
        <v>2</v>
      </c>
      <c r="N60" s="5" t="s">
        <v>68</v>
      </c>
      <c r="O60" s="42">
        <v>4</v>
      </c>
      <c r="P60" s="42">
        <v>2</v>
      </c>
      <c r="Q60" s="13">
        <f t="shared" si="11"/>
        <v>0.4</v>
      </c>
      <c r="R60" s="13">
        <f t="shared" si="12"/>
        <v>0.66666666666666663</v>
      </c>
      <c r="S60" s="45">
        <v>6</v>
      </c>
      <c r="T60" s="1" t="s">
        <v>82</v>
      </c>
      <c r="V60" s="1"/>
      <c r="W60" s="5"/>
      <c r="X60" s="1"/>
      <c r="Y60" s="1"/>
      <c r="Z60" s="1"/>
    </row>
    <row r="61" spans="2:26" x14ac:dyDescent="0.25">
      <c r="B61" s="23" t="s">
        <v>246</v>
      </c>
      <c r="C61" s="33">
        <v>0</v>
      </c>
      <c r="D61" s="13">
        <f>C61/SUM($C$57:$C$61)</f>
        <v>0</v>
      </c>
      <c r="F61" s="5"/>
      <c r="G61" s="5" t="s">
        <v>154</v>
      </c>
      <c r="H61" s="42">
        <v>1</v>
      </c>
      <c r="I61" s="42">
        <v>2</v>
      </c>
      <c r="J61" s="13">
        <f t="shared" si="9"/>
        <v>9.0909090909090912E-2</v>
      </c>
      <c r="K61" s="13">
        <f t="shared" si="10"/>
        <v>0.18181818181818182</v>
      </c>
      <c r="L61" s="13"/>
      <c r="M61" s="1">
        <v>3</v>
      </c>
      <c r="N61" s="5" t="s">
        <v>69</v>
      </c>
      <c r="O61" s="45">
        <v>3</v>
      </c>
      <c r="P61" s="42"/>
      <c r="Q61" s="13">
        <f t="shared" si="11"/>
        <v>0.3</v>
      </c>
      <c r="R61" s="13">
        <f t="shared" si="12"/>
        <v>0</v>
      </c>
      <c r="S61" s="45">
        <v>6</v>
      </c>
      <c r="T61" s="1" t="s">
        <v>63</v>
      </c>
      <c r="V61" s="1"/>
      <c r="W61" s="5"/>
      <c r="X61" s="1"/>
      <c r="Y61" s="1"/>
      <c r="Z61" s="1"/>
    </row>
    <row r="62" spans="2:26" x14ac:dyDescent="0.25">
      <c r="B62" s="27" t="s">
        <v>273</v>
      </c>
      <c r="C62" s="6"/>
      <c r="D62" s="14">
        <f>C63/$H$1</f>
        <v>0.27272727272727271</v>
      </c>
      <c r="F62" s="5"/>
      <c r="G62" s="5" t="s">
        <v>149</v>
      </c>
      <c r="H62" s="45">
        <v>1</v>
      </c>
      <c r="I62" s="42">
        <v>2</v>
      </c>
      <c r="J62" s="13">
        <f t="shared" si="9"/>
        <v>9.0909090909090912E-2</v>
      </c>
      <c r="K62" s="13">
        <f t="shared" si="10"/>
        <v>0.18181818181818182</v>
      </c>
      <c r="L62" s="13"/>
      <c r="M62" s="1">
        <v>4</v>
      </c>
      <c r="N62" s="5" t="s">
        <v>181</v>
      </c>
      <c r="O62" s="52">
        <v>2</v>
      </c>
      <c r="P62" s="42">
        <v>2</v>
      </c>
      <c r="Q62" s="13">
        <f t="shared" si="11"/>
        <v>0.2</v>
      </c>
      <c r="R62" s="13">
        <f t="shared" si="12"/>
        <v>0.66666666666666663</v>
      </c>
      <c r="S62" s="45">
        <v>4</v>
      </c>
      <c r="T62" s="1" t="s">
        <v>85</v>
      </c>
      <c r="V62" s="1"/>
      <c r="W62" s="5"/>
      <c r="X62" s="1"/>
      <c r="Y62" s="1"/>
      <c r="Z62" s="1"/>
    </row>
    <row r="63" spans="2:26" x14ac:dyDescent="0.25">
      <c r="B63" s="27" t="s">
        <v>274</v>
      </c>
      <c r="C63" s="6">
        <f>(B57*C57+B58*C58+B59*C59+B60*C60+4*C61)</f>
        <v>3</v>
      </c>
      <c r="D63" s="13"/>
      <c r="G63" s="5" t="s">
        <v>299</v>
      </c>
      <c r="H63" s="45">
        <v>1</v>
      </c>
      <c r="I63" s="42">
        <v>2</v>
      </c>
      <c r="J63" s="13">
        <f t="shared" si="9"/>
        <v>9.0909090909090912E-2</v>
      </c>
      <c r="K63" s="13">
        <f t="shared" si="10"/>
        <v>0.18181818181818182</v>
      </c>
      <c r="L63" s="13"/>
      <c r="M63" s="1">
        <v>5</v>
      </c>
      <c r="N63" s="5" t="s">
        <v>333</v>
      </c>
      <c r="O63" s="45">
        <v>2</v>
      </c>
      <c r="P63" s="42">
        <v>2</v>
      </c>
      <c r="Q63" s="13">
        <f t="shared" si="11"/>
        <v>0.2</v>
      </c>
      <c r="R63" s="13">
        <f t="shared" si="12"/>
        <v>0.66666666666666663</v>
      </c>
      <c r="S63" s="45">
        <v>4</v>
      </c>
      <c r="T63" s="1" t="s">
        <v>85</v>
      </c>
      <c r="V63" s="1"/>
      <c r="W63" s="5"/>
      <c r="X63" s="1"/>
      <c r="Y63" s="1"/>
      <c r="Z63" s="1"/>
    </row>
    <row r="64" spans="2:26" x14ac:dyDescent="0.25">
      <c r="B64" s="27" t="s">
        <v>276</v>
      </c>
      <c r="D64" s="7">
        <f>($C$63/$Q$2)</f>
        <v>2.4590163934426229E-2</v>
      </c>
      <c r="G64" s="5" t="s">
        <v>295</v>
      </c>
      <c r="H64" s="42">
        <v>1</v>
      </c>
      <c r="I64" s="45">
        <v>2</v>
      </c>
      <c r="J64" s="13">
        <f t="shared" si="9"/>
        <v>9.0909090909090912E-2</v>
      </c>
      <c r="K64" s="13">
        <f t="shared" si="10"/>
        <v>0.18181818181818182</v>
      </c>
      <c r="L64" s="13"/>
      <c r="M64" s="1">
        <v>6</v>
      </c>
      <c r="N64" s="5" t="s">
        <v>111</v>
      </c>
      <c r="O64" s="42">
        <v>2</v>
      </c>
      <c r="P64" s="45">
        <v>1</v>
      </c>
      <c r="Q64" s="13">
        <f t="shared" si="11"/>
        <v>0.2</v>
      </c>
      <c r="R64" s="13">
        <f t="shared" si="12"/>
        <v>0.33333333333333331</v>
      </c>
      <c r="S64" s="45">
        <v>4</v>
      </c>
      <c r="T64" s="1" t="s">
        <v>85</v>
      </c>
      <c r="V64" s="1"/>
      <c r="W64" s="5"/>
      <c r="X64" s="1"/>
      <c r="Y64" s="1"/>
      <c r="Z64" s="1"/>
    </row>
    <row r="65" spans="2:26" x14ac:dyDescent="0.25">
      <c r="B65" s="23" t="s">
        <v>277</v>
      </c>
      <c r="D65" s="7">
        <f>($C$63/$Q$2) *13</f>
        <v>0.31967213114754101</v>
      </c>
      <c r="G65" s="5" t="s">
        <v>297</v>
      </c>
      <c r="H65" s="42">
        <v>1</v>
      </c>
      <c r="I65" s="45">
        <v>2</v>
      </c>
      <c r="J65" s="13">
        <f t="shared" si="9"/>
        <v>9.0909090909090912E-2</v>
      </c>
      <c r="K65" s="13">
        <f t="shared" si="10"/>
        <v>0.18181818181818182</v>
      </c>
      <c r="L65" s="13"/>
      <c r="M65" s="1">
        <v>7</v>
      </c>
      <c r="N65" s="5" t="s">
        <v>65</v>
      </c>
      <c r="O65" s="42">
        <v>2</v>
      </c>
      <c r="P65" s="42">
        <v>1</v>
      </c>
      <c r="Q65" s="13">
        <f t="shared" si="11"/>
        <v>0.2</v>
      </c>
      <c r="R65" s="13">
        <f t="shared" si="12"/>
        <v>0.33333333333333331</v>
      </c>
      <c r="S65" s="45">
        <v>4</v>
      </c>
      <c r="T65" s="1" t="s">
        <v>63</v>
      </c>
      <c r="V65" s="1"/>
      <c r="W65" s="5"/>
      <c r="X65" s="1"/>
      <c r="Y65" s="1"/>
      <c r="Z65" s="1"/>
    </row>
    <row r="66" spans="2:26" x14ac:dyDescent="0.25">
      <c r="B66" s="23" t="s">
        <v>278</v>
      </c>
      <c r="D66" s="7">
        <f>($C$63/$Q$2) * 20</f>
        <v>0.49180327868852458</v>
      </c>
      <c r="G66" s="5" t="s">
        <v>292</v>
      </c>
      <c r="H66" s="42">
        <v>1</v>
      </c>
      <c r="I66" s="42">
        <v>2</v>
      </c>
      <c r="J66" s="13">
        <f t="shared" si="9"/>
        <v>9.0909090909090912E-2</v>
      </c>
      <c r="K66" s="13">
        <f t="shared" si="10"/>
        <v>0.18181818181818182</v>
      </c>
      <c r="L66" s="13"/>
      <c r="M66" s="1">
        <v>8</v>
      </c>
      <c r="N66" s="5" t="s">
        <v>112</v>
      </c>
      <c r="O66" s="52">
        <v>2</v>
      </c>
      <c r="P66" s="42"/>
      <c r="Q66" s="13">
        <f t="shared" si="11"/>
        <v>0.2</v>
      </c>
      <c r="R66" s="13">
        <f t="shared" si="12"/>
        <v>0</v>
      </c>
      <c r="S66" s="45">
        <v>8</v>
      </c>
      <c r="T66" s="1" t="s">
        <v>85</v>
      </c>
      <c r="V66" s="1"/>
      <c r="W66" s="5"/>
      <c r="X66" s="1"/>
      <c r="Y66" s="1"/>
      <c r="Z66" s="1"/>
    </row>
    <row r="67" spans="2:26" x14ac:dyDescent="0.25">
      <c r="B67" s="23" t="s">
        <v>279</v>
      </c>
      <c r="D67" s="7">
        <f>($C$63/$Q$2) * 13</f>
        <v>0.31967213114754101</v>
      </c>
      <c r="G67" s="5" t="s">
        <v>168</v>
      </c>
      <c r="H67" s="42">
        <v>1</v>
      </c>
      <c r="I67" s="45">
        <v>2</v>
      </c>
      <c r="J67" s="13">
        <f t="shared" si="9"/>
        <v>9.0909090909090912E-2</v>
      </c>
      <c r="K67" s="13">
        <f t="shared" si="10"/>
        <v>0.18181818181818182</v>
      </c>
      <c r="L67" s="13"/>
      <c r="M67" s="48"/>
      <c r="N67" s="5" t="s">
        <v>331</v>
      </c>
      <c r="O67" s="45">
        <v>2</v>
      </c>
      <c r="P67" s="45"/>
      <c r="Q67" s="13">
        <f t="shared" si="11"/>
        <v>0.2</v>
      </c>
      <c r="R67" s="13">
        <f t="shared" si="12"/>
        <v>0</v>
      </c>
      <c r="S67" s="45">
        <v>4</v>
      </c>
      <c r="T67" s="1" t="s">
        <v>63</v>
      </c>
      <c r="V67" s="1"/>
      <c r="W67" s="5"/>
      <c r="X67" s="1"/>
      <c r="Y67" s="1"/>
      <c r="Z67" s="1"/>
    </row>
    <row r="68" spans="2:26" x14ac:dyDescent="0.25">
      <c r="B68" s="5"/>
      <c r="C68" s="6"/>
      <c r="G68" s="5" t="s">
        <v>144</v>
      </c>
      <c r="H68" s="46">
        <v>1</v>
      </c>
      <c r="I68" s="42">
        <v>1</v>
      </c>
      <c r="J68" s="13">
        <f t="shared" si="9"/>
        <v>9.0909090909090912E-2</v>
      </c>
      <c r="K68" s="13">
        <f t="shared" si="10"/>
        <v>9.0909090909090912E-2</v>
      </c>
      <c r="L68" s="13"/>
      <c r="M68" s="13"/>
      <c r="N68" s="5" t="s">
        <v>235</v>
      </c>
      <c r="O68" s="42">
        <v>1</v>
      </c>
      <c r="P68" s="42">
        <v>1</v>
      </c>
      <c r="Q68" s="13">
        <f t="shared" si="11"/>
        <v>0.1</v>
      </c>
      <c r="R68" s="13">
        <f t="shared" si="12"/>
        <v>0.33333333333333331</v>
      </c>
      <c r="S68" s="45">
        <v>6</v>
      </c>
      <c r="T68" s="1" t="s">
        <v>82</v>
      </c>
      <c r="V68" s="1"/>
      <c r="W68" s="5"/>
      <c r="X68" s="1"/>
      <c r="Y68" s="1"/>
      <c r="Z68" s="1"/>
    </row>
    <row r="69" spans="2:26" x14ac:dyDescent="0.25">
      <c r="B69" s="26" t="s">
        <v>52</v>
      </c>
      <c r="C69" s="21" t="s">
        <v>241</v>
      </c>
      <c r="D69" s="21" t="s">
        <v>247</v>
      </c>
      <c r="G69" s="5" t="s">
        <v>209</v>
      </c>
      <c r="H69" s="42">
        <v>1</v>
      </c>
      <c r="I69" s="45">
        <v>1</v>
      </c>
      <c r="J69" s="13">
        <f t="shared" si="9"/>
        <v>9.0909090909090912E-2</v>
      </c>
      <c r="K69" s="13">
        <f t="shared" si="10"/>
        <v>9.0909090909090912E-2</v>
      </c>
      <c r="L69" s="13"/>
      <c r="M69" s="13"/>
      <c r="N69" s="5" t="s">
        <v>352</v>
      </c>
      <c r="O69" s="42">
        <v>1</v>
      </c>
      <c r="P69" s="45">
        <v>1</v>
      </c>
      <c r="Q69" s="13">
        <f t="shared" si="11"/>
        <v>0.1</v>
      </c>
      <c r="R69" s="13">
        <f t="shared" si="12"/>
        <v>0.33333333333333331</v>
      </c>
      <c r="S69" s="45">
        <v>4</v>
      </c>
      <c r="T69" s="1" t="s">
        <v>63</v>
      </c>
      <c r="V69" s="1"/>
      <c r="W69" s="5"/>
      <c r="X69" s="1"/>
      <c r="Y69" s="1"/>
      <c r="Z69" s="1"/>
    </row>
    <row r="70" spans="2:26" x14ac:dyDescent="0.25">
      <c r="B70" s="23" t="s">
        <v>248</v>
      </c>
      <c r="C70" s="33">
        <v>3</v>
      </c>
      <c r="D70" s="13">
        <f>C70/SUM($C$70:$C$74)</f>
        <v>0.27272727272727271</v>
      </c>
      <c r="F70" s="5"/>
      <c r="G70" s="5" t="s">
        <v>229</v>
      </c>
      <c r="H70" s="45">
        <v>1</v>
      </c>
      <c r="I70" s="42">
        <v>1</v>
      </c>
      <c r="J70" s="13">
        <f t="shared" si="9"/>
        <v>9.0909090909090912E-2</v>
      </c>
      <c r="K70" s="13">
        <f t="shared" si="10"/>
        <v>9.0909090909090912E-2</v>
      </c>
      <c r="L70" s="13"/>
      <c r="M70" s="13"/>
      <c r="N70" s="5" t="s">
        <v>177</v>
      </c>
      <c r="O70" s="52">
        <v>1</v>
      </c>
      <c r="P70" s="42">
        <v>1</v>
      </c>
      <c r="Q70" s="13">
        <f t="shared" si="11"/>
        <v>0.1</v>
      </c>
      <c r="R70" s="13">
        <f t="shared" si="12"/>
        <v>0.33333333333333331</v>
      </c>
      <c r="S70" s="45">
        <v>4</v>
      </c>
      <c r="T70" s="1" t="s">
        <v>83</v>
      </c>
      <c r="V70" s="1"/>
      <c r="W70" s="5"/>
      <c r="X70" s="1"/>
      <c r="Y70" s="1"/>
      <c r="Z70" s="1"/>
    </row>
    <row r="71" spans="2:26" x14ac:dyDescent="0.25">
      <c r="B71" s="23" t="s">
        <v>249</v>
      </c>
      <c r="C71" s="33">
        <v>8</v>
      </c>
      <c r="D71" s="13">
        <f>C71/SUM($C$70:$C$74)</f>
        <v>0.72727272727272729</v>
      </c>
      <c r="G71" s="5" t="s">
        <v>228</v>
      </c>
      <c r="H71" s="42">
        <v>1</v>
      </c>
      <c r="I71" s="42">
        <v>1</v>
      </c>
      <c r="J71" s="13">
        <f t="shared" si="9"/>
        <v>9.0909090909090912E-2</v>
      </c>
      <c r="K71" s="13">
        <f t="shared" si="10"/>
        <v>9.0909090909090912E-2</v>
      </c>
      <c r="L71" s="5"/>
      <c r="M71" s="13"/>
      <c r="N71" s="5" t="s">
        <v>237</v>
      </c>
      <c r="O71" s="45">
        <v>1</v>
      </c>
      <c r="P71" s="45">
        <v>1</v>
      </c>
      <c r="Q71" s="13">
        <f t="shared" si="11"/>
        <v>0.1</v>
      </c>
      <c r="R71" s="13">
        <f t="shared" si="12"/>
        <v>0.33333333333333331</v>
      </c>
      <c r="S71" s="45">
        <v>4</v>
      </c>
      <c r="T71" s="1" t="s">
        <v>63</v>
      </c>
      <c r="V71" s="1"/>
      <c r="W71" s="5"/>
      <c r="X71" s="1"/>
      <c r="Y71" s="1"/>
      <c r="Z71" s="1"/>
    </row>
    <row r="72" spans="2:26" x14ac:dyDescent="0.25">
      <c r="B72" s="23" t="s">
        <v>250</v>
      </c>
      <c r="C72" s="33">
        <v>0</v>
      </c>
      <c r="D72" s="13">
        <f>C72/SUM($C$70:$C$74)</f>
        <v>0</v>
      </c>
      <c r="G72" s="5" t="s">
        <v>150</v>
      </c>
      <c r="H72" s="45">
        <v>1</v>
      </c>
      <c r="I72" s="42">
        <v>1</v>
      </c>
      <c r="J72" s="13">
        <f t="shared" si="9"/>
        <v>9.0909090909090912E-2</v>
      </c>
      <c r="K72" s="13">
        <f t="shared" si="10"/>
        <v>9.0909090909090912E-2</v>
      </c>
      <c r="L72" s="5"/>
      <c r="M72" s="13"/>
      <c r="N72" s="5" t="s">
        <v>350</v>
      </c>
      <c r="O72" s="52">
        <v>1</v>
      </c>
      <c r="P72" s="42"/>
      <c r="Q72" s="13">
        <f t="shared" si="11"/>
        <v>0.1</v>
      </c>
      <c r="R72" s="13">
        <f t="shared" si="12"/>
        <v>0</v>
      </c>
      <c r="S72" s="45">
        <v>7</v>
      </c>
      <c r="T72" s="1" t="s">
        <v>85</v>
      </c>
      <c r="V72" s="1"/>
      <c r="W72" s="5"/>
      <c r="X72" s="1"/>
      <c r="Y72" s="1"/>
      <c r="Z72" s="1"/>
    </row>
    <row r="73" spans="2:26" x14ac:dyDescent="0.25">
      <c r="B73" s="23" t="s">
        <v>251</v>
      </c>
      <c r="C73" s="33">
        <v>0</v>
      </c>
      <c r="D73" s="13">
        <f>C73/SUM($C$70:$C$74)</f>
        <v>0</v>
      </c>
      <c r="G73" s="5" t="s">
        <v>322</v>
      </c>
      <c r="H73" s="42">
        <v>1</v>
      </c>
      <c r="I73" s="42">
        <v>1</v>
      </c>
      <c r="J73" s="13">
        <f t="shared" si="9"/>
        <v>9.0909090909090912E-2</v>
      </c>
      <c r="K73" s="13">
        <f t="shared" si="10"/>
        <v>9.0909090909090912E-2</v>
      </c>
      <c r="L73" s="5"/>
      <c r="M73" s="13"/>
      <c r="N73" s="5" t="s">
        <v>351</v>
      </c>
      <c r="O73" s="42">
        <v>1</v>
      </c>
      <c r="P73" s="45"/>
      <c r="Q73" s="13">
        <f t="shared" si="11"/>
        <v>0.1</v>
      </c>
      <c r="R73" s="13">
        <f t="shared" si="12"/>
        <v>0</v>
      </c>
      <c r="S73" s="45">
        <v>6</v>
      </c>
      <c r="T73" s="1" t="s">
        <v>85</v>
      </c>
      <c r="V73" s="1"/>
      <c r="W73" s="5"/>
      <c r="X73" s="1"/>
      <c r="Y73" s="1"/>
      <c r="Z73" s="1"/>
    </row>
    <row r="74" spans="2:26" x14ac:dyDescent="0.25">
      <c r="B74" s="23" t="s">
        <v>252</v>
      </c>
      <c r="C74" s="33">
        <v>0</v>
      </c>
      <c r="D74" s="13">
        <f>C74/SUM($C$70:$C$74)</f>
        <v>0</v>
      </c>
      <c r="E74" s="7"/>
      <c r="F74" s="1"/>
      <c r="H74" s="5"/>
      <c r="I74" s="6"/>
      <c r="J74" s="1"/>
      <c r="L74" s="5"/>
      <c r="M74" s="13"/>
      <c r="N74" s="5" t="s">
        <v>80</v>
      </c>
      <c r="O74" s="42">
        <v>1</v>
      </c>
      <c r="P74" s="45"/>
      <c r="Q74" s="13">
        <f t="shared" si="11"/>
        <v>0.1</v>
      </c>
      <c r="R74" s="13">
        <f t="shared" si="12"/>
        <v>0</v>
      </c>
      <c r="S74" s="45">
        <v>6</v>
      </c>
      <c r="T74" s="1" t="s">
        <v>349</v>
      </c>
      <c r="V74" s="1"/>
      <c r="W74" s="5"/>
      <c r="X74" s="1"/>
    </row>
    <row r="75" spans="2:26" x14ac:dyDescent="0.25">
      <c r="B75" s="27" t="s">
        <v>269</v>
      </c>
      <c r="C75" s="1"/>
      <c r="D75" s="6">
        <f>SUM(C76:C78)/$H$1</f>
        <v>33.18181818181818</v>
      </c>
      <c r="E75" s="7"/>
      <c r="F75" s="11" t="s">
        <v>300</v>
      </c>
      <c r="G75" s="11"/>
      <c r="H75" s="21" t="s">
        <v>291</v>
      </c>
      <c r="I75" s="21" t="s">
        <v>282</v>
      </c>
      <c r="J75" s="29" t="s">
        <v>293</v>
      </c>
      <c r="K75" s="21" t="s">
        <v>294</v>
      </c>
      <c r="L75" s="5"/>
      <c r="M75" s="13"/>
      <c r="N75" s="5" t="s">
        <v>182</v>
      </c>
      <c r="O75" s="42">
        <v>1</v>
      </c>
      <c r="P75" s="46"/>
      <c r="Q75" s="13">
        <f t="shared" si="11"/>
        <v>0.1</v>
      </c>
      <c r="R75" s="13">
        <f t="shared" si="12"/>
        <v>0</v>
      </c>
      <c r="S75" s="45">
        <v>5</v>
      </c>
      <c r="T75" s="1" t="s">
        <v>63</v>
      </c>
      <c r="V75" s="1"/>
      <c r="W75" s="5"/>
      <c r="X75" s="1"/>
    </row>
    <row r="76" spans="2:26" x14ac:dyDescent="0.25">
      <c r="B76" s="23" t="s">
        <v>263</v>
      </c>
      <c r="C76" s="34">
        <f>38+30</f>
        <v>68</v>
      </c>
      <c r="D76" s="6">
        <f>C76/$J$1</f>
        <v>34</v>
      </c>
      <c r="E76" s="7"/>
      <c r="F76" s="1">
        <v>1</v>
      </c>
      <c r="G76" s="5" t="s">
        <v>298</v>
      </c>
      <c r="H76" s="42">
        <v>2</v>
      </c>
      <c r="I76" s="42">
        <v>5</v>
      </c>
      <c r="J76" s="13">
        <f t="shared" ref="J76:J112" si="13">H76/$H$1</f>
        <v>0.18181818181818182</v>
      </c>
      <c r="K76" s="13">
        <f t="shared" ref="K76:K112" si="14">I76/$H$1</f>
        <v>0.45454545454545453</v>
      </c>
      <c r="L76" s="5"/>
      <c r="M76" s="13"/>
      <c r="N76" s="5" t="s">
        <v>340</v>
      </c>
      <c r="O76" s="42">
        <v>1</v>
      </c>
      <c r="P76" s="45"/>
      <c r="Q76" s="13">
        <f t="shared" si="11"/>
        <v>0.1</v>
      </c>
      <c r="R76" s="13">
        <f t="shared" si="12"/>
        <v>0</v>
      </c>
      <c r="S76" s="45">
        <v>5</v>
      </c>
      <c r="T76" s="1" t="s">
        <v>63</v>
      </c>
      <c r="V76" s="1"/>
      <c r="W76" s="5"/>
      <c r="X76" s="1"/>
    </row>
    <row r="77" spans="2:26" x14ac:dyDescent="0.25">
      <c r="B77" s="23" t="s">
        <v>262</v>
      </c>
      <c r="C77" s="34">
        <f>32+35+39+34+34</f>
        <v>174</v>
      </c>
      <c r="D77" s="6">
        <f>C77/$L$1</f>
        <v>34.799999999999997</v>
      </c>
      <c r="E77" s="7"/>
      <c r="F77" s="1">
        <v>2</v>
      </c>
      <c r="G77" s="5" t="s">
        <v>167</v>
      </c>
      <c r="H77" s="42">
        <v>2</v>
      </c>
      <c r="I77" s="42">
        <v>5</v>
      </c>
      <c r="J77" s="13">
        <f t="shared" si="13"/>
        <v>0.18181818181818182</v>
      </c>
      <c r="K77" s="13">
        <f t="shared" si="14"/>
        <v>0.45454545454545453</v>
      </c>
      <c r="L77" s="5"/>
      <c r="M77" s="13"/>
      <c r="N77" s="5" t="s">
        <v>72</v>
      </c>
      <c r="O77" s="42">
        <v>1</v>
      </c>
      <c r="P77" s="45"/>
      <c r="Q77" s="13">
        <f t="shared" si="11"/>
        <v>0.1</v>
      </c>
      <c r="R77" s="13">
        <f t="shared" si="12"/>
        <v>0</v>
      </c>
      <c r="S77" s="45">
        <v>5</v>
      </c>
      <c r="T77" s="1" t="s">
        <v>83</v>
      </c>
      <c r="V77" s="1"/>
      <c r="W77" s="5"/>
      <c r="X77" s="1"/>
    </row>
    <row r="78" spans="2:26" x14ac:dyDescent="0.25">
      <c r="B78" s="23" t="s">
        <v>261</v>
      </c>
      <c r="C78" s="34">
        <f>33+27+29+34</f>
        <v>123</v>
      </c>
      <c r="D78" s="6">
        <f>C78/$O$1</f>
        <v>30.75</v>
      </c>
      <c r="E78" s="7"/>
      <c r="F78" s="1">
        <v>3</v>
      </c>
      <c r="G78" s="5" t="s">
        <v>155</v>
      </c>
      <c r="H78" s="42">
        <v>2</v>
      </c>
      <c r="I78" s="42">
        <v>5</v>
      </c>
      <c r="J78" s="13">
        <f t="shared" si="13"/>
        <v>0.18181818181818182</v>
      </c>
      <c r="K78" s="13">
        <f t="shared" si="14"/>
        <v>0.45454545454545453</v>
      </c>
      <c r="L78" s="5"/>
      <c r="M78" s="13"/>
      <c r="N78" s="5" t="s">
        <v>78</v>
      </c>
      <c r="O78" s="42">
        <v>1</v>
      </c>
      <c r="P78" s="46"/>
      <c r="Q78" s="13">
        <f t="shared" si="11"/>
        <v>0.1</v>
      </c>
      <c r="R78" s="13">
        <f t="shared" si="12"/>
        <v>0</v>
      </c>
      <c r="S78" s="45">
        <v>4</v>
      </c>
      <c r="T78" s="1" t="s">
        <v>85</v>
      </c>
      <c r="V78" s="1"/>
      <c r="W78" s="5"/>
      <c r="X78" s="1"/>
    </row>
    <row r="79" spans="2:26" x14ac:dyDescent="0.25">
      <c r="B79" s="1"/>
      <c r="C79" s="1"/>
      <c r="F79" s="1">
        <v>4</v>
      </c>
      <c r="G79" s="5" t="s">
        <v>166</v>
      </c>
      <c r="H79" s="42">
        <v>2</v>
      </c>
      <c r="I79" s="42">
        <v>4</v>
      </c>
      <c r="J79" s="13">
        <f t="shared" si="13"/>
        <v>0.18181818181818182</v>
      </c>
      <c r="K79" s="13">
        <f t="shared" si="14"/>
        <v>0.36363636363636365</v>
      </c>
      <c r="L79" s="5"/>
      <c r="M79" s="5"/>
      <c r="N79" s="5" t="s">
        <v>110</v>
      </c>
      <c r="O79" s="52">
        <v>1</v>
      </c>
      <c r="P79" s="42"/>
      <c r="Q79" s="13">
        <f t="shared" si="11"/>
        <v>0.1</v>
      </c>
      <c r="R79" s="13">
        <f t="shared" si="12"/>
        <v>0</v>
      </c>
      <c r="S79" s="45">
        <v>4</v>
      </c>
      <c r="T79" s="1" t="s">
        <v>85</v>
      </c>
    </row>
    <row r="80" spans="2:26" x14ac:dyDescent="0.25">
      <c r="B80" s="26" t="s">
        <v>253</v>
      </c>
      <c r="C80" s="21" t="s">
        <v>241</v>
      </c>
      <c r="D80" s="21" t="s">
        <v>247</v>
      </c>
      <c r="F80" s="1">
        <v>5</v>
      </c>
      <c r="G80" s="5" t="s">
        <v>206</v>
      </c>
      <c r="H80" s="42">
        <v>2</v>
      </c>
      <c r="I80" s="42">
        <v>3</v>
      </c>
      <c r="J80" s="13">
        <f t="shared" si="13"/>
        <v>0.18181818181818182</v>
      </c>
      <c r="K80" s="13">
        <f t="shared" si="14"/>
        <v>0.27272727272727271</v>
      </c>
      <c r="N80" s="5" t="s">
        <v>64</v>
      </c>
      <c r="O80" s="42">
        <v>1</v>
      </c>
      <c r="P80" s="45"/>
      <c r="Q80" s="13">
        <f t="shared" si="11"/>
        <v>0.1</v>
      </c>
      <c r="R80" s="13">
        <f t="shared" si="12"/>
        <v>0</v>
      </c>
      <c r="S80" s="45">
        <v>4</v>
      </c>
      <c r="T80" s="1" t="s">
        <v>82</v>
      </c>
      <c r="V80" s="55"/>
      <c r="W80" s="55"/>
      <c r="Y80" s="1"/>
    </row>
    <row r="81" spans="2:27" x14ac:dyDescent="0.25">
      <c r="B81" s="23" t="s">
        <v>254</v>
      </c>
      <c r="C81" s="42">
        <v>1</v>
      </c>
      <c r="D81" s="13">
        <f>C81/SUM($C$81:$C$82)</f>
        <v>9.0909090909090912E-2</v>
      </c>
      <c r="F81" s="1">
        <v>6</v>
      </c>
      <c r="G81" s="5" t="s">
        <v>303</v>
      </c>
      <c r="H81" s="42">
        <v>2</v>
      </c>
      <c r="I81" s="46">
        <v>2</v>
      </c>
      <c r="J81" s="13">
        <f t="shared" si="13"/>
        <v>0.18181818181818182</v>
      </c>
      <c r="K81" s="13">
        <f t="shared" si="14"/>
        <v>0.18181818181818182</v>
      </c>
      <c r="L81" s="1"/>
      <c r="N81" s="5" t="s">
        <v>339</v>
      </c>
      <c r="O81" s="42">
        <v>1</v>
      </c>
      <c r="P81" s="45"/>
      <c r="Q81" s="13">
        <f t="shared" si="11"/>
        <v>0.1</v>
      </c>
      <c r="R81" s="13">
        <f t="shared" si="12"/>
        <v>0</v>
      </c>
      <c r="S81" s="45">
        <v>4</v>
      </c>
      <c r="T81" s="1" t="s">
        <v>63</v>
      </c>
      <c r="V81" s="1"/>
      <c r="W81" s="5"/>
      <c r="X81" s="9"/>
      <c r="Y81" s="1"/>
    </row>
    <row r="82" spans="2:27" x14ac:dyDescent="0.25">
      <c r="B82" s="23" t="s">
        <v>255</v>
      </c>
      <c r="C82" s="42">
        <v>10</v>
      </c>
      <c r="D82" s="13">
        <f>C82/SUM($C$81:$C$82)</f>
        <v>0.90909090909090906</v>
      </c>
      <c r="F82" s="1">
        <v>7</v>
      </c>
      <c r="G82" s="5" t="s">
        <v>171</v>
      </c>
      <c r="H82" s="42">
        <v>2</v>
      </c>
      <c r="I82" s="42">
        <v>2</v>
      </c>
      <c r="J82" s="13">
        <f t="shared" si="13"/>
        <v>0.18181818181818182</v>
      </c>
      <c r="K82" s="13">
        <f t="shared" si="14"/>
        <v>0.18181818181818182</v>
      </c>
      <c r="L82" s="5"/>
      <c r="N82" s="5" t="s">
        <v>91</v>
      </c>
      <c r="O82" s="42">
        <v>1</v>
      </c>
      <c r="P82" s="45"/>
      <c r="Q82" s="13">
        <f t="shared" si="11"/>
        <v>0.1</v>
      </c>
      <c r="R82" s="13">
        <f t="shared" si="12"/>
        <v>0</v>
      </c>
      <c r="S82" s="45">
        <v>4</v>
      </c>
      <c r="T82" s="1" t="s">
        <v>63</v>
      </c>
      <c r="V82" s="1"/>
      <c r="W82" s="5"/>
      <c r="X82" s="9"/>
      <c r="Y82" s="1"/>
    </row>
    <row r="83" spans="2:27" x14ac:dyDescent="0.25">
      <c r="B83" s="27" t="s">
        <v>280</v>
      </c>
      <c r="C83" s="1"/>
      <c r="D83" s="43" t="s">
        <v>281</v>
      </c>
      <c r="F83" s="1">
        <v>8</v>
      </c>
      <c r="G83" s="5" t="s">
        <v>202</v>
      </c>
      <c r="H83" s="42">
        <v>2</v>
      </c>
      <c r="I83" s="42">
        <v>2</v>
      </c>
      <c r="J83" s="13">
        <f t="shared" si="13"/>
        <v>0.18181818181818182</v>
      </c>
      <c r="K83" s="13">
        <f t="shared" si="14"/>
        <v>0.18181818181818182</v>
      </c>
      <c r="L83" s="5"/>
      <c r="N83" s="5" t="s">
        <v>88</v>
      </c>
      <c r="O83" s="45">
        <v>1</v>
      </c>
      <c r="P83" s="42"/>
      <c r="Q83" s="13">
        <f t="shared" si="11"/>
        <v>0.1</v>
      </c>
      <c r="R83" s="13">
        <f t="shared" si="12"/>
        <v>0</v>
      </c>
      <c r="S83" s="45">
        <v>4</v>
      </c>
      <c r="T83" s="1" t="s">
        <v>63</v>
      </c>
      <c r="V83" s="1"/>
      <c r="W83" s="5"/>
      <c r="X83" s="9"/>
      <c r="Y83" s="1"/>
    </row>
    <row r="84" spans="2:27" x14ac:dyDescent="0.25">
      <c r="B84" s="1"/>
      <c r="C84" s="1"/>
      <c r="F84" s="1"/>
      <c r="G84" s="5" t="s">
        <v>292</v>
      </c>
      <c r="H84" s="42">
        <v>2</v>
      </c>
      <c r="I84" s="42">
        <v>2</v>
      </c>
      <c r="J84" s="13">
        <f t="shared" si="13"/>
        <v>0.18181818181818182</v>
      </c>
      <c r="K84" s="13">
        <f t="shared" si="14"/>
        <v>0.18181818181818182</v>
      </c>
      <c r="L84" s="5"/>
      <c r="V84" s="1"/>
      <c r="W84" s="5"/>
      <c r="X84" s="9"/>
      <c r="Y84" s="1"/>
    </row>
    <row r="85" spans="2:27" x14ac:dyDescent="0.25">
      <c r="B85" s="26" t="s">
        <v>256</v>
      </c>
      <c r="C85" s="21" t="s">
        <v>241</v>
      </c>
      <c r="D85" s="29" t="s">
        <v>247</v>
      </c>
      <c r="E85" s="44"/>
      <c r="G85" s="5" t="s">
        <v>141</v>
      </c>
      <c r="H85" s="42">
        <v>1</v>
      </c>
      <c r="I85" s="45">
        <v>6</v>
      </c>
      <c r="J85" s="13">
        <f t="shared" si="13"/>
        <v>9.0909090909090912E-2</v>
      </c>
      <c r="K85" s="13">
        <f t="shared" si="14"/>
        <v>0.54545454545454541</v>
      </c>
      <c r="L85" s="5"/>
      <c r="M85" s="10" t="s">
        <v>344</v>
      </c>
      <c r="N85" s="10"/>
      <c r="O85" s="21" t="s">
        <v>291</v>
      </c>
      <c r="P85" s="21" t="s">
        <v>334</v>
      </c>
      <c r="Q85" s="29" t="s">
        <v>293</v>
      </c>
      <c r="R85" s="29" t="s">
        <v>336</v>
      </c>
      <c r="S85" s="49" t="s">
        <v>345</v>
      </c>
      <c r="T85" s="21" t="s">
        <v>134</v>
      </c>
      <c r="V85" s="1"/>
      <c r="W85" s="5"/>
      <c r="X85" s="9"/>
      <c r="Y85" s="1"/>
    </row>
    <row r="86" spans="2:27" x14ac:dyDescent="0.25">
      <c r="B86" s="28" t="s">
        <v>10</v>
      </c>
      <c r="C86" s="42">
        <v>1</v>
      </c>
      <c r="D86" s="13">
        <f t="shared" ref="D86:D91" si="15">C86/SUM($C$86:$C$91)</f>
        <v>9.0909090909090912E-2</v>
      </c>
      <c r="G86" s="5" t="s">
        <v>287</v>
      </c>
      <c r="H86" s="42">
        <v>1</v>
      </c>
      <c r="I86" s="42">
        <v>4</v>
      </c>
      <c r="J86" s="13">
        <f t="shared" si="13"/>
        <v>9.0909090909090912E-2</v>
      </c>
      <c r="K86" s="13">
        <f t="shared" si="14"/>
        <v>0.36363636363636365</v>
      </c>
      <c r="L86" s="5"/>
      <c r="M86" s="1">
        <v>1</v>
      </c>
      <c r="N86" s="5" t="s">
        <v>66</v>
      </c>
      <c r="O86" s="42">
        <v>5</v>
      </c>
      <c r="P86" s="45">
        <v>2</v>
      </c>
      <c r="Q86" s="13">
        <f t="shared" ref="Q86:Q108" si="16">O86/$H$1</f>
        <v>0.45454545454545453</v>
      </c>
      <c r="R86" s="13">
        <f t="shared" ref="R86:R108" si="17">P86/3</f>
        <v>0.66666666666666663</v>
      </c>
      <c r="S86" s="45">
        <v>504</v>
      </c>
      <c r="T86" s="1" t="s">
        <v>63</v>
      </c>
      <c r="V86" s="1"/>
      <c r="W86" s="5"/>
      <c r="X86" s="9"/>
      <c r="Y86" s="1"/>
    </row>
    <row r="87" spans="2:27" x14ac:dyDescent="0.25">
      <c r="B87" s="28" t="s">
        <v>14</v>
      </c>
      <c r="C87" s="42">
        <v>2</v>
      </c>
      <c r="D87" s="13">
        <f t="shared" si="15"/>
        <v>0.18181818181818182</v>
      </c>
      <c r="F87" s="5"/>
      <c r="G87" s="5" t="s">
        <v>288</v>
      </c>
      <c r="H87" s="42">
        <v>1</v>
      </c>
      <c r="I87" s="42">
        <v>4</v>
      </c>
      <c r="J87" s="13">
        <f t="shared" si="13"/>
        <v>9.0909090909090912E-2</v>
      </c>
      <c r="K87" s="13">
        <f t="shared" si="14"/>
        <v>0.36363636363636365</v>
      </c>
      <c r="L87" s="5"/>
      <c r="M87" s="1">
        <v>2</v>
      </c>
      <c r="N87" s="5" t="s">
        <v>88</v>
      </c>
      <c r="O87" s="42">
        <v>2</v>
      </c>
      <c r="P87" s="42">
        <v>3</v>
      </c>
      <c r="Q87" s="13">
        <f t="shared" si="16"/>
        <v>0.18181818181818182</v>
      </c>
      <c r="R87" s="13">
        <f t="shared" si="17"/>
        <v>1</v>
      </c>
      <c r="S87" s="45">
        <v>507</v>
      </c>
      <c r="T87" s="1" t="s">
        <v>63</v>
      </c>
      <c r="V87" s="1"/>
      <c r="W87" s="5"/>
      <c r="X87" s="9"/>
      <c r="Y87" s="1"/>
    </row>
    <row r="88" spans="2:27" x14ac:dyDescent="0.25">
      <c r="B88" s="28" t="s">
        <v>9</v>
      </c>
      <c r="C88" s="42">
        <v>4</v>
      </c>
      <c r="D88" s="13">
        <f t="shared" si="15"/>
        <v>0.36363636363636365</v>
      </c>
      <c r="F88" s="1"/>
      <c r="G88" s="5" t="s">
        <v>144</v>
      </c>
      <c r="H88" s="42">
        <v>1</v>
      </c>
      <c r="I88" s="42">
        <v>3</v>
      </c>
      <c r="J88" s="13">
        <f t="shared" si="13"/>
        <v>9.0909090909090912E-2</v>
      </c>
      <c r="K88" s="13">
        <f t="shared" si="14"/>
        <v>0.27272727272727271</v>
      </c>
      <c r="L88" s="5"/>
      <c r="M88" s="1">
        <v>3</v>
      </c>
      <c r="N88" s="5" t="s">
        <v>174</v>
      </c>
      <c r="O88" s="45">
        <v>2</v>
      </c>
      <c r="P88" s="42">
        <v>2</v>
      </c>
      <c r="Q88" s="13">
        <f t="shared" si="16"/>
        <v>0.18181818181818182</v>
      </c>
      <c r="R88" s="13">
        <f t="shared" si="17"/>
        <v>0.66666666666666663</v>
      </c>
      <c r="S88" s="45">
        <v>531</v>
      </c>
      <c r="T88" s="1" t="s">
        <v>82</v>
      </c>
      <c r="V88" s="1"/>
      <c r="W88" s="5"/>
      <c r="X88" s="9"/>
      <c r="Y88" s="1"/>
    </row>
    <row r="89" spans="2:27" x14ac:dyDescent="0.25">
      <c r="B89" s="28" t="s">
        <v>13</v>
      </c>
      <c r="C89" s="42">
        <v>1</v>
      </c>
      <c r="D89" s="13">
        <f t="shared" si="15"/>
        <v>9.0909090909090912E-2</v>
      </c>
      <c r="F89" s="1"/>
      <c r="G89" s="5" t="s">
        <v>308</v>
      </c>
      <c r="H89" s="42">
        <v>1</v>
      </c>
      <c r="I89" s="42">
        <v>3</v>
      </c>
      <c r="J89" s="13">
        <f t="shared" si="13"/>
        <v>9.0909090909090912E-2</v>
      </c>
      <c r="K89" s="13">
        <f t="shared" si="14"/>
        <v>0.27272727272727271</v>
      </c>
      <c r="L89" s="5"/>
      <c r="M89" s="1">
        <v>4</v>
      </c>
      <c r="N89" s="5" t="s">
        <v>237</v>
      </c>
      <c r="O89" s="42">
        <v>2</v>
      </c>
      <c r="P89" s="45">
        <v>2</v>
      </c>
      <c r="Q89" s="13">
        <f t="shared" si="16"/>
        <v>0.18181818181818182</v>
      </c>
      <c r="R89" s="13">
        <f t="shared" si="17"/>
        <v>0.66666666666666663</v>
      </c>
      <c r="S89" s="45">
        <v>473</v>
      </c>
      <c r="T89" s="1" t="s">
        <v>63</v>
      </c>
      <c r="V89" s="1"/>
      <c r="W89" s="5"/>
      <c r="X89" s="8"/>
      <c r="Y89" s="1"/>
    </row>
    <row r="90" spans="2:27" x14ac:dyDescent="0.25">
      <c r="B90" s="28" t="s">
        <v>12</v>
      </c>
      <c r="C90" s="42">
        <v>2</v>
      </c>
      <c r="D90" s="13">
        <f t="shared" si="15"/>
        <v>0.18181818181818182</v>
      </c>
      <c r="F90" s="1"/>
      <c r="G90" s="5" t="s">
        <v>310</v>
      </c>
      <c r="H90" s="42">
        <v>1</v>
      </c>
      <c r="I90" s="42">
        <v>3</v>
      </c>
      <c r="J90" s="13">
        <f t="shared" si="13"/>
        <v>9.0909090909090912E-2</v>
      </c>
      <c r="K90" s="13">
        <f t="shared" si="14"/>
        <v>0.27272727272727271</v>
      </c>
      <c r="L90" s="5"/>
      <c r="M90" s="1">
        <v>5</v>
      </c>
      <c r="N90" s="5" t="s">
        <v>332</v>
      </c>
      <c r="O90" s="52">
        <v>2</v>
      </c>
      <c r="P90" s="42">
        <v>2</v>
      </c>
      <c r="Q90" s="13">
        <f t="shared" si="16"/>
        <v>0.18181818181818182</v>
      </c>
      <c r="R90" s="13">
        <f t="shared" si="17"/>
        <v>0.66666666666666663</v>
      </c>
      <c r="S90" s="45">
        <v>462</v>
      </c>
      <c r="T90" s="1" t="s">
        <v>63</v>
      </c>
      <c r="V90" s="1"/>
      <c r="W90" s="5"/>
      <c r="X90" s="8"/>
      <c r="Y90" s="1"/>
    </row>
    <row r="91" spans="2:27" x14ac:dyDescent="0.25">
      <c r="B91" s="28" t="s">
        <v>15</v>
      </c>
      <c r="C91" s="42">
        <v>1</v>
      </c>
      <c r="D91" s="13">
        <f t="shared" si="15"/>
        <v>9.0909090909090912E-2</v>
      </c>
      <c r="F91" s="1"/>
      <c r="G91" s="5" t="s">
        <v>45</v>
      </c>
      <c r="H91" s="42">
        <v>1</v>
      </c>
      <c r="I91" s="42">
        <v>3</v>
      </c>
      <c r="J91" s="13">
        <f t="shared" si="13"/>
        <v>9.0909090909090912E-2</v>
      </c>
      <c r="K91" s="13">
        <f t="shared" si="14"/>
        <v>0.27272727272727271</v>
      </c>
      <c r="L91" s="5"/>
      <c r="M91" s="1">
        <v>6</v>
      </c>
      <c r="N91" s="5" t="s">
        <v>179</v>
      </c>
      <c r="O91" s="42">
        <v>2</v>
      </c>
      <c r="P91" s="45">
        <v>1</v>
      </c>
      <c r="Q91" s="13">
        <f t="shared" si="16"/>
        <v>0.18181818181818182</v>
      </c>
      <c r="R91" s="13">
        <f t="shared" si="17"/>
        <v>0.33333333333333331</v>
      </c>
      <c r="S91" s="45">
        <v>531</v>
      </c>
      <c r="T91" s="1" t="s">
        <v>82</v>
      </c>
    </row>
    <row r="92" spans="2:27" x14ac:dyDescent="0.25">
      <c r="C92" s="29" t="s">
        <v>259</v>
      </c>
      <c r="D92" s="29" t="s">
        <v>257</v>
      </c>
      <c r="F92" s="1"/>
      <c r="G92" s="5" t="s">
        <v>297</v>
      </c>
      <c r="H92" s="42">
        <v>1</v>
      </c>
      <c r="I92" s="42">
        <v>3</v>
      </c>
      <c r="J92" s="13">
        <f t="shared" si="13"/>
        <v>9.0909090909090912E-2</v>
      </c>
      <c r="K92" s="13">
        <f t="shared" si="14"/>
        <v>0.27272727272727271</v>
      </c>
      <c r="L92" s="5"/>
      <c r="M92" s="1">
        <v>7</v>
      </c>
      <c r="N92" s="5" t="s">
        <v>65</v>
      </c>
      <c r="O92" s="52">
        <v>2</v>
      </c>
      <c r="P92" s="42">
        <v>1</v>
      </c>
      <c r="Q92" s="13">
        <f t="shared" si="16"/>
        <v>0.18181818181818182</v>
      </c>
      <c r="R92" s="13">
        <f t="shared" si="17"/>
        <v>0.33333333333333331</v>
      </c>
      <c r="S92" s="45">
        <v>511</v>
      </c>
      <c r="T92" s="1" t="s">
        <v>63</v>
      </c>
      <c r="V92" s="11"/>
      <c r="W92" s="11"/>
      <c r="Y92" s="1"/>
    </row>
    <row r="93" spans="2:27" x14ac:dyDescent="0.25">
      <c r="B93" s="28" t="s">
        <v>10</v>
      </c>
      <c r="C93" s="34">
        <f>75+42+42+105+75+78+70+16+34+56</f>
        <v>593</v>
      </c>
      <c r="D93" s="6">
        <f>C93/($H$1-1)</f>
        <v>59.3</v>
      </c>
      <c r="E93" s="28"/>
      <c r="F93" s="1"/>
      <c r="G93" s="5" t="s">
        <v>168</v>
      </c>
      <c r="H93" s="42">
        <v>1</v>
      </c>
      <c r="I93" s="42">
        <v>3</v>
      </c>
      <c r="J93" s="13">
        <f t="shared" si="13"/>
        <v>9.0909090909090912E-2</v>
      </c>
      <c r="K93" s="13">
        <f t="shared" si="14"/>
        <v>0.27272727272727271</v>
      </c>
      <c r="L93" s="5"/>
      <c r="M93" s="1">
        <v>8</v>
      </c>
      <c r="N93" s="5" t="s">
        <v>69</v>
      </c>
      <c r="O93" s="42">
        <v>2</v>
      </c>
      <c r="P93" s="46">
        <v>1</v>
      </c>
      <c r="Q93" s="13">
        <f t="shared" si="16"/>
        <v>0.18181818181818182</v>
      </c>
      <c r="R93" s="13">
        <f t="shared" si="17"/>
        <v>0.33333333333333331</v>
      </c>
      <c r="S93" s="45">
        <v>506</v>
      </c>
      <c r="T93" s="1" t="s">
        <v>63</v>
      </c>
      <c r="V93" s="1"/>
      <c r="W93" s="5"/>
      <c r="X93" s="1"/>
      <c r="Y93" s="1"/>
      <c r="Z93" s="14"/>
      <c r="AA93" s="1"/>
    </row>
    <row r="94" spans="2:27" x14ac:dyDescent="0.25">
      <c r="B94" s="28" t="s">
        <v>14</v>
      </c>
      <c r="C94" s="34">
        <f>63+58+80+98+87+94+66+49+22+35</f>
        <v>652</v>
      </c>
      <c r="D94" s="6">
        <f>C94/($H$1-1)</f>
        <v>65.2</v>
      </c>
      <c r="F94" s="1"/>
      <c r="G94" s="5" t="s">
        <v>295</v>
      </c>
      <c r="H94" s="42">
        <v>1</v>
      </c>
      <c r="I94" s="42">
        <v>2</v>
      </c>
      <c r="J94" s="13">
        <f t="shared" si="13"/>
        <v>9.0909090909090912E-2</v>
      </c>
      <c r="K94" s="13">
        <f t="shared" si="14"/>
        <v>0.18181818181818182</v>
      </c>
      <c r="L94" s="5"/>
      <c r="M94" s="48"/>
      <c r="N94" s="5" t="s">
        <v>342</v>
      </c>
      <c r="O94" s="42">
        <v>1</v>
      </c>
      <c r="P94" s="45">
        <v>2</v>
      </c>
      <c r="Q94" s="13">
        <f t="shared" si="16"/>
        <v>9.0909090909090912E-2</v>
      </c>
      <c r="R94" s="13">
        <f t="shared" si="17"/>
        <v>0.66666666666666663</v>
      </c>
      <c r="S94" s="45">
        <v>457</v>
      </c>
      <c r="T94" s="1" t="s">
        <v>82</v>
      </c>
      <c r="V94" s="1"/>
      <c r="W94" s="5"/>
      <c r="X94" s="1"/>
      <c r="Y94" s="1"/>
      <c r="Z94" s="14"/>
      <c r="AA94" s="1"/>
    </row>
    <row r="95" spans="2:27" x14ac:dyDescent="0.25">
      <c r="B95" s="28" t="s">
        <v>9</v>
      </c>
      <c r="C95" s="34">
        <f>58+52+57+104+90+100+60+28+37+62</f>
        <v>648</v>
      </c>
      <c r="D95" s="6">
        <f>C95/($H$1-1)</f>
        <v>64.8</v>
      </c>
      <c r="F95" s="1"/>
      <c r="G95" s="5" t="s">
        <v>43</v>
      </c>
      <c r="H95" s="42">
        <v>1</v>
      </c>
      <c r="I95" s="42">
        <v>2</v>
      </c>
      <c r="J95" s="13">
        <f t="shared" si="13"/>
        <v>9.0909090909090912E-2</v>
      </c>
      <c r="K95" s="13">
        <f t="shared" si="14"/>
        <v>0.18181818181818182</v>
      </c>
      <c r="L95" s="5"/>
      <c r="M95" s="13"/>
      <c r="N95" s="5" t="s">
        <v>363</v>
      </c>
      <c r="O95" s="42">
        <v>1</v>
      </c>
      <c r="P95" s="45">
        <v>2</v>
      </c>
      <c r="Q95" s="13">
        <f t="shared" si="16"/>
        <v>9.0909090909090912E-2</v>
      </c>
      <c r="R95" s="13">
        <f t="shared" si="17"/>
        <v>0.66666666666666663</v>
      </c>
      <c r="S95" s="45">
        <v>403</v>
      </c>
      <c r="T95" s="1" t="s">
        <v>82</v>
      </c>
      <c r="V95" s="1"/>
      <c r="W95" s="5"/>
      <c r="X95" s="1"/>
      <c r="Y95" s="1"/>
      <c r="Z95" s="14"/>
      <c r="AA95" s="1"/>
    </row>
    <row r="96" spans="2:27" x14ac:dyDescent="0.25">
      <c r="B96" s="28" t="s">
        <v>13</v>
      </c>
      <c r="C96" s="34">
        <f>53+43+73+111+72+59+44+17+32+42</f>
        <v>546</v>
      </c>
      <c r="D96" s="6">
        <f>C96/($H$1-1)</f>
        <v>54.6</v>
      </c>
      <c r="F96" s="1"/>
      <c r="G96" s="5" t="s">
        <v>152</v>
      </c>
      <c r="H96" s="42">
        <v>1</v>
      </c>
      <c r="I96" s="42">
        <v>2</v>
      </c>
      <c r="J96" s="13">
        <f t="shared" si="13"/>
        <v>9.0909090909090912E-2</v>
      </c>
      <c r="K96" s="13">
        <f t="shared" si="14"/>
        <v>0.18181818181818182</v>
      </c>
      <c r="L96" s="5"/>
      <c r="M96" s="13"/>
      <c r="N96" s="5" t="s">
        <v>357</v>
      </c>
      <c r="O96" s="42">
        <v>1</v>
      </c>
      <c r="P96" s="46">
        <v>1</v>
      </c>
      <c r="Q96" s="13">
        <f t="shared" si="16"/>
        <v>9.0909090909090912E-2</v>
      </c>
      <c r="R96" s="13">
        <f t="shared" si="17"/>
        <v>0.33333333333333331</v>
      </c>
      <c r="S96" s="45">
        <v>466</v>
      </c>
      <c r="T96" s="1" t="s">
        <v>63</v>
      </c>
      <c r="V96" s="1"/>
      <c r="W96" s="5"/>
      <c r="X96" s="1"/>
      <c r="Y96" s="1"/>
      <c r="Z96" s="14"/>
      <c r="AA96" s="1"/>
    </row>
    <row r="97" spans="2:27" x14ac:dyDescent="0.25">
      <c r="B97" s="28" t="s">
        <v>12</v>
      </c>
      <c r="C97" s="34">
        <f>52+57+56+107+87+75+72+31+23+62</f>
        <v>622</v>
      </c>
      <c r="D97" s="6">
        <f>C97/($H$1-1)</f>
        <v>62.2</v>
      </c>
      <c r="G97" s="5" t="s">
        <v>207</v>
      </c>
      <c r="H97" s="42">
        <v>1</v>
      </c>
      <c r="I97" s="42">
        <v>2</v>
      </c>
      <c r="J97" s="13">
        <f t="shared" si="13"/>
        <v>9.0909090909090912E-2</v>
      </c>
      <c r="K97" s="13">
        <f t="shared" si="14"/>
        <v>0.18181818181818182</v>
      </c>
      <c r="L97" s="5"/>
      <c r="M97" s="13"/>
      <c r="N97" s="5" t="s">
        <v>352</v>
      </c>
      <c r="O97" s="42">
        <v>1</v>
      </c>
      <c r="P97" s="45">
        <v>1</v>
      </c>
      <c r="Q97" s="13">
        <f t="shared" si="16"/>
        <v>9.0909090909090912E-2</v>
      </c>
      <c r="R97" s="13">
        <f t="shared" si="17"/>
        <v>0.33333333333333331</v>
      </c>
      <c r="S97" s="45">
        <v>453</v>
      </c>
      <c r="T97" s="1" t="s">
        <v>63</v>
      </c>
      <c r="V97" s="1"/>
      <c r="W97" s="5"/>
      <c r="X97" s="1"/>
      <c r="Y97" s="1"/>
      <c r="Z97" s="14"/>
      <c r="AA97" s="1"/>
    </row>
    <row r="98" spans="2:27" x14ac:dyDescent="0.25">
      <c r="B98" s="28" t="s">
        <v>15</v>
      </c>
      <c r="C98" s="34">
        <f>56+50+78+68+73+27+33+49</f>
        <v>434</v>
      </c>
      <c r="D98" s="6">
        <f>C98/($H$1-1-2)</f>
        <v>54.25</v>
      </c>
      <c r="F98" s="1"/>
      <c r="G98" s="5" t="s">
        <v>305</v>
      </c>
      <c r="H98" s="42">
        <v>1</v>
      </c>
      <c r="I98" s="42">
        <v>2</v>
      </c>
      <c r="J98" s="13">
        <f t="shared" si="13"/>
        <v>9.0909090909090912E-2</v>
      </c>
      <c r="K98" s="13">
        <f t="shared" si="14"/>
        <v>0.18181818181818182</v>
      </c>
      <c r="L98" s="5"/>
      <c r="M98" s="13"/>
      <c r="N98" s="5" t="s">
        <v>331</v>
      </c>
      <c r="O98" s="42">
        <v>1</v>
      </c>
      <c r="P98" s="45">
        <v>1</v>
      </c>
      <c r="Q98" s="13">
        <f t="shared" si="16"/>
        <v>9.0909090909090912E-2</v>
      </c>
      <c r="R98" s="13">
        <f t="shared" si="17"/>
        <v>0.33333333333333331</v>
      </c>
      <c r="S98" s="45">
        <v>417</v>
      </c>
      <c r="T98" s="1" t="s">
        <v>63</v>
      </c>
      <c r="V98" s="1"/>
      <c r="W98" s="5"/>
      <c r="X98" s="1"/>
      <c r="Y98" s="1"/>
      <c r="Z98" s="14"/>
      <c r="AA98" s="1"/>
    </row>
    <row r="99" spans="2:27" x14ac:dyDescent="0.25">
      <c r="F99" s="1"/>
      <c r="G99" s="5" t="s">
        <v>227</v>
      </c>
      <c r="H99" s="42">
        <v>1</v>
      </c>
      <c r="I99" s="42">
        <v>2</v>
      </c>
      <c r="J99" s="13">
        <f t="shared" si="13"/>
        <v>9.0909090909090912E-2</v>
      </c>
      <c r="K99" s="13">
        <f t="shared" si="14"/>
        <v>0.18181818181818182</v>
      </c>
      <c r="L99" s="5"/>
      <c r="M99" s="13"/>
      <c r="N99" s="5" t="s">
        <v>90</v>
      </c>
      <c r="O99" s="52">
        <v>1</v>
      </c>
      <c r="P99" s="42"/>
      <c r="Q99" s="13">
        <f t="shared" si="16"/>
        <v>9.0909090909090912E-2</v>
      </c>
      <c r="R99" s="13">
        <f t="shared" si="17"/>
        <v>0</v>
      </c>
      <c r="S99" s="45">
        <v>543</v>
      </c>
      <c r="T99" s="1" t="s">
        <v>63</v>
      </c>
      <c r="V99" s="1"/>
      <c r="W99" s="5"/>
      <c r="X99" s="1"/>
      <c r="Y99" s="1"/>
      <c r="Z99" s="14"/>
      <c r="AA99" s="1"/>
    </row>
    <row r="100" spans="2:27" x14ac:dyDescent="0.25">
      <c r="F100" s="1"/>
      <c r="G100" s="5" t="s">
        <v>323</v>
      </c>
      <c r="H100" s="42">
        <v>1</v>
      </c>
      <c r="I100" s="42">
        <v>2</v>
      </c>
      <c r="J100" s="13">
        <f t="shared" si="13"/>
        <v>9.0909090909090912E-2</v>
      </c>
      <c r="K100" s="13">
        <f t="shared" si="14"/>
        <v>0.18181818181818182</v>
      </c>
      <c r="L100" s="5"/>
      <c r="M100" s="13"/>
      <c r="N100" s="5" t="s">
        <v>340</v>
      </c>
      <c r="O100" s="52">
        <v>1</v>
      </c>
      <c r="P100" s="42"/>
      <c r="Q100" s="13">
        <f t="shared" si="16"/>
        <v>9.0909090909090912E-2</v>
      </c>
      <c r="R100" s="13">
        <f t="shared" si="17"/>
        <v>0</v>
      </c>
      <c r="S100" s="45">
        <v>472</v>
      </c>
      <c r="T100" s="1" t="s">
        <v>63</v>
      </c>
      <c r="V100" s="1"/>
      <c r="W100" s="5"/>
      <c r="X100" s="1"/>
      <c r="Y100" s="1"/>
      <c r="Z100" s="14"/>
      <c r="AA100" s="1"/>
    </row>
    <row r="101" spans="2:27" x14ac:dyDescent="0.25">
      <c r="F101" s="1"/>
      <c r="G101" s="5" t="s">
        <v>324</v>
      </c>
      <c r="H101" s="42">
        <v>1</v>
      </c>
      <c r="I101" s="42">
        <v>2</v>
      </c>
      <c r="J101" s="13">
        <f t="shared" si="13"/>
        <v>9.0909090909090912E-2</v>
      </c>
      <c r="K101" s="13">
        <f t="shared" si="14"/>
        <v>0.18181818181818182</v>
      </c>
      <c r="M101" s="13"/>
      <c r="N101" s="5" t="s">
        <v>360</v>
      </c>
      <c r="O101" s="42">
        <v>1</v>
      </c>
      <c r="P101" s="42"/>
      <c r="Q101" s="13">
        <f t="shared" si="16"/>
        <v>9.0909090909090912E-2</v>
      </c>
      <c r="R101" s="13">
        <f t="shared" si="17"/>
        <v>0</v>
      </c>
      <c r="S101" s="45">
        <v>465</v>
      </c>
      <c r="T101" s="1" t="s">
        <v>82</v>
      </c>
      <c r="W101" s="5"/>
      <c r="X101" s="1"/>
      <c r="Y101" s="1"/>
      <c r="AA101" s="1"/>
    </row>
    <row r="102" spans="2:27" x14ac:dyDescent="0.25">
      <c r="F102" s="1"/>
      <c r="G102" s="5" t="s">
        <v>172</v>
      </c>
      <c r="H102" s="45">
        <v>1</v>
      </c>
      <c r="I102" s="42">
        <v>1</v>
      </c>
      <c r="J102" s="13">
        <f t="shared" si="13"/>
        <v>9.0909090909090912E-2</v>
      </c>
      <c r="K102" s="13">
        <f t="shared" si="14"/>
        <v>9.0909090909090912E-2</v>
      </c>
      <c r="L102" s="1"/>
      <c r="M102" s="13"/>
      <c r="N102" s="5" t="s">
        <v>180</v>
      </c>
      <c r="O102" s="45">
        <v>1</v>
      </c>
      <c r="P102" s="42"/>
      <c r="Q102" s="13">
        <f t="shared" si="16"/>
        <v>9.0909090909090912E-2</v>
      </c>
      <c r="R102" s="13">
        <f t="shared" si="17"/>
        <v>0</v>
      </c>
      <c r="S102" s="45">
        <v>463</v>
      </c>
      <c r="T102" s="1" t="s">
        <v>63</v>
      </c>
      <c r="V102" s="11"/>
      <c r="W102" s="11"/>
      <c r="X102" s="1"/>
      <c r="Y102" s="1"/>
      <c r="AA102" s="1"/>
    </row>
    <row r="103" spans="2:27" x14ac:dyDescent="0.25">
      <c r="F103" s="1"/>
      <c r="G103" s="5" t="s">
        <v>233</v>
      </c>
      <c r="H103" s="42">
        <v>1</v>
      </c>
      <c r="I103" s="42">
        <v>1</v>
      </c>
      <c r="J103" s="13">
        <f t="shared" si="13"/>
        <v>9.0909090909090912E-2</v>
      </c>
      <c r="K103" s="13">
        <f t="shared" si="14"/>
        <v>9.0909090909090912E-2</v>
      </c>
      <c r="L103" s="5"/>
      <c r="M103" s="13"/>
      <c r="N103" s="5" t="s">
        <v>361</v>
      </c>
      <c r="O103" s="52">
        <v>1</v>
      </c>
      <c r="P103" s="42"/>
      <c r="Q103" s="13">
        <f t="shared" si="16"/>
        <v>9.0909090909090912E-2</v>
      </c>
      <c r="R103" s="13">
        <f t="shared" si="17"/>
        <v>0</v>
      </c>
      <c r="S103" s="45">
        <v>458</v>
      </c>
      <c r="T103" s="1" t="s">
        <v>63</v>
      </c>
    </row>
    <row r="104" spans="2:27" x14ac:dyDescent="0.25">
      <c r="F104" s="1"/>
      <c r="G104" s="5" t="s">
        <v>299</v>
      </c>
      <c r="H104" s="42">
        <v>1</v>
      </c>
      <c r="I104" s="42">
        <v>1</v>
      </c>
      <c r="J104" s="13">
        <f t="shared" si="13"/>
        <v>9.0909090909090912E-2</v>
      </c>
      <c r="K104" s="13">
        <f t="shared" si="14"/>
        <v>9.0909090909090912E-2</v>
      </c>
      <c r="L104" s="5"/>
      <c r="M104" s="13"/>
      <c r="N104" s="5" t="s">
        <v>358</v>
      </c>
      <c r="O104" s="42">
        <v>1</v>
      </c>
      <c r="P104" s="42"/>
      <c r="Q104" s="13">
        <f t="shared" si="16"/>
        <v>9.0909090909090912E-2</v>
      </c>
      <c r="R104" s="13">
        <f t="shared" si="17"/>
        <v>0</v>
      </c>
      <c r="S104" s="45">
        <v>441</v>
      </c>
      <c r="T104" s="1" t="s">
        <v>63</v>
      </c>
    </row>
    <row r="105" spans="2:27" x14ac:dyDescent="0.25">
      <c r="F105" s="1"/>
      <c r="G105" s="5" t="s">
        <v>304</v>
      </c>
      <c r="H105" s="42">
        <v>1</v>
      </c>
      <c r="I105" s="45">
        <v>1</v>
      </c>
      <c r="J105" s="13">
        <f t="shared" si="13"/>
        <v>9.0909090909090912E-2</v>
      </c>
      <c r="K105" s="13">
        <f t="shared" si="14"/>
        <v>9.0909090909090912E-2</v>
      </c>
      <c r="L105" s="5"/>
      <c r="M105" s="13"/>
      <c r="N105" s="5" t="s">
        <v>91</v>
      </c>
      <c r="O105" s="42">
        <v>1</v>
      </c>
      <c r="P105" s="45"/>
      <c r="Q105" s="13">
        <f t="shared" si="16"/>
        <v>9.0909090909090912E-2</v>
      </c>
      <c r="R105" s="13">
        <f t="shared" si="17"/>
        <v>0</v>
      </c>
      <c r="S105" s="45">
        <v>433</v>
      </c>
      <c r="T105" s="1" t="s">
        <v>63</v>
      </c>
    </row>
    <row r="106" spans="2:27" x14ac:dyDescent="0.25">
      <c r="G106" s="5" t="s">
        <v>301</v>
      </c>
      <c r="H106" s="42">
        <v>1</v>
      </c>
      <c r="I106" s="45">
        <v>1</v>
      </c>
      <c r="J106" s="13">
        <f t="shared" si="13"/>
        <v>9.0909090909090912E-2</v>
      </c>
      <c r="K106" s="13">
        <f t="shared" si="14"/>
        <v>9.0909090909090912E-2</v>
      </c>
      <c r="L106" s="5"/>
      <c r="M106" s="5"/>
      <c r="N106" s="5" t="s">
        <v>359</v>
      </c>
      <c r="O106" s="45">
        <v>1</v>
      </c>
      <c r="P106" s="42"/>
      <c r="Q106" s="13">
        <f t="shared" si="16"/>
        <v>9.0909090909090912E-2</v>
      </c>
      <c r="R106" s="13">
        <f t="shared" si="17"/>
        <v>0</v>
      </c>
      <c r="S106" s="45">
        <v>426</v>
      </c>
      <c r="T106" s="1" t="s">
        <v>63</v>
      </c>
    </row>
    <row r="107" spans="2:27" x14ac:dyDescent="0.25">
      <c r="G107" s="5" t="s">
        <v>307</v>
      </c>
      <c r="H107" s="42">
        <v>1</v>
      </c>
      <c r="I107" s="42">
        <v>1</v>
      </c>
      <c r="J107" s="13">
        <f t="shared" si="13"/>
        <v>9.0909090909090912E-2</v>
      </c>
      <c r="K107" s="13">
        <f t="shared" si="14"/>
        <v>9.0909090909090912E-2</v>
      </c>
      <c r="L107" s="5"/>
      <c r="N107" s="5" t="s">
        <v>341</v>
      </c>
      <c r="O107" s="42">
        <v>1</v>
      </c>
      <c r="P107" s="45"/>
      <c r="Q107" s="13">
        <f t="shared" si="16"/>
        <v>9.0909090909090912E-2</v>
      </c>
      <c r="R107" s="13">
        <f t="shared" si="17"/>
        <v>0</v>
      </c>
      <c r="S107" s="45">
        <v>412</v>
      </c>
      <c r="T107" s="1" t="s">
        <v>63</v>
      </c>
    </row>
    <row r="108" spans="2:27" x14ac:dyDescent="0.25">
      <c r="G108" s="5" t="s">
        <v>302</v>
      </c>
      <c r="H108" s="45">
        <v>1</v>
      </c>
      <c r="I108" s="42">
        <v>1</v>
      </c>
      <c r="J108" s="13">
        <f t="shared" si="13"/>
        <v>9.0909090909090912E-2</v>
      </c>
      <c r="K108" s="13">
        <f t="shared" si="14"/>
        <v>9.0909090909090912E-2</v>
      </c>
      <c r="N108" s="5" t="s">
        <v>362</v>
      </c>
      <c r="O108" s="42">
        <v>1</v>
      </c>
      <c r="P108" s="45"/>
      <c r="Q108" s="13">
        <f t="shared" si="16"/>
        <v>9.0909090909090912E-2</v>
      </c>
      <c r="R108" s="13">
        <f t="shared" si="17"/>
        <v>0</v>
      </c>
      <c r="S108" s="45">
        <v>412</v>
      </c>
      <c r="T108" s="1" t="s">
        <v>82</v>
      </c>
    </row>
    <row r="109" spans="2:27" x14ac:dyDescent="0.25">
      <c r="B109" s="5"/>
      <c r="G109" s="5" t="s">
        <v>309</v>
      </c>
      <c r="H109" s="42">
        <v>1</v>
      </c>
      <c r="I109" s="42">
        <v>1</v>
      </c>
      <c r="J109" s="13">
        <f t="shared" si="13"/>
        <v>9.0909090909090912E-2</v>
      </c>
      <c r="K109" s="13">
        <f t="shared" si="14"/>
        <v>9.0909090909090912E-2</v>
      </c>
    </row>
    <row r="110" spans="2:27" x14ac:dyDescent="0.25">
      <c r="G110" s="5" t="s">
        <v>164</v>
      </c>
      <c r="H110" s="42">
        <v>1</v>
      </c>
      <c r="I110" s="42">
        <v>1</v>
      </c>
      <c r="J110" s="13">
        <f t="shared" si="13"/>
        <v>9.0909090909090912E-2</v>
      </c>
      <c r="K110" s="13">
        <f t="shared" si="14"/>
        <v>9.0909090909090912E-2</v>
      </c>
      <c r="M110" s="10" t="s">
        <v>346</v>
      </c>
      <c r="N110" s="10"/>
      <c r="O110" s="21" t="s">
        <v>291</v>
      </c>
      <c r="P110" s="21" t="s">
        <v>334</v>
      </c>
      <c r="Q110" s="29" t="s">
        <v>293</v>
      </c>
      <c r="R110" s="29" t="s">
        <v>336</v>
      </c>
      <c r="S110" s="49" t="s">
        <v>347</v>
      </c>
      <c r="T110" s="21" t="s">
        <v>134</v>
      </c>
    </row>
    <row r="111" spans="2:27" x14ac:dyDescent="0.25">
      <c r="G111" s="5" t="s">
        <v>306</v>
      </c>
      <c r="H111" s="42">
        <v>1</v>
      </c>
      <c r="I111" s="42">
        <v>1</v>
      </c>
      <c r="J111" s="13">
        <f t="shared" si="13"/>
        <v>9.0909090909090912E-2</v>
      </c>
      <c r="K111" s="13">
        <f t="shared" si="14"/>
        <v>9.0909090909090912E-2</v>
      </c>
      <c r="M111" s="1">
        <v>1</v>
      </c>
      <c r="N111" s="5" t="s">
        <v>88</v>
      </c>
      <c r="O111" s="42">
        <v>4</v>
      </c>
      <c r="P111" s="45">
        <v>3</v>
      </c>
      <c r="Q111" s="13">
        <f t="shared" ref="Q111:Q137" si="18">O111/$H$1</f>
        <v>0.36363636363636365</v>
      </c>
      <c r="R111" s="13">
        <f t="shared" ref="R111:R137" si="19">P111/3</f>
        <v>1</v>
      </c>
      <c r="S111" s="54">
        <v>35337</v>
      </c>
      <c r="T111" s="1" t="s">
        <v>63</v>
      </c>
    </row>
    <row r="112" spans="2:27" x14ac:dyDescent="0.25">
      <c r="G112" s="5" t="s">
        <v>150</v>
      </c>
      <c r="H112" s="42">
        <v>1</v>
      </c>
      <c r="I112" s="42">
        <v>1</v>
      </c>
      <c r="J112" s="13">
        <f t="shared" si="13"/>
        <v>9.0909090909090912E-2</v>
      </c>
      <c r="K112" s="13">
        <f t="shared" si="14"/>
        <v>9.0909090909090912E-2</v>
      </c>
      <c r="M112" s="1">
        <v>2</v>
      </c>
      <c r="N112" s="5" t="s">
        <v>69</v>
      </c>
      <c r="O112" s="42">
        <v>3</v>
      </c>
      <c r="P112" s="46">
        <v>1</v>
      </c>
      <c r="Q112" s="13">
        <f t="shared" si="18"/>
        <v>0.27272727272727271</v>
      </c>
      <c r="R112" s="13">
        <f t="shared" si="19"/>
        <v>0.33333333333333331</v>
      </c>
      <c r="S112" s="54">
        <v>26725</v>
      </c>
      <c r="T112" s="1" t="s">
        <v>63</v>
      </c>
    </row>
    <row r="113" spans="3:21" x14ac:dyDescent="0.25">
      <c r="C113" s="3"/>
      <c r="D113" s="1"/>
      <c r="M113" s="1">
        <v>3</v>
      </c>
      <c r="N113" s="5" t="s">
        <v>368</v>
      </c>
      <c r="O113" s="42">
        <v>2</v>
      </c>
      <c r="P113" s="42">
        <v>1</v>
      </c>
      <c r="Q113" s="13">
        <f t="shared" si="18"/>
        <v>0.18181818181818182</v>
      </c>
      <c r="R113" s="13">
        <f t="shared" si="19"/>
        <v>0.33333333333333331</v>
      </c>
      <c r="S113" s="54">
        <v>24979</v>
      </c>
      <c r="T113" s="1" t="s">
        <v>84</v>
      </c>
      <c r="U113" s="1"/>
    </row>
    <row r="114" spans="3:21" x14ac:dyDescent="0.25">
      <c r="C114" s="3"/>
      <c r="D114" s="1"/>
      <c r="F114" s="11" t="s">
        <v>311</v>
      </c>
      <c r="G114" s="11"/>
      <c r="H114" s="21" t="s">
        <v>291</v>
      </c>
      <c r="I114" s="21" t="s">
        <v>282</v>
      </c>
      <c r="J114" s="29" t="s">
        <v>293</v>
      </c>
      <c r="K114" s="21" t="s">
        <v>294</v>
      </c>
      <c r="M114" s="1">
        <v>4</v>
      </c>
      <c r="N114" s="5" t="s">
        <v>66</v>
      </c>
      <c r="O114" s="42">
        <v>1</v>
      </c>
      <c r="P114" s="42">
        <v>2</v>
      </c>
      <c r="Q114" s="13">
        <f t="shared" si="18"/>
        <v>9.0909090909090912E-2</v>
      </c>
      <c r="R114" s="13">
        <f t="shared" si="19"/>
        <v>0.66666666666666663</v>
      </c>
      <c r="S114" s="54">
        <v>30008</v>
      </c>
      <c r="T114" s="1" t="s">
        <v>63</v>
      </c>
    </row>
    <row r="115" spans="3:21" x14ac:dyDescent="0.25">
      <c r="C115" s="3"/>
      <c r="D115" s="1"/>
      <c r="F115" s="1">
        <v>1</v>
      </c>
      <c r="G115" s="5" t="s">
        <v>170</v>
      </c>
      <c r="H115" s="42">
        <v>2</v>
      </c>
      <c r="I115" s="42">
        <v>8</v>
      </c>
      <c r="J115" s="13">
        <f t="shared" ref="J115:J146" si="20">H115/$H$1</f>
        <v>0.18181818181818182</v>
      </c>
      <c r="K115" s="13">
        <f t="shared" ref="K115:K146" si="21">I115/$H$1</f>
        <v>0.72727272727272729</v>
      </c>
      <c r="M115" s="1">
        <v>5</v>
      </c>
      <c r="N115" s="5" t="s">
        <v>332</v>
      </c>
      <c r="O115" s="45">
        <v>1</v>
      </c>
      <c r="P115" s="42">
        <v>2</v>
      </c>
      <c r="Q115" s="13">
        <f t="shared" si="18"/>
        <v>9.0909090909090912E-2</v>
      </c>
      <c r="R115" s="13">
        <f t="shared" si="19"/>
        <v>0.66666666666666663</v>
      </c>
      <c r="S115" s="54">
        <v>25742</v>
      </c>
      <c r="T115" s="1" t="s">
        <v>63</v>
      </c>
      <c r="U115" s="1"/>
    </row>
    <row r="116" spans="3:21" x14ac:dyDescent="0.25">
      <c r="C116" s="3"/>
      <c r="D116" s="1"/>
      <c r="F116" s="1">
        <v>2</v>
      </c>
      <c r="G116" s="5" t="s">
        <v>160</v>
      </c>
      <c r="H116" s="42">
        <v>2</v>
      </c>
      <c r="I116" s="42">
        <v>4</v>
      </c>
      <c r="J116" s="13">
        <f t="shared" si="20"/>
        <v>0.18181818181818182</v>
      </c>
      <c r="K116" s="13">
        <f t="shared" si="21"/>
        <v>0.36363636363636365</v>
      </c>
      <c r="M116" s="1">
        <v>6</v>
      </c>
      <c r="N116" s="5" t="s">
        <v>65</v>
      </c>
      <c r="O116" s="45">
        <v>1</v>
      </c>
      <c r="P116" s="42">
        <v>1</v>
      </c>
      <c r="Q116" s="13">
        <f t="shared" si="18"/>
        <v>9.0909090909090912E-2</v>
      </c>
      <c r="R116" s="13">
        <f t="shared" si="19"/>
        <v>0.33333333333333331</v>
      </c>
      <c r="S116" s="54">
        <v>33242</v>
      </c>
      <c r="T116" s="1" t="s">
        <v>63</v>
      </c>
    </row>
    <row r="117" spans="3:21" x14ac:dyDescent="0.25">
      <c r="C117" s="3"/>
      <c r="D117" s="1"/>
      <c r="F117" s="1">
        <v>3</v>
      </c>
      <c r="G117" s="5" t="s">
        <v>296</v>
      </c>
      <c r="H117" s="42">
        <v>2</v>
      </c>
      <c r="I117" s="42">
        <v>2</v>
      </c>
      <c r="J117" s="13">
        <f t="shared" si="20"/>
        <v>0.18181818181818182</v>
      </c>
      <c r="K117" s="13">
        <f t="shared" si="21"/>
        <v>0.18181818181818182</v>
      </c>
      <c r="M117" s="1">
        <v>7</v>
      </c>
      <c r="N117" s="5" t="s">
        <v>174</v>
      </c>
      <c r="O117" s="42">
        <v>1</v>
      </c>
      <c r="P117" s="45">
        <v>1</v>
      </c>
      <c r="Q117" s="13">
        <f t="shared" si="18"/>
        <v>9.0909090909090912E-2</v>
      </c>
      <c r="R117" s="13">
        <f t="shared" si="19"/>
        <v>0.33333333333333331</v>
      </c>
      <c r="S117" s="54">
        <v>30003</v>
      </c>
      <c r="T117" s="1" t="s">
        <v>82</v>
      </c>
      <c r="U117" s="1"/>
    </row>
    <row r="118" spans="3:21" x14ac:dyDescent="0.25">
      <c r="C118" s="3"/>
      <c r="D118" s="1"/>
      <c r="F118" s="1">
        <v>4</v>
      </c>
      <c r="G118" s="5" t="s">
        <v>171</v>
      </c>
      <c r="H118" s="42">
        <v>2</v>
      </c>
      <c r="I118" s="42">
        <v>2</v>
      </c>
      <c r="J118" s="13">
        <f t="shared" si="20"/>
        <v>0.18181818181818182</v>
      </c>
      <c r="K118" s="13">
        <f t="shared" si="21"/>
        <v>0.18181818181818182</v>
      </c>
      <c r="M118" s="1">
        <v>8</v>
      </c>
      <c r="N118" s="5" t="s">
        <v>357</v>
      </c>
      <c r="O118" s="42">
        <v>1</v>
      </c>
      <c r="P118" s="42">
        <v>1</v>
      </c>
      <c r="Q118" s="13">
        <f t="shared" si="18"/>
        <v>9.0909090909090912E-2</v>
      </c>
      <c r="R118" s="13">
        <f t="shared" si="19"/>
        <v>0.33333333333333331</v>
      </c>
      <c r="S118" s="54">
        <v>29289</v>
      </c>
      <c r="T118" s="1" t="s">
        <v>63</v>
      </c>
      <c r="U118" s="1"/>
    </row>
    <row r="119" spans="3:21" x14ac:dyDescent="0.25">
      <c r="C119" s="3"/>
      <c r="D119" s="1"/>
      <c r="F119" s="1">
        <v>5</v>
      </c>
      <c r="G119" s="5" t="s">
        <v>211</v>
      </c>
      <c r="H119" s="42">
        <v>2</v>
      </c>
      <c r="I119" s="42">
        <v>2</v>
      </c>
      <c r="J119" s="13">
        <f t="shared" si="20"/>
        <v>0.18181818181818182</v>
      </c>
      <c r="K119" s="13">
        <f t="shared" si="21"/>
        <v>0.18181818181818182</v>
      </c>
      <c r="M119" s="48"/>
      <c r="N119" s="5" t="s">
        <v>372</v>
      </c>
      <c r="O119" s="45">
        <v>1</v>
      </c>
      <c r="P119" s="42">
        <v>1</v>
      </c>
      <c r="Q119" s="13">
        <f t="shared" si="18"/>
        <v>9.0909090909090912E-2</v>
      </c>
      <c r="R119" s="13">
        <f t="shared" si="19"/>
        <v>0.33333333333333331</v>
      </c>
      <c r="S119" s="54">
        <v>28059</v>
      </c>
      <c r="T119" s="1" t="s">
        <v>63</v>
      </c>
      <c r="U119" s="1"/>
    </row>
    <row r="120" spans="3:21" x14ac:dyDescent="0.25">
      <c r="C120" s="3"/>
      <c r="D120" s="1"/>
      <c r="F120" s="1">
        <v>6</v>
      </c>
      <c r="G120" s="5" t="s">
        <v>208</v>
      </c>
      <c r="H120" s="42">
        <v>2</v>
      </c>
      <c r="I120" s="42">
        <v>2</v>
      </c>
      <c r="J120" s="13">
        <f t="shared" si="20"/>
        <v>0.18181818181818182</v>
      </c>
      <c r="K120" s="13">
        <f t="shared" si="21"/>
        <v>0.18181818181818182</v>
      </c>
      <c r="M120" s="13"/>
      <c r="N120" s="5" t="s">
        <v>373</v>
      </c>
      <c r="O120" s="45">
        <v>1</v>
      </c>
      <c r="P120" s="42">
        <v>1</v>
      </c>
      <c r="Q120" s="13">
        <f t="shared" si="18"/>
        <v>9.0909090909090912E-2</v>
      </c>
      <c r="R120" s="13">
        <f t="shared" si="19"/>
        <v>0.33333333333333331</v>
      </c>
      <c r="S120" s="54">
        <v>27723</v>
      </c>
      <c r="T120" s="1" t="s">
        <v>82</v>
      </c>
      <c r="U120" s="1"/>
    </row>
    <row r="121" spans="3:21" x14ac:dyDescent="0.25">
      <c r="F121" s="1">
        <v>7</v>
      </c>
      <c r="G121" s="5" t="s">
        <v>165</v>
      </c>
      <c r="H121" s="42">
        <v>2</v>
      </c>
      <c r="I121" s="42">
        <v>2</v>
      </c>
      <c r="J121" s="13">
        <f t="shared" si="20"/>
        <v>0.18181818181818182</v>
      </c>
      <c r="K121" s="13">
        <f t="shared" si="21"/>
        <v>0.18181818181818182</v>
      </c>
      <c r="M121" s="13"/>
      <c r="N121" s="5" t="s">
        <v>186</v>
      </c>
      <c r="O121" s="42">
        <v>1</v>
      </c>
      <c r="P121" s="45">
        <v>1</v>
      </c>
      <c r="Q121" s="13">
        <f t="shared" si="18"/>
        <v>9.0909090909090912E-2</v>
      </c>
      <c r="R121" s="13">
        <f t="shared" si="19"/>
        <v>0.33333333333333331</v>
      </c>
      <c r="S121" s="54">
        <v>27171</v>
      </c>
      <c r="T121" s="1" t="s">
        <v>82</v>
      </c>
    </row>
    <row r="122" spans="3:21" x14ac:dyDescent="0.25">
      <c r="F122" s="1">
        <v>8</v>
      </c>
      <c r="G122" s="5" t="s">
        <v>157</v>
      </c>
      <c r="H122" s="42">
        <v>1</v>
      </c>
      <c r="I122" s="42">
        <v>6</v>
      </c>
      <c r="J122" s="13">
        <f t="shared" si="20"/>
        <v>9.0909090909090912E-2</v>
      </c>
      <c r="K122" s="13">
        <f t="shared" si="21"/>
        <v>0.54545454545454541</v>
      </c>
      <c r="M122" s="13"/>
      <c r="N122" s="5" t="s">
        <v>363</v>
      </c>
      <c r="O122" s="42">
        <v>1</v>
      </c>
      <c r="P122" s="45">
        <v>1</v>
      </c>
      <c r="Q122" s="13">
        <f t="shared" si="18"/>
        <v>9.0909090909090912E-2</v>
      </c>
      <c r="R122" s="13">
        <f t="shared" si="19"/>
        <v>0.33333333333333331</v>
      </c>
      <c r="S122" s="54">
        <v>26545</v>
      </c>
      <c r="T122" s="1" t="s">
        <v>82</v>
      </c>
    </row>
    <row r="123" spans="3:21" x14ac:dyDescent="0.25">
      <c r="C123" s="1"/>
      <c r="D123" s="1"/>
      <c r="G123" s="5" t="s">
        <v>290</v>
      </c>
      <c r="H123" s="42">
        <v>1</v>
      </c>
      <c r="I123" s="42">
        <v>5</v>
      </c>
      <c r="J123" s="13">
        <f t="shared" si="20"/>
        <v>9.0909090909090912E-2</v>
      </c>
      <c r="K123" s="13">
        <f t="shared" si="21"/>
        <v>0.45454545454545453</v>
      </c>
      <c r="M123" s="13"/>
      <c r="N123" s="5" t="s">
        <v>371</v>
      </c>
      <c r="O123" s="42">
        <v>1</v>
      </c>
      <c r="P123" s="45">
        <v>1</v>
      </c>
      <c r="Q123" s="13">
        <f t="shared" si="18"/>
        <v>9.0909090909090912E-2</v>
      </c>
      <c r="R123" s="13">
        <f t="shared" si="19"/>
        <v>0.33333333333333331</v>
      </c>
      <c r="S123" s="54">
        <v>26291</v>
      </c>
      <c r="T123" s="1" t="s">
        <v>63</v>
      </c>
    </row>
    <row r="124" spans="3:21" x14ac:dyDescent="0.25">
      <c r="C124" s="1"/>
      <c r="D124" s="1"/>
      <c r="G124" s="5" t="s">
        <v>312</v>
      </c>
      <c r="H124" s="42">
        <v>1</v>
      </c>
      <c r="I124" s="42">
        <v>3</v>
      </c>
      <c r="J124" s="13">
        <f t="shared" si="20"/>
        <v>9.0909090909090912E-2</v>
      </c>
      <c r="K124" s="13">
        <f t="shared" si="21"/>
        <v>0.27272727272727271</v>
      </c>
      <c r="M124" s="13"/>
      <c r="N124" s="5" t="s">
        <v>341</v>
      </c>
      <c r="O124" s="45">
        <v>1</v>
      </c>
      <c r="P124" s="42">
        <v>1</v>
      </c>
      <c r="Q124" s="13">
        <f t="shared" si="18"/>
        <v>9.0909090909090912E-2</v>
      </c>
      <c r="R124" s="13">
        <f t="shared" si="19"/>
        <v>0.33333333333333331</v>
      </c>
      <c r="S124" s="54">
        <v>23541</v>
      </c>
      <c r="T124" s="1" t="s">
        <v>63</v>
      </c>
    </row>
    <row r="125" spans="3:21" x14ac:dyDescent="0.25">
      <c r="C125" s="1"/>
      <c r="D125" s="1"/>
      <c r="G125" s="5" t="s">
        <v>146</v>
      </c>
      <c r="H125" s="42">
        <v>1</v>
      </c>
      <c r="I125" s="42">
        <v>3</v>
      </c>
      <c r="J125" s="13">
        <f t="shared" si="20"/>
        <v>9.0909090909090912E-2</v>
      </c>
      <c r="K125" s="13">
        <f t="shared" si="21"/>
        <v>0.27272727272727271</v>
      </c>
      <c r="M125" s="13"/>
      <c r="N125" s="5" t="s">
        <v>237</v>
      </c>
      <c r="O125" s="52">
        <v>1</v>
      </c>
      <c r="P125" s="42">
        <v>1</v>
      </c>
      <c r="Q125" s="13">
        <f t="shared" si="18"/>
        <v>9.0909090909090912E-2</v>
      </c>
      <c r="R125" s="13">
        <f t="shared" si="19"/>
        <v>0.33333333333333331</v>
      </c>
      <c r="S125" s="54">
        <v>22481</v>
      </c>
      <c r="T125" s="1" t="s">
        <v>63</v>
      </c>
    </row>
    <row r="126" spans="3:21" x14ac:dyDescent="0.25">
      <c r="C126" s="1"/>
      <c r="D126" s="1"/>
      <c r="G126" s="5" t="s">
        <v>44</v>
      </c>
      <c r="H126" s="42">
        <v>1</v>
      </c>
      <c r="I126" s="42">
        <v>3</v>
      </c>
      <c r="J126" s="13">
        <f t="shared" si="20"/>
        <v>9.0909090909090912E-2</v>
      </c>
      <c r="K126" s="13">
        <f t="shared" si="21"/>
        <v>0.27272727272727271</v>
      </c>
      <c r="M126" s="13"/>
      <c r="N126" s="5" t="s">
        <v>370</v>
      </c>
      <c r="O126" s="52">
        <v>1</v>
      </c>
      <c r="P126" s="42"/>
      <c r="Q126" s="13">
        <f t="shared" si="18"/>
        <v>9.0909090909090912E-2</v>
      </c>
      <c r="R126" s="13">
        <f t="shared" si="19"/>
        <v>0</v>
      </c>
      <c r="S126" s="54">
        <v>29657</v>
      </c>
      <c r="T126" s="1" t="s">
        <v>82</v>
      </c>
    </row>
    <row r="127" spans="3:21" x14ac:dyDescent="0.25">
      <c r="C127" s="1"/>
      <c r="D127" s="1"/>
      <c r="G127" s="5" t="s">
        <v>169</v>
      </c>
      <c r="H127" s="42">
        <v>1</v>
      </c>
      <c r="I127" s="42">
        <v>3</v>
      </c>
      <c r="J127" s="13">
        <f t="shared" si="20"/>
        <v>9.0909090909090912E-2</v>
      </c>
      <c r="K127" s="13">
        <f t="shared" si="21"/>
        <v>0.27272727272727271</v>
      </c>
      <c r="M127" s="13"/>
      <c r="N127" s="5" t="s">
        <v>361</v>
      </c>
      <c r="O127" s="42">
        <v>1</v>
      </c>
      <c r="P127" s="45"/>
      <c r="Q127" s="13">
        <f t="shared" si="18"/>
        <v>9.0909090909090912E-2</v>
      </c>
      <c r="R127" s="13">
        <f t="shared" si="19"/>
        <v>0</v>
      </c>
      <c r="S127" s="54">
        <v>28422</v>
      </c>
      <c r="T127" s="1" t="s">
        <v>63</v>
      </c>
    </row>
    <row r="128" spans="3:21" x14ac:dyDescent="0.25">
      <c r="C128" s="1"/>
      <c r="D128" s="1"/>
      <c r="G128" s="5" t="s">
        <v>288</v>
      </c>
      <c r="H128" s="42">
        <v>1</v>
      </c>
      <c r="I128" s="42">
        <v>3</v>
      </c>
      <c r="J128" s="13">
        <f t="shared" si="20"/>
        <v>9.0909090909090912E-2</v>
      </c>
      <c r="K128" s="13">
        <f t="shared" si="21"/>
        <v>0.27272727272727271</v>
      </c>
      <c r="M128" s="13"/>
      <c r="N128" s="5" t="s">
        <v>367</v>
      </c>
      <c r="O128" s="45">
        <v>1</v>
      </c>
      <c r="P128" s="42"/>
      <c r="Q128" s="13">
        <f t="shared" si="18"/>
        <v>9.0909090909090912E-2</v>
      </c>
      <c r="R128" s="13">
        <f t="shared" si="19"/>
        <v>0</v>
      </c>
      <c r="S128" s="54">
        <v>27062</v>
      </c>
      <c r="T128" s="1" t="s">
        <v>82</v>
      </c>
    </row>
    <row r="129" spans="2:22" x14ac:dyDescent="0.25">
      <c r="C129" s="1"/>
      <c r="D129" s="1"/>
      <c r="G129" s="5" t="s">
        <v>173</v>
      </c>
      <c r="H129" s="42">
        <v>1</v>
      </c>
      <c r="I129" s="42">
        <v>2</v>
      </c>
      <c r="J129" s="13">
        <f t="shared" si="20"/>
        <v>9.0909090909090912E-2</v>
      </c>
      <c r="K129" s="13">
        <f t="shared" si="21"/>
        <v>0.18181818181818182</v>
      </c>
      <c r="M129" s="13"/>
      <c r="N129" s="5" t="s">
        <v>369</v>
      </c>
      <c r="O129" s="52">
        <v>1</v>
      </c>
      <c r="P129" s="42"/>
      <c r="Q129" s="13">
        <f t="shared" si="18"/>
        <v>9.0909090909090912E-2</v>
      </c>
      <c r="R129" s="13">
        <f t="shared" si="19"/>
        <v>0</v>
      </c>
      <c r="S129" s="54">
        <v>25255</v>
      </c>
      <c r="T129" s="1" t="s">
        <v>63</v>
      </c>
    </row>
    <row r="130" spans="2:22" x14ac:dyDescent="0.25">
      <c r="C130" s="1"/>
      <c r="D130" s="1"/>
      <c r="E130" s="1"/>
      <c r="G130" s="5" t="s">
        <v>299</v>
      </c>
      <c r="H130" s="42">
        <v>1</v>
      </c>
      <c r="I130" s="42">
        <v>2</v>
      </c>
      <c r="J130" s="13">
        <f t="shared" si="20"/>
        <v>9.0909090909090912E-2</v>
      </c>
      <c r="K130" s="13">
        <f t="shared" si="21"/>
        <v>0.18181818181818182</v>
      </c>
      <c r="M130" s="13"/>
      <c r="N130" s="5" t="s">
        <v>179</v>
      </c>
      <c r="O130" s="45">
        <v>1</v>
      </c>
      <c r="P130" s="42"/>
      <c r="Q130" s="13">
        <f t="shared" si="18"/>
        <v>9.0909090909090912E-2</v>
      </c>
      <c r="R130" s="13">
        <f t="shared" si="19"/>
        <v>0</v>
      </c>
      <c r="S130" s="54">
        <v>24982</v>
      </c>
      <c r="T130" s="1" t="s">
        <v>82</v>
      </c>
    </row>
    <row r="131" spans="2:22" x14ac:dyDescent="0.25">
      <c r="G131" s="5" t="s">
        <v>209</v>
      </c>
      <c r="H131" s="42">
        <v>1</v>
      </c>
      <c r="I131" s="42">
        <v>2</v>
      </c>
      <c r="J131" s="13">
        <f t="shared" si="20"/>
        <v>9.0909090909090912E-2</v>
      </c>
      <c r="K131" s="13">
        <f t="shared" si="21"/>
        <v>0.18181818181818182</v>
      </c>
      <c r="N131" s="5" t="s">
        <v>364</v>
      </c>
      <c r="O131" s="42">
        <v>1</v>
      </c>
      <c r="P131" s="45"/>
      <c r="Q131" s="13">
        <f t="shared" si="18"/>
        <v>9.0909090909090912E-2</v>
      </c>
      <c r="R131" s="13">
        <f t="shared" si="19"/>
        <v>0</v>
      </c>
      <c r="S131" s="54">
        <v>24766</v>
      </c>
      <c r="T131" s="1" t="s">
        <v>82</v>
      </c>
    </row>
    <row r="132" spans="2:22" x14ac:dyDescent="0.25">
      <c r="G132" s="5" t="s">
        <v>315</v>
      </c>
      <c r="H132" s="42">
        <v>1</v>
      </c>
      <c r="I132" s="42">
        <v>2</v>
      </c>
      <c r="J132" s="13">
        <f t="shared" si="20"/>
        <v>9.0909090909090912E-2</v>
      </c>
      <c r="K132" s="13">
        <f t="shared" si="21"/>
        <v>0.18181818181818182</v>
      </c>
      <c r="N132" s="5" t="s">
        <v>360</v>
      </c>
      <c r="O132" s="52">
        <v>1</v>
      </c>
      <c r="P132" s="42"/>
      <c r="Q132" s="13">
        <f t="shared" si="18"/>
        <v>9.0909090909090912E-2</v>
      </c>
      <c r="R132" s="13">
        <f t="shared" si="19"/>
        <v>0</v>
      </c>
      <c r="S132" s="54">
        <v>24196</v>
      </c>
      <c r="T132" s="1" t="s">
        <v>82</v>
      </c>
    </row>
    <row r="133" spans="2:22" x14ac:dyDescent="0.25">
      <c r="G133" s="5" t="s">
        <v>148</v>
      </c>
      <c r="H133" s="42">
        <v>1</v>
      </c>
      <c r="I133" s="42">
        <v>2</v>
      </c>
      <c r="J133" s="13">
        <f t="shared" si="20"/>
        <v>9.0909090909090912E-2</v>
      </c>
      <c r="K133" s="13">
        <f t="shared" si="21"/>
        <v>0.18181818181818182</v>
      </c>
      <c r="N133" s="5" t="s">
        <v>366</v>
      </c>
      <c r="O133" s="52">
        <v>1</v>
      </c>
      <c r="P133" s="42"/>
      <c r="Q133" s="13">
        <f t="shared" si="18"/>
        <v>9.0909090909090912E-2</v>
      </c>
      <c r="R133" s="13">
        <f t="shared" si="19"/>
        <v>0</v>
      </c>
      <c r="S133" s="54">
        <v>24094</v>
      </c>
      <c r="T133" s="1" t="s">
        <v>82</v>
      </c>
      <c r="V133" s="5"/>
    </row>
    <row r="134" spans="2:22" x14ac:dyDescent="0.25">
      <c r="G134" s="5" t="s">
        <v>172</v>
      </c>
      <c r="H134" s="42">
        <v>1</v>
      </c>
      <c r="I134" s="42">
        <v>1</v>
      </c>
      <c r="J134" s="13">
        <f t="shared" si="20"/>
        <v>9.0909090909090912E-2</v>
      </c>
      <c r="K134" s="13">
        <f t="shared" si="21"/>
        <v>9.0909090909090912E-2</v>
      </c>
      <c r="N134" s="5" t="s">
        <v>64</v>
      </c>
      <c r="O134" s="42">
        <v>1</v>
      </c>
      <c r="P134" s="46"/>
      <c r="Q134" s="13">
        <f t="shared" si="18"/>
        <v>9.0909090909090912E-2</v>
      </c>
      <c r="R134" s="13">
        <f t="shared" si="19"/>
        <v>0</v>
      </c>
      <c r="S134" s="54">
        <v>23223</v>
      </c>
      <c r="T134" s="1" t="s">
        <v>82</v>
      </c>
      <c r="V134" s="5"/>
    </row>
    <row r="135" spans="2:22" x14ac:dyDescent="0.25">
      <c r="B135" s="5"/>
      <c r="C135" s="5"/>
      <c r="D135" s="5"/>
      <c r="G135" s="5" t="s">
        <v>226</v>
      </c>
      <c r="H135" s="42">
        <v>1</v>
      </c>
      <c r="I135" s="42">
        <v>1</v>
      </c>
      <c r="J135" s="13">
        <f t="shared" si="20"/>
        <v>9.0909090909090912E-2</v>
      </c>
      <c r="K135" s="13">
        <f t="shared" si="21"/>
        <v>9.0909090909090912E-2</v>
      </c>
      <c r="N135" s="5" t="s">
        <v>365</v>
      </c>
      <c r="O135" s="42">
        <v>1</v>
      </c>
      <c r="P135" s="45"/>
      <c r="Q135" s="13">
        <f t="shared" si="18"/>
        <v>9.0909090909090912E-2</v>
      </c>
      <c r="R135" s="13">
        <f t="shared" si="19"/>
        <v>0</v>
      </c>
      <c r="S135" s="54">
        <v>22865</v>
      </c>
      <c r="T135" s="1" t="s">
        <v>82</v>
      </c>
    </row>
    <row r="136" spans="2:22" x14ac:dyDescent="0.25">
      <c r="B136" s="1"/>
      <c r="C136" s="1"/>
      <c r="D136" s="1"/>
      <c r="G136" s="5" t="s">
        <v>316</v>
      </c>
      <c r="H136" s="42">
        <v>1</v>
      </c>
      <c r="I136" s="42">
        <v>1</v>
      </c>
      <c r="J136" s="13">
        <f t="shared" si="20"/>
        <v>9.0909090909090912E-2</v>
      </c>
      <c r="K136" s="13">
        <f t="shared" si="21"/>
        <v>9.0909090909090912E-2</v>
      </c>
      <c r="N136" s="5" t="s">
        <v>358</v>
      </c>
      <c r="O136" s="45">
        <v>1</v>
      </c>
      <c r="P136" s="42"/>
      <c r="Q136" s="13">
        <f t="shared" si="18"/>
        <v>9.0909090909090912E-2</v>
      </c>
      <c r="R136" s="13">
        <f t="shared" si="19"/>
        <v>0</v>
      </c>
      <c r="S136" s="54">
        <v>16057</v>
      </c>
      <c r="T136" s="1" t="s">
        <v>63</v>
      </c>
    </row>
    <row r="137" spans="2:22" x14ac:dyDescent="0.25">
      <c r="B137" s="1"/>
      <c r="C137" s="1"/>
      <c r="D137" s="1"/>
      <c r="G137" s="5" t="s">
        <v>202</v>
      </c>
      <c r="H137" s="42">
        <v>1</v>
      </c>
      <c r="I137" s="42">
        <v>1</v>
      </c>
      <c r="J137" s="13">
        <f t="shared" si="20"/>
        <v>9.0909090909090912E-2</v>
      </c>
      <c r="K137" s="13">
        <f t="shared" si="21"/>
        <v>9.0909090909090912E-2</v>
      </c>
      <c r="N137" s="5" t="s">
        <v>329</v>
      </c>
      <c r="O137" s="45">
        <v>1</v>
      </c>
      <c r="P137" s="42"/>
      <c r="Q137" s="13">
        <f t="shared" si="18"/>
        <v>9.0909090909090912E-2</v>
      </c>
      <c r="R137" s="13">
        <f t="shared" si="19"/>
        <v>0</v>
      </c>
      <c r="S137" s="54">
        <v>15322</v>
      </c>
      <c r="T137" s="1" t="s">
        <v>82</v>
      </c>
    </row>
    <row r="138" spans="2:22" x14ac:dyDescent="0.25">
      <c r="B138" s="1"/>
      <c r="C138" s="1"/>
      <c r="D138" s="1"/>
      <c r="F138" s="5"/>
      <c r="G138" s="5" t="s">
        <v>210</v>
      </c>
      <c r="H138" s="42">
        <v>1</v>
      </c>
      <c r="I138" s="42">
        <v>1</v>
      </c>
      <c r="J138" s="13">
        <f t="shared" si="20"/>
        <v>9.0909090909090912E-2</v>
      </c>
      <c r="K138" s="13">
        <f t="shared" si="21"/>
        <v>9.0909090909090912E-2</v>
      </c>
    </row>
    <row r="139" spans="2:22" x14ac:dyDescent="0.25">
      <c r="B139" s="1"/>
      <c r="C139" s="1"/>
      <c r="D139" s="1"/>
      <c r="G139" s="5" t="s">
        <v>307</v>
      </c>
      <c r="H139" s="42">
        <v>1</v>
      </c>
      <c r="I139" s="42">
        <v>1</v>
      </c>
      <c r="J139" s="13">
        <f t="shared" si="20"/>
        <v>9.0909090909090912E-2</v>
      </c>
      <c r="K139" s="13">
        <f t="shared" si="21"/>
        <v>9.0909090909090912E-2</v>
      </c>
    </row>
    <row r="140" spans="2:22" x14ac:dyDescent="0.25">
      <c r="B140" s="1"/>
      <c r="C140" s="1"/>
      <c r="D140" s="1"/>
      <c r="G140" s="5" t="s">
        <v>46</v>
      </c>
      <c r="H140" s="42">
        <v>1</v>
      </c>
      <c r="I140" s="42">
        <v>1</v>
      </c>
      <c r="J140" s="13">
        <f t="shared" si="20"/>
        <v>9.0909090909090912E-2</v>
      </c>
      <c r="K140" s="13">
        <f t="shared" si="21"/>
        <v>9.0909090909090912E-2</v>
      </c>
      <c r="M140" s="10" t="s">
        <v>55</v>
      </c>
      <c r="N140" s="10"/>
      <c r="O140" s="21" t="s">
        <v>376</v>
      </c>
      <c r="P140" s="21" t="s">
        <v>334</v>
      </c>
      <c r="Q140" s="29" t="s">
        <v>377</v>
      </c>
      <c r="R140" s="29" t="s">
        <v>336</v>
      </c>
      <c r="S140" s="49" t="s">
        <v>41</v>
      </c>
      <c r="T140" s="21" t="s">
        <v>134</v>
      </c>
    </row>
    <row r="141" spans="2:22" x14ac:dyDescent="0.25">
      <c r="B141" s="1"/>
      <c r="C141" s="1"/>
      <c r="D141" s="1"/>
      <c r="G141" s="5" t="s">
        <v>141</v>
      </c>
      <c r="H141" s="42">
        <v>1</v>
      </c>
      <c r="I141" s="42">
        <v>1</v>
      </c>
      <c r="J141" s="13">
        <f t="shared" si="20"/>
        <v>9.0909090909090912E-2</v>
      </c>
      <c r="K141" s="13">
        <f t="shared" si="21"/>
        <v>9.0909090909090912E-2</v>
      </c>
      <c r="M141" s="1">
        <v>1</v>
      </c>
      <c r="N141" s="5" t="s">
        <v>68</v>
      </c>
      <c r="O141" s="42">
        <v>6</v>
      </c>
      <c r="P141" s="42">
        <v>2</v>
      </c>
      <c r="Q141" s="13">
        <f t="shared" ref="Q141:Q172" si="22">O141/$H$1</f>
        <v>0.54545454545454541</v>
      </c>
      <c r="R141" s="13">
        <f t="shared" ref="R141:R172" si="23">P141/3</f>
        <v>0.66666666666666663</v>
      </c>
      <c r="S141" s="45">
        <v>12</v>
      </c>
      <c r="T141" s="1" t="s">
        <v>82</v>
      </c>
    </row>
    <row r="142" spans="2:22" x14ac:dyDescent="0.25">
      <c r="B142" s="1"/>
      <c r="C142" s="1"/>
      <c r="D142" s="1"/>
      <c r="G142" s="5" t="s">
        <v>313</v>
      </c>
      <c r="H142" s="42">
        <v>1</v>
      </c>
      <c r="I142" s="46">
        <v>1</v>
      </c>
      <c r="J142" s="13">
        <f t="shared" si="20"/>
        <v>9.0909090909090912E-2</v>
      </c>
      <c r="K142" s="13">
        <f t="shared" si="21"/>
        <v>9.0909090909090912E-2</v>
      </c>
      <c r="M142" s="1">
        <v>2</v>
      </c>
      <c r="N142" s="5" t="s">
        <v>67</v>
      </c>
      <c r="O142" s="42">
        <v>5</v>
      </c>
      <c r="P142" s="46">
        <v>1</v>
      </c>
      <c r="Q142" s="13">
        <f t="shared" si="22"/>
        <v>0.45454545454545453</v>
      </c>
      <c r="R142" s="13">
        <f t="shared" si="23"/>
        <v>0.33333333333333331</v>
      </c>
      <c r="S142" s="45">
        <v>15</v>
      </c>
      <c r="T142" s="1" t="s">
        <v>83</v>
      </c>
    </row>
    <row r="143" spans="2:22" x14ac:dyDescent="0.25">
      <c r="B143" s="1"/>
      <c r="C143" s="1"/>
      <c r="D143" s="1"/>
      <c r="G143" s="5" t="s">
        <v>212</v>
      </c>
      <c r="H143" s="42">
        <v>1</v>
      </c>
      <c r="I143" s="42">
        <v>1</v>
      </c>
      <c r="J143" s="13">
        <f t="shared" si="20"/>
        <v>9.0909090909090912E-2</v>
      </c>
      <c r="K143" s="13">
        <f t="shared" si="21"/>
        <v>9.0909090909090912E-2</v>
      </c>
      <c r="M143" s="1">
        <v>3</v>
      </c>
      <c r="N143" s="5" t="s">
        <v>375</v>
      </c>
      <c r="O143" s="52">
        <v>4</v>
      </c>
      <c r="P143" s="42">
        <v>3</v>
      </c>
      <c r="Q143" s="13">
        <f t="shared" si="22"/>
        <v>0.36363636363636365</v>
      </c>
      <c r="R143" s="13">
        <f t="shared" si="23"/>
        <v>1</v>
      </c>
      <c r="S143" s="45">
        <v>12</v>
      </c>
      <c r="T143" s="1" t="s">
        <v>84</v>
      </c>
    </row>
    <row r="144" spans="2:22" x14ac:dyDescent="0.25">
      <c r="G144" s="5" t="s">
        <v>314</v>
      </c>
      <c r="H144" s="42">
        <v>1</v>
      </c>
      <c r="I144" s="42">
        <v>1</v>
      </c>
      <c r="J144" s="13">
        <f t="shared" si="20"/>
        <v>9.0909090909090912E-2</v>
      </c>
      <c r="K144" s="13">
        <f t="shared" si="21"/>
        <v>9.0909090909090912E-2</v>
      </c>
      <c r="M144" s="1">
        <v>4</v>
      </c>
      <c r="N144" s="5" t="s">
        <v>234</v>
      </c>
      <c r="O144" s="45">
        <v>3</v>
      </c>
      <c r="P144" s="42">
        <v>2</v>
      </c>
      <c r="Q144" s="13">
        <f t="shared" si="22"/>
        <v>0.27272727272727271</v>
      </c>
      <c r="R144" s="13">
        <f t="shared" si="23"/>
        <v>0.66666666666666663</v>
      </c>
      <c r="S144" s="45">
        <v>14</v>
      </c>
      <c r="T144" s="1" t="s">
        <v>82</v>
      </c>
    </row>
    <row r="145" spans="2:20" x14ac:dyDescent="0.25">
      <c r="G145" s="5" t="s">
        <v>325</v>
      </c>
      <c r="H145" s="42">
        <v>1</v>
      </c>
      <c r="I145" s="42">
        <v>1</v>
      </c>
      <c r="J145" s="13">
        <f t="shared" si="20"/>
        <v>9.0909090909090912E-2</v>
      </c>
      <c r="K145" s="13">
        <f t="shared" si="21"/>
        <v>9.0909090909090912E-2</v>
      </c>
      <c r="M145" s="1">
        <v>5</v>
      </c>
      <c r="N145" s="5" t="s">
        <v>236</v>
      </c>
      <c r="O145" s="42">
        <v>3</v>
      </c>
      <c r="P145" s="42">
        <v>2</v>
      </c>
      <c r="Q145" s="13">
        <f t="shared" si="22"/>
        <v>0.27272727272727271</v>
      </c>
      <c r="R145" s="13">
        <f t="shared" si="23"/>
        <v>0.66666666666666663</v>
      </c>
      <c r="S145" s="45">
        <v>13</v>
      </c>
      <c r="T145" s="1" t="s">
        <v>84</v>
      </c>
    </row>
    <row r="146" spans="2:20" x14ac:dyDescent="0.25">
      <c r="B146" s="5"/>
      <c r="C146" s="1"/>
      <c r="D146" s="1"/>
      <c r="E146" s="1"/>
      <c r="G146" s="5" t="s">
        <v>289</v>
      </c>
      <c r="H146" s="42">
        <v>1</v>
      </c>
      <c r="I146" s="42">
        <v>1</v>
      </c>
      <c r="J146" s="13">
        <f t="shared" si="20"/>
        <v>9.0909090909090912E-2</v>
      </c>
      <c r="K146" s="13">
        <f t="shared" si="21"/>
        <v>9.0909090909090912E-2</v>
      </c>
      <c r="M146" s="1">
        <v>6</v>
      </c>
      <c r="N146" s="5" t="s">
        <v>66</v>
      </c>
      <c r="O146" s="42">
        <v>3</v>
      </c>
      <c r="P146" s="45">
        <v>2</v>
      </c>
      <c r="Q146" s="13">
        <f t="shared" si="22"/>
        <v>0.27272727272727271</v>
      </c>
      <c r="R146" s="13">
        <f t="shared" si="23"/>
        <v>0.66666666666666663</v>
      </c>
      <c r="S146" s="45">
        <v>12</v>
      </c>
      <c r="T146" s="1" t="s">
        <v>63</v>
      </c>
    </row>
    <row r="147" spans="2:20" x14ac:dyDescent="0.25">
      <c r="B147" s="5"/>
      <c r="C147" s="1"/>
      <c r="D147" s="1"/>
      <c r="E147" s="1"/>
      <c r="M147" s="1">
        <v>7</v>
      </c>
      <c r="N147" s="5" t="s">
        <v>177</v>
      </c>
      <c r="O147" s="42">
        <v>3</v>
      </c>
      <c r="P147" s="45">
        <v>1</v>
      </c>
      <c r="Q147" s="13">
        <f t="shared" si="22"/>
        <v>0.27272727272727271</v>
      </c>
      <c r="R147" s="13">
        <f t="shared" si="23"/>
        <v>0.33333333333333331</v>
      </c>
      <c r="S147" s="45">
        <v>12</v>
      </c>
      <c r="T147" s="1" t="s">
        <v>83</v>
      </c>
    </row>
    <row r="148" spans="2:20" x14ac:dyDescent="0.25">
      <c r="B148" s="5"/>
      <c r="C148" s="1"/>
      <c r="D148" s="1"/>
      <c r="E148" s="1"/>
      <c r="F148" s="11" t="s">
        <v>52</v>
      </c>
      <c r="G148" s="11"/>
      <c r="H148" s="21" t="s">
        <v>291</v>
      </c>
      <c r="I148" s="21" t="s">
        <v>282</v>
      </c>
      <c r="J148" s="29" t="s">
        <v>293</v>
      </c>
      <c r="K148" s="21" t="s">
        <v>294</v>
      </c>
      <c r="M148" s="1">
        <v>8</v>
      </c>
      <c r="N148" s="5" t="s">
        <v>384</v>
      </c>
      <c r="O148" s="42">
        <v>3</v>
      </c>
      <c r="P148" s="45">
        <v>1</v>
      </c>
      <c r="Q148" s="13">
        <f t="shared" si="22"/>
        <v>0.27272727272727271</v>
      </c>
      <c r="R148" s="13">
        <f t="shared" si="23"/>
        <v>0.33333333333333331</v>
      </c>
      <c r="S148" s="45">
        <v>12</v>
      </c>
      <c r="T148" s="1" t="s">
        <v>84</v>
      </c>
    </row>
    <row r="149" spans="2:20" x14ac:dyDescent="0.25">
      <c r="B149" s="5"/>
      <c r="C149" s="1"/>
      <c r="D149" s="1"/>
      <c r="E149" s="1"/>
      <c r="F149" s="1">
        <v>1</v>
      </c>
      <c r="G149" s="5" t="s">
        <v>145</v>
      </c>
      <c r="H149" s="42">
        <v>4</v>
      </c>
      <c r="I149" s="42">
        <v>6</v>
      </c>
      <c r="J149" s="13">
        <f t="shared" ref="J149:J175" si="24">H149/$H$1</f>
        <v>0.36363636363636365</v>
      </c>
      <c r="K149" s="13">
        <f t="shared" ref="K149:K175" si="25">I149/$H$1</f>
        <v>0.54545454545454541</v>
      </c>
      <c r="M149" s="48"/>
      <c r="N149" s="5" t="s">
        <v>342</v>
      </c>
      <c r="O149" s="42">
        <v>2</v>
      </c>
      <c r="P149" s="45">
        <v>3</v>
      </c>
      <c r="Q149" s="13">
        <f t="shared" si="22"/>
        <v>0.18181818181818182</v>
      </c>
      <c r="R149" s="13">
        <f t="shared" si="23"/>
        <v>1</v>
      </c>
      <c r="S149" s="45">
        <v>13</v>
      </c>
      <c r="T149" s="1" t="s">
        <v>82</v>
      </c>
    </row>
    <row r="150" spans="2:20" x14ac:dyDescent="0.25">
      <c r="B150" s="5"/>
      <c r="C150" s="1"/>
      <c r="D150" s="1"/>
      <c r="E150" s="1"/>
      <c r="F150" s="1">
        <v>2</v>
      </c>
      <c r="G150" s="5" t="s">
        <v>288</v>
      </c>
      <c r="H150" s="42">
        <v>3</v>
      </c>
      <c r="I150" s="42">
        <v>7</v>
      </c>
      <c r="J150" s="13">
        <f t="shared" si="24"/>
        <v>0.27272727272727271</v>
      </c>
      <c r="K150" s="13">
        <f t="shared" si="25"/>
        <v>0.63636363636363635</v>
      </c>
      <c r="M150" s="13"/>
      <c r="N150" s="5" t="s">
        <v>88</v>
      </c>
      <c r="O150" s="42">
        <v>2</v>
      </c>
      <c r="P150" s="45">
        <v>2</v>
      </c>
      <c r="Q150" s="13">
        <f t="shared" si="22"/>
        <v>0.18181818181818182</v>
      </c>
      <c r="R150" s="13">
        <f t="shared" si="23"/>
        <v>0.66666666666666663</v>
      </c>
      <c r="S150" s="45">
        <v>12</v>
      </c>
      <c r="T150" s="1" t="s">
        <v>63</v>
      </c>
    </row>
    <row r="151" spans="2:20" x14ac:dyDescent="0.25">
      <c r="B151" s="5"/>
      <c r="C151" s="1"/>
      <c r="D151" s="1"/>
      <c r="E151" s="1"/>
      <c r="F151" s="1">
        <v>3</v>
      </c>
      <c r="G151" s="5" t="s">
        <v>226</v>
      </c>
      <c r="H151" s="42">
        <v>3</v>
      </c>
      <c r="I151" s="42">
        <v>5</v>
      </c>
      <c r="J151" s="13">
        <f t="shared" si="24"/>
        <v>0.27272727272727271</v>
      </c>
      <c r="K151" s="13">
        <f t="shared" si="25"/>
        <v>0.45454545454545453</v>
      </c>
      <c r="M151" s="13"/>
      <c r="N151" s="5" t="s">
        <v>179</v>
      </c>
      <c r="O151" s="42">
        <v>2</v>
      </c>
      <c r="P151" s="45">
        <v>1</v>
      </c>
      <c r="Q151" s="13">
        <f t="shared" si="22"/>
        <v>0.18181818181818182</v>
      </c>
      <c r="R151" s="13">
        <f t="shared" si="23"/>
        <v>0.33333333333333331</v>
      </c>
      <c r="S151" s="45">
        <v>13</v>
      </c>
      <c r="T151" s="1" t="s">
        <v>82</v>
      </c>
    </row>
    <row r="152" spans="2:20" x14ac:dyDescent="0.25">
      <c r="F152" s="1">
        <v>4</v>
      </c>
      <c r="G152" s="5" t="s">
        <v>285</v>
      </c>
      <c r="H152" s="42">
        <v>3</v>
      </c>
      <c r="I152" s="42">
        <v>5</v>
      </c>
      <c r="J152" s="13">
        <f t="shared" si="24"/>
        <v>0.27272727272727271</v>
      </c>
      <c r="K152" s="13">
        <f t="shared" si="25"/>
        <v>0.45454545454545453</v>
      </c>
      <c r="M152" s="13"/>
      <c r="N152" s="5">
        <v>369</v>
      </c>
      <c r="O152" s="52">
        <v>2</v>
      </c>
      <c r="P152" s="42">
        <v>1</v>
      </c>
      <c r="Q152" s="13">
        <f t="shared" si="22"/>
        <v>0.18181818181818182</v>
      </c>
      <c r="R152" s="13">
        <f t="shared" si="23"/>
        <v>0.33333333333333331</v>
      </c>
      <c r="S152" s="45">
        <v>10</v>
      </c>
      <c r="T152" s="1" t="s">
        <v>84</v>
      </c>
    </row>
    <row r="153" spans="2:20" x14ac:dyDescent="0.25">
      <c r="F153" s="1">
        <v>5</v>
      </c>
      <c r="G153" s="5" t="s">
        <v>286</v>
      </c>
      <c r="H153" s="42">
        <v>2</v>
      </c>
      <c r="I153" s="42">
        <v>3</v>
      </c>
      <c r="J153" s="13">
        <f t="shared" si="24"/>
        <v>0.18181818181818182</v>
      </c>
      <c r="K153" s="13">
        <f t="shared" si="25"/>
        <v>0.27272727272727271</v>
      </c>
      <c r="M153" s="13"/>
      <c r="N153" s="5" t="s">
        <v>175</v>
      </c>
      <c r="O153" s="52">
        <v>2</v>
      </c>
      <c r="P153" s="42">
        <v>1</v>
      </c>
      <c r="Q153" s="13">
        <f t="shared" si="22"/>
        <v>0.18181818181818182</v>
      </c>
      <c r="R153" s="13">
        <f t="shared" si="23"/>
        <v>0.33333333333333331</v>
      </c>
      <c r="S153" s="45">
        <v>10</v>
      </c>
      <c r="T153" s="1" t="s">
        <v>85</v>
      </c>
    </row>
    <row r="154" spans="2:20" x14ac:dyDescent="0.25">
      <c r="B154" s="5"/>
      <c r="F154" s="1">
        <v>6</v>
      </c>
      <c r="G154" s="5" t="s">
        <v>152</v>
      </c>
      <c r="H154" s="42">
        <v>1</v>
      </c>
      <c r="I154" s="42">
        <v>6</v>
      </c>
      <c r="J154" s="13">
        <f t="shared" si="24"/>
        <v>9.0909090909090912E-2</v>
      </c>
      <c r="K154" s="13">
        <f t="shared" si="25"/>
        <v>0.54545454545454541</v>
      </c>
      <c r="M154" s="13"/>
      <c r="N154" s="5" t="s">
        <v>351</v>
      </c>
      <c r="O154" s="42">
        <v>2</v>
      </c>
      <c r="P154" s="45"/>
      <c r="Q154" s="13">
        <f t="shared" si="22"/>
        <v>0.18181818181818182</v>
      </c>
      <c r="R154" s="13">
        <f t="shared" si="23"/>
        <v>0</v>
      </c>
      <c r="S154" s="45">
        <v>12</v>
      </c>
      <c r="T154" s="1" t="s">
        <v>85</v>
      </c>
    </row>
    <row r="155" spans="2:20" x14ac:dyDescent="0.25">
      <c r="C155" s="1"/>
      <c r="D155" s="1"/>
      <c r="F155" s="1">
        <v>7</v>
      </c>
      <c r="G155" s="5" t="s">
        <v>154</v>
      </c>
      <c r="H155" s="42">
        <v>1</v>
      </c>
      <c r="I155" s="42">
        <v>5</v>
      </c>
      <c r="J155" s="13">
        <f t="shared" si="24"/>
        <v>9.0909090909090912E-2</v>
      </c>
      <c r="K155" s="13">
        <f t="shared" si="25"/>
        <v>0.45454545454545453</v>
      </c>
      <c r="M155" s="13"/>
      <c r="N155" s="5" t="s">
        <v>69</v>
      </c>
      <c r="O155" s="45">
        <v>2</v>
      </c>
      <c r="P155" s="42"/>
      <c r="Q155" s="13">
        <f t="shared" si="22"/>
        <v>0.18181818181818182</v>
      </c>
      <c r="R155" s="13">
        <f t="shared" si="23"/>
        <v>0</v>
      </c>
      <c r="S155" s="45">
        <v>10</v>
      </c>
      <c r="T155" s="1" t="s">
        <v>63</v>
      </c>
    </row>
    <row r="156" spans="2:20" x14ac:dyDescent="0.25">
      <c r="C156" s="1"/>
      <c r="D156" s="1"/>
      <c r="F156" s="1">
        <v>8</v>
      </c>
      <c r="G156" s="5" t="s">
        <v>211</v>
      </c>
      <c r="H156" s="42">
        <v>1</v>
      </c>
      <c r="I156" s="42">
        <v>5</v>
      </c>
      <c r="J156" s="13">
        <f t="shared" si="24"/>
        <v>9.0909090909090912E-2</v>
      </c>
      <c r="K156" s="13">
        <f t="shared" si="25"/>
        <v>0.45454545454545453</v>
      </c>
      <c r="M156" s="13"/>
      <c r="N156" s="5" t="s">
        <v>333</v>
      </c>
      <c r="O156" s="42">
        <v>2</v>
      </c>
      <c r="P156" s="45"/>
      <c r="Q156" s="13">
        <f t="shared" si="22"/>
        <v>0.18181818181818182</v>
      </c>
      <c r="R156" s="13">
        <f t="shared" si="23"/>
        <v>0</v>
      </c>
      <c r="S156" s="45">
        <v>9</v>
      </c>
      <c r="T156" s="1" t="s">
        <v>85</v>
      </c>
    </row>
    <row r="157" spans="2:20" x14ac:dyDescent="0.25">
      <c r="C157" s="1"/>
      <c r="D157" s="1"/>
      <c r="G157" s="5" t="s">
        <v>202</v>
      </c>
      <c r="H157" s="42">
        <v>1</v>
      </c>
      <c r="I157" s="42">
        <v>5</v>
      </c>
      <c r="J157" s="13">
        <f t="shared" si="24"/>
        <v>9.0909090909090912E-2</v>
      </c>
      <c r="K157" s="13">
        <f t="shared" si="25"/>
        <v>0.45454545454545453</v>
      </c>
      <c r="M157" s="13"/>
      <c r="N157" s="5" t="s">
        <v>330</v>
      </c>
      <c r="O157" s="42">
        <v>2</v>
      </c>
      <c r="P157" s="45"/>
      <c r="Q157" s="13">
        <f t="shared" si="22"/>
        <v>0.18181818181818182</v>
      </c>
      <c r="R157" s="13">
        <f t="shared" si="23"/>
        <v>0</v>
      </c>
      <c r="S157" s="45">
        <v>9</v>
      </c>
      <c r="T157" s="1" t="s">
        <v>85</v>
      </c>
    </row>
    <row r="158" spans="2:20" x14ac:dyDescent="0.25">
      <c r="C158" s="1"/>
      <c r="D158" s="1"/>
      <c r="G158" s="5" t="s">
        <v>284</v>
      </c>
      <c r="H158" s="42">
        <v>1</v>
      </c>
      <c r="I158" s="42">
        <v>4</v>
      </c>
      <c r="J158" s="13">
        <f t="shared" si="24"/>
        <v>9.0909090909090912E-2</v>
      </c>
      <c r="K158" s="13">
        <f t="shared" si="25"/>
        <v>0.36363636363636365</v>
      </c>
      <c r="M158" s="13"/>
      <c r="N158" s="5" t="s">
        <v>392</v>
      </c>
      <c r="O158" s="42">
        <v>1</v>
      </c>
      <c r="P158" s="45">
        <v>2</v>
      </c>
      <c r="Q158" s="13">
        <f t="shared" si="22"/>
        <v>9.0909090909090912E-2</v>
      </c>
      <c r="R158" s="13">
        <f t="shared" si="23"/>
        <v>0.66666666666666663</v>
      </c>
      <c r="S158" s="45">
        <v>14</v>
      </c>
      <c r="T158" s="1" t="s">
        <v>83</v>
      </c>
    </row>
    <row r="159" spans="2:20" x14ac:dyDescent="0.25">
      <c r="G159" s="5" t="s">
        <v>143</v>
      </c>
      <c r="H159" s="42">
        <v>1</v>
      </c>
      <c r="I159" s="42">
        <v>4</v>
      </c>
      <c r="J159" s="13">
        <f t="shared" si="24"/>
        <v>9.0909090909090912E-2</v>
      </c>
      <c r="K159" s="13">
        <f t="shared" si="25"/>
        <v>0.36363636363636365</v>
      </c>
      <c r="M159" s="13"/>
      <c r="N159" s="5" t="s">
        <v>65</v>
      </c>
      <c r="O159" s="42">
        <v>1</v>
      </c>
      <c r="P159" s="45">
        <v>1</v>
      </c>
      <c r="Q159" s="13">
        <f t="shared" si="22"/>
        <v>9.0909090909090912E-2</v>
      </c>
      <c r="R159" s="13">
        <f t="shared" si="23"/>
        <v>0.33333333333333331</v>
      </c>
      <c r="S159" s="45">
        <v>13</v>
      </c>
      <c r="T159" s="1" t="s">
        <v>63</v>
      </c>
    </row>
    <row r="160" spans="2:20" x14ac:dyDescent="0.25">
      <c r="G160" s="5" t="s">
        <v>290</v>
      </c>
      <c r="H160" s="42">
        <v>1</v>
      </c>
      <c r="I160" s="42">
        <v>4</v>
      </c>
      <c r="J160" s="13">
        <f t="shared" si="24"/>
        <v>9.0909090909090912E-2</v>
      </c>
      <c r="K160" s="13">
        <f t="shared" si="25"/>
        <v>0.36363636363636365</v>
      </c>
      <c r="M160" s="13"/>
      <c r="N160" s="5" t="s">
        <v>181</v>
      </c>
      <c r="O160" s="42">
        <v>1</v>
      </c>
      <c r="P160" s="45">
        <v>1</v>
      </c>
      <c r="Q160" s="13">
        <f t="shared" si="22"/>
        <v>9.0909090909090912E-2</v>
      </c>
      <c r="R160" s="13">
        <f t="shared" si="23"/>
        <v>0.33333333333333331</v>
      </c>
      <c r="S160" s="45">
        <v>12</v>
      </c>
      <c r="T160" s="1" t="s">
        <v>85</v>
      </c>
    </row>
    <row r="161" spans="3:20" x14ac:dyDescent="0.25">
      <c r="C161" s="1"/>
      <c r="D161" s="1"/>
      <c r="F161" s="5"/>
      <c r="G161" s="5" t="s">
        <v>283</v>
      </c>
      <c r="H161" s="42">
        <v>1</v>
      </c>
      <c r="I161" s="42">
        <v>4</v>
      </c>
      <c r="J161" s="13">
        <f t="shared" si="24"/>
        <v>9.0909090909090912E-2</v>
      </c>
      <c r="K161" s="13">
        <f t="shared" si="25"/>
        <v>0.36363636363636365</v>
      </c>
      <c r="N161" s="5" t="s">
        <v>79</v>
      </c>
      <c r="O161" s="42">
        <v>1</v>
      </c>
      <c r="P161" s="45">
        <v>1</v>
      </c>
      <c r="Q161" s="13">
        <f t="shared" si="22"/>
        <v>9.0909090909090912E-2</v>
      </c>
      <c r="R161" s="13">
        <f t="shared" si="23"/>
        <v>0.33333333333333331</v>
      </c>
      <c r="S161" s="45">
        <v>12</v>
      </c>
      <c r="T161" s="1" t="s">
        <v>85</v>
      </c>
    </row>
    <row r="162" spans="3:20" x14ac:dyDescent="0.25">
      <c r="C162" s="1"/>
      <c r="D162" s="1"/>
      <c r="G162" s="5" t="s">
        <v>149</v>
      </c>
      <c r="H162" s="42">
        <v>1</v>
      </c>
      <c r="I162" s="42">
        <v>4</v>
      </c>
      <c r="J162" s="13">
        <f t="shared" si="24"/>
        <v>9.0909090909090912E-2</v>
      </c>
      <c r="K162" s="13">
        <f t="shared" si="25"/>
        <v>0.36363636363636365</v>
      </c>
      <c r="N162" s="5" t="s">
        <v>235</v>
      </c>
      <c r="O162" s="45">
        <v>1</v>
      </c>
      <c r="P162" s="42">
        <v>1</v>
      </c>
      <c r="Q162" s="13">
        <f t="shared" si="22"/>
        <v>9.0909090909090912E-2</v>
      </c>
      <c r="R162" s="13">
        <f t="shared" si="23"/>
        <v>0.33333333333333331</v>
      </c>
      <c r="S162" s="45">
        <v>11</v>
      </c>
      <c r="T162" s="1" t="s">
        <v>82</v>
      </c>
    </row>
    <row r="163" spans="3:20" x14ac:dyDescent="0.25">
      <c r="C163" s="1"/>
      <c r="D163" s="1"/>
      <c r="G163" s="5" t="s">
        <v>298</v>
      </c>
      <c r="H163" s="42">
        <v>1</v>
      </c>
      <c r="I163" s="42">
        <v>3</v>
      </c>
      <c r="J163" s="13">
        <f t="shared" si="24"/>
        <v>9.0909090909090912E-2</v>
      </c>
      <c r="K163" s="13">
        <f t="shared" si="25"/>
        <v>0.27272727272727271</v>
      </c>
      <c r="N163" s="5" t="s">
        <v>352</v>
      </c>
      <c r="O163" s="42">
        <v>1</v>
      </c>
      <c r="P163" s="45">
        <v>1</v>
      </c>
      <c r="Q163" s="13">
        <f t="shared" si="22"/>
        <v>9.0909090909090912E-2</v>
      </c>
      <c r="R163" s="13">
        <f t="shared" si="23"/>
        <v>0.33333333333333331</v>
      </c>
      <c r="S163" s="45">
        <v>11</v>
      </c>
      <c r="T163" s="1" t="s">
        <v>63</v>
      </c>
    </row>
    <row r="164" spans="3:20" x14ac:dyDescent="0.25">
      <c r="C164" s="1"/>
      <c r="D164" s="1"/>
      <c r="G164" s="5" t="s">
        <v>206</v>
      </c>
      <c r="H164" s="42">
        <v>1</v>
      </c>
      <c r="I164" s="42">
        <v>3</v>
      </c>
      <c r="J164" s="13">
        <f t="shared" si="24"/>
        <v>9.0909090909090912E-2</v>
      </c>
      <c r="K164" s="13">
        <f t="shared" si="25"/>
        <v>0.27272727272727271</v>
      </c>
      <c r="N164" s="5" t="s">
        <v>397</v>
      </c>
      <c r="O164" s="42">
        <v>1</v>
      </c>
      <c r="P164" s="45">
        <v>1</v>
      </c>
      <c r="Q164" s="13">
        <f t="shared" si="22"/>
        <v>9.0909090909090912E-2</v>
      </c>
      <c r="R164" s="13">
        <f t="shared" si="23"/>
        <v>0.33333333333333331</v>
      </c>
      <c r="S164" s="45">
        <v>11</v>
      </c>
      <c r="T164" s="1" t="s">
        <v>83</v>
      </c>
    </row>
    <row r="165" spans="3:20" x14ac:dyDescent="0.25">
      <c r="C165" s="1"/>
      <c r="D165" s="1"/>
      <c r="G165" s="5" t="s">
        <v>289</v>
      </c>
      <c r="H165" s="42">
        <v>1</v>
      </c>
      <c r="I165" s="42">
        <v>3</v>
      </c>
      <c r="J165" s="13">
        <f t="shared" si="24"/>
        <v>9.0909090909090912E-2</v>
      </c>
      <c r="K165" s="13">
        <f t="shared" si="25"/>
        <v>0.27272727272727271</v>
      </c>
      <c r="N165" s="5" t="s">
        <v>368</v>
      </c>
      <c r="O165" s="42">
        <v>1</v>
      </c>
      <c r="P165" s="45">
        <v>1</v>
      </c>
      <c r="Q165" s="13">
        <f t="shared" si="22"/>
        <v>9.0909090909090912E-2</v>
      </c>
      <c r="R165" s="13">
        <f t="shared" si="23"/>
        <v>0.33333333333333331</v>
      </c>
      <c r="S165" s="45">
        <v>10</v>
      </c>
      <c r="T165" s="1" t="s">
        <v>84</v>
      </c>
    </row>
    <row r="166" spans="3:20" x14ac:dyDescent="0.25">
      <c r="C166" s="1"/>
      <c r="D166" s="1"/>
      <c r="G166" s="5" t="s">
        <v>201</v>
      </c>
      <c r="H166" s="42">
        <v>1</v>
      </c>
      <c r="I166" s="42">
        <v>3</v>
      </c>
      <c r="J166" s="13">
        <f t="shared" si="24"/>
        <v>9.0909090909090912E-2</v>
      </c>
      <c r="K166" s="13">
        <f t="shared" si="25"/>
        <v>0.27272727272727271</v>
      </c>
      <c r="N166" s="5" t="s">
        <v>394</v>
      </c>
      <c r="O166" s="42">
        <v>1</v>
      </c>
      <c r="P166" s="45">
        <v>1</v>
      </c>
      <c r="Q166" s="13">
        <f t="shared" si="22"/>
        <v>9.0909090909090912E-2</v>
      </c>
      <c r="R166" s="13">
        <f t="shared" si="23"/>
        <v>0.33333333333333331</v>
      </c>
      <c r="S166" s="45">
        <v>10</v>
      </c>
      <c r="T166" s="1" t="s">
        <v>83</v>
      </c>
    </row>
    <row r="167" spans="3:20" x14ac:dyDescent="0.25">
      <c r="C167" s="1"/>
      <c r="D167" s="1"/>
      <c r="G167" s="5" t="s">
        <v>310</v>
      </c>
      <c r="H167" s="42">
        <v>1</v>
      </c>
      <c r="I167" s="42">
        <v>3</v>
      </c>
      <c r="J167" s="13">
        <f t="shared" si="24"/>
        <v>9.0909090909090912E-2</v>
      </c>
      <c r="K167" s="13">
        <f t="shared" si="25"/>
        <v>0.27272727272727271</v>
      </c>
      <c r="N167" s="5" t="s">
        <v>176</v>
      </c>
      <c r="O167" s="42">
        <v>1</v>
      </c>
      <c r="P167" s="42">
        <v>1</v>
      </c>
      <c r="Q167" s="13">
        <f t="shared" si="22"/>
        <v>9.0909090909090912E-2</v>
      </c>
      <c r="R167" s="13">
        <f t="shared" si="23"/>
        <v>0.33333333333333331</v>
      </c>
      <c r="S167" s="45">
        <v>10</v>
      </c>
      <c r="T167" s="1" t="s">
        <v>85</v>
      </c>
    </row>
    <row r="168" spans="3:20" x14ac:dyDescent="0.25">
      <c r="C168" s="1"/>
      <c r="D168" s="1"/>
      <c r="G168" s="5" t="s">
        <v>148</v>
      </c>
      <c r="H168" s="42">
        <v>1</v>
      </c>
      <c r="I168" s="42">
        <v>3</v>
      </c>
      <c r="J168" s="13">
        <f t="shared" si="24"/>
        <v>9.0909090909090912E-2</v>
      </c>
      <c r="K168" s="13">
        <f t="shared" si="25"/>
        <v>0.27272727272727271</v>
      </c>
      <c r="L168" s="1"/>
      <c r="N168" s="5" t="s">
        <v>70</v>
      </c>
      <c r="O168" s="42">
        <v>1</v>
      </c>
      <c r="P168" s="45"/>
      <c r="Q168" s="13">
        <f t="shared" si="22"/>
        <v>9.0909090909090912E-2</v>
      </c>
      <c r="R168" s="13">
        <f t="shared" si="23"/>
        <v>0</v>
      </c>
      <c r="S168" s="45">
        <v>13</v>
      </c>
      <c r="T168" s="1" t="s">
        <v>83</v>
      </c>
    </row>
    <row r="169" spans="3:20" x14ac:dyDescent="0.25">
      <c r="G169" s="5" t="s">
        <v>227</v>
      </c>
      <c r="H169" s="42">
        <v>1</v>
      </c>
      <c r="I169" s="42">
        <v>3</v>
      </c>
      <c r="J169" s="13">
        <f t="shared" si="24"/>
        <v>9.0909090909090912E-2</v>
      </c>
      <c r="K169" s="13">
        <f t="shared" si="25"/>
        <v>0.27272727272727271</v>
      </c>
      <c r="L169" s="1"/>
      <c r="N169" s="5" t="s">
        <v>237</v>
      </c>
      <c r="O169" s="42">
        <v>1</v>
      </c>
      <c r="P169" s="45"/>
      <c r="Q169" s="13">
        <f t="shared" si="22"/>
        <v>9.0909090909090912E-2</v>
      </c>
      <c r="R169" s="13">
        <f t="shared" si="23"/>
        <v>0</v>
      </c>
      <c r="S169" s="45">
        <v>13</v>
      </c>
      <c r="T169" s="1" t="s">
        <v>63</v>
      </c>
    </row>
    <row r="170" spans="3:20" x14ac:dyDescent="0.25">
      <c r="G170" s="5" t="s">
        <v>317</v>
      </c>
      <c r="H170" s="42">
        <v>1</v>
      </c>
      <c r="I170" s="42">
        <v>2</v>
      </c>
      <c r="J170" s="13">
        <f t="shared" si="24"/>
        <v>9.0909090909090912E-2</v>
      </c>
      <c r="K170" s="13">
        <f t="shared" si="25"/>
        <v>0.18181818181818182</v>
      </c>
      <c r="L170" s="1"/>
      <c r="N170" s="5" t="s">
        <v>374</v>
      </c>
      <c r="O170" s="52">
        <v>1</v>
      </c>
      <c r="P170" s="42"/>
      <c r="Q170" s="13">
        <f t="shared" si="22"/>
        <v>9.0909090909090912E-2</v>
      </c>
      <c r="R170" s="13">
        <f t="shared" si="23"/>
        <v>0</v>
      </c>
      <c r="S170" s="45">
        <v>13</v>
      </c>
      <c r="T170" s="1" t="s">
        <v>83</v>
      </c>
    </row>
    <row r="171" spans="3:20" x14ac:dyDescent="0.25">
      <c r="G171" s="5" t="s">
        <v>141</v>
      </c>
      <c r="H171" s="42">
        <v>1</v>
      </c>
      <c r="I171" s="42">
        <v>2</v>
      </c>
      <c r="J171" s="13">
        <f t="shared" si="24"/>
        <v>9.0909090909090912E-2</v>
      </c>
      <c r="K171" s="13">
        <f t="shared" si="25"/>
        <v>0.18181818181818182</v>
      </c>
      <c r="L171" s="1"/>
      <c r="N171" s="5" t="s">
        <v>388</v>
      </c>
      <c r="O171" s="42">
        <v>1</v>
      </c>
      <c r="P171" s="45"/>
      <c r="Q171" s="13">
        <f t="shared" si="22"/>
        <v>9.0909090909090912E-2</v>
      </c>
      <c r="R171" s="13">
        <f t="shared" si="23"/>
        <v>0</v>
      </c>
      <c r="S171" s="45">
        <v>12</v>
      </c>
      <c r="T171" s="1" t="s">
        <v>84</v>
      </c>
    </row>
    <row r="172" spans="3:20" x14ac:dyDescent="0.25">
      <c r="G172" s="5" t="s">
        <v>312</v>
      </c>
      <c r="H172" s="42">
        <v>1</v>
      </c>
      <c r="I172" s="42">
        <v>2</v>
      </c>
      <c r="J172" s="13">
        <f t="shared" si="24"/>
        <v>9.0909090909090912E-2</v>
      </c>
      <c r="K172" s="13">
        <f t="shared" si="25"/>
        <v>0.18181818181818182</v>
      </c>
      <c r="L172" s="1"/>
      <c r="N172" s="5" t="s">
        <v>389</v>
      </c>
      <c r="O172" s="42">
        <v>1</v>
      </c>
      <c r="P172" s="45"/>
      <c r="Q172" s="13">
        <f t="shared" si="22"/>
        <v>9.0909090909090912E-2</v>
      </c>
      <c r="R172" s="13">
        <f t="shared" si="23"/>
        <v>0</v>
      </c>
      <c r="S172" s="45">
        <v>12</v>
      </c>
      <c r="T172" s="1" t="s">
        <v>83</v>
      </c>
    </row>
    <row r="173" spans="3:20" x14ac:dyDescent="0.25">
      <c r="G173" s="5" t="s">
        <v>173</v>
      </c>
      <c r="H173" s="42">
        <v>1</v>
      </c>
      <c r="I173" s="42">
        <v>1</v>
      </c>
      <c r="J173" s="13">
        <f t="shared" si="24"/>
        <v>9.0909090909090912E-2</v>
      </c>
      <c r="K173" s="13">
        <f t="shared" si="25"/>
        <v>9.0909090909090912E-2</v>
      </c>
      <c r="L173" s="1"/>
      <c r="N173" s="5" t="s">
        <v>340</v>
      </c>
      <c r="O173" s="42">
        <v>1</v>
      </c>
      <c r="P173" s="45"/>
      <c r="Q173" s="13">
        <f t="shared" ref="Q173:Q194" si="26">O173/$H$1</f>
        <v>9.0909090909090912E-2</v>
      </c>
      <c r="R173" s="13">
        <f t="shared" ref="R173:R194" si="27">P173/3</f>
        <v>0</v>
      </c>
      <c r="S173" s="45">
        <v>12</v>
      </c>
      <c r="T173" s="1" t="s">
        <v>63</v>
      </c>
    </row>
    <row r="174" spans="3:20" x14ac:dyDescent="0.25">
      <c r="G174" s="5" t="s">
        <v>287</v>
      </c>
      <c r="H174" s="42">
        <v>1</v>
      </c>
      <c r="I174" s="42">
        <v>1</v>
      </c>
      <c r="J174" s="13">
        <f t="shared" si="24"/>
        <v>9.0909090909090912E-2</v>
      </c>
      <c r="K174" s="13">
        <f t="shared" si="25"/>
        <v>9.0909090909090912E-2</v>
      </c>
      <c r="L174" s="1"/>
      <c r="N174" s="5" t="s">
        <v>390</v>
      </c>
      <c r="O174" s="42">
        <v>1</v>
      </c>
      <c r="P174" s="45"/>
      <c r="Q174" s="13">
        <f t="shared" si="26"/>
        <v>9.0909090909090912E-2</v>
      </c>
      <c r="R174" s="13">
        <f t="shared" si="27"/>
        <v>0</v>
      </c>
      <c r="S174" s="45">
        <v>12</v>
      </c>
      <c r="T174" s="1" t="s">
        <v>84</v>
      </c>
    </row>
    <row r="175" spans="3:20" x14ac:dyDescent="0.25">
      <c r="G175" s="5" t="s">
        <v>314</v>
      </c>
      <c r="H175" s="42">
        <v>1</v>
      </c>
      <c r="I175" s="42">
        <v>1</v>
      </c>
      <c r="J175" s="13">
        <f t="shared" si="24"/>
        <v>9.0909090909090912E-2</v>
      </c>
      <c r="K175" s="13">
        <f t="shared" si="25"/>
        <v>9.0909090909090912E-2</v>
      </c>
      <c r="L175" s="1"/>
      <c r="N175" s="5" t="s">
        <v>391</v>
      </c>
      <c r="O175" s="42">
        <v>1</v>
      </c>
      <c r="P175" s="45"/>
      <c r="Q175" s="13">
        <f t="shared" si="26"/>
        <v>9.0909090909090912E-2</v>
      </c>
      <c r="R175" s="13">
        <f t="shared" si="27"/>
        <v>0</v>
      </c>
      <c r="S175" s="45">
        <v>12</v>
      </c>
      <c r="T175" s="1" t="s">
        <v>82</v>
      </c>
    </row>
    <row r="176" spans="3:20" x14ac:dyDescent="0.25">
      <c r="N176" s="5" t="s">
        <v>378</v>
      </c>
      <c r="O176" s="42">
        <v>1</v>
      </c>
      <c r="P176" s="45"/>
      <c r="Q176" s="13">
        <f t="shared" si="26"/>
        <v>9.0909090909090912E-2</v>
      </c>
      <c r="R176" s="13">
        <f t="shared" si="27"/>
        <v>0</v>
      </c>
      <c r="S176" s="45">
        <v>11</v>
      </c>
      <c r="T176" s="1" t="s">
        <v>83</v>
      </c>
    </row>
    <row r="177" spans="6:20" x14ac:dyDescent="0.25">
      <c r="F177" s="11" t="s">
        <v>50</v>
      </c>
      <c r="G177" s="11"/>
      <c r="H177" s="21" t="s">
        <v>291</v>
      </c>
      <c r="I177" s="21" t="s">
        <v>282</v>
      </c>
      <c r="J177" s="29" t="s">
        <v>293</v>
      </c>
      <c r="K177" s="21" t="s">
        <v>294</v>
      </c>
      <c r="N177" s="5" t="s">
        <v>72</v>
      </c>
      <c r="O177" s="42">
        <v>1</v>
      </c>
      <c r="P177" s="46"/>
      <c r="Q177" s="13">
        <f t="shared" si="26"/>
        <v>9.0909090909090912E-2</v>
      </c>
      <c r="R177" s="13">
        <f t="shared" si="27"/>
        <v>0</v>
      </c>
      <c r="S177" s="45">
        <v>11</v>
      </c>
      <c r="T177" s="1" t="s">
        <v>83</v>
      </c>
    </row>
    <row r="178" spans="6:20" x14ac:dyDescent="0.25">
      <c r="F178" s="1">
        <v>1</v>
      </c>
      <c r="G178" s="5" t="s">
        <v>146</v>
      </c>
      <c r="H178" s="42">
        <v>4</v>
      </c>
      <c r="I178" s="42">
        <v>5</v>
      </c>
      <c r="J178" s="13">
        <f t="shared" ref="J178:J200" si="28">H178/$H$1</f>
        <v>0.36363636363636365</v>
      </c>
      <c r="K178" s="13">
        <f t="shared" ref="K178:K200" si="29">I178/$H$1</f>
        <v>0.45454545454545453</v>
      </c>
      <c r="N178" s="5" t="s">
        <v>71</v>
      </c>
      <c r="O178" s="42">
        <v>1</v>
      </c>
      <c r="P178" s="45"/>
      <c r="Q178" s="13">
        <f t="shared" si="26"/>
        <v>9.0909090909090912E-2</v>
      </c>
      <c r="R178" s="13">
        <f t="shared" si="27"/>
        <v>0</v>
      </c>
      <c r="S178" s="45">
        <v>11</v>
      </c>
      <c r="T178" s="1" t="s">
        <v>83</v>
      </c>
    </row>
    <row r="179" spans="6:20" x14ac:dyDescent="0.25">
      <c r="F179" s="1">
        <v>2</v>
      </c>
      <c r="G179" s="5" t="s">
        <v>170</v>
      </c>
      <c r="H179" s="42">
        <v>3</v>
      </c>
      <c r="I179" s="42">
        <v>9</v>
      </c>
      <c r="J179" s="13">
        <f t="shared" si="28"/>
        <v>0.27272727272727271</v>
      </c>
      <c r="K179" s="13">
        <f t="shared" si="29"/>
        <v>0.81818181818181823</v>
      </c>
      <c r="N179" s="5" t="s">
        <v>341</v>
      </c>
      <c r="O179" s="42">
        <v>1</v>
      </c>
      <c r="P179" s="45"/>
      <c r="Q179" s="13">
        <f t="shared" si="26"/>
        <v>9.0909090909090912E-2</v>
      </c>
      <c r="R179" s="13">
        <f t="shared" si="27"/>
        <v>0</v>
      </c>
      <c r="S179" s="45">
        <v>10</v>
      </c>
      <c r="T179" s="1" t="s">
        <v>63</v>
      </c>
    </row>
    <row r="180" spans="6:20" x14ac:dyDescent="0.25">
      <c r="F180" s="1">
        <v>3</v>
      </c>
      <c r="G180" s="5" t="s">
        <v>158</v>
      </c>
      <c r="H180" s="42">
        <v>3</v>
      </c>
      <c r="I180" s="42">
        <v>3</v>
      </c>
      <c r="J180" s="13">
        <f t="shared" si="28"/>
        <v>0.27272727272727271</v>
      </c>
      <c r="K180" s="13">
        <f t="shared" si="29"/>
        <v>0.27272727272727271</v>
      </c>
      <c r="N180" s="5" t="s">
        <v>393</v>
      </c>
      <c r="O180" s="42">
        <v>1</v>
      </c>
      <c r="P180" s="45"/>
      <c r="Q180" s="13">
        <f t="shared" si="26"/>
        <v>9.0909090909090912E-2</v>
      </c>
      <c r="R180" s="13">
        <f t="shared" si="27"/>
        <v>0</v>
      </c>
      <c r="S180" s="45">
        <v>10</v>
      </c>
      <c r="T180" s="1" t="s">
        <v>84</v>
      </c>
    </row>
    <row r="181" spans="6:20" x14ac:dyDescent="0.25">
      <c r="F181" s="1">
        <v>4</v>
      </c>
      <c r="G181" s="5" t="s">
        <v>290</v>
      </c>
      <c r="H181" s="42">
        <v>2</v>
      </c>
      <c r="I181" s="42">
        <v>9</v>
      </c>
      <c r="J181" s="13">
        <f t="shared" si="28"/>
        <v>0.18181818181818182</v>
      </c>
      <c r="K181" s="13">
        <f t="shared" si="29"/>
        <v>0.81818181818181823</v>
      </c>
      <c r="N181" s="5" t="s">
        <v>379</v>
      </c>
      <c r="O181" s="52">
        <v>1</v>
      </c>
      <c r="P181" s="42"/>
      <c r="Q181" s="13">
        <f t="shared" si="26"/>
        <v>9.0909090909090912E-2</v>
      </c>
      <c r="R181" s="13">
        <f t="shared" si="27"/>
        <v>0</v>
      </c>
      <c r="S181" s="45">
        <v>10</v>
      </c>
      <c r="T181" s="1" t="s">
        <v>82</v>
      </c>
    </row>
    <row r="182" spans="6:20" x14ac:dyDescent="0.25">
      <c r="F182" s="1">
        <v>5</v>
      </c>
      <c r="G182" s="5" t="s">
        <v>157</v>
      </c>
      <c r="H182" s="42">
        <v>2</v>
      </c>
      <c r="I182" s="42">
        <v>6</v>
      </c>
      <c r="J182" s="13">
        <f t="shared" si="28"/>
        <v>0.18181818181818182</v>
      </c>
      <c r="K182" s="13">
        <f t="shared" si="29"/>
        <v>0.54545454545454541</v>
      </c>
      <c r="N182" s="5" t="s">
        <v>385</v>
      </c>
      <c r="O182" s="42">
        <v>1</v>
      </c>
      <c r="P182" s="45"/>
      <c r="Q182" s="13">
        <f t="shared" si="26"/>
        <v>9.0909090909090912E-2</v>
      </c>
      <c r="R182" s="13">
        <f t="shared" si="27"/>
        <v>0</v>
      </c>
      <c r="S182" s="45">
        <v>10</v>
      </c>
      <c r="T182" s="1" t="s">
        <v>83</v>
      </c>
    </row>
    <row r="183" spans="6:20" x14ac:dyDescent="0.25">
      <c r="F183" s="1">
        <v>6</v>
      </c>
      <c r="G183" s="5" t="s">
        <v>201</v>
      </c>
      <c r="H183" s="42">
        <v>2</v>
      </c>
      <c r="I183" s="42">
        <v>5</v>
      </c>
      <c r="J183" s="13">
        <f t="shared" si="28"/>
        <v>0.18181818181818182</v>
      </c>
      <c r="K183" s="13">
        <f t="shared" si="29"/>
        <v>0.45454545454545453</v>
      </c>
      <c r="N183" s="5" t="s">
        <v>380</v>
      </c>
      <c r="O183" s="42">
        <v>1</v>
      </c>
      <c r="P183" s="45"/>
      <c r="Q183" s="13">
        <f t="shared" si="26"/>
        <v>9.0909090909090912E-2</v>
      </c>
      <c r="R183" s="13">
        <f t="shared" si="27"/>
        <v>0</v>
      </c>
      <c r="S183" s="45">
        <v>10</v>
      </c>
      <c r="T183" s="1" t="s">
        <v>85</v>
      </c>
    </row>
    <row r="184" spans="6:20" x14ac:dyDescent="0.25">
      <c r="F184" s="1">
        <v>7</v>
      </c>
      <c r="G184" s="5" t="s">
        <v>227</v>
      </c>
      <c r="H184" s="42">
        <v>1</v>
      </c>
      <c r="I184" s="42">
        <v>6</v>
      </c>
      <c r="J184" s="13">
        <f t="shared" si="28"/>
        <v>9.0909090909090912E-2</v>
      </c>
      <c r="K184" s="13">
        <f t="shared" si="29"/>
        <v>0.54545454545454541</v>
      </c>
      <c r="N184" s="5" t="s">
        <v>395</v>
      </c>
      <c r="O184" s="42">
        <v>1</v>
      </c>
      <c r="P184" s="45"/>
      <c r="Q184" s="13">
        <f t="shared" si="26"/>
        <v>9.0909090909090912E-2</v>
      </c>
      <c r="R184" s="13">
        <f t="shared" si="27"/>
        <v>0</v>
      </c>
      <c r="S184" s="45">
        <v>10</v>
      </c>
      <c r="T184" s="1" t="s">
        <v>83</v>
      </c>
    </row>
    <row r="185" spans="6:20" x14ac:dyDescent="0.25">
      <c r="F185" s="1">
        <v>8</v>
      </c>
      <c r="G185" s="5" t="s">
        <v>159</v>
      </c>
      <c r="H185" s="42">
        <v>1</v>
      </c>
      <c r="I185" s="42">
        <v>5</v>
      </c>
      <c r="J185" s="13">
        <f t="shared" si="28"/>
        <v>9.0909090909090912E-2</v>
      </c>
      <c r="K185" s="13">
        <f t="shared" si="29"/>
        <v>0.45454545454545453</v>
      </c>
      <c r="N185" s="5" t="s">
        <v>362</v>
      </c>
      <c r="O185" s="42">
        <v>1</v>
      </c>
      <c r="P185" s="45"/>
      <c r="Q185" s="13">
        <f t="shared" si="26"/>
        <v>9.0909090909090912E-2</v>
      </c>
      <c r="R185" s="13">
        <f t="shared" si="27"/>
        <v>0</v>
      </c>
      <c r="S185" s="45">
        <v>10</v>
      </c>
      <c r="T185" s="1" t="s">
        <v>82</v>
      </c>
    </row>
    <row r="186" spans="6:20" x14ac:dyDescent="0.25">
      <c r="G186" s="5" t="s">
        <v>160</v>
      </c>
      <c r="H186" s="42">
        <v>1</v>
      </c>
      <c r="I186" s="42">
        <v>5</v>
      </c>
      <c r="J186" s="13">
        <f t="shared" si="28"/>
        <v>9.0909090909090912E-2</v>
      </c>
      <c r="K186" s="13">
        <f t="shared" si="29"/>
        <v>0.45454545454545453</v>
      </c>
      <c r="N186" s="5" t="s">
        <v>174</v>
      </c>
      <c r="O186" s="42">
        <v>1</v>
      </c>
      <c r="P186" s="45"/>
      <c r="Q186" s="13">
        <f t="shared" si="26"/>
        <v>9.0909090909090912E-2</v>
      </c>
      <c r="R186" s="13">
        <f t="shared" si="27"/>
        <v>0</v>
      </c>
      <c r="S186" s="45">
        <v>9</v>
      </c>
      <c r="T186" s="1" t="s">
        <v>82</v>
      </c>
    </row>
    <row r="187" spans="6:20" x14ac:dyDescent="0.25">
      <c r="G187" s="5" t="s">
        <v>318</v>
      </c>
      <c r="H187" s="42">
        <v>1</v>
      </c>
      <c r="I187" s="42">
        <v>4</v>
      </c>
      <c r="J187" s="13">
        <f t="shared" si="28"/>
        <v>9.0909090909090912E-2</v>
      </c>
      <c r="K187" s="13">
        <f t="shared" si="29"/>
        <v>0.36363636363636365</v>
      </c>
      <c r="N187" s="5" t="s">
        <v>396</v>
      </c>
      <c r="O187" s="42">
        <v>1</v>
      </c>
      <c r="P187" s="45"/>
      <c r="Q187" s="13">
        <f t="shared" si="26"/>
        <v>9.0909090909090912E-2</v>
      </c>
      <c r="R187" s="13">
        <f t="shared" si="27"/>
        <v>0</v>
      </c>
      <c r="S187" s="45">
        <v>9</v>
      </c>
      <c r="T187" s="1" t="s">
        <v>83</v>
      </c>
    </row>
    <row r="188" spans="6:20" x14ac:dyDescent="0.25">
      <c r="G188" s="5" t="s">
        <v>151</v>
      </c>
      <c r="H188" s="42">
        <v>1</v>
      </c>
      <c r="I188" s="42">
        <v>4</v>
      </c>
      <c r="J188" s="13">
        <f t="shared" si="28"/>
        <v>9.0909090909090912E-2</v>
      </c>
      <c r="K188" s="13">
        <f t="shared" si="29"/>
        <v>0.36363636363636365</v>
      </c>
      <c r="N188" s="5" t="s">
        <v>331</v>
      </c>
      <c r="O188" s="42">
        <v>1</v>
      </c>
      <c r="P188" s="45"/>
      <c r="Q188" s="13">
        <f t="shared" si="26"/>
        <v>9.0909090909090912E-2</v>
      </c>
      <c r="R188" s="13">
        <f t="shared" si="27"/>
        <v>0</v>
      </c>
      <c r="S188" s="45">
        <v>9</v>
      </c>
      <c r="T188" s="1" t="s">
        <v>63</v>
      </c>
    </row>
    <row r="189" spans="6:20" x14ac:dyDescent="0.25">
      <c r="G189" s="5" t="s">
        <v>206</v>
      </c>
      <c r="H189" s="42">
        <v>1</v>
      </c>
      <c r="I189" s="42">
        <v>3</v>
      </c>
      <c r="J189" s="13">
        <f t="shared" si="28"/>
        <v>9.0909090909090912E-2</v>
      </c>
      <c r="K189" s="13">
        <f t="shared" si="29"/>
        <v>0.27272727272727271</v>
      </c>
      <c r="N189" s="5" t="s">
        <v>386</v>
      </c>
      <c r="O189" s="42">
        <v>1</v>
      </c>
      <c r="P189" s="45"/>
      <c r="Q189" s="13">
        <f t="shared" si="26"/>
        <v>9.0909090909090912E-2</v>
      </c>
      <c r="R189" s="13">
        <f t="shared" si="27"/>
        <v>0</v>
      </c>
      <c r="S189" s="45">
        <v>9</v>
      </c>
      <c r="T189" s="1" t="s">
        <v>83</v>
      </c>
    </row>
    <row r="190" spans="6:20" x14ac:dyDescent="0.25">
      <c r="F190" s="5"/>
      <c r="G190" s="5" t="s">
        <v>145</v>
      </c>
      <c r="H190" s="42">
        <v>1</v>
      </c>
      <c r="I190" s="42">
        <v>3</v>
      </c>
      <c r="J190" s="13">
        <f t="shared" si="28"/>
        <v>9.0909090909090912E-2</v>
      </c>
      <c r="K190" s="13">
        <f t="shared" si="29"/>
        <v>0.27272727272727271</v>
      </c>
      <c r="N190" s="5" t="s">
        <v>381</v>
      </c>
      <c r="O190" s="42">
        <v>1</v>
      </c>
      <c r="P190" s="45"/>
      <c r="Q190" s="13">
        <f t="shared" si="26"/>
        <v>9.0909090909090912E-2</v>
      </c>
      <c r="R190" s="13">
        <f t="shared" si="27"/>
        <v>0</v>
      </c>
      <c r="S190" s="45">
        <v>9</v>
      </c>
      <c r="T190" s="1" t="s">
        <v>84</v>
      </c>
    </row>
    <row r="191" spans="6:20" x14ac:dyDescent="0.25">
      <c r="G191" s="5" t="s">
        <v>211</v>
      </c>
      <c r="H191" s="42">
        <v>1</v>
      </c>
      <c r="I191" s="42">
        <v>3</v>
      </c>
      <c r="J191" s="13">
        <f t="shared" si="28"/>
        <v>9.0909090909090912E-2</v>
      </c>
      <c r="K191" s="13">
        <f t="shared" si="29"/>
        <v>0.27272727272727271</v>
      </c>
      <c r="N191" s="5" t="s">
        <v>382</v>
      </c>
      <c r="O191" s="42">
        <v>1</v>
      </c>
      <c r="P191" s="45"/>
      <c r="Q191" s="13">
        <f t="shared" si="26"/>
        <v>9.0909090909090912E-2</v>
      </c>
      <c r="R191" s="13">
        <f t="shared" si="27"/>
        <v>0</v>
      </c>
      <c r="S191" s="45">
        <v>9</v>
      </c>
      <c r="T191" s="1" t="s">
        <v>83</v>
      </c>
    </row>
    <row r="192" spans="6:20" x14ac:dyDescent="0.25">
      <c r="G192" s="5" t="s">
        <v>43</v>
      </c>
      <c r="H192" s="42">
        <v>1</v>
      </c>
      <c r="I192" s="42">
        <v>3</v>
      </c>
      <c r="J192" s="13">
        <f t="shared" si="28"/>
        <v>9.0909090909090912E-2</v>
      </c>
      <c r="K192" s="13">
        <f t="shared" si="29"/>
        <v>0.27272727272727271</v>
      </c>
      <c r="N192" s="5" t="s">
        <v>110</v>
      </c>
      <c r="O192" s="42">
        <v>1</v>
      </c>
      <c r="P192" s="45"/>
      <c r="Q192" s="13">
        <f t="shared" si="26"/>
        <v>9.0909090909090912E-2</v>
      </c>
      <c r="R192" s="13">
        <f t="shared" si="27"/>
        <v>0</v>
      </c>
      <c r="S192" s="45">
        <v>9</v>
      </c>
      <c r="T192" s="1" t="s">
        <v>85</v>
      </c>
    </row>
    <row r="193" spans="6:20" x14ac:dyDescent="0.25">
      <c r="G193" s="5" t="s">
        <v>153</v>
      </c>
      <c r="H193" s="42">
        <v>1</v>
      </c>
      <c r="I193" s="42">
        <v>3</v>
      </c>
      <c r="J193" s="13">
        <f t="shared" si="28"/>
        <v>9.0909090909090912E-2</v>
      </c>
      <c r="K193" s="13">
        <f t="shared" si="29"/>
        <v>0.27272727272727271</v>
      </c>
      <c r="N193" s="5" t="s">
        <v>387</v>
      </c>
      <c r="O193" s="42">
        <v>1</v>
      </c>
      <c r="P193" s="45"/>
      <c r="Q193" s="13">
        <f t="shared" si="26"/>
        <v>9.0909090909090912E-2</v>
      </c>
      <c r="R193" s="13">
        <f t="shared" si="27"/>
        <v>0</v>
      </c>
      <c r="S193" s="45">
        <v>9</v>
      </c>
      <c r="T193" s="1" t="s">
        <v>83</v>
      </c>
    </row>
    <row r="194" spans="6:20" x14ac:dyDescent="0.25">
      <c r="G194" s="5" t="s">
        <v>142</v>
      </c>
      <c r="H194" s="42">
        <v>1</v>
      </c>
      <c r="I194" s="42">
        <v>3</v>
      </c>
      <c r="J194" s="13">
        <f t="shared" si="28"/>
        <v>9.0909090909090912E-2</v>
      </c>
      <c r="K194" s="13">
        <f t="shared" si="29"/>
        <v>0.27272727272727271</v>
      </c>
      <c r="N194" s="5" t="s">
        <v>383</v>
      </c>
      <c r="O194" s="42">
        <v>1</v>
      </c>
      <c r="P194" s="45"/>
      <c r="Q194" s="13">
        <f t="shared" si="26"/>
        <v>9.0909090909090912E-2</v>
      </c>
      <c r="R194" s="13">
        <f t="shared" si="27"/>
        <v>0</v>
      </c>
      <c r="S194" s="45">
        <v>9</v>
      </c>
      <c r="T194" s="1" t="s">
        <v>82</v>
      </c>
    </row>
    <row r="195" spans="6:20" x14ac:dyDescent="0.25">
      <c r="G195" s="5" t="s">
        <v>283</v>
      </c>
      <c r="H195" s="42">
        <v>1</v>
      </c>
      <c r="I195" s="42">
        <v>3</v>
      </c>
      <c r="J195" s="13">
        <f t="shared" si="28"/>
        <v>9.0909090909090912E-2</v>
      </c>
      <c r="K195" s="13">
        <f t="shared" si="29"/>
        <v>0.27272727272727271</v>
      </c>
      <c r="O195" s="1"/>
      <c r="P195" s="6"/>
      <c r="Q195" s="13"/>
      <c r="R195" s="13"/>
      <c r="S195" s="6"/>
      <c r="T195" s="1"/>
    </row>
    <row r="196" spans="6:20" x14ac:dyDescent="0.25">
      <c r="G196" s="5" t="s">
        <v>144</v>
      </c>
      <c r="H196" s="42">
        <v>1</v>
      </c>
      <c r="I196" s="42">
        <v>2</v>
      </c>
      <c r="J196" s="13">
        <f t="shared" si="28"/>
        <v>9.0909090909090912E-2</v>
      </c>
      <c r="K196" s="13">
        <f t="shared" si="29"/>
        <v>0.18181818181818182</v>
      </c>
      <c r="M196" s="10" t="s">
        <v>5</v>
      </c>
      <c r="N196" s="10"/>
      <c r="O196" s="21"/>
      <c r="P196" s="21"/>
      <c r="Q196" s="29"/>
      <c r="R196" s="29"/>
      <c r="S196" s="21"/>
      <c r="T196" s="21"/>
    </row>
    <row r="197" spans="6:20" x14ac:dyDescent="0.25">
      <c r="G197" s="5" t="s">
        <v>286</v>
      </c>
      <c r="H197" s="42">
        <v>1</v>
      </c>
      <c r="I197" s="42">
        <v>2</v>
      </c>
      <c r="J197" s="13">
        <f t="shared" si="28"/>
        <v>9.0909090909090912E-2</v>
      </c>
      <c r="K197" s="13">
        <f t="shared" si="29"/>
        <v>0.18181818181818182</v>
      </c>
      <c r="M197" s="1">
        <v>1</v>
      </c>
      <c r="N197" s="5" t="s">
        <v>65</v>
      </c>
      <c r="O197" s="42">
        <v>3</v>
      </c>
      <c r="P197" s="6" t="s">
        <v>63</v>
      </c>
      <c r="Q197" s="13"/>
      <c r="R197" s="13"/>
      <c r="S197" s="6"/>
      <c r="T197" s="1"/>
    </row>
    <row r="198" spans="6:20" x14ac:dyDescent="0.25">
      <c r="G198" s="5" t="s">
        <v>173</v>
      </c>
      <c r="H198" s="42">
        <v>1</v>
      </c>
      <c r="I198" s="42">
        <v>1</v>
      </c>
      <c r="J198" s="13">
        <f t="shared" si="28"/>
        <v>9.0909090909090912E-2</v>
      </c>
      <c r="K198" s="13">
        <f t="shared" si="29"/>
        <v>9.0909090909090912E-2</v>
      </c>
      <c r="M198" s="1">
        <v>2</v>
      </c>
      <c r="N198" s="5" t="s">
        <v>348</v>
      </c>
      <c r="O198" s="42">
        <v>2</v>
      </c>
      <c r="P198" s="12" t="s">
        <v>63</v>
      </c>
      <c r="Q198" s="13"/>
      <c r="R198" s="13"/>
      <c r="S198" s="6"/>
      <c r="T198" s="1"/>
    </row>
    <row r="199" spans="6:20" x14ac:dyDescent="0.25">
      <c r="G199" s="5" t="s">
        <v>287</v>
      </c>
      <c r="H199" s="42">
        <v>1</v>
      </c>
      <c r="I199" s="42">
        <v>1</v>
      </c>
      <c r="J199" s="13">
        <f t="shared" si="28"/>
        <v>9.0909090909090912E-2</v>
      </c>
      <c r="K199" s="13">
        <f t="shared" si="29"/>
        <v>9.0909090909090912E-2</v>
      </c>
      <c r="M199" s="1">
        <v>3</v>
      </c>
      <c r="N199" s="5" t="s">
        <v>74</v>
      </c>
      <c r="O199" s="42">
        <v>1</v>
      </c>
      <c r="P199" s="6" t="s">
        <v>63</v>
      </c>
      <c r="Q199" s="13"/>
      <c r="R199" s="13"/>
      <c r="S199" s="6"/>
      <c r="T199" s="1"/>
    </row>
    <row r="200" spans="6:20" x14ac:dyDescent="0.25">
      <c r="G200" s="5" t="s">
        <v>326</v>
      </c>
      <c r="H200" s="42">
        <v>1</v>
      </c>
      <c r="I200" s="42">
        <v>1</v>
      </c>
      <c r="J200" s="13">
        <f t="shared" si="28"/>
        <v>9.0909090909090912E-2</v>
      </c>
      <c r="K200" s="13">
        <f t="shared" si="29"/>
        <v>9.0909090909090912E-2</v>
      </c>
      <c r="M200" s="1">
        <v>4</v>
      </c>
      <c r="N200" s="5" t="s">
        <v>73</v>
      </c>
      <c r="O200" s="42">
        <v>1</v>
      </c>
      <c r="P200" s="1" t="s">
        <v>63</v>
      </c>
      <c r="Q200" s="13"/>
      <c r="R200" s="13"/>
      <c r="S200" s="6"/>
      <c r="T200" s="1"/>
    </row>
    <row r="201" spans="6:20" x14ac:dyDescent="0.25">
      <c r="M201" s="1">
        <v>5</v>
      </c>
      <c r="N201" s="5" t="s">
        <v>77</v>
      </c>
      <c r="O201" s="42">
        <v>1</v>
      </c>
      <c r="P201" s="1" t="s">
        <v>63</v>
      </c>
      <c r="Q201" s="13"/>
      <c r="R201" s="13"/>
      <c r="S201" s="6"/>
      <c r="T201" s="1"/>
    </row>
    <row r="202" spans="6:20" x14ac:dyDescent="0.25">
      <c r="F202" s="11" t="s">
        <v>320</v>
      </c>
      <c r="G202" s="11"/>
      <c r="H202" s="21" t="s">
        <v>291</v>
      </c>
      <c r="I202" s="21" t="s">
        <v>282</v>
      </c>
      <c r="J202" s="29" t="s">
        <v>293</v>
      </c>
      <c r="K202" s="21" t="s">
        <v>294</v>
      </c>
      <c r="M202" s="1">
        <v>6</v>
      </c>
      <c r="N202" s="5" t="s">
        <v>75</v>
      </c>
      <c r="O202" s="52">
        <v>1</v>
      </c>
      <c r="P202" s="12" t="s">
        <v>63</v>
      </c>
      <c r="Q202" s="13"/>
      <c r="R202" s="13"/>
      <c r="S202" s="6"/>
      <c r="T202" s="1"/>
    </row>
    <row r="203" spans="6:20" x14ac:dyDescent="0.25">
      <c r="F203" s="1">
        <v>1</v>
      </c>
      <c r="G203" s="5" t="s">
        <v>146</v>
      </c>
      <c r="H203" s="42">
        <v>5</v>
      </c>
      <c r="I203" s="42">
        <v>5</v>
      </c>
      <c r="J203" s="13">
        <f t="shared" ref="J203:J220" si="30">H203/$H$1</f>
        <v>0.45454545454545453</v>
      </c>
      <c r="K203" s="13">
        <f t="shared" ref="K203:K220" si="31">I203/$H$1</f>
        <v>0.45454545454545453</v>
      </c>
      <c r="M203" s="1">
        <v>7</v>
      </c>
      <c r="N203" s="5" t="s">
        <v>76</v>
      </c>
      <c r="O203" s="52">
        <v>1</v>
      </c>
      <c r="P203" s="6" t="s">
        <v>63</v>
      </c>
      <c r="Q203" s="13"/>
      <c r="R203" s="13"/>
      <c r="S203" s="6"/>
      <c r="T203" s="1"/>
    </row>
    <row r="204" spans="6:20" x14ac:dyDescent="0.25">
      <c r="F204" s="1">
        <v>2</v>
      </c>
      <c r="G204" s="5" t="s">
        <v>147</v>
      </c>
      <c r="H204" s="42">
        <v>4</v>
      </c>
      <c r="I204" s="42">
        <v>8</v>
      </c>
      <c r="J204" s="13">
        <f t="shared" si="30"/>
        <v>0.36363636363636365</v>
      </c>
      <c r="K204" s="13">
        <f t="shared" si="31"/>
        <v>0.72727272727272729</v>
      </c>
      <c r="M204" s="1">
        <v>8</v>
      </c>
      <c r="N204" s="5" t="s">
        <v>182</v>
      </c>
      <c r="O204" s="42">
        <v>1</v>
      </c>
      <c r="P204" s="6" t="s">
        <v>63</v>
      </c>
      <c r="Q204" s="13"/>
      <c r="R204" s="13"/>
      <c r="S204" s="6"/>
      <c r="T204" s="1"/>
    </row>
    <row r="205" spans="6:20" x14ac:dyDescent="0.25">
      <c r="F205" s="1">
        <v>3</v>
      </c>
      <c r="G205" s="5" t="s">
        <v>158</v>
      </c>
      <c r="H205" s="42">
        <v>4</v>
      </c>
      <c r="I205" s="42">
        <v>4</v>
      </c>
      <c r="J205" s="13">
        <f t="shared" si="30"/>
        <v>0.36363636363636365</v>
      </c>
      <c r="K205" s="13">
        <f t="shared" si="31"/>
        <v>0.36363636363636365</v>
      </c>
      <c r="N205" s="5" t="s">
        <v>339</v>
      </c>
      <c r="O205" s="42">
        <v>1</v>
      </c>
      <c r="P205" s="1" t="s">
        <v>63</v>
      </c>
    </row>
    <row r="206" spans="6:20" x14ac:dyDescent="0.25">
      <c r="F206" s="1">
        <v>4</v>
      </c>
      <c r="G206" s="5" t="s">
        <v>159</v>
      </c>
      <c r="H206" s="42">
        <v>3</v>
      </c>
      <c r="I206" s="42">
        <v>5</v>
      </c>
      <c r="J206" s="13">
        <f t="shared" si="30"/>
        <v>0.27272727272727271</v>
      </c>
      <c r="K206" s="13">
        <f t="shared" si="31"/>
        <v>0.45454545454545453</v>
      </c>
      <c r="N206" s="5" t="s">
        <v>331</v>
      </c>
      <c r="O206" s="42">
        <v>1</v>
      </c>
      <c r="P206" s="1" t="s">
        <v>63</v>
      </c>
    </row>
    <row r="207" spans="6:20" x14ac:dyDescent="0.25">
      <c r="F207" s="1">
        <v>5</v>
      </c>
      <c r="G207" s="5" t="s">
        <v>157</v>
      </c>
      <c r="H207" s="42">
        <v>2</v>
      </c>
      <c r="I207" s="42">
        <v>5</v>
      </c>
      <c r="J207" s="13">
        <f t="shared" si="30"/>
        <v>0.18181818181818182</v>
      </c>
      <c r="K207" s="13">
        <f t="shared" si="31"/>
        <v>0.45454545454545453</v>
      </c>
      <c r="N207" s="5" t="s">
        <v>342</v>
      </c>
      <c r="O207" s="42">
        <v>1</v>
      </c>
      <c r="P207" s="1" t="s">
        <v>82</v>
      </c>
    </row>
    <row r="208" spans="6:20" x14ac:dyDescent="0.25">
      <c r="F208" s="1">
        <v>6</v>
      </c>
      <c r="G208" s="5" t="s">
        <v>43</v>
      </c>
      <c r="H208" s="42">
        <v>2</v>
      </c>
      <c r="I208" s="42">
        <v>5</v>
      </c>
      <c r="J208" s="13">
        <f t="shared" si="30"/>
        <v>0.18181818181818182</v>
      </c>
      <c r="K208" s="13">
        <f t="shared" si="31"/>
        <v>0.45454545454545453</v>
      </c>
    </row>
    <row r="209" spans="6:11" x14ac:dyDescent="0.25">
      <c r="F209" s="1">
        <v>7</v>
      </c>
      <c r="G209" s="5" t="s">
        <v>142</v>
      </c>
      <c r="H209" s="42">
        <v>2</v>
      </c>
      <c r="I209" s="42">
        <v>5</v>
      </c>
      <c r="J209" s="13">
        <f t="shared" si="30"/>
        <v>0.18181818181818182</v>
      </c>
      <c r="K209" s="13">
        <f t="shared" si="31"/>
        <v>0.45454545454545453</v>
      </c>
    </row>
    <row r="210" spans="6:11" x14ac:dyDescent="0.25">
      <c r="F210" s="1">
        <v>8</v>
      </c>
      <c r="G210" s="5" t="s">
        <v>170</v>
      </c>
      <c r="H210" s="42">
        <v>1</v>
      </c>
      <c r="I210" s="42">
        <v>7</v>
      </c>
      <c r="J210" s="13">
        <f t="shared" si="30"/>
        <v>9.0909090909090912E-2</v>
      </c>
      <c r="K210" s="13">
        <f t="shared" si="31"/>
        <v>0.63636363636363635</v>
      </c>
    </row>
    <row r="211" spans="6:11" x14ac:dyDescent="0.25">
      <c r="G211" s="5" t="s">
        <v>315</v>
      </c>
      <c r="H211" s="42">
        <v>1</v>
      </c>
      <c r="I211" s="42">
        <v>4</v>
      </c>
      <c r="J211" s="13">
        <f t="shared" si="30"/>
        <v>9.0909090909090912E-2</v>
      </c>
      <c r="K211" s="13">
        <f t="shared" si="31"/>
        <v>0.36363636363636365</v>
      </c>
    </row>
    <row r="212" spans="6:11" x14ac:dyDescent="0.25">
      <c r="G212" s="5" t="s">
        <v>303</v>
      </c>
      <c r="H212" s="42">
        <v>1</v>
      </c>
      <c r="I212" s="42">
        <v>3</v>
      </c>
      <c r="J212" s="13">
        <f t="shared" si="30"/>
        <v>9.0909090909090912E-2</v>
      </c>
      <c r="K212" s="13">
        <f t="shared" si="31"/>
        <v>0.27272727272727271</v>
      </c>
    </row>
    <row r="213" spans="6:11" x14ac:dyDescent="0.25">
      <c r="G213" s="5" t="s">
        <v>201</v>
      </c>
      <c r="H213" s="42">
        <v>1</v>
      </c>
      <c r="I213" s="42">
        <v>3</v>
      </c>
      <c r="J213" s="13">
        <f t="shared" si="30"/>
        <v>9.0909090909090912E-2</v>
      </c>
      <c r="K213" s="13">
        <f t="shared" si="31"/>
        <v>0.27272727272727271</v>
      </c>
    </row>
    <row r="214" spans="6:11" x14ac:dyDescent="0.25">
      <c r="G214" s="5" t="s">
        <v>319</v>
      </c>
      <c r="H214" s="42">
        <v>1</v>
      </c>
      <c r="I214" s="42">
        <v>3</v>
      </c>
      <c r="J214" s="13">
        <f t="shared" si="30"/>
        <v>9.0909090909090912E-2</v>
      </c>
      <c r="K214" s="13">
        <f t="shared" si="31"/>
        <v>0.27272727272727271</v>
      </c>
    </row>
    <row r="215" spans="6:11" x14ac:dyDescent="0.25">
      <c r="F215" s="5"/>
      <c r="G215" s="5" t="s">
        <v>292</v>
      </c>
      <c r="H215" s="42">
        <v>1</v>
      </c>
      <c r="I215" s="42">
        <v>2</v>
      </c>
      <c r="J215" s="13">
        <f t="shared" si="30"/>
        <v>9.0909090909090912E-2</v>
      </c>
      <c r="K215" s="13">
        <f t="shared" si="31"/>
        <v>0.18181818181818182</v>
      </c>
    </row>
    <row r="216" spans="6:11" x14ac:dyDescent="0.25">
      <c r="G216" s="5" t="s">
        <v>308</v>
      </c>
      <c r="H216" s="42">
        <v>1</v>
      </c>
      <c r="I216" s="42">
        <v>2</v>
      </c>
      <c r="J216" s="13">
        <f t="shared" si="30"/>
        <v>9.0909090909090912E-2</v>
      </c>
      <c r="K216" s="13">
        <f t="shared" si="31"/>
        <v>0.18181818181818182</v>
      </c>
    </row>
    <row r="217" spans="6:11" x14ac:dyDescent="0.25">
      <c r="G217" s="5" t="s">
        <v>173</v>
      </c>
      <c r="H217" s="42">
        <v>1</v>
      </c>
      <c r="I217" s="42">
        <v>1</v>
      </c>
      <c r="J217" s="13">
        <f t="shared" si="30"/>
        <v>9.0909090909090912E-2</v>
      </c>
      <c r="K217" s="13">
        <f t="shared" si="31"/>
        <v>9.0909090909090912E-2</v>
      </c>
    </row>
    <row r="218" spans="6:11" x14ac:dyDescent="0.25">
      <c r="G218" s="5" t="s">
        <v>287</v>
      </c>
      <c r="H218" s="42">
        <v>1</v>
      </c>
      <c r="I218" s="42">
        <v>1</v>
      </c>
      <c r="J218" s="13">
        <f t="shared" si="30"/>
        <v>9.0909090909090912E-2</v>
      </c>
      <c r="K218" s="13">
        <f t="shared" si="31"/>
        <v>9.0909090909090912E-2</v>
      </c>
    </row>
    <row r="219" spans="6:11" x14ac:dyDescent="0.25">
      <c r="G219" s="5" t="s">
        <v>307</v>
      </c>
      <c r="H219" s="42">
        <v>1</v>
      </c>
      <c r="I219" s="42">
        <v>1</v>
      </c>
      <c r="J219" s="13">
        <f t="shared" si="30"/>
        <v>9.0909090909090912E-2</v>
      </c>
      <c r="K219" s="13">
        <f t="shared" si="31"/>
        <v>9.0909090909090912E-2</v>
      </c>
    </row>
    <row r="220" spans="6:11" x14ac:dyDescent="0.25">
      <c r="G220" s="5" t="s">
        <v>297</v>
      </c>
      <c r="H220" s="42">
        <v>1</v>
      </c>
      <c r="I220" s="42">
        <v>1</v>
      </c>
      <c r="J220" s="13">
        <f t="shared" si="30"/>
        <v>9.0909090909090912E-2</v>
      </c>
      <c r="K220" s="13">
        <f t="shared" si="31"/>
        <v>9.0909090909090912E-2</v>
      </c>
    </row>
    <row r="222" spans="6:11" x14ac:dyDescent="0.25">
      <c r="F222" s="11" t="s">
        <v>5</v>
      </c>
      <c r="G222" s="11"/>
      <c r="H222" s="21"/>
      <c r="I222" s="21"/>
      <c r="J222" s="29"/>
      <c r="K222" s="21"/>
    </row>
    <row r="223" spans="6:11" x14ac:dyDescent="0.25">
      <c r="F223" s="1">
        <v>1</v>
      </c>
      <c r="G223" s="5" t="s">
        <v>145</v>
      </c>
      <c r="H223" s="42">
        <v>2</v>
      </c>
      <c r="I223" s="1"/>
      <c r="J223" s="13"/>
      <c r="K223" s="13"/>
    </row>
    <row r="224" spans="6:11" x14ac:dyDescent="0.25">
      <c r="F224" s="1">
        <v>2</v>
      </c>
      <c r="G224" s="5" t="s">
        <v>211</v>
      </c>
      <c r="H224" s="42">
        <v>2</v>
      </c>
      <c r="I224" s="1"/>
      <c r="J224" s="13"/>
      <c r="K224" s="13"/>
    </row>
    <row r="225" spans="6:11" x14ac:dyDescent="0.25">
      <c r="F225" s="1">
        <v>3</v>
      </c>
      <c r="G225" s="5" t="s">
        <v>148</v>
      </c>
      <c r="H225" s="42">
        <v>2</v>
      </c>
      <c r="I225" s="1"/>
      <c r="J225" s="13"/>
      <c r="K225" s="13"/>
    </row>
    <row r="226" spans="6:11" x14ac:dyDescent="0.25">
      <c r="F226" s="1">
        <v>4</v>
      </c>
      <c r="G226" s="5" t="s">
        <v>149</v>
      </c>
      <c r="H226" s="42">
        <v>2</v>
      </c>
      <c r="I226" s="1"/>
      <c r="J226" s="13"/>
      <c r="K226" s="13"/>
    </row>
    <row r="227" spans="6:11" x14ac:dyDescent="0.25">
      <c r="F227" s="1">
        <v>5</v>
      </c>
      <c r="G227" s="5" t="s">
        <v>305</v>
      </c>
      <c r="H227" s="42">
        <v>1</v>
      </c>
      <c r="I227" s="1"/>
      <c r="J227" s="13"/>
      <c r="K227" s="13"/>
    </row>
    <row r="228" spans="6:11" x14ac:dyDescent="0.25">
      <c r="F228" s="1">
        <v>6</v>
      </c>
      <c r="G228" s="5" t="s">
        <v>286</v>
      </c>
      <c r="H228" s="42">
        <v>1</v>
      </c>
      <c r="I228" s="1"/>
      <c r="J228" s="13"/>
      <c r="K228" s="13"/>
    </row>
    <row r="229" spans="6:11" x14ac:dyDescent="0.25">
      <c r="F229" s="1">
        <v>7</v>
      </c>
      <c r="G229" s="5" t="s">
        <v>285</v>
      </c>
      <c r="H229" s="42">
        <v>1</v>
      </c>
      <c r="I229" s="1"/>
      <c r="J229" s="13"/>
      <c r="K229" s="13"/>
    </row>
    <row r="230" spans="6:11" x14ac:dyDescent="0.25">
      <c r="F230" s="1">
        <v>8</v>
      </c>
      <c r="G230" s="5" t="s">
        <v>287</v>
      </c>
      <c r="H230" s="42">
        <v>1</v>
      </c>
      <c r="I230" s="1"/>
      <c r="J230" s="13"/>
      <c r="K230" s="13"/>
    </row>
    <row r="231" spans="6:11" x14ac:dyDescent="0.25">
      <c r="G231" s="5" t="s">
        <v>169</v>
      </c>
      <c r="H231" s="42">
        <v>1</v>
      </c>
      <c r="I231" s="1"/>
      <c r="J231" s="13"/>
      <c r="K231" s="13"/>
    </row>
    <row r="232" spans="6:11" x14ac:dyDescent="0.25">
      <c r="G232" s="5" t="s">
        <v>314</v>
      </c>
      <c r="H232" s="42">
        <v>1</v>
      </c>
    </row>
    <row r="234" spans="6:11" x14ac:dyDescent="0.25">
      <c r="F234" s="11" t="s">
        <v>321</v>
      </c>
      <c r="G234" s="11"/>
      <c r="H234" s="21"/>
      <c r="I234" s="21"/>
      <c r="J234" s="29"/>
      <c r="K234" s="21"/>
    </row>
    <row r="235" spans="6:11" x14ac:dyDescent="0.25">
      <c r="F235" s="1">
        <v>1</v>
      </c>
      <c r="G235" s="5" t="s">
        <v>45</v>
      </c>
      <c r="H235" s="42">
        <v>5</v>
      </c>
      <c r="I235" s="1"/>
      <c r="J235" s="13"/>
      <c r="K235" s="13"/>
    </row>
    <row r="236" spans="6:11" x14ac:dyDescent="0.25">
      <c r="F236" s="1">
        <v>2</v>
      </c>
      <c r="G236" s="5" t="s">
        <v>43</v>
      </c>
      <c r="H236" s="42">
        <v>2</v>
      </c>
      <c r="I236" s="1"/>
      <c r="J236" s="13"/>
      <c r="K236" s="13"/>
    </row>
    <row r="237" spans="6:11" x14ac:dyDescent="0.25">
      <c r="F237" s="1">
        <v>3</v>
      </c>
      <c r="G237" s="5" t="s">
        <v>173</v>
      </c>
      <c r="H237" s="42">
        <v>1</v>
      </c>
      <c r="I237" s="1"/>
      <c r="J237" s="13"/>
      <c r="K237" s="13"/>
    </row>
    <row r="238" spans="6:11" x14ac:dyDescent="0.25">
      <c r="F238" s="1">
        <v>4</v>
      </c>
      <c r="G238" s="5" t="s">
        <v>167</v>
      </c>
      <c r="H238" s="42">
        <v>1</v>
      </c>
      <c r="I238" s="1"/>
      <c r="J238" s="13"/>
      <c r="K238" s="13"/>
    </row>
    <row r="239" spans="6:11" x14ac:dyDescent="0.25">
      <c r="F239" s="1">
        <v>5</v>
      </c>
      <c r="G239" s="5" t="s">
        <v>170</v>
      </c>
      <c r="H239" s="42">
        <v>1</v>
      </c>
      <c r="I239" s="1"/>
      <c r="J239" s="13"/>
      <c r="K239" s="13"/>
    </row>
    <row r="240" spans="6:11" x14ac:dyDescent="0.25">
      <c r="F240" s="1">
        <v>6</v>
      </c>
      <c r="G240" s="5" t="s">
        <v>151</v>
      </c>
      <c r="H240" s="42">
        <v>1</v>
      </c>
      <c r="I240" s="1"/>
      <c r="J240" s="13"/>
      <c r="K240" s="13"/>
    </row>
    <row r="241" spans="6:11" x14ac:dyDescent="0.25">
      <c r="F241" s="1">
        <v>7</v>
      </c>
      <c r="G241" s="5" t="s">
        <v>305</v>
      </c>
      <c r="H241" s="42">
        <v>1</v>
      </c>
      <c r="I241" s="1"/>
      <c r="J241" s="13"/>
      <c r="K241" s="13"/>
    </row>
    <row r="242" spans="6:11" x14ac:dyDescent="0.25">
      <c r="F242" s="1">
        <v>8</v>
      </c>
      <c r="G242" s="5" t="s">
        <v>171</v>
      </c>
      <c r="H242" s="42">
        <v>1</v>
      </c>
    </row>
    <row r="243" spans="6:11" x14ac:dyDescent="0.25">
      <c r="G243" s="5" t="s">
        <v>44</v>
      </c>
      <c r="H243" s="42">
        <v>1</v>
      </c>
    </row>
    <row r="244" spans="6:11" x14ac:dyDescent="0.25">
      <c r="G244" s="5" t="s">
        <v>46</v>
      </c>
      <c r="H244" s="42">
        <v>1</v>
      </c>
    </row>
  </sheetData>
  <sortState xmlns:xlrd2="http://schemas.microsoft.com/office/spreadsheetml/2017/richdata2" ref="N141:T194">
    <sortCondition descending="1" ref="Q141:Q194"/>
  </sortState>
  <mergeCells count="12">
    <mergeCell ref="B8:C9"/>
    <mergeCell ref="A1:E2"/>
    <mergeCell ref="F1:G2"/>
    <mergeCell ref="H1:H2"/>
    <mergeCell ref="F8:H9"/>
    <mergeCell ref="V49:W49"/>
    <mergeCell ref="V80:W80"/>
    <mergeCell ref="V8:W9"/>
    <mergeCell ref="F11:G11"/>
    <mergeCell ref="V26:W26"/>
    <mergeCell ref="N8:O9"/>
    <mergeCell ref="V11:W11"/>
  </mergeCells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ADD9-3854-4328-AF87-0E0832CDE916}">
  <dimension ref="A1:X117"/>
  <sheetViews>
    <sheetView topLeftCell="A55" workbookViewId="0">
      <selection activeCell="E92" sqref="E92"/>
    </sheetView>
  </sheetViews>
  <sheetFormatPr baseColWidth="10" defaultRowHeight="15" x14ac:dyDescent="0.25"/>
  <cols>
    <col min="1" max="1" width="4.28515625" customWidth="1"/>
    <col min="7" max="7" width="3.5703125" customWidth="1"/>
    <col min="13" max="13" width="3.5703125" customWidth="1"/>
    <col min="19" max="19" width="3.5703125" customWidth="1"/>
  </cols>
  <sheetData>
    <row r="1" spans="1:22" x14ac:dyDescent="0.25">
      <c r="A1" s="63" t="s">
        <v>33</v>
      </c>
      <c r="B1" s="63"/>
      <c r="C1" s="63"/>
      <c r="D1" s="64" t="s">
        <v>16</v>
      </c>
      <c r="E1" s="64" t="s">
        <v>17</v>
      </c>
      <c r="F1" s="64" t="s">
        <v>18</v>
      </c>
      <c r="H1" t="s">
        <v>19</v>
      </c>
      <c r="I1">
        <v>3</v>
      </c>
    </row>
    <row r="2" spans="1:22" x14ac:dyDescent="0.25">
      <c r="A2" s="63"/>
      <c r="B2" s="63"/>
      <c r="C2" s="63"/>
      <c r="D2" s="64"/>
      <c r="E2" s="64"/>
      <c r="F2" s="64"/>
    </row>
    <row r="4" spans="1:22" x14ac:dyDescent="0.25">
      <c r="B4" s="58" t="s">
        <v>0</v>
      </c>
      <c r="C4" s="58"/>
      <c r="G4" s="56" t="s">
        <v>41</v>
      </c>
      <c r="H4" s="56"/>
      <c r="M4" s="56" t="s">
        <v>53</v>
      </c>
      <c r="N4" s="56"/>
      <c r="S4" s="56" t="s">
        <v>92</v>
      </c>
      <c r="T4" s="56"/>
    </row>
    <row r="5" spans="1:22" x14ac:dyDescent="0.25">
      <c r="B5" s="58"/>
      <c r="C5" s="58"/>
      <c r="G5" s="56"/>
      <c r="H5" s="56"/>
      <c r="M5" s="56"/>
      <c r="N5" s="56"/>
      <c r="S5" s="56"/>
      <c r="T5" s="56"/>
    </row>
    <row r="7" spans="1:22" x14ac:dyDescent="0.25">
      <c r="B7" s="10" t="s">
        <v>1</v>
      </c>
      <c r="C7" s="10"/>
      <c r="D7" t="s">
        <v>138</v>
      </c>
      <c r="E7" s="8">
        <f>SUMPRODUCT(C79:C81, D79:D81)/SUM(D79:D81)</f>
        <v>1.8970917630057802</v>
      </c>
      <c r="G7" s="55" t="s">
        <v>47</v>
      </c>
      <c r="H7" s="55"/>
      <c r="I7" s="5" t="s">
        <v>132</v>
      </c>
      <c r="J7" s="5" t="s">
        <v>133</v>
      </c>
      <c r="K7" s="5" t="s">
        <v>134</v>
      </c>
      <c r="M7" s="55" t="s">
        <v>54</v>
      </c>
      <c r="N7" s="55"/>
      <c r="O7" t="s">
        <v>57</v>
      </c>
      <c r="P7" t="s">
        <v>133</v>
      </c>
      <c r="S7" s="55" t="s">
        <v>93</v>
      </c>
      <c r="T7" s="55"/>
      <c r="U7" t="s">
        <v>139</v>
      </c>
    </row>
    <row r="8" spans="1:22" x14ac:dyDescent="0.25">
      <c r="B8" s="2" t="s">
        <v>24</v>
      </c>
      <c r="C8" s="1">
        <v>1</v>
      </c>
      <c r="G8" s="1" t="s">
        <v>58</v>
      </c>
      <c r="H8" t="s">
        <v>145</v>
      </c>
      <c r="I8" s="1">
        <v>58</v>
      </c>
      <c r="J8" s="6">
        <f t="shared" ref="J8:J15" si="0">I79/$I$1</f>
        <v>38</v>
      </c>
      <c r="K8" s="1" t="s">
        <v>63</v>
      </c>
      <c r="M8" s="1" t="s">
        <v>58</v>
      </c>
      <c r="N8" s="5" t="s">
        <v>66</v>
      </c>
      <c r="O8" s="1">
        <v>10.6</v>
      </c>
      <c r="P8" s="14">
        <f>AVERAGE(N79:P79)</f>
        <v>8.2000000000000011</v>
      </c>
      <c r="Q8" s="1" t="s">
        <v>63</v>
      </c>
      <c r="S8" s="16" t="s">
        <v>58</v>
      </c>
      <c r="T8" t="s">
        <v>97</v>
      </c>
      <c r="U8" s="1" t="s">
        <v>187</v>
      </c>
      <c r="V8" s="1" t="s">
        <v>108</v>
      </c>
    </row>
    <row r="9" spans="1:22" x14ac:dyDescent="0.25">
      <c r="B9" s="5" t="s">
        <v>2</v>
      </c>
      <c r="C9" s="1">
        <v>2</v>
      </c>
      <c r="G9" s="1" t="s">
        <v>59</v>
      </c>
      <c r="H9" t="s">
        <v>146</v>
      </c>
      <c r="I9" s="1">
        <v>54</v>
      </c>
      <c r="J9" s="6">
        <f t="shared" si="0"/>
        <v>38.333333333333336</v>
      </c>
      <c r="K9" s="1" t="s">
        <v>83</v>
      </c>
      <c r="M9" s="1" t="s">
        <v>59</v>
      </c>
      <c r="N9" s="5" t="s">
        <v>64</v>
      </c>
      <c r="O9" s="1">
        <v>9.3000000000000007</v>
      </c>
      <c r="P9" s="14">
        <f t="shared" ref="P9:P15" si="1">AVERAGE(N80:P80)</f>
        <v>5.7</v>
      </c>
      <c r="Q9" s="1" t="s">
        <v>82</v>
      </c>
      <c r="S9" s="1" t="s">
        <v>58</v>
      </c>
      <c r="T9" t="s">
        <v>98</v>
      </c>
      <c r="U9" s="1" t="s">
        <v>187</v>
      </c>
      <c r="V9" s="1" t="s">
        <v>108</v>
      </c>
    </row>
    <row r="10" spans="1:22" x14ac:dyDescent="0.25">
      <c r="G10" s="1" t="s">
        <v>60</v>
      </c>
      <c r="H10" t="s">
        <v>146</v>
      </c>
      <c r="I10" s="1">
        <v>51</v>
      </c>
      <c r="J10" s="6">
        <f t="shared" si="0"/>
        <v>38.333333333333336</v>
      </c>
      <c r="K10" s="12" t="s">
        <v>83</v>
      </c>
      <c r="L10" s="2"/>
      <c r="M10" s="1" t="s">
        <v>60</v>
      </c>
      <c r="N10" s="5" t="s">
        <v>73</v>
      </c>
      <c r="O10" s="1">
        <v>8.8000000000000007</v>
      </c>
      <c r="P10" s="14">
        <f t="shared" si="1"/>
        <v>8.8000000000000007</v>
      </c>
      <c r="Q10" s="1" t="s">
        <v>63</v>
      </c>
      <c r="S10" s="1" t="s">
        <v>58</v>
      </c>
      <c r="T10" t="s">
        <v>98</v>
      </c>
      <c r="U10" s="1" t="s">
        <v>187</v>
      </c>
      <c r="V10" s="1" t="s">
        <v>108</v>
      </c>
    </row>
    <row r="11" spans="1:22" x14ac:dyDescent="0.25">
      <c r="B11" s="10" t="s">
        <v>4</v>
      </c>
      <c r="C11" s="10"/>
      <c r="G11" s="1" t="s">
        <v>61</v>
      </c>
      <c r="H11" t="s">
        <v>141</v>
      </c>
      <c r="I11" s="1">
        <v>50</v>
      </c>
      <c r="J11" s="6">
        <f t="shared" si="0"/>
        <v>28</v>
      </c>
      <c r="K11" s="12" t="s">
        <v>82</v>
      </c>
      <c r="L11" s="2"/>
      <c r="M11" s="1" t="s">
        <v>61</v>
      </c>
      <c r="N11" s="5" t="s">
        <v>65</v>
      </c>
      <c r="O11" s="1">
        <v>8.5</v>
      </c>
      <c r="P11" s="14">
        <f t="shared" si="1"/>
        <v>7.65</v>
      </c>
      <c r="Q11" s="1" t="s">
        <v>63</v>
      </c>
      <c r="S11" s="1" t="s">
        <v>58</v>
      </c>
      <c r="T11" t="s">
        <v>98</v>
      </c>
      <c r="U11" s="1" t="s">
        <v>187</v>
      </c>
      <c r="V11" s="1" t="s">
        <v>108</v>
      </c>
    </row>
    <row r="12" spans="1:22" x14ac:dyDescent="0.25">
      <c r="B12" s="1" t="s">
        <v>32</v>
      </c>
      <c r="C12" s="5" t="s">
        <v>22</v>
      </c>
      <c r="G12" s="1" t="s">
        <v>62</v>
      </c>
      <c r="H12" t="s">
        <v>142</v>
      </c>
      <c r="I12" s="1">
        <v>49</v>
      </c>
      <c r="J12" s="6">
        <f t="shared" si="0"/>
        <v>35.666666666666664</v>
      </c>
      <c r="K12" s="1" t="s">
        <v>85</v>
      </c>
      <c r="M12" s="1" t="s">
        <v>62</v>
      </c>
      <c r="N12" s="5" t="s">
        <v>67</v>
      </c>
      <c r="O12" s="1">
        <v>8.4</v>
      </c>
      <c r="P12" s="14">
        <f t="shared" si="1"/>
        <v>7.1000000000000005</v>
      </c>
      <c r="Q12" s="1" t="s">
        <v>83</v>
      </c>
      <c r="S12" s="1" t="s">
        <v>58</v>
      </c>
      <c r="T12" t="s">
        <v>99</v>
      </c>
      <c r="U12" s="1" t="s">
        <v>187</v>
      </c>
      <c r="V12" s="1" t="s">
        <v>108</v>
      </c>
    </row>
    <row r="13" spans="1:22" x14ac:dyDescent="0.25">
      <c r="B13" s="1">
        <v>7</v>
      </c>
      <c r="C13" s="7">
        <f>B13 * $D$90</f>
        <v>0.51851851851851849</v>
      </c>
      <c r="G13" s="1" t="s">
        <v>62</v>
      </c>
      <c r="H13" t="s">
        <v>147</v>
      </c>
      <c r="I13" s="1">
        <v>49</v>
      </c>
      <c r="J13" s="6">
        <f t="shared" si="0"/>
        <v>26</v>
      </c>
      <c r="K13" s="1" t="s">
        <v>83</v>
      </c>
      <c r="M13" s="1" t="s">
        <v>62</v>
      </c>
      <c r="N13" s="5" t="s">
        <v>68</v>
      </c>
      <c r="O13" s="1">
        <v>8.4</v>
      </c>
      <c r="P13" s="14">
        <f t="shared" si="1"/>
        <v>6.2</v>
      </c>
      <c r="Q13" s="1" t="s">
        <v>82</v>
      </c>
      <c r="S13" s="1" t="s">
        <v>59</v>
      </c>
      <c r="T13" t="s">
        <v>188</v>
      </c>
      <c r="U13" s="1" t="s">
        <v>189</v>
      </c>
      <c r="V13" s="1" t="s">
        <v>190</v>
      </c>
    </row>
    <row r="14" spans="1:22" x14ac:dyDescent="0.25">
      <c r="B14" s="1">
        <v>9</v>
      </c>
      <c r="C14" s="7">
        <f>B14 * $D$90</f>
        <v>0.66666666666666663</v>
      </c>
      <c r="G14" s="1" t="s">
        <v>128</v>
      </c>
      <c r="H14" t="s">
        <v>143</v>
      </c>
      <c r="I14" s="1">
        <v>48</v>
      </c>
      <c r="J14" s="6">
        <f t="shared" si="0"/>
        <v>27.333333333333332</v>
      </c>
      <c r="K14" s="1" t="s">
        <v>82</v>
      </c>
      <c r="M14" s="1" t="s">
        <v>128</v>
      </c>
      <c r="N14" s="5" t="s">
        <v>67</v>
      </c>
      <c r="O14" s="1">
        <v>7.6</v>
      </c>
      <c r="P14" s="14">
        <f t="shared" si="1"/>
        <v>7.1000000000000005</v>
      </c>
      <c r="Q14" s="1" t="s">
        <v>83</v>
      </c>
      <c r="S14" s="1" t="s">
        <v>59</v>
      </c>
      <c r="T14" t="s">
        <v>163</v>
      </c>
    </row>
    <row r="15" spans="1:22" x14ac:dyDescent="0.25">
      <c r="B15" s="1">
        <v>11</v>
      </c>
      <c r="C15" s="7">
        <f>B15 * $D$90</f>
        <v>0.81481481481481477</v>
      </c>
      <c r="G15" s="1" t="s">
        <v>129</v>
      </c>
      <c r="H15" t="s">
        <v>148</v>
      </c>
      <c r="I15" s="1">
        <v>47</v>
      </c>
      <c r="J15" s="6">
        <f t="shared" si="0"/>
        <v>22.333333333333332</v>
      </c>
      <c r="K15" s="1" t="s">
        <v>63</v>
      </c>
      <c r="M15" s="1" t="s">
        <v>129</v>
      </c>
      <c r="N15" s="5" t="s">
        <v>174</v>
      </c>
      <c r="O15" s="1">
        <v>7.3</v>
      </c>
      <c r="P15" s="14">
        <f t="shared" si="1"/>
        <v>6.1000000000000005</v>
      </c>
      <c r="Q15" s="1" t="s">
        <v>82</v>
      </c>
      <c r="S15" s="1" t="s">
        <v>59</v>
      </c>
      <c r="T15" t="s">
        <v>163</v>
      </c>
    </row>
    <row r="16" spans="1:22" x14ac:dyDescent="0.25">
      <c r="G16" s="1"/>
      <c r="I16" s="1"/>
      <c r="M16" s="1"/>
      <c r="N16" s="1"/>
    </row>
    <row r="17" spans="2:23" x14ac:dyDescent="0.25">
      <c r="B17" s="11" t="s">
        <v>5</v>
      </c>
      <c r="C17" t="s">
        <v>30</v>
      </c>
      <c r="D17" t="s">
        <v>138</v>
      </c>
      <c r="E17" s="7">
        <f>SUMPRODUCT(C85:C87, D85:D87)/SUM(D85:D87)</f>
        <v>1.7138728323699421</v>
      </c>
      <c r="G17" s="55" t="s">
        <v>48</v>
      </c>
      <c r="H17" s="55"/>
      <c r="I17" t="s">
        <v>135</v>
      </c>
      <c r="J17" s="2" t="s">
        <v>133</v>
      </c>
      <c r="K17" s="2" t="s">
        <v>134</v>
      </c>
      <c r="L17" s="2"/>
      <c r="M17" s="57" t="s">
        <v>55</v>
      </c>
      <c r="N17" s="57"/>
      <c r="P17" t="s">
        <v>133</v>
      </c>
      <c r="S17" s="55" t="s">
        <v>55</v>
      </c>
      <c r="T17" s="55"/>
      <c r="V17" t="s">
        <v>133</v>
      </c>
    </row>
    <row r="18" spans="2:23" x14ac:dyDescent="0.25">
      <c r="B18" s="1">
        <v>0</v>
      </c>
      <c r="C18" s="1">
        <v>1</v>
      </c>
      <c r="G18" s="1" t="s">
        <v>58</v>
      </c>
      <c r="H18" t="s">
        <v>149</v>
      </c>
      <c r="I18" s="1">
        <v>86</v>
      </c>
      <c r="J18" s="6">
        <f t="shared" ref="J18:J25" si="2">I89/$I$1</f>
        <v>34.666666666666664</v>
      </c>
      <c r="K18" s="1" t="s">
        <v>63</v>
      </c>
      <c r="M18" s="1" t="s">
        <v>58</v>
      </c>
      <c r="N18" s="5" t="s">
        <v>70</v>
      </c>
      <c r="O18" s="1">
        <v>13</v>
      </c>
      <c r="P18" s="6">
        <f>AVERAGE(N89:P89)</f>
        <v>13</v>
      </c>
      <c r="Q18" s="1" t="s">
        <v>83</v>
      </c>
      <c r="S18" s="1" t="s">
        <v>58</v>
      </c>
      <c r="T18" t="s">
        <v>100</v>
      </c>
      <c r="U18" s="1">
        <v>43</v>
      </c>
      <c r="V18" s="15" t="s">
        <v>178</v>
      </c>
      <c r="W18" s="1" t="s">
        <v>105</v>
      </c>
    </row>
    <row r="19" spans="2:23" x14ac:dyDescent="0.25">
      <c r="B19" s="1">
        <v>1</v>
      </c>
      <c r="C19" s="1">
        <v>0</v>
      </c>
      <c r="G19" s="1" t="s">
        <v>59</v>
      </c>
      <c r="H19" t="s">
        <v>150</v>
      </c>
      <c r="I19" s="1">
        <v>85</v>
      </c>
      <c r="J19" s="6">
        <f t="shared" si="2"/>
        <v>28.333333333333332</v>
      </c>
      <c r="K19" s="1" t="s">
        <v>83</v>
      </c>
      <c r="M19" s="1" t="s">
        <v>59</v>
      </c>
      <c r="N19" s="5" t="s">
        <v>68</v>
      </c>
      <c r="O19" s="1">
        <v>12</v>
      </c>
      <c r="P19" s="6">
        <f t="shared" ref="P19:P28" si="3">AVERAGE(N90:P90)</f>
        <v>7.666666666666667</v>
      </c>
      <c r="Q19" s="1" t="s">
        <v>82</v>
      </c>
      <c r="S19" s="1" t="s">
        <v>59</v>
      </c>
      <c r="T19" t="s">
        <v>101</v>
      </c>
      <c r="U19" s="1">
        <v>41</v>
      </c>
      <c r="V19" s="15" t="s">
        <v>178</v>
      </c>
      <c r="W19" s="1" t="s">
        <v>106</v>
      </c>
    </row>
    <row r="20" spans="2:23" x14ac:dyDescent="0.25">
      <c r="B20" s="1">
        <v>2</v>
      </c>
      <c r="C20" s="1">
        <v>1</v>
      </c>
      <c r="G20" s="1" t="s">
        <v>60</v>
      </c>
      <c r="H20" t="s">
        <v>144</v>
      </c>
      <c r="I20" s="1">
        <v>79</v>
      </c>
      <c r="J20" s="6">
        <f t="shared" si="2"/>
        <v>27.666666666666668</v>
      </c>
      <c r="K20" s="12" t="s">
        <v>84</v>
      </c>
      <c r="L20" s="2"/>
      <c r="M20" s="1" t="s">
        <v>59</v>
      </c>
      <c r="N20" s="5" t="s">
        <v>177</v>
      </c>
      <c r="O20" s="1">
        <v>12</v>
      </c>
      <c r="P20" s="6">
        <f t="shared" si="3"/>
        <v>10.5</v>
      </c>
      <c r="Q20" s="1" t="s">
        <v>83</v>
      </c>
      <c r="S20" s="1" t="s">
        <v>60</v>
      </c>
      <c r="T20" t="s">
        <v>102</v>
      </c>
      <c r="U20" s="1">
        <v>40</v>
      </c>
      <c r="V20" s="6">
        <f t="shared" ref="V20:V27" si="4">AVERAGE(T81:V81)</f>
        <v>27.5</v>
      </c>
      <c r="W20" s="1" t="s">
        <v>106</v>
      </c>
    </row>
    <row r="21" spans="2:23" x14ac:dyDescent="0.25">
      <c r="B21" s="1" t="s">
        <v>29</v>
      </c>
      <c r="C21" s="1">
        <v>1</v>
      </c>
      <c r="G21" s="1" t="s">
        <v>61</v>
      </c>
      <c r="H21" t="s">
        <v>154</v>
      </c>
      <c r="I21" s="1">
        <v>77</v>
      </c>
      <c r="J21" s="6">
        <f t="shared" si="2"/>
        <v>25.666666666666668</v>
      </c>
      <c r="K21" s="1" t="s">
        <v>156</v>
      </c>
      <c r="M21" s="1" t="s">
        <v>60</v>
      </c>
      <c r="N21" s="5" t="s">
        <v>66</v>
      </c>
      <c r="O21" s="1">
        <v>11</v>
      </c>
      <c r="P21" s="6">
        <f t="shared" si="3"/>
        <v>8.6666666666666661</v>
      </c>
      <c r="Q21" s="1" t="s">
        <v>63</v>
      </c>
      <c r="S21" s="1" t="s">
        <v>60</v>
      </c>
      <c r="T21" t="s">
        <v>104</v>
      </c>
      <c r="U21" s="1">
        <v>40</v>
      </c>
      <c r="V21" s="6">
        <f t="shared" si="4"/>
        <v>38.5</v>
      </c>
      <c r="W21" s="1" t="s">
        <v>107</v>
      </c>
    </row>
    <row r="22" spans="2:23" x14ac:dyDescent="0.25">
      <c r="G22" s="1" t="s">
        <v>62</v>
      </c>
      <c r="H22" t="s">
        <v>151</v>
      </c>
      <c r="I22" s="1">
        <v>65</v>
      </c>
      <c r="J22" s="6">
        <f t="shared" si="2"/>
        <v>29</v>
      </c>
      <c r="K22" s="1" t="s">
        <v>84</v>
      </c>
      <c r="M22" s="1" t="s">
        <v>60</v>
      </c>
      <c r="N22" s="5" t="s">
        <v>71</v>
      </c>
      <c r="O22" s="1">
        <v>11</v>
      </c>
      <c r="P22" s="6">
        <f t="shared" si="3"/>
        <v>11</v>
      </c>
      <c r="Q22" s="1" t="s">
        <v>83</v>
      </c>
      <c r="S22" s="1" t="s">
        <v>62</v>
      </c>
      <c r="T22" t="s">
        <v>103</v>
      </c>
      <c r="U22" s="1">
        <v>38</v>
      </c>
      <c r="V22" s="6">
        <f t="shared" si="4"/>
        <v>36.5</v>
      </c>
      <c r="W22" s="1" t="s">
        <v>107</v>
      </c>
    </row>
    <row r="23" spans="2:23" x14ac:dyDescent="0.25">
      <c r="B23" s="11" t="s">
        <v>6</v>
      </c>
      <c r="C23" t="s">
        <v>40</v>
      </c>
      <c r="D23" t="s">
        <v>138</v>
      </c>
      <c r="E23" s="7">
        <f>SUMPRODUCT(C107:C109, D107:D109)/SUM(D107:D109)</f>
        <v>5.101156069364162</v>
      </c>
      <c r="G23" s="1" t="s">
        <v>127</v>
      </c>
      <c r="H23" t="s">
        <v>152</v>
      </c>
      <c r="I23" s="1">
        <v>63</v>
      </c>
      <c r="J23" s="6">
        <f t="shared" si="2"/>
        <v>32</v>
      </c>
      <c r="K23" s="12" t="s">
        <v>82</v>
      </c>
      <c r="L23" s="2"/>
      <c r="M23" s="1" t="s">
        <v>60</v>
      </c>
      <c r="N23" s="5" t="s">
        <v>72</v>
      </c>
      <c r="O23" s="1">
        <v>11</v>
      </c>
      <c r="P23" s="6">
        <f t="shared" si="3"/>
        <v>11</v>
      </c>
      <c r="Q23" s="1" t="s">
        <v>83</v>
      </c>
      <c r="S23" s="1" t="s">
        <v>127</v>
      </c>
      <c r="T23" t="s">
        <v>104</v>
      </c>
      <c r="U23" s="1">
        <v>37</v>
      </c>
      <c r="V23" s="6">
        <f t="shared" si="4"/>
        <v>38.5</v>
      </c>
      <c r="W23" s="1" t="s">
        <v>107</v>
      </c>
    </row>
    <row r="24" spans="2:23" x14ac:dyDescent="0.25">
      <c r="B24" s="5" t="s">
        <v>37</v>
      </c>
      <c r="C24" s="1">
        <v>0</v>
      </c>
      <c r="D24" s="5"/>
      <c r="G24" s="1" t="s">
        <v>127</v>
      </c>
      <c r="H24" t="s">
        <v>153</v>
      </c>
      <c r="I24" s="1">
        <v>63</v>
      </c>
      <c r="J24" s="6">
        <f t="shared" si="2"/>
        <v>25.333333333333332</v>
      </c>
      <c r="K24" s="1" t="s">
        <v>82</v>
      </c>
      <c r="M24" s="1" t="s">
        <v>127</v>
      </c>
      <c r="N24" s="5" t="s">
        <v>175</v>
      </c>
      <c r="O24" s="1">
        <v>10</v>
      </c>
      <c r="P24" s="6">
        <f t="shared" si="3"/>
        <v>9</v>
      </c>
      <c r="Q24" s="1" t="s">
        <v>85</v>
      </c>
      <c r="S24" s="1" t="s">
        <v>128</v>
      </c>
      <c r="T24" t="s">
        <v>191</v>
      </c>
      <c r="U24" s="1">
        <v>36</v>
      </c>
      <c r="V24" s="6">
        <f t="shared" si="4"/>
        <v>36</v>
      </c>
      <c r="W24" s="1" t="s">
        <v>105</v>
      </c>
    </row>
    <row r="25" spans="2:23" x14ac:dyDescent="0.25">
      <c r="B25" s="4" t="s">
        <v>7</v>
      </c>
      <c r="C25" s="1">
        <v>2</v>
      </c>
      <c r="D25" s="5"/>
      <c r="G25" s="1" t="s">
        <v>127</v>
      </c>
      <c r="H25" t="s">
        <v>155</v>
      </c>
      <c r="I25" s="1">
        <v>63</v>
      </c>
      <c r="J25" s="6">
        <f t="shared" si="2"/>
        <v>26</v>
      </c>
      <c r="K25" s="1" t="s">
        <v>82</v>
      </c>
      <c r="M25" s="1" t="s">
        <v>127</v>
      </c>
      <c r="N25" s="5">
        <v>369</v>
      </c>
      <c r="O25" s="1">
        <v>10</v>
      </c>
      <c r="P25" s="6">
        <f>AVERAGE(N96:P96)</f>
        <v>7</v>
      </c>
      <c r="Q25" s="1" t="s">
        <v>84</v>
      </c>
      <c r="S25" s="1" t="s">
        <v>129</v>
      </c>
      <c r="T25" t="s">
        <v>125</v>
      </c>
      <c r="U25" s="1">
        <v>35</v>
      </c>
      <c r="V25" s="6">
        <f t="shared" si="4"/>
        <v>35</v>
      </c>
      <c r="W25" s="1" t="s">
        <v>122</v>
      </c>
    </row>
    <row r="26" spans="2:23" x14ac:dyDescent="0.25">
      <c r="B26" s="4" t="s">
        <v>38</v>
      </c>
      <c r="C26" s="1">
        <v>1</v>
      </c>
      <c r="D26" s="5"/>
      <c r="G26" s="1"/>
      <c r="I26" s="1"/>
      <c r="M26" s="1" t="s">
        <v>127</v>
      </c>
      <c r="N26" s="5" t="s">
        <v>67</v>
      </c>
      <c r="O26" s="1">
        <v>10</v>
      </c>
      <c r="P26" s="6">
        <f t="shared" si="3"/>
        <v>8.3333333333333339</v>
      </c>
      <c r="Q26" s="1" t="s">
        <v>83</v>
      </c>
      <c r="S26" s="1" t="s">
        <v>129</v>
      </c>
      <c r="T26" t="s">
        <v>109</v>
      </c>
      <c r="U26" s="1">
        <v>35</v>
      </c>
      <c r="V26" s="6">
        <f t="shared" si="4"/>
        <v>34.5</v>
      </c>
      <c r="W26" s="1" t="s">
        <v>106</v>
      </c>
    </row>
    <row r="27" spans="2:23" x14ac:dyDescent="0.25">
      <c r="B27" t="s">
        <v>39</v>
      </c>
      <c r="C27" s="1">
        <v>0</v>
      </c>
      <c r="G27" s="55" t="s">
        <v>50</v>
      </c>
      <c r="H27" s="55"/>
      <c r="I27" t="s">
        <v>136</v>
      </c>
      <c r="J27" t="s">
        <v>133</v>
      </c>
      <c r="K27" t="s">
        <v>134</v>
      </c>
      <c r="M27" s="1" t="s">
        <v>127</v>
      </c>
      <c r="N27" s="5" t="s">
        <v>69</v>
      </c>
      <c r="O27" s="1">
        <v>10</v>
      </c>
      <c r="P27" s="6">
        <f t="shared" si="3"/>
        <v>9.5</v>
      </c>
      <c r="Q27" s="1" t="s">
        <v>63</v>
      </c>
      <c r="S27" s="1" t="s">
        <v>129</v>
      </c>
      <c r="T27" t="s">
        <v>126</v>
      </c>
      <c r="U27" s="1">
        <v>35</v>
      </c>
      <c r="V27" s="6">
        <f t="shared" si="4"/>
        <v>36.5</v>
      </c>
      <c r="W27" s="1" t="s">
        <v>107</v>
      </c>
    </row>
    <row r="28" spans="2:23" x14ac:dyDescent="0.25">
      <c r="G28" s="1" t="s">
        <v>58</v>
      </c>
      <c r="H28" t="s">
        <v>146</v>
      </c>
      <c r="I28" s="1">
        <v>222</v>
      </c>
      <c r="J28" s="6">
        <f t="shared" ref="J28:J36" si="5">I99/($I$1-1)</f>
        <v>187</v>
      </c>
      <c r="K28" s="1" t="s">
        <v>83</v>
      </c>
      <c r="M28" s="1" t="s">
        <v>127</v>
      </c>
      <c r="N28" s="5" t="s">
        <v>176</v>
      </c>
      <c r="O28" s="1">
        <v>10</v>
      </c>
      <c r="P28" s="6">
        <f t="shared" si="3"/>
        <v>8</v>
      </c>
      <c r="Q28" s="1" t="s">
        <v>85</v>
      </c>
    </row>
    <row r="29" spans="2:23" x14ac:dyDescent="0.25">
      <c r="B29" s="5"/>
      <c r="G29" s="1" t="s">
        <v>59</v>
      </c>
      <c r="H29" t="s">
        <v>146</v>
      </c>
      <c r="I29" s="1">
        <v>152</v>
      </c>
      <c r="J29" s="6">
        <f t="shared" si="5"/>
        <v>187</v>
      </c>
      <c r="K29" s="1" t="s">
        <v>83</v>
      </c>
      <c r="M29" s="1"/>
      <c r="N29" s="1"/>
    </row>
    <row r="30" spans="2:23" x14ac:dyDescent="0.25">
      <c r="B30" s="11" t="s">
        <v>8</v>
      </c>
      <c r="C30" s="10"/>
      <c r="D30" s="1" t="s">
        <v>11</v>
      </c>
      <c r="G30" s="1" t="s">
        <v>60</v>
      </c>
      <c r="H30" t="s">
        <v>142</v>
      </c>
      <c r="I30" s="1">
        <v>130</v>
      </c>
      <c r="J30" s="6">
        <f t="shared" si="5"/>
        <v>81.5</v>
      </c>
      <c r="K30" s="1" t="s">
        <v>85</v>
      </c>
      <c r="M30" s="57" t="s">
        <v>56</v>
      </c>
      <c r="N30" s="57"/>
      <c r="S30" s="55" t="s">
        <v>94</v>
      </c>
      <c r="T30" s="55"/>
      <c r="U30" s="1" t="s">
        <v>123</v>
      </c>
      <c r="V30" s="1" t="s">
        <v>3</v>
      </c>
    </row>
    <row r="31" spans="2:23" x14ac:dyDescent="0.25">
      <c r="B31" s="5" t="s">
        <v>9</v>
      </c>
      <c r="C31" s="6">
        <f>C98/$I$1</f>
        <v>98</v>
      </c>
      <c r="G31" s="1" t="s">
        <v>61</v>
      </c>
      <c r="H31" t="s">
        <v>43</v>
      </c>
      <c r="I31" s="1">
        <v>127</v>
      </c>
      <c r="J31" s="6">
        <f t="shared" si="5"/>
        <v>71.5</v>
      </c>
      <c r="K31" s="1" t="s">
        <v>85</v>
      </c>
      <c r="M31" s="1" t="s">
        <v>58</v>
      </c>
      <c r="N31" s="5" t="s">
        <v>80</v>
      </c>
      <c r="O31" s="1">
        <v>6</v>
      </c>
      <c r="P31" s="15" t="s">
        <v>178</v>
      </c>
      <c r="Q31" s="1" t="s">
        <v>84</v>
      </c>
      <c r="S31" s="1" t="s">
        <v>58</v>
      </c>
      <c r="T31" s="5" t="s">
        <v>109</v>
      </c>
      <c r="U31" s="1">
        <v>3</v>
      </c>
      <c r="V31" s="1">
        <v>5</v>
      </c>
      <c r="W31" s="1" t="s">
        <v>106</v>
      </c>
    </row>
    <row r="32" spans="2:23" x14ac:dyDescent="0.25">
      <c r="B32" s="5" t="s">
        <v>14</v>
      </c>
      <c r="C32" s="6">
        <f>C99/$I$1</f>
        <v>92.666666666666671</v>
      </c>
      <c r="G32" s="1" t="s">
        <v>62</v>
      </c>
      <c r="H32" t="s">
        <v>144</v>
      </c>
      <c r="I32" s="1">
        <v>120</v>
      </c>
      <c r="J32" s="6">
        <f t="shared" si="5"/>
        <v>50.5</v>
      </c>
      <c r="K32" s="1" t="s">
        <v>84</v>
      </c>
      <c r="M32" s="1" t="s">
        <v>59</v>
      </c>
      <c r="N32" s="5" t="s">
        <v>81</v>
      </c>
      <c r="O32" s="1">
        <v>5</v>
      </c>
      <c r="P32" s="6">
        <f t="shared" ref="P32:P43" si="6">AVERAGE(N103:P103)</f>
        <v>0</v>
      </c>
      <c r="Q32" s="1" t="s">
        <v>63</v>
      </c>
      <c r="S32" s="1" t="s">
        <v>59</v>
      </c>
      <c r="T32" s="5" t="s">
        <v>109</v>
      </c>
      <c r="U32" s="1">
        <v>2</v>
      </c>
      <c r="V32" s="1">
        <v>5</v>
      </c>
      <c r="W32" s="1" t="s">
        <v>106</v>
      </c>
    </row>
    <row r="33" spans="2:23" x14ac:dyDescent="0.25">
      <c r="B33" s="5" t="s">
        <v>12</v>
      </c>
      <c r="C33" s="6">
        <f>C100/$I$1</f>
        <v>88.666666666666671</v>
      </c>
      <c r="G33" s="1" t="s">
        <v>127</v>
      </c>
      <c r="H33" t="s">
        <v>158</v>
      </c>
      <c r="I33" s="1">
        <v>114</v>
      </c>
      <c r="J33" s="6">
        <f t="shared" si="5"/>
        <v>67</v>
      </c>
      <c r="K33" s="1" t="s">
        <v>85</v>
      </c>
      <c r="M33" s="1" t="s">
        <v>60</v>
      </c>
      <c r="N33" s="5" t="s">
        <v>64</v>
      </c>
      <c r="O33" s="1">
        <v>4</v>
      </c>
      <c r="P33" s="6">
        <f t="shared" si="6"/>
        <v>2</v>
      </c>
      <c r="Q33" s="1" t="s">
        <v>82</v>
      </c>
      <c r="S33" s="1" t="s">
        <v>60</v>
      </c>
      <c r="T33" s="5" t="s">
        <v>98</v>
      </c>
      <c r="U33" s="1">
        <v>1</v>
      </c>
      <c r="V33" s="1">
        <v>2</v>
      </c>
      <c r="W33" s="1" t="s">
        <v>108</v>
      </c>
    </row>
    <row r="34" spans="2:23" x14ac:dyDescent="0.25">
      <c r="B34" s="5" t="s">
        <v>10</v>
      </c>
      <c r="C34" s="6">
        <f>C101/$I$1</f>
        <v>85.333333333333329</v>
      </c>
      <c r="G34" s="1" t="s">
        <v>127</v>
      </c>
      <c r="H34" t="s">
        <v>145</v>
      </c>
      <c r="I34" s="1">
        <v>114</v>
      </c>
      <c r="J34" s="6">
        <f t="shared" si="5"/>
        <v>84.5</v>
      </c>
      <c r="K34" s="1" t="s">
        <v>63</v>
      </c>
      <c r="M34" s="1" t="s">
        <v>60</v>
      </c>
      <c r="N34" s="5" t="s">
        <v>78</v>
      </c>
      <c r="O34" s="1">
        <v>4</v>
      </c>
      <c r="P34" s="6">
        <f t="shared" si="6"/>
        <v>4</v>
      </c>
      <c r="Q34" s="1" t="s">
        <v>85</v>
      </c>
      <c r="S34" s="1" t="s">
        <v>60</v>
      </c>
      <c r="T34" s="5" t="s">
        <v>98</v>
      </c>
      <c r="U34" s="1">
        <v>1</v>
      </c>
      <c r="V34" s="1">
        <v>2</v>
      </c>
      <c r="W34" s="1" t="s">
        <v>108</v>
      </c>
    </row>
    <row r="35" spans="2:23" x14ac:dyDescent="0.25">
      <c r="B35" s="5" t="s">
        <v>13</v>
      </c>
      <c r="C35" s="6">
        <f>C102/$I$1</f>
        <v>80</v>
      </c>
      <c r="G35" s="1" t="s">
        <v>129</v>
      </c>
      <c r="H35" t="s">
        <v>159</v>
      </c>
      <c r="I35" s="1">
        <v>112</v>
      </c>
      <c r="J35" s="6">
        <f t="shared" si="5"/>
        <v>87.5</v>
      </c>
      <c r="K35" s="1" t="s">
        <v>83</v>
      </c>
      <c r="M35" s="1" t="s">
        <v>60</v>
      </c>
      <c r="N35" s="5" t="s">
        <v>79</v>
      </c>
      <c r="O35" s="1">
        <v>4</v>
      </c>
      <c r="P35" s="6">
        <f t="shared" si="6"/>
        <v>3</v>
      </c>
      <c r="Q35" s="1" t="s">
        <v>85</v>
      </c>
      <c r="S35" s="1" t="s">
        <v>62</v>
      </c>
      <c r="T35" s="5" t="s">
        <v>113</v>
      </c>
      <c r="U35" s="1">
        <v>1</v>
      </c>
      <c r="V35" s="1">
        <v>1</v>
      </c>
      <c r="W35" s="1" t="s">
        <v>107</v>
      </c>
    </row>
    <row r="36" spans="2:23" x14ac:dyDescent="0.25">
      <c r="B36" s="5" t="s">
        <v>15</v>
      </c>
      <c r="C36" s="6">
        <f>C103/($I$1-1)</f>
        <v>71</v>
      </c>
      <c r="G36" s="1" t="s">
        <v>129</v>
      </c>
      <c r="H36" t="s">
        <v>160</v>
      </c>
      <c r="I36" s="1">
        <v>112</v>
      </c>
      <c r="J36" s="6">
        <f t="shared" si="5"/>
        <v>104.5</v>
      </c>
      <c r="K36" s="1" t="s">
        <v>84</v>
      </c>
      <c r="M36" s="1" t="s">
        <v>60</v>
      </c>
      <c r="N36" s="5" t="s">
        <v>69</v>
      </c>
      <c r="O36" s="1">
        <v>4</v>
      </c>
      <c r="P36" s="6">
        <f t="shared" si="6"/>
        <v>3.5</v>
      </c>
      <c r="Q36" s="1" t="s">
        <v>63</v>
      </c>
      <c r="S36" s="1" t="s">
        <v>62</v>
      </c>
      <c r="T36" s="5" t="s">
        <v>114</v>
      </c>
      <c r="U36" s="1">
        <v>1</v>
      </c>
      <c r="V36" s="1">
        <v>1</v>
      </c>
      <c r="W36" s="1" t="s">
        <v>108</v>
      </c>
    </row>
    <row r="37" spans="2:23" x14ac:dyDescent="0.25">
      <c r="M37" s="1" t="s">
        <v>60</v>
      </c>
      <c r="N37" s="5" t="s">
        <v>86</v>
      </c>
      <c r="O37" s="1">
        <v>4</v>
      </c>
      <c r="P37" s="6">
        <f t="shared" si="6"/>
        <v>2.5</v>
      </c>
      <c r="Q37" s="1" t="s">
        <v>85</v>
      </c>
      <c r="S37" s="1" t="s">
        <v>62</v>
      </c>
      <c r="T37" s="5" t="s">
        <v>115</v>
      </c>
      <c r="U37" s="1">
        <v>1</v>
      </c>
      <c r="V37" s="1">
        <v>1</v>
      </c>
      <c r="W37" s="1" t="s">
        <v>105</v>
      </c>
    </row>
    <row r="38" spans="2:23" x14ac:dyDescent="0.25">
      <c r="B38" s="5"/>
      <c r="G38" s="55" t="s">
        <v>52</v>
      </c>
      <c r="H38" s="55"/>
      <c r="I38" t="s">
        <v>130</v>
      </c>
      <c r="J38" t="s">
        <v>133</v>
      </c>
      <c r="K38" t="s">
        <v>134</v>
      </c>
      <c r="M38" s="1" t="s">
        <v>60</v>
      </c>
      <c r="N38" s="5" t="s">
        <v>87</v>
      </c>
      <c r="O38" s="1">
        <v>4</v>
      </c>
      <c r="P38" s="6">
        <f t="shared" si="6"/>
        <v>3</v>
      </c>
      <c r="Q38" s="1" t="s">
        <v>82</v>
      </c>
      <c r="S38" s="1" t="s">
        <v>62</v>
      </c>
      <c r="T38" s="5" t="s">
        <v>116</v>
      </c>
      <c r="U38" s="1">
        <v>1</v>
      </c>
      <c r="V38" s="1">
        <v>1</v>
      </c>
      <c r="W38" s="1" t="s">
        <v>105</v>
      </c>
    </row>
    <row r="39" spans="2:23" x14ac:dyDescent="0.25">
      <c r="G39" s="1" t="s">
        <v>58</v>
      </c>
      <c r="H39" t="s">
        <v>162</v>
      </c>
      <c r="M39" s="1" t="s">
        <v>60</v>
      </c>
      <c r="N39" s="5" t="s">
        <v>65</v>
      </c>
      <c r="O39" s="1">
        <v>4</v>
      </c>
      <c r="P39" s="6">
        <f t="shared" si="6"/>
        <v>2</v>
      </c>
      <c r="Q39" s="1" t="s">
        <v>63</v>
      </c>
      <c r="S39" s="1" t="s">
        <v>62</v>
      </c>
      <c r="T39" s="5" t="s">
        <v>102</v>
      </c>
      <c r="U39" s="1">
        <v>1</v>
      </c>
      <c r="V39" s="1">
        <v>1</v>
      </c>
      <c r="W39" s="1" t="s">
        <v>106</v>
      </c>
    </row>
    <row r="40" spans="2:23" x14ac:dyDescent="0.25">
      <c r="G40" s="1" t="s">
        <v>59</v>
      </c>
      <c r="H40" t="s">
        <v>163</v>
      </c>
      <c r="M40" s="1" t="s">
        <v>60</v>
      </c>
      <c r="N40" s="5" t="s">
        <v>88</v>
      </c>
      <c r="O40" s="1">
        <v>4</v>
      </c>
      <c r="P40" s="6">
        <f t="shared" si="6"/>
        <v>4</v>
      </c>
      <c r="Q40" s="1" t="s">
        <v>63</v>
      </c>
      <c r="S40" s="1" t="s">
        <v>62</v>
      </c>
      <c r="T40" s="5" t="s">
        <v>117</v>
      </c>
      <c r="U40" s="1">
        <v>1</v>
      </c>
      <c r="V40" s="1">
        <v>1</v>
      </c>
      <c r="W40" s="1" t="s">
        <v>106</v>
      </c>
    </row>
    <row r="41" spans="2:23" x14ac:dyDescent="0.25">
      <c r="G41" s="1" t="s">
        <v>60</v>
      </c>
      <c r="H41" t="s">
        <v>163</v>
      </c>
      <c r="M41" s="1" t="s">
        <v>60</v>
      </c>
      <c r="N41" s="5" t="s">
        <v>110</v>
      </c>
      <c r="O41" s="1">
        <v>4</v>
      </c>
      <c r="P41" s="6">
        <f t="shared" si="6"/>
        <v>1</v>
      </c>
      <c r="Q41" s="1" t="s">
        <v>85</v>
      </c>
      <c r="S41" s="1" t="s">
        <v>62</v>
      </c>
      <c r="T41" s="5" t="s">
        <v>118</v>
      </c>
      <c r="U41" s="1">
        <v>1</v>
      </c>
      <c r="V41" s="1">
        <v>1</v>
      </c>
      <c r="W41" s="1" t="s">
        <v>122</v>
      </c>
    </row>
    <row r="42" spans="2:23" x14ac:dyDescent="0.25">
      <c r="G42" s="1" t="s">
        <v>61</v>
      </c>
      <c r="H42" t="s">
        <v>163</v>
      </c>
      <c r="M42" s="1" t="s">
        <v>60</v>
      </c>
      <c r="N42" s="5" t="s">
        <v>112</v>
      </c>
      <c r="O42" s="1">
        <v>4</v>
      </c>
      <c r="P42" s="6">
        <f t="shared" si="6"/>
        <v>0</v>
      </c>
      <c r="Q42" s="1" t="s">
        <v>85</v>
      </c>
      <c r="S42" s="1" t="s">
        <v>62</v>
      </c>
      <c r="T42" s="5" t="s">
        <v>119</v>
      </c>
      <c r="U42" s="1">
        <v>1</v>
      </c>
      <c r="V42" s="1">
        <v>1</v>
      </c>
      <c r="W42" s="1" t="s">
        <v>122</v>
      </c>
    </row>
    <row r="43" spans="2:23" x14ac:dyDescent="0.25">
      <c r="G43" s="1" t="s">
        <v>62</v>
      </c>
      <c r="H43" t="s">
        <v>163</v>
      </c>
      <c r="M43" s="1" t="s">
        <v>60</v>
      </c>
      <c r="N43" s="5" t="s">
        <v>111</v>
      </c>
      <c r="O43" s="1">
        <v>4</v>
      </c>
      <c r="P43" s="6">
        <f t="shared" si="6"/>
        <v>1</v>
      </c>
      <c r="Q43" s="1" t="s">
        <v>85</v>
      </c>
      <c r="S43" s="1" t="s">
        <v>62</v>
      </c>
      <c r="T43" s="5" t="s">
        <v>120</v>
      </c>
      <c r="U43" s="1">
        <v>1</v>
      </c>
      <c r="V43" s="1">
        <v>1</v>
      </c>
      <c r="W43" s="1" t="s">
        <v>105</v>
      </c>
    </row>
    <row r="44" spans="2:23" x14ac:dyDescent="0.25">
      <c r="G44" s="1" t="s">
        <v>127</v>
      </c>
      <c r="H44" t="s">
        <v>163</v>
      </c>
      <c r="M44" s="1"/>
      <c r="N44" s="1"/>
      <c r="S44" s="1" t="s">
        <v>62</v>
      </c>
      <c r="T44" s="5" t="s">
        <v>121</v>
      </c>
      <c r="U44" s="1">
        <v>1</v>
      </c>
      <c r="V44" s="1">
        <v>1</v>
      </c>
      <c r="W44" s="1" t="s">
        <v>122</v>
      </c>
    </row>
    <row r="45" spans="2:23" x14ac:dyDescent="0.25">
      <c r="G45" s="1" t="s">
        <v>128</v>
      </c>
      <c r="H45" t="s">
        <v>163</v>
      </c>
      <c r="M45" s="57" t="s">
        <v>52</v>
      </c>
      <c r="N45" s="57"/>
    </row>
    <row r="46" spans="2:23" x14ac:dyDescent="0.25">
      <c r="G46" s="1" t="s">
        <v>129</v>
      </c>
      <c r="H46" t="s">
        <v>163</v>
      </c>
      <c r="M46" s="1" t="s">
        <v>58</v>
      </c>
      <c r="N46" s="5" t="s">
        <v>74</v>
      </c>
      <c r="O46" s="1">
        <v>16</v>
      </c>
      <c r="P46" s="1" t="s">
        <v>63</v>
      </c>
      <c r="S46" s="55" t="s">
        <v>95</v>
      </c>
      <c r="T46" s="55"/>
      <c r="V46" s="1"/>
    </row>
    <row r="47" spans="2:23" x14ac:dyDescent="0.25">
      <c r="G47" s="1"/>
      <c r="M47" s="1" t="s">
        <v>59</v>
      </c>
      <c r="N47" s="5" t="s">
        <v>89</v>
      </c>
      <c r="O47" s="1">
        <v>14</v>
      </c>
      <c r="P47" s="1" t="s">
        <v>63</v>
      </c>
      <c r="S47" s="1" t="s">
        <v>58</v>
      </c>
      <c r="T47" s="5" t="s">
        <v>125</v>
      </c>
      <c r="U47" s="9">
        <v>0.85</v>
      </c>
      <c r="V47" s="1" t="s">
        <v>122</v>
      </c>
    </row>
    <row r="48" spans="2:23" x14ac:dyDescent="0.25">
      <c r="G48" s="55" t="s">
        <v>49</v>
      </c>
      <c r="H48" s="55"/>
      <c r="I48" t="s">
        <v>137</v>
      </c>
      <c r="J48" t="s">
        <v>134</v>
      </c>
      <c r="M48" s="1" t="s">
        <v>59</v>
      </c>
      <c r="N48" s="5" t="s">
        <v>90</v>
      </c>
      <c r="O48" s="1">
        <v>14</v>
      </c>
      <c r="P48" s="1" t="s">
        <v>63</v>
      </c>
      <c r="S48" s="1" t="s">
        <v>59</v>
      </c>
      <c r="T48" s="5" t="s">
        <v>124</v>
      </c>
      <c r="U48" s="9">
        <v>0.87361111111111112</v>
      </c>
      <c r="V48" s="1" t="s">
        <v>122</v>
      </c>
    </row>
    <row r="49" spans="7:24" x14ac:dyDescent="0.25">
      <c r="G49" s="1" t="s">
        <v>58</v>
      </c>
      <c r="H49" t="s">
        <v>155</v>
      </c>
      <c r="I49" s="13">
        <v>0.88</v>
      </c>
      <c r="J49" s="1" t="s">
        <v>82</v>
      </c>
      <c r="M49" s="1" t="s">
        <v>59</v>
      </c>
      <c r="N49" s="5" t="s">
        <v>65</v>
      </c>
      <c r="O49" s="1">
        <v>14</v>
      </c>
      <c r="P49" s="1" t="s">
        <v>63</v>
      </c>
      <c r="S49" s="1" t="s">
        <v>60</v>
      </c>
      <c r="T49" s="5" t="s">
        <v>109</v>
      </c>
      <c r="U49" s="9">
        <v>0.93402777777777779</v>
      </c>
      <c r="V49" s="1" t="s">
        <v>106</v>
      </c>
    </row>
    <row r="50" spans="7:24" x14ac:dyDescent="0.25">
      <c r="G50" s="1" t="s">
        <v>59</v>
      </c>
      <c r="H50" t="s">
        <v>150</v>
      </c>
      <c r="I50" s="13">
        <v>0.86</v>
      </c>
      <c r="J50" s="1" t="s">
        <v>83</v>
      </c>
      <c r="M50" s="1" t="s">
        <v>62</v>
      </c>
      <c r="N50" s="5" t="s">
        <v>77</v>
      </c>
      <c r="O50" s="1">
        <v>13</v>
      </c>
      <c r="P50" s="1" t="s">
        <v>63</v>
      </c>
      <c r="S50" s="1" t="s">
        <v>61</v>
      </c>
      <c r="T50" s="5" t="s">
        <v>102</v>
      </c>
      <c r="U50" s="9">
        <v>0.94097222222222221</v>
      </c>
      <c r="V50" s="1" t="s">
        <v>106</v>
      </c>
    </row>
    <row r="51" spans="7:24" x14ac:dyDescent="0.25">
      <c r="G51" s="1" t="s">
        <v>60</v>
      </c>
      <c r="H51" t="s">
        <v>164</v>
      </c>
      <c r="I51" s="13">
        <v>0.85</v>
      </c>
      <c r="J51" s="1" t="s">
        <v>63</v>
      </c>
      <c r="M51" s="1" t="s">
        <v>62</v>
      </c>
      <c r="N51" s="5" t="s">
        <v>91</v>
      </c>
      <c r="O51" s="1">
        <v>13</v>
      </c>
      <c r="P51" s="1" t="s">
        <v>63</v>
      </c>
      <c r="S51" s="1" t="s">
        <v>62</v>
      </c>
      <c r="T51" s="5" t="s">
        <v>101</v>
      </c>
      <c r="U51" s="9">
        <v>0.94097222222222221</v>
      </c>
      <c r="V51" s="1" t="s">
        <v>106</v>
      </c>
    </row>
    <row r="52" spans="7:24" x14ac:dyDescent="0.25">
      <c r="G52" s="1" t="s">
        <v>61</v>
      </c>
      <c r="H52" t="s">
        <v>155</v>
      </c>
      <c r="I52" s="13">
        <v>0.83</v>
      </c>
      <c r="J52" s="1" t="s">
        <v>82</v>
      </c>
      <c r="M52" s="1" t="s">
        <v>128</v>
      </c>
      <c r="N52" s="5" t="s">
        <v>179</v>
      </c>
      <c r="O52" s="1">
        <v>12</v>
      </c>
      <c r="P52" s="1" t="s">
        <v>82</v>
      </c>
      <c r="S52" s="1" t="s">
        <v>127</v>
      </c>
      <c r="T52" s="5" t="s">
        <v>126</v>
      </c>
      <c r="U52" s="9">
        <v>0.98472222222222228</v>
      </c>
      <c r="V52" s="1" t="s">
        <v>107</v>
      </c>
    </row>
    <row r="53" spans="7:24" x14ac:dyDescent="0.25">
      <c r="G53" s="1" t="s">
        <v>62</v>
      </c>
      <c r="H53" t="s">
        <v>165</v>
      </c>
      <c r="I53" s="13">
        <v>0.82</v>
      </c>
      <c r="J53" s="1" t="s">
        <v>83</v>
      </c>
      <c r="M53" s="1" t="s">
        <v>128</v>
      </c>
      <c r="N53" s="5" t="s">
        <v>180</v>
      </c>
      <c r="O53" s="1">
        <v>12</v>
      </c>
      <c r="P53" s="1" t="s">
        <v>63</v>
      </c>
      <c r="S53" s="1" t="s">
        <v>128</v>
      </c>
      <c r="T53" s="5" t="s">
        <v>125</v>
      </c>
      <c r="U53" s="9">
        <v>0.9916666666666667</v>
      </c>
      <c r="V53" s="1" t="s">
        <v>122</v>
      </c>
    </row>
    <row r="54" spans="7:24" x14ac:dyDescent="0.25">
      <c r="G54" s="1" t="s">
        <v>127</v>
      </c>
      <c r="H54" t="s">
        <v>166</v>
      </c>
      <c r="I54" s="13">
        <v>0.8</v>
      </c>
      <c r="J54" s="1" t="s">
        <v>85</v>
      </c>
      <c r="M54" s="1" t="s">
        <v>128</v>
      </c>
      <c r="N54" s="5" t="s">
        <v>181</v>
      </c>
      <c r="O54" s="1">
        <v>12</v>
      </c>
      <c r="P54" s="1" t="s">
        <v>85</v>
      </c>
      <c r="S54" s="1" t="s">
        <v>129</v>
      </c>
      <c r="T54" s="5" t="s">
        <v>192</v>
      </c>
      <c r="U54" s="8">
        <v>1.0062500000000001</v>
      </c>
      <c r="V54" s="1" t="s">
        <v>122</v>
      </c>
    </row>
    <row r="55" spans="7:24" x14ac:dyDescent="0.25">
      <c r="G55" s="1" t="s">
        <v>127</v>
      </c>
      <c r="H55" t="s">
        <v>167</v>
      </c>
      <c r="I55" s="13">
        <v>0.8</v>
      </c>
      <c r="J55" s="1" t="s">
        <v>84</v>
      </c>
      <c r="M55" s="1" t="s">
        <v>128</v>
      </c>
      <c r="N55" s="5" t="s">
        <v>182</v>
      </c>
      <c r="O55" s="1">
        <v>12</v>
      </c>
      <c r="P55" s="1" t="s">
        <v>63</v>
      </c>
      <c r="S55" s="1" t="s">
        <v>129</v>
      </c>
      <c r="T55" s="5" t="s">
        <v>193</v>
      </c>
      <c r="U55" s="8">
        <v>1.0062500000000001</v>
      </c>
      <c r="V55" s="1" t="s">
        <v>107</v>
      </c>
    </row>
    <row r="56" spans="7:24" x14ac:dyDescent="0.25">
      <c r="G56" s="1" t="s">
        <v>129</v>
      </c>
      <c r="H56" t="s">
        <v>168</v>
      </c>
      <c r="I56" s="13">
        <v>0.78</v>
      </c>
      <c r="J56" s="1" t="s">
        <v>85</v>
      </c>
      <c r="M56" s="1" t="s">
        <v>128</v>
      </c>
      <c r="N56" s="5" t="s">
        <v>66</v>
      </c>
      <c r="O56" s="1">
        <v>12</v>
      </c>
      <c r="P56" s="1" t="s">
        <v>63</v>
      </c>
    </row>
    <row r="57" spans="7:24" x14ac:dyDescent="0.25">
      <c r="G57" s="1"/>
      <c r="M57" s="1" t="s">
        <v>128</v>
      </c>
      <c r="N57" s="5" t="s">
        <v>183</v>
      </c>
      <c r="O57" s="1">
        <v>12</v>
      </c>
      <c r="P57" s="1" t="s">
        <v>63</v>
      </c>
      <c r="S57" s="55" t="s">
        <v>52</v>
      </c>
      <c r="T57" s="55"/>
      <c r="U57" t="s">
        <v>130</v>
      </c>
      <c r="V57" s="1" t="s">
        <v>27</v>
      </c>
      <c r="W57" t="s">
        <v>140</v>
      </c>
    </row>
    <row r="58" spans="7:24" x14ac:dyDescent="0.25">
      <c r="G58" s="62" t="s">
        <v>51</v>
      </c>
      <c r="H58" s="62"/>
      <c r="I58" t="s">
        <v>137</v>
      </c>
      <c r="J58" t="s">
        <v>134</v>
      </c>
      <c r="M58" s="1" t="s">
        <v>128</v>
      </c>
      <c r="N58" s="5" t="s">
        <v>184</v>
      </c>
      <c r="O58" s="1">
        <v>12</v>
      </c>
      <c r="P58" s="1" t="s">
        <v>63</v>
      </c>
      <c r="S58" s="1" t="s">
        <v>58</v>
      </c>
      <c r="T58" s="5" t="s">
        <v>101</v>
      </c>
      <c r="U58" s="1">
        <v>369</v>
      </c>
      <c r="V58" s="1">
        <v>26</v>
      </c>
      <c r="W58" s="14">
        <f>AVERAGE(T91:V91)</f>
        <v>14.2</v>
      </c>
      <c r="X58" s="1" t="s">
        <v>106</v>
      </c>
    </row>
    <row r="59" spans="7:24" x14ac:dyDescent="0.25">
      <c r="G59" s="1" t="s">
        <v>58</v>
      </c>
      <c r="H59" t="s">
        <v>157</v>
      </c>
      <c r="I59" s="13">
        <v>0.14000000000000001</v>
      </c>
      <c r="J59" s="1" t="s">
        <v>83</v>
      </c>
      <c r="M59" s="1" t="s">
        <v>128</v>
      </c>
      <c r="N59" s="5" t="s">
        <v>185</v>
      </c>
      <c r="O59" s="1">
        <v>12</v>
      </c>
      <c r="P59" s="1" t="s">
        <v>63</v>
      </c>
      <c r="S59" s="1" t="s">
        <v>59</v>
      </c>
      <c r="T59" s="5" t="s">
        <v>104</v>
      </c>
      <c r="U59" s="1">
        <v>306</v>
      </c>
      <c r="V59" s="1">
        <v>20</v>
      </c>
      <c r="W59" s="14">
        <f t="shared" ref="W59:W65" si="7">AVERAGE(T92:V92)</f>
        <v>14.05</v>
      </c>
      <c r="X59" s="1" t="s">
        <v>107</v>
      </c>
    </row>
    <row r="60" spans="7:24" x14ac:dyDescent="0.25">
      <c r="G60" s="1" t="s">
        <v>59</v>
      </c>
      <c r="H60" t="s">
        <v>169</v>
      </c>
      <c r="I60" s="13">
        <v>0.17</v>
      </c>
      <c r="J60" s="1" t="s">
        <v>82</v>
      </c>
      <c r="M60" s="1" t="s">
        <v>128</v>
      </c>
      <c r="N60" s="5" t="s">
        <v>186</v>
      </c>
      <c r="O60" s="1">
        <v>12</v>
      </c>
      <c r="P60" s="1" t="s">
        <v>82</v>
      </c>
      <c r="S60" s="1" t="s">
        <v>60</v>
      </c>
      <c r="T60" s="5" t="s">
        <v>113</v>
      </c>
      <c r="U60" s="1">
        <v>295</v>
      </c>
      <c r="V60" s="1">
        <v>19</v>
      </c>
      <c r="W60" s="14">
        <f t="shared" si="7"/>
        <v>15.5</v>
      </c>
      <c r="X60" s="1" t="s">
        <v>107</v>
      </c>
    </row>
    <row r="61" spans="7:24" x14ac:dyDescent="0.25">
      <c r="G61" s="1" t="s">
        <v>59</v>
      </c>
      <c r="H61" t="s">
        <v>172</v>
      </c>
      <c r="I61" s="13">
        <v>0.17</v>
      </c>
      <c r="J61" s="1" t="s">
        <v>83</v>
      </c>
      <c r="M61" s="1"/>
      <c r="N61" s="1"/>
      <c r="S61" s="1" t="s">
        <v>61</v>
      </c>
      <c r="T61" s="5" t="s">
        <v>109</v>
      </c>
      <c r="U61" s="1">
        <v>292</v>
      </c>
      <c r="V61" s="1">
        <v>18</v>
      </c>
      <c r="W61" s="14">
        <f t="shared" si="7"/>
        <v>14.566666666666668</v>
      </c>
      <c r="X61" s="1" t="s">
        <v>106</v>
      </c>
    </row>
    <row r="62" spans="7:24" x14ac:dyDescent="0.25">
      <c r="G62" s="1" t="s">
        <v>59</v>
      </c>
      <c r="H62" t="s">
        <v>173</v>
      </c>
      <c r="I62" s="13">
        <v>0.17</v>
      </c>
      <c r="J62" s="1" t="s">
        <v>84</v>
      </c>
      <c r="M62" s="57" t="s">
        <v>5</v>
      </c>
      <c r="N62" s="57"/>
      <c r="S62" s="1" t="s">
        <v>62</v>
      </c>
      <c r="T62" s="5" t="s">
        <v>126</v>
      </c>
      <c r="U62" s="1">
        <v>249</v>
      </c>
      <c r="V62" s="1">
        <v>19</v>
      </c>
      <c r="W62" s="14">
        <f t="shared" si="7"/>
        <v>13.7</v>
      </c>
      <c r="X62" s="1" t="s">
        <v>107</v>
      </c>
    </row>
    <row r="63" spans="7:24" x14ac:dyDescent="0.25">
      <c r="G63" s="1" t="s">
        <v>62</v>
      </c>
      <c r="H63" t="s">
        <v>170</v>
      </c>
      <c r="I63" s="13">
        <v>0.19</v>
      </c>
      <c r="J63" s="1" t="s">
        <v>83</v>
      </c>
      <c r="M63" s="1" t="s">
        <v>58</v>
      </c>
      <c r="N63" s="5" t="s">
        <v>73</v>
      </c>
      <c r="O63" s="1">
        <v>1</v>
      </c>
      <c r="P63" s="1" t="s">
        <v>63</v>
      </c>
      <c r="S63" s="1" t="s">
        <v>127</v>
      </c>
      <c r="T63" s="5" t="s">
        <v>98</v>
      </c>
      <c r="U63" s="1">
        <v>231</v>
      </c>
      <c r="V63" s="1">
        <v>17</v>
      </c>
      <c r="W63" s="14">
        <f t="shared" si="7"/>
        <v>12.300000000000002</v>
      </c>
      <c r="X63" s="1" t="s">
        <v>108</v>
      </c>
    </row>
    <row r="64" spans="7:24" x14ac:dyDescent="0.25">
      <c r="G64" s="1" t="s">
        <v>127</v>
      </c>
      <c r="H64" t="s">
        <v>44</v>
      </c>
      <c r="I64" s="13">
        <v>0.2</v>
      </c>
      <c r="J64" s="1" t="s">
        <v>83</v>
      </c>
      <c r="M64" s="1" t="s">
        <v>58</v>
      </c>
      <c r="N64" s="5" t="s">
        <v>74</v>
      </c>
      <c r="O64" s="1">
        <v>1</v>
      </c>
      <c r="P64" s="1" t="s">
        <v>63</v>
      </c>
      <c r="S64" s="1" t="s">
        <v>128</v>
      </c>
      <c r="T64" s="5" t="s">
        <v>109</v>
      </c>
      <c r="U64" s="1">
        <v>230</v>
      </c>
      <c r="V64" s="1">
        <v>17</v>
      </c>
      <c r="W64" s="14">
        <f t="shared" si="7"/>
        <v>14.566666666666668</v>
      </c>
      <c r="X64" s="1" t="s">
        <v>106</v>
      </c>
    </row>
    <row r="65" spans="1:24" x14ac:dyDescent="0.25">
      <c r="G65" s="1" t="s">
        <v>127</v>
      </c>
      <c r="H65" t="s">
        <v>171</v>
      </c>
      <c r="I65" s="13">
        <v>0.2</v>
      </c>
      <c r="J65" s="1" t="s">
        <v>82</v>
      </c>
      <c r="M65" s="1" t="s">
        <v>58</v>
      </c>
      <c r="N65" s="5" t="s">
        <v>75</v>
      </c>
      <c r="O65" s="1">
        <v>1</v>
      </c>
      <c r="P65" s="1" t="s">
        <v>63</v>
      </c>
      <c r="S65" s="1" t="s">
        <v>129</v>
      </c>
      <c r="T65" s="5" t="s">
        <v>104</v>
      </c>
      <c r="U65" s="1">
        <v>230</v>
      </c>
      <c r="V65" s="1">
        <v>18</v>
      </c>
      <c r="W65" s="14">
        <f t="shared" si="7"/>
        <v>14.05</v>
      </c>
      <c r="X65" s="1" t="s">
        <v>107</v>
      </c>
    </row>
    <row r="66" spans="1:24" x14ac:dyDescent="0.25">
      <c r="G66" s="1" t="s">
        <v>127</v>
      </c>
      <c r="H66" t="s">
        <v>148</v>
      </c>
      <c r="I66" s="13">
        <v>0.2</v>
      </c>
      <c r="J66" s="1" t="s">
        <v>63</v>
      </c>
      <c r="M66" s="16" t="s">
        <v>58</v>
      </c>
      <c r="N66" s="5" t="s">
        <v>76</v>
      </c>
      <c r="O66" s="1">
        <v>1</v>
      </c>
      <c r="P66" s="1" t="s">
        <v>63</v>
      </c>
      <c r="T66" s="5"/>
      <c r="U66" s="1"/>
      <c r="V66" s="1"/>
      <c r="X66" s="1"/>
    </row>
    <row r="67" spans="1:24" x14ac:dyDescent="0.25">
      <c r="M67" s="1" t="s">
        <v>58</v>
      </c>
      <c r="N67" s="5" t="s">
        <v>77</v>
      </c>
      <c r="O67" s="1">
        <v>1</v>
      </c>
      <c r="P67" s="1" t="s">
        <v>63</v>
      </c>
      <c r="S67" s="55" t="s">
        <v>96</v>
      </c>
      <c r="T67" s="55"/>
      <c r="U67" s="1"/>
      <c r="V67" s="1"/>
      <c r="X67" s="1"/>
    </row>
    <row r="68" spans="1:24" x14ac:dyDescent="0.25">
      <c r="G68" s="10" t="s">
        <v>42</v>
      </c>
      <c r="H68" s="10"/>
      <c r="I68" s="1">
        <v>3</v>
      </c>
      <c r="S68" t="s">
        <v>131</v>
      </c>
    </row>
    <row r="69" spans="1:24" x14ac:dyDescent="0.25">
      <c r="H69" t="s">
        <v>43</v>
      </c>
    </row>
    <row r="70" spans="1:24" x14ac:dyDescent="0.25">
      <c r="H70" t="s">
        <v>44</v>
      </c>
    </row>
    <row r="71" spans="1:24" x14ac:dyDescent="0.25">
      <c r="H71" t="s">
        <v>45</v>
      </c>
    </row>
    <row r="72" spans="1:24" x14ac:dyDescent="0.25">
      <c r="H72" t="s">
        <v>46</v>
      </c>
    </row>
    <row r="76" spans="1:24" x14ac:dyDescent="0.25">
      <c r="A76" t="s">
        <v>25</v>
      </c>
    </row>
    <row r="78" spans="1:24" x14ac:dyDescent="0.25">
      <c r="B78" t="s">
        <v>26</v>
      </c>
      <c r="D78" t="s">
        <v>28</v>
      </c>
      <c r="G78" t="s">
        <v>47</v>
      </c>
      <c r="M78" t="s">
        <v>54</v>
      </c>
      <c r="S78" t="s">
        <v>55</v>
      </c>
      <c r="U78" t="s">
        <v>161</v>
      </c>
    </row>
    <row r="79" spans="1:24" x14ac:dyDescent="0.25">
      <c r="C79" s="3">
        <v>1.8687499999999999</v>
      </c>
      <c r="D79" s="1">
        <v>127</v>
      </c>
      <c r="H79" t="s">
        <v>145</v>
      </c>
      <c r="I79" s="1">
        <v>114</v>
      </c>
      <c r="M79" t="s">
        <v>66</v>
      </c>
      <c r="N79" s="1">
        <v>7.6</v>
      </c>
      <c r="O79" s="1">
        <v>10.6</v>
      </c>
      <c r="P79" s="1">
        <v>6.4</v>
      </c>
      <c r="S79" t="s">
        <v>100</v>
      </c>
      <c r="T79" s="1"/>
    </row>
    <row r="80" spans="1:24" x14ac:dyDescent="0.25">
      <c r="C80" s="3">
        <v>1.9236111111111112</v>
      </c>
      <c r="D80" s="1">
        <v>113</v>
      </c>
      <c r="H80" t="s">
        <v>146</v>
      </c>
      <c r="I80" s="1">
        <v>115</v>
      </c>
      <c r="M80" t="s">
        <v>64</v>
      </c>
      <c r="N80" s="1">
        <v>3.6</v>
      </c>
      <c r="O80" s="1">
        <v>4.2</v>
      </c>
      <c r="P80" s="1">
        <v>9.3000000000000007</v>
      </c>
      <c r="S80" t="s">
        <v>101</v>
      </c>
      <c r="T80" s="1"/>
    </row>
    <row r="81" spans="2:22" x14ac:dyDescent="0.25">
      <c r="C81" s="3">
        <v>1.9027777777777777</v>
      </c>
      <c r="D81" s="1">
        <v>106</v>
      </c>
      <c r="H81" t="s">
        <v>146</v>
      </c>
      <c r="I81" s="1">
        <v>115</v>
      </c>
      <c r="M81" t="s">
        <v>73</v>
      </c>
      <c r="N81" s="1">
        <v>8.8000000000000007</v>
      </c>
      <c r="O81" s="1"/>
      <c r="P81" s="1"/>
      <c r="S81" t="s">
        <v>102</v>
      </c>
      <c r="T81" s="1">
        <v>24</v>
      </c>
      <c r="U81" s="1">
        <v>31</v>
      </c>
    </row>
    <row r="82" spans="2:22" x14ac:dyDescent="0.25">
      <c r="H82" t="s">
        <v>141</v>
      </c>
      <c r="I82" s="1">
        <v>84</v>
      </c>
      <c r="M82" t="s">
        <v>65</v>
      </c>
      <c r="N82" s="1"/>
      <c r="O82" s="1">
        <v>6.8</v>
      </c>
      <c r="P82" s="1">
        <v>8.5</v>
      </c>
      <c r="S82" t="s">
        <v>104</v>
      </c>
      <c r="T82" s="1">
        <v>37</v>
      </c>
      <c r="U82" s="1">
        <v>40</v>
      </c>
    </row>
    <row r="83" spans="2:22" x14ac:dyDescent="0.25">
      <c r="H83" t="s">
        <v>142</v>
      </c>
      <c r="I83" s="1">
        <v>107</v>
      </c>
      <c r="M83" t="s">
        <v>67</v>
      </c>
      <c r="N83" s="1">
        <v>7.6</v>
      </c>
      <c r="O83" s="1">
        <v>8.4</v>
      </c>
      <c r="P83" s="1">
        <v>5.3</v>
      </c>
      <c r="S83" t="s">
        <v>103</v>
      </c>
      <c r="T83" s="1">
        <v>38</v>
      </c>
      <c r="U83" s="1">
        <v>35</v>
      </c>
    </row>
    <row r="84" spans="2:22" x14ac:dyDescent="0.25">
      <c r="B84" t="s">
        <v>5</v>
      </c>
      <c r="D84" t="s">
        <v>28</v>
      </c>
      <c r="H84" t="s">
        <v>147</v>
      </c>
      <c r="I84" s="1">
        <v>78</v>
      </c>
      <c r="M84" t="s">
        <v>68</v>
      </c>
      <c r="N84" s="1">
        <v>8.4</v>
      </c>
      <c r="O84" s="1">
        <v>4.5</v>
      </c>
      <c r="P84" s="1">
        <v>5.7</v>
      </c>
      <c r="S84" t="s">
        <v>104</v>
      </c>
      <c r="T84" s="1">
        <v>37</v>
      </c>
      <c r="U84" s="1">
        <v>40</v>
      </c>
    </row>
    <row r="85" spans="2:22" x14ac:dyDescent="0.25">
      <c r="C85" s="5">
        <v>2</v>
      </c>
      <c r="D85" s="1">
        <v>127</v>
      </c>
      <c r="H85" t="s">
        <v>143</v>
      </c>
      <c r="I85" s="1">
        <v>82</v>
      </c>
      <c r="M85" t="s">
        <v>67</v>
      </c>
      <c r="N85" s="1">
        <v>7.6</v>
      </c>
      <c r="O85" s="1">
        <v>8.4</v>
      </c>
      <c r="P85" s="1">
        <v>5.3</v>
      </c>
      <c r="S85" t="s">
        <v>191</v>
      </c>
      <c r="T85" s="1"/>
      <c r="U85" s="1">
        <v>36</v>
      </c>
    </row>
    <row r="86" spans="2:22" x14ac:dyDescent="0.25">
      <c r="C86" s="5">
        <v>3</v>
      </c>
      <c r="D86" s="1">
        <v>113</v>
      </c>
      <c r="E86" s="1" t="s">
        <v>23</v>
      </c>
      <c r="H86" t="s">
        <v>148</v>
      </c>
      <c r="I86" s="1">
        <v>67</v>
      </c>
      <c r="M86" t="s">
        <v>174</v>
      </c>
      <c r="N86" s="1">
        <v>5.5</v>
      </c>
      <c r="O86" s="1">
        <v>5.5</v>
      </c>
      <c r="P86" s="1">
        <v>7.3</v>
      </c>
      <c r="S86" t="s">
        <v>125</v>
      </c>
      <c r="T86" s="1">
        <v>35</v>
      </c>
      <c r="U86" s="1"/>
    </row>
    <row r="87" spans="2:22" x14ac:dyDescent="0.25">
      <c r="C87" s="5">
        <v>0</v>
      </c>
      <c r="D87" s="1">
        <v>106</v>
      </c>
      <c r="S87" t="s">
        <v>109</v>
      </c>
      <c r="T87" s="1">
        <v>35</v>
      </c>
      <c r="U87" s="1">
        <v>34</v>
      </c>
    </row>
    <row r="88" spans="2:22" x14ac:dyDescent="0.25">
      <c r="G88" t="s">
        <v>48</v>
      </c>
      <c r="M88" t="s">
        <v>55</v>
      </c>
      <c r="S88" t="s">
        <v>126</v>
      </c>
      <c r="T88" s="1">
        <v>38</v>
      </c>
      <c r="U88" s="1">
        <v>35</v>
      </c>
    </row>
    <row r="89" spans="2:22" x14ac:dyDescent="0.25">
      <c r="H89" t="s">
        <v>149</v>
      </c>
      <c r="I89" s="1">
        <v>104</v>
      </c>
      <c r="M89" t="s">
        <v>70</v>
      </c>
      <c r="N89" s="1">
        <v>13</v>
      </c>
      <c r="O89" s="1"/>
      <c r="P89" s="1"/>
    </row>
    <row r="90" spans="2:22" x14ac:dyDescent="0.25">
      <c r="B90" t="s">
        <v>4</v>
      </c>
      <c r="D90">
        <f>SUM(D92:D94) /(B13*C92 + B14 * C93 + B15* C94)</f>
        <v>7.407407407407407E-2</v>
      </c>
      <c r="H90" t="s">
        <v>150</v>
      </c>
      <c r="I90" s="1">
        <v>85</v>
      </c>
      <c r="M90" t="s">
        <v>68</v>
      </c>
      <c r="N90" s="1">
        <v>4</v>
      </c>
      <c r="O90" s="1">
        <v>7</v>
      </c>
      <c r="P90" s="1">
        <v>12</v>
      </c>
      <c r="S90" t="s">
        <v>52</v>
      </c>
    </row>
    <row r="91" spans="2:22" x14ac:dyDescent="0.25">
      <c r="B91" s="5" t="s">
        <v>20</v>
      </c>
      <c r="C91" s="5" t="s">
        <v>21</v>
      </c>
      <c r="D91" s="5" t="s">
        <v>4</v>
      </c>
      <c r="H91" t="s">
        <v>144</v>
      </c>
      <c r="I91" s="1">
        <v>83</v>
      </c>
      <c r="M91" t="s">
        <v>177</v>
      </c>
      <c r="N91" s="1"/>
      <c r="O91" s="1">
        <v>12</v>
      </c>
      <c r="P91" s="1">
        <v>9</v>
      </c>
      <c r="S91" s="5" t="s">
        <v>101</v>
      </c>
      <c r="T91" s="1">
        <v>14.2</v>
      </c>
      <c r="U91" s="1"/>
      <c r="V91" s="1"/>
    </row>
    <row r="92" spans="2:22" x14ac:dyDescent="0.25">
      <c r="B92" s="1">
        <v>7</v>
      </c>
      <c r="C92" s="1">
        <v>1</v>
      </c>
      <c r="D92" s="1">
        <v>1</v>
      </c>
      <c r="H92" t="s">
        <v>154</v>
      </c>
      <c r="I92" s="1">
        <v>77</v>
      </c>
      <c r="M92" t="s">
        <v>66</v>
      </c>
      <c r="N92" s="1">
        <v>8</v>
      </c>
      <c r="O92" s="1">
        <v>11</v>
      </c>
      <c r="P92" s="1">
        <v>7</v>
      </c>
      <c r="S92" s="5" t="s">
        <v>104</v>
      </c>
      <c r="T92" s="1"/>
      <c r="U92" s="1">
        <v>12.8</v>
      </c>
      <c r="V92" s="1">
        <v>15.3</v>
      </c>
    </row>
    <row r="93" spans="2:22" x14ac:dyDescent="0.25">
      <c r="B93" s="1">
        <v>9</v>
      </c>
      <c r="C93" s="1">
        <v>1</v>
      </c>
      <c r="D93" s="1">
        <v>1</v>
      </c>
      <c r="H93" t="s">
        <v>151</v>
      </c>
      <c r="I93" s="1">
        <v>87</v>
      </c>
      <c r="M93" t="s">
        <v>71</v>
      </c>
      <c r="N93" s="1">
        <v>11</v>
      </c>
      <c r="O93" s="1"/>
      <c r="P93" s="1"/>
      <c r="S93" s="5" t="s">
        <v>113</v>
      </c>
      <c r="T93" s="1">
        <v>15.5</v>
      </c>
      <c r="U93" s="1"/>
      <c r="V93" s="1"/>
    </row>
    <row r="94" spans="2:22" x14ac:dyDescent="0.25">
      <c r="B94" s="1">
        <v>11</v>
      </c>
      <c r="C94" s="1">
        <v>1</v>
      </c>
      <c r="D94" s="1">
        <v>0</v>
      </c>
      <c r="H94" t="s">
        <v>152</v>
      </c>
      <c r="I94" s="1">
        <v>96</v>
      </c>
      <c r="M94" t="s">
        <v>72</v>
      </c>
      <c r="N94" s="1">
        <v>11</v>
      </c>
      <c r="O94" s="1"/>
      <c r="P94" s="1"/>
      <c r="S94" s="5" t="s">
        <v>109</v>
      </c>
      <c r="T94" s="1">
        <v>16.2</v>
      </c>
      <c r="U94" s="1">
        <v>14</v>
      </c>
      <c r="V94" s="1">
        <v>13.5</v>
      </c>
    </row>
    <row r="95" spans="2:22" x14ac:dyDescent="0.25">
      <c r="H95" t="s">
        <v>153</v>
      </c>
      <c r="I95" s="1">
        <v>76</v>
      </c>
      <c r="M95" t="s">
        <v>175</v>
      </c>
      <c r="N95" s="1">
        <v>10</v>
      </c>
      <c r="O95" s="1"/>
      <c r="P95" s="1">
        <v>8</v>
      </c>
      <c r="S95" s="5" t="s">
        <v>126</v>
      </c>
      <c r="T95" s="1"/>
      <c r="U95" s="1">
        <v>13.1</v>
      </c>
      <c r="V95" s="1">
        <v>14.3</v>
      </c>
    </row>
    <row r="96" spans="2:22" x14ac:dyDescent="0.25">
      <c r="H96" t="s">
        <v>155</v>
      </c>
      <c r="I96" s="1">
        <v>78</v>
      </c>
      <c r="M96" s="5">
        <v>369</v>
      </c>
      <c r="N96" s="1">
        <v>10</v>
      </c>
      <c r="O96" s="1">
        <v>6</v>
      </c>
      <c r="P96" s="1">
        <v>5</v>
      </c>
      <c r="S96" s="5" t="s">
        <v>98</v>
      </c>
      <c r="T96" s="1">
        <v>9</v>
      </c>
      <c r="U96" s="1">
        <v>13.6</v>
      </c>
      <c r="V96" s="1">
        <v>14.3</v>
      </c>
    </row>
    <row r="97" spans="2:22" x14ac:dyDescent="0.25">
      <c r="B97" t="s">
        <v>31</v>
      </c>
      <c r="M97" t="s">
        <v>67</v>
      </c>
      <c r="N97" s="1">
        <v>10</v>
      </c>
      <c r="O97" s="1">
        <v>7</v>
      </c>
      <c r="P97" s="1">
        <v>8</v>
      </c>
      <c r="S97" s="5" t="s">
        <v>109</v>
      </c>
      <c r="T97" s="1">
        <v>16.2</v>
      </c>
      <c r="U97" s="1">
        <v>14</v>
      </c>
      <c r="V97" s="1">
        <v>13.5</v>
      </c>
    </row>
    <row r="98" spans="2:22" x14ac:dyDescent="0.25">
      <c r="B98" s="5" t="s">
        <v>9</v>
      </c>
      <c r="C98" s="1">
        <v>294</v>
      </c>
      <c r="G98" s="61" t="s">
        <v>50</v>
      </c>
      <c r="H98" s="61"/>
      <c r="I98" t="s">
        <v>161</v>
      </c>
      <c r="M98" t="s">
        <v>69</v>
      </c>
      <c r="N98" s="1"/>
      <c r="O98" s="1">
        <v>10</v>
      </c>
      <c r="P98" s="1">
        <v>9</v>
      </c>
      <c r="S98" s="5" t="s">
        <v>104</v>
      </c>
      <c r="T98" s="1"/>
      <c r="U98" s="1">
        <v>12.8</v>
      </c>
      <c r="V98" s="1">
        <v>15.3</v>
      </c>
    </row>
    <row r="99" spans="2:22" x14ac:dyDescent="0.25">
      <c r="B99" s="5" t="s">
        <v>14</v>
      </c>
      <c r="C99" s="1">
        <v>278</v>
      </c>
      <c r="H99" t="s">
        <v>146</v>
      </c>
      <c r="I99" s="1">
        <v>374</v>
      </c>
      <c r="M99" t="s">
        <v>176</v>
      </c>
      <c r="N99" s="1"/>
      <c r="O99" s="1">
        <v>6</v>
      </c>
      <c r="P99" s="1">
        <v>10</v>
      </c>
      <c r="S99" s="5"/>
    </row>
    <row r="100" spans="2:22" x14ac:dyDescent="0.25">
      <c r="B100" s="5" t="s">
        <v>12</v>
      </c>
      <c r="C100" s="1">
        <v>266</v>
      </c>
      <c r="H100" t="s">
        <v>146</v>
      </c>
      <c r="I100" s="1">
        <v>374</v>
      </c>
      <c r="S100" s="5"/>
    </row>
    <row r="101" spans="2:22" x14ac:dyDescent="0.25">
      <c r="B101" s="5" t="s">
        <v>10</v>
      </c>
      <c r="C101" s="1">
        <v>256</v>
      </c>
      <c r="H101" t="s">
        <v>142</v>
      </c>
      <c r="I101" s="1">
        <v>163</v>
      </c>
      <c r="M101" t="s">
        <v>56</v>
      </c>
      <c r="O101" t="s">
        <v>161</v>
      </c>
    </row>
    <row r="102" spans="2:22" x14ac:dyDescent="0.25">
      <c r="B102" s="5" t="s">
        <v>13</v>
      </c>
      <c r="C102" s="1">
        <v>240</v>
      </c>
      <c r="H102" t="s">
        <v>43</v>
      </c>
      <c r="I102" s="1">
        <v>143</v>
      </c>
      <c r="M102" t="s">
        <v>80</v>
      </c>
      <c r="N102" s="1"/>
      <c r="O102" s="1"/>
    </row>
    <row r="103" spans="2:22" x14ac:dyDescent="0.25">
      <c r="B103" s="5" t="s">
        <v>15</v>
      </c>
      <c r="C103" s="1">
        <v>142</v>
      </c>
      <c r="H103" t="s">
        <v>144</v>
      </c>
      <c r="I103" s="1">
        <v>101</v>
      </c>
      <c r="M103" t="s">
        <v>81</v>
      </c>
      <c r="N103" s="1">
        <v>0</v>
      </c>
      <c r="O103" s="1">
        <v>0</v>
      </c>
    </row>
    <row r="104" spans="2:22" x14ac:dyDescent="0.25">
      <c r="H104" t="s">
        <v>158</v>
      </c>
      <c r="I104" s="1">
        <v>134</v>
      </c>
      <c r="M104" t="s">
        <v>64</v>
      </c>
      <c r="N104" s="1">
        <v>4</v>
      </c>
      <c r="O104" s="1">
        <v>0</v>
      </c>
    </row>
    <row r="105" spans="2:22" x14ac:dyDescent="0.25">
      <c r="H105" t="s">
        <v>145</v>
      </c>
      <c r="I105" s="1">
        <v>169</v>
      </c>
      <c r="M105" t="s">
        <v>78</v>
      </c>
      <c r="N105" s="1">
        <v>4</v>
      </c>
      <c r="O105" s="1"/>
    </row>
    <row r="106" spans="2:22" x14ac:dyDescent="0.25">
      <c r="B106" s="5" t="s">
        <v>36</v>
      </c>
      <c r="D106" t="s">
        <v>28</v>
      </c>
      <c r="H106" t="s">
        <v>159</v>
      </c>
      <c r="I106" s="1">
        <v>175</v>
      </c>
      <c r="M106" t="s">
        <v>79</v>
      </c>
      <c r="N106" s="1">
        <v>4</v>
      </c>
      <c r="O106" s="1">
        <v>2</v>
      </c>
    </row>
    <row r="107" spans="2:22" x14ac:dyDescent="0.25">
      <c r="C107" s="1">
        <v>7</v>
      </c>
      <c r="D107" s="1">
        <v>127</v>
      </c>
      <c r="H107" t="s">
        <v>160</v>
      </c>
      <c r="I107" s="1">
        <v>209</v>
      </c>
      <c r="M107" t="s">
        <v>69</v>
      </c>
      <c r="N107" s="1">
        <v>3</v>
      </c>
      <c r="O107" s="1">
        <v>4</v>
      </c>
    </row>
    <row r="108" spans="2:22" x14ac:dyDescent="0.25">
      <c r="C108" s="1">
        <v>4</v>
      </c>
      <c r="D108" s="1">
        <v>113</v>
      </c>
      <c r="M108" t="s">
        <v>86</v>
      </c>
      <c r="N108" s="1">
        <v>1</v>
      </c>
      <c r="O108" s="1">
        <v>4</v>
      </c>
    </row>
    <row r="109" spans="2:22" x14ac:dyDescent="0.25">
      <c r="C109" s="1">
        <v>4</v>
      </c>
      <c r="D109" s="1">
        <v>106</v>
      </c>
      <c r="G109" s="5" t="s">
        <v>49</v>
      </c>
      <c r="M109" t="s">
        <v>87</v>
      </c>
      <c r="N109" s="1">
        <v>2</v>
      </c>
      <c r="O109" s="1">
        <v>4</v>
      </c>
    </row>
    <row r="110" spans="2:22" x14ac:dyDescent="0.25">
      <c r="H110" t="s">
        <v>155</v>
      </c>
      <c r="M110" t="s">
        <v>65</v>
      </c>
      <c r="N110" s="1">
        <v>0</v>
      </c>
      <c r="O110" s="1">
        <v>4</v>
      </c>
    </row>
    <row r="111" spans="2:22" x14ac:dyDescent="0.25">
      <c r="H111" t="s">
        <v>150</v>
      </c>
      <c r="M111" t="s">
        <v>88</v>
      </c>
      <c r="N111" s="1"/>
      <c r="O111" s="1">
        <v>4</v>
      </c>
    </row>
    <row r="112" spans="2:22" x14ac:dyDescent="0.25">
      <c r="B112" s="5" t="s">
        <v>34</v>
      </c>
      <c r="C112" t="s">
        <v>35</v>
      </c>
      <c r="H112" t="s">
        <v>164</v>
      </c>
      <c r="M112" t="s">
        <v>110</v>
      </c>
      <c r="N112" s="1">
        <v>0</v>
      </c>
      <c r="O112" s="1">
        <v>2</v>
      </c>
    </row>
    <row r="113" spans="8:15" x14ac:dyDescent="0.25">
      <c r="H113" t="s">
        <v>155</v>
      </c>
      <c r="M113" t="s">
        <v>112</v>
      </c>
      <c r="N113" s="1"/>
      <c r="O113" s="1">
        <v>0</v>
      </c>
    </row>
    <row r="114" spans="8:15" x14ac:dyDescent="0.25">
      <c r="H114" t="s">
        <v>165</v>
      </c>
      <c r="M114" t="s">
        <v>111</v>
      </c>
      <c r="N114" s="1">
        <v>1</v>
      </c>
      <c r="O114" s="1">
        <v>1</v>
      </c>
    </row>
    <row r="115" spans="8:15" x14ac:dyDescent="0.25">
      <c r="H115" t="s">
        <v>166</v>
      </c>
    </row>
    <row r="116" spans="8:15" x14ac:dyDescent="0.25">
      <c r="H116" t="s">
        <v>167</v>
      </c>
    </row>
    <row r="117" spans="8:15" x14ac:dyDescent="0.25">
      <c r="H117" t="s">
        <v>168</v>
      </c>
    </row>
  </sheetData>
  <sortState xmlns:xlrd2="http://schemas.microsoft.com/office/spreadsheetml/2017/richdata2" ref="H59:I66">
    <sortCondition ref="I59:I66"/>
  </sortState>
  <mergeCells count="26">
    <mergeCell ref="G7:H7"/>
    <mergeCell ref="G17:H17"/>
    <mergeCell ref="G27:H27"/>
    <mergeCell ref="G38:H38"/>
    <mergeCell ref="M4:N5"/>
    <mergeCell ref="S4:T5"/>
    <mergeCell ref="B4:C5"/>
    <mergeCell ref="A1:C2"/>
    <mergeCell ref="D1:D2"/>
    <mergeCell ref="E1:E2"/>
    <mergeCell ref="F1:F2"/>
    <mergeCell ref="G4:H5"/>
    <mergeCell ref="G98:H98"/>
    <mergeCell ref="G48:H48"/>
    <mergeCell ref="G58:H58"/>
    <mergeCell ref="M17:N17"/>
    <mergeCell ref="M30:N30"/>
    <mergeCell ref="S7:T7"/>
    <mergeCell ref="S17:T17"/>
    <mergeCell ref="S30:T30"/>
    <mergeCell ref="S67:T67"/>
    <mergeCell ref="M7:N7"/>
    <mergeCell ref="M45:N45"/>
    <mergeCell ref="M62:N62"/>
    <mergeCell ref="S46:T46"/>
    <mergeCell ref="S57:T57"/>
  </mergeCells>
  <phoneticPr fontId="3" type="noConversion"/>
  <pageMargins left="0.7" right="0.7" top="0.78740157499999996" bottom="0.78740157499999996" header="0.3" footer="0.3"/>
  <ignoredErrors>
    <ignoredError sqref="P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B12C-E582-4A5D-B67F-92D0E50A5C00}">
  <dimension ref="A1:X141"/>
  <sheetViews>
    <sheetView topLeftCell="A58" workbookViewId="0">
      <selection activeCell="D100" sqref="D100"/>
    </sheetView>
  </sheetViews>
  <sheetFormatPr baseColWidth="10" defaultRowHeight="15" x14ac:dyDescent="0.25"/>
  <cols>
    <col min="1" max="1" width="4.28515625" customWidth="1"/>
    <col min="7" max="7" width="3.5703125" customWidth="1"/>
    <col min="13" max="13" width="3.5703125" customWidth="1"/>
    <col min="19" max="19" width="3.5703125" customWidth="1"/>
  </cols>
  <sheetData>
    <row r="1" spans="1:22" x14ac:dyDescent="0.25">
      <c r="A1" s="63" t="s">
        <v>33</v>
      </c>
      <c r="B1" s="63"/>
      <c r="C1" s="63"/>
      <c r="D1" s="64" t="s">
        <v>16</v>
      </c>
      <c r="E1" s="64" t="s">
        <v>17</v>
      </c>
      <c r="F1" s="64" t="s">
        <v>18</v>
      </c>
      <c r="G1" s="64" t="s">
        <v>224</v>
      </c>
      <c r="H1" s="64"/>
      <c r="I1" s="64" t="s">
        <v>194</v>
      </c>
      <c r="J1" s="64" t="s">
        <v>195</v>
      </c>
      <c r="K1" s="64" t="s">
        <v>196</v>
      </c>
      <c r="L1" s="64" t="s">
        <v>197</v>
      </c>
      <c r="Q1" t="s">
        <v>19</v>
      </c>
      <c r="R1">
        <v>8</v>
      </c>
    </row>
    <row r="2" spans="1:22" x14ac:dyDescent="0.25">
      <c r="A2" s="63"/>
      <c r="B2" s="63"/>
      <c r="C2" s="63"/>
      <c r="D2" s="64"/>
      <c r="E2" s="64"/>
      <c r="F2" s="64"/>
      <c r="G2" s="64"/>
      <c r="H2" s="64"/>
      <c r="I2" s="64"/>
      <c r="J2" s="64"/>
      <c r="K2" s="64"/>
      <c r="L2" s="64"/>
    </row>
    <row r="3" spans="1:22" x14ac:dyDescent="0.25">
      <c r="N3" s="17" t="s">
        <v>215</v>
      </c>
      <c r="T3" s="17" t="s">
        <v>214</v>
      </c>
    </row>
    <row r="4" spans="1:22" x14ac:dyDescent="0.25">
      <c r="B4" s="58" t="s">
        <v>0</v>
      </c>
      <c r="C4" s="58"/>
      <c r="G4" s="56" t="s">
        <v>41</v>
      </c>
      <c r="H4" s="56"/>
      <c r="M4" s="56" t="s">
        <v>53</v>
      </c>
      <c r="N4" s="56"/>
      <c r="S4" s="56" t="s">
        <v>92</v>
      </c>
      <c r="T4" s="56"/>
    </row>
    <row r="5" spans="1:22" x14ac:dyDescent="0.25">
      <c r="B5" s="58"/>
      <c r="C5" s="58"/>
      <c r="G5" s="56"/>
      <c r="H5" s="56"/>
      <c r="M5" s="56"/>
      <c r="N5" s="56"/>
      <c r="S5" s="56"/>
      <c r="T5" s="56"/>
    </row>
    <row r="7" spans="1:22" x14ac:dyDescent="0.25">
      <c r="B7" s="10" t="s">
        <v>1</v>
      </c>
      <c r="C7" s="10"/>
      <c r="D7" t="s">
        <v>138</v>
      </c>
      <c r="E7" s="8">
        <f>SUMPRODUCT(C79:C86, D79:D86)/SUM(D79:D86)</f>
        <v>1.9811628430049482</v>
      </c>
      <c r="G7" s="55" t="s">
        <v>47</v>
      </c>
      <c r="H7" s="55"/>
      <c r="I7" s="5" t="s">
        <v>132</v>
      </c>
      <c r="J7" s="5" t="s">
        <v>133</v>
      </c>
      <c r="K7" s="5" t="s">
        <v>134</v>
      </c>
      <c r="M7" s="55" t="s">
        <v>54</v>
      </c>
      <c r="N7" s="55"/>
      <c r="O7" t="s">
        <v>57</v>
      </c>
      <c r="P7" t="s">
        <v>133</v>
      </c>
      <c r="S7" s="55" t="s">
        <v>93</v>
      </c>
      <c r="T7" s="55"/>
      <c r="U7" t="s">
        <v>139</v>
      </c>
    </row>
    <row r="8" spans="1:22" x14ac:dyDescent="0.25">
      <c r="B8" s="2" t="s">
        <v>24</v>
      </c>
      <c r="C8" s="1">
        <v>2</v>
      </c>
      <c r="G8" s="1" t="s">
        <v>58</v>
      </c>
      <c r="H8" t="s">
        <v>145</v>
      </c>
      <c r="I8" s="1">
        <v>58</v>
      </c>
      <c r="J8" s="6">
        <f>I80/$R$1</f>
        <v>21.125</v>
      </c>
      <c r="K8" s="1" t="s">
        <v>63</v>
      </c>
      <c r="M8" s="1" t="s">
        <v>58</v>
      </c>
      <c r="N8" s="5" t="s">
        <v>66</v>
      </c>
      <c r="O8" s="1">
        <v>10.6</v>
      </c>
      <c r="P8" s="14">
        <f>AVERAGE(O79:R79)</f>
        <v>7.2250000000000005</v>
      </c>
      <c r="Q8" s="1" t="s">
        <v>63</v>
      </c>
      <c r="S8" s="16" t="s">
        <v>58</v>
      </c>
      <c r="T8" t="s">
        <v>97</v>
      </c>
      <c r="U8" s="1" t="s">
        <v>187</v>
      </c>
      <c r="V8" s="1" t="s">
        <v>108</v>
      </c>
    </row>
    <row r="9" spans="1:22" x14ac:dyDescent="0.25">
      <c r="B9" s="5" t="s">
        <v>2</v>
      </c>
      <c r="C9" s="1">
        <v>4</v>
      </c>
      <c r="G9" s="1" t="s">
        <v>59</v>
      </c>
      <c r="H9" t="s">
        <v>146</v>
      </c>
      <c r="I9" s="1">
        <v>54</v>
      </c>
      <c r="J9" s="6">
        <f>I83/$R$1</f>
        <v>19.875</v>
      </c>
      <c r="K9" s="1" t="s">
        <v>83</v>
      </c>
      <c r="M9" s="1" t="s">
        <v>59</v>
      </c>
      <c r="N9" s="5" t="s">
        <v>64</v>
      </c>
      <c r="O9" s="1">
        <v>9.3000000000000007</v>
      </c>
      <c r="P9" s="14">
        <f t="shared" ref="P9:P13" si="0">AVERAGE(O80:R80)</f>
        <v>5.7</v>
      </c>
      <c r="Q9" s="1" t="s">
        <v>82</v>
      </c>
      <c r="S9" s="1" t="s">
        <v>58</v>
      </c>
      <c r="T9" t="s">
        <v>98</v>
      </c>
      <c r="U9" s="1" t="s">
        <v>187</v>
      </c>
      <c r="V9" s="1" t="s">
        <v>108</v>
      </c>
    </row>
    <row r="10" spans="1:22" x14ac:dyDescent="0.25">
      <c r="B10" t="s">
        <v>198</v>
      </c>
      <c r="C10" s="1">
        <v>1</v>
      </c>
      <c r="G10" s="1" t="s">
        <v>60</v>
      </c>
      <c r="H10" t="s">
        <v>146</v>
      </c>
      <c r="I10" s="1">
        <v>51</v>
      </c>
      <c r="J10" s="6">
        <f>I83/$R$1</f>
        <v>19.875</v>
      </c>
      <c r="K10" s="12" t="s">
        <v>83</v>
      </c>
      <c r="L10" s="2"/>
      <c r="M10" s="1" t="s">
        <v>60</v>
      </c>
      <c r="N10" s="5" t="s">
        <v>73</v>
      </c>
      <c r="O10" s="1">
        <v>8.8000000000000007</v>
      </c>
      <c r="P10" s="14">
        <f t="shared" si="0"/>
        <v>6.75</v>
      </c>
      <c r="Q10" s="1" t="s">
        <v>63</v>
      </c>
      <c r="S10" s="1" t="s">
        <v>58</v>
      </c>
      <c r="T10" t="s">
        <v>98</v>
      </c>
      <c r="U10" s="1" t="s">
        <v>187</v>
      </c>
      <c r="V10" s="1" t="s">
        <v>108</v>
      </c>
    </row>
    <row r="11" spans="1:22" x14ac:dyDescent="0.25">
      <c r="B11" t="s">
        <v>225</v>
      </c>
      <c r="C11" s="1">
        <v>1</v>
      </c>
      <c r="G11" s="1" t="s">
        <v>60</v>
      </c>
      <c r="H11" t="s">
        <v>200</v>
      </c>
      <c r="I11" s="1">
        <v>51</v>
      </c>
      <c r="J11" s="6">
        <f>I81/$R$1</f>
        <v>23.125</v>
      </c>
      <c r="K11" s="1" t="s">
        <v>84</v>
      </c>
      <c r="L11" s="2"/>
      <c r="M11" s="1" t="s">
        <v>61</v>
      </c>
      <c r="N11" s="5" t="s">
        <v>65</v>
      </c>
      <c r="O11" s="1">
        <v>8.5</v>
      </c>
      <c r="P11" s="14">
        <f t="shared" si="0"/>
        <v>7.65</v>
      </c>
      <c r="Q11" s="1" t="s">
        <v>63</v>
      </c>
      <c r="S11" s="1" t="s">
        <v>58</v>
      </c>
      <c r="T11" t="s">
        <v>98</v>
      </c>
      <c r="U11" s="1" t="s">
        <v>187</v>
      </c>
      <c r="V11" s="1" t="s">
        <v>108</v>
      </c>
    </row>
    <row r="12" spans="1:22" x14ac:dyDescent="0.25">
      <c r="G12" s="1" t="s">
        <v>62</v>
      </c>
      <c r="H12" t="s">
        <v>141</v>
      </c>
      <c r="I12" s="1">
        <v>50</v>
      </c>
      <c r="J12" s="6">
        <f>I85/$R$1</f>
        <v>14.25</v>
      </c>
      <c r="K12" s="12" t="s">
        <v>82</v>
      </c>
      <c r="M12" s="1" t="s">
        <v>62</v>
      </c>
      <c r="N12" s="5" t="s">
        <v>67</v>
      </c>
      <c r="O12" s="1">
        <v>8.4</v>
      </c>
      <c r="P12" s="14">
        <f t="shared" si="0"/>
        <v>6.4749999999999996</v>
      </c>
      <c r="Q12" s="1" t="s">
        <v>83</v>
      </c>
      <c r="S12" s="1" t="s">
        <v>58</v>
      </c>
      <c r="T12" t="s">
        <v>99</v>
      </c>
      <c r="U12" s="1" t="s">
        <v>187</v>
      </c>
      <c r="V12" s="1" t="s">
        <v>108</v>
      </c>
    </row>
    <row r="13" spans="1:22" x14ac:dyDescent="0.25">
      <c r="B13" s="10" t="s">
        <v>4</v>
      </c>
      <c r="C13" s="10"/>
      <c r="G13" s="1" t="s">
        <v>127</v>
      </c>
      <c r="H13" t="s">
        <v>142</v>
      </c>
      <c r="I13" s="1">
        <v>49</v>
      </c>
      <c r="J13" s="6">
        <f>I84/$R$1</f>
        <v>18.875</v>
      </c>
      <c r="K13" s="1" t="s">
        <v>85</v>
      </c>
      <c r="M13" s="1" t="s">
        <v>62</v>
      </c>
      <c r="N13" s="5" t="s">
        <v>68</v>
      </c>
      <c r="O13" s="1">
        <v>8.4</v>
      </c>
      <c r="P13" s="14">
        <f t="shared" si="0"/>
        <v>5.75</v>
      </c>
      <c r="Q13" s="1" t="s">
        <v>82</v>
      </c>
      <c r="S13" s="1" t="s">
        <v>59</v>
      </c>
      <c r="T13" t="s">
        <v>188</v>
      </c>
      <c r="U13" s="1" t="s">
        <v>189</v>
      </c>
      <c r="V13" s="1" t="s">
        <v>190</v>
      </c>
    </row>
    <row r="14" spans="1:22" x14ac:dyDescent="0.25">
      <c r="B14" s="1" t="s">
        <v>32</v>
      </c>
      <c r="C14" s="5" t="s">
        <v>22</v>
      </c>
      <c r="G14" s="1" t="s">
        <v>127</v>
      </c>
      <c r="H14" t="s">
        <v>147</v>
      </c>
      <c r="I14" s="1">
        <v>49</v>
      </c>
      <c r="J14" s="6">
        <f>I82/$R$1</f>
        <v>20.625</v>
      </c>
      <c r="K14" s="1" t="s">
        <v>83</v>
      </c>
      <c r="M14" s="1" t="s">
        <v>128</v>
      </c>
      <c r="N14" s="5" t="s">
        <v>88</v>
      </c>
      <c r="O14" s="1">
        <v>8.1</v>
      </c>
      <c r="P14" s="14"/>
      <c r="Q14" s="1" t="s">
        <v>63</v>
      </c>
      <c r="S14" s="1" t="s">
        <v>59</v>
      </c>
      <c r="T14" t="s">
        <v>163</v>
      </c>
    </row>
    <row r="15" spans="1:22" x14ac:dyDescent="0.25">
      <c r="B15" s="1">
        <v>3</v>
      </c>
      <c r="C15" s="7">
        <f t="shared" ref="C15:C22" si="1">B15 * $D$100</f>
        <v>6.9767441860465115E-2</v>
      </c>
      <c r="G15" s="1" t="s">
        <v>129</v>
      </c>
      <c r="H15" t="s">
        <v>143</v>
      </c>
      <c r="I15" s="1">
        <v>48</v>
      </c>
      <c r="J15" s="6">
        <f>I79/$R$1</f>
        <v>15.875</v>
      </c>
      <c r="K15" s="1" t="s">
        <v>82</v>
      </c>
      <c r="M15" s="1" t="s">
        <v>129</v>
      </c>
      <c r="N15" s="5" t="s">
        <v>67</v>
      </c>
      <c r="O15" s="1">
        <v>7.6</v>
      </c>
      <c r="P15" s="14">
        <f t="shared" ref="P15" si="2">AVERAGE(O86:R86)</f>
        <v>6</v>
      </c>
      <c r="Q15" s="1" t="s">
        <v>83</v>
      </c>
      <c r="S15" s="1" t="s">
        <v>59</v>
      </c>
      <c r="T15" t="s">
        <v>163</v>
      </c>
    </row>
    <row r="16" spans="1:22" x14ac:dyDescent="0.25">
      <c r="B16" s="1">
        <v>7</v>
      </c>
      <c r="C16" s="7">
        <f t="shared" si="1"/>
        <v>0.16279069767441862</v>
      </c>
      <c r="G16" s="1"/>
      <c r="I16" s="1"/>
      <c r="J16" s="6"/>
      <c r="K16" s="1"/>
      <c r="M16" s="1"/>
      <c r="N16" s="1"/>
    </row>
    <row r="17" spans="2:23" x14ac:dyDescent="0.25">
      <c r="B17" s="1">
        <v>8</v>
      </c>
      <c r="C17" s="7">
        <f t="shared" si="1"/>
        <v>0.18604651162790697</v>
      </c>
      <c r="G17" s="55" t="s">
        <v>48</v>
      </c>
      <c r="H17" s="55"/>
      <c r="I17" t="s">
        <v>135</v>
      </c>
      <c r="J17" s="2" t="s">
        <v>133</v>
      </c>
      <c r="K17" s="2" t="s">
        <v>134</v>
      </c>
      <c r="L17" s="2"/>
      <c r="M17" s="57" t="s">
        <v>55</v>
      </c>
      <c r="N17" s="57"/>
      <c r="P17" t="s">
        <v>133</v>
      </c>
      <c r="S17" s="55" t="s">
        <v>55</v>
      </c>
      <c r="T17" s="55"/>
      <c r="V17" t="s">
        <v>133</v>
      </c>
    </row>
    <row r="18" spans="2:23" x14ac:dyDescent="0.25">
      <c r="B18" s="1">
        <v>9</v>
      </c>
      <c r="C18" s="7">
        <f t="shared" si="1"/>
        <v>0.20930232558139533</v>
      </c>
      <c r="G18" s="1" t="s">
        <v>58</v>
      </c>
      <c r="H18" t="s">
        <v>149</v>
      </c>
      <c r="I18" s="1">
        <v>86</v>
      </c>
      <c r="J18" s="6">
        <f>I91/$R$1</f>
        <v>18.375</v>
      </c>
      <c r="K18" s="1" t="s">
        <v>63</v>
      </c>
      <c r="M18" s="1" t="s">
        <v>58</v>
      </c>
      <c r="N18" s="5" t="s">
        <v>234</v>
      </c>
      <c r="O18" s="1">
        <v>14</v>
      </c>
      <c r="S18" s="1" t="s">
        <v>58</v>
      </c>
      <c r="T18" t="s">
        <v>109</v>
      </c>
      <c r="U18" s="1">
        <v>57</v>
      </c>
    </row>
    <row r="19" spans="2:23" x14ac:dyDescent="0.25">
      <c r="B19" s="1">
        <v>11</v>
      </c>
      <c r="C19" s="7">
        <f t="shared" si="1"/>
        <v>0.2558139534883721</v>
      </c>
      <c r="G19" s="1" t="s">
        <v>59</v>
      </c>
      <c r="H19" t="s">
        <v>150</v>
      </c>
      <c r="I19" s="1">
        <v>85</v>
      </c>
      <c r="J19" s="6">
        <f>I97/$R$1</f>
        <v>11.125</v>
      </c>
      <c r="K19" s="1" t="s">
        <v>83</v>
      </c>
      <c r="M19" s="1" t="s">
        <v>59</v>
      </c>
      <c r="N19" s="5" t="s">
        <v>70</v>
      </c>
      <c r="O19" s="1">
        <v>13</v>
      </c>
      <c r="P19" s="6">
        <f>AVERAGE(O89:Q89)</f>
        <v>13</v>
      </c>
      <c r="Q19" s="1" t="s">
        <v>83</v>
      </c>
      <c r="S19" s="1" t="s">
        <v>59</v>
      </c>
      <c r="T19" t="s">
        <v>238</v>
      </c>
      <c r="U19" s="1">
        <v>44</v>
      </c>
    </row>
    <row r="20" spans="2:23" x14ac:dyDescent="0.25">
      <c r="B20" s="1">
        <v>14</v>
      </c>
      <c r="C20" s="7">
        <f t="shared" si="1"/>
        <v>0.32558139534883723</v>
      </c>
      <c r="G20" s="1" t="s">
        <v>60</v>
      </c>
      <c r="H20" t="s">
        <v>144</v>
      </c>
      <c r="I20" s="1">
        <v>79</v>
      </c>
      <c r="J20" s="6">
        <f>I89/$R$1</f>
        <v>11.75</v>
      </c>
      <c r="K20" s="12" t="s">
        <v>84</v>
      </c>
      <c r="L20" s="2"/>
      <c r="M20" s="1" t="s">
        <v>60</v>
      </c>
      <c r="N20" s="5" t="s">
        <v>68</v>
      </c>
      <c r="O20" s="1">
        <v>12</v>
      </c>
      <c r="P20" s="6">
        <f>AVERAGE(O90:Q90)</f>
        <v>7.666666666666667</v>
      </c>
      <c r="Q20" s="1" t="s">
        <v>82</v>
      </c>
      <c r="S20" s="1" t="s">
        <v>60</v>
      </c>
      <c r="T20" t="s">
        <v>193</v>
      </c>
      <c r="U20" s="1">
        <v>44</v>
      </c>
    </row>
    <row r="21" spans="2:23" x14ac:dyDescent="0.25">
      <c r="B21" s="1">
        <v>15</v>
      </c>
      <c r="C21" s="7">
        <f t="shared" si="1"/>
        <v>0.34883720930232559</v>
      </c>
      <c r="G21" s="1" t="s">
        <v>61</v>
      </c>
      <c r="H21" t="s">
        <v>154</v>
      </c>
      <c r="I21" s="1">
        <v>77</v>
      </c>
      <c r="J21" s="6">
        <f>I90/$R$1</f>
        <v>13.5</v>
      </c>
      <c r="K21" s="1" t="s">
        <v>156</v>
      </c>
      <c r="M21" s="1" t="s">
        <v>60</v>
      </c>
      <c r="N21" s="5" t="s">
        <v>66</v>
      </c>
      <c r="O21" s="1">
        <v>12</v>
      </c>
      <c r="S21" s="1" t="s">
        <v>60</v>
      </c>
      <c r="T21" t="s">
        <v>100</v>
      </c>
      <c r="U21" s="1">
        <v>43</v>
      </c>
      <c r="V21" s="15" t="s">
        <v>178</v>
      </c>
      <c r="W21" s="1" t="s">
        <v>105</v>
      </c>
    </row>
    <row r="22" spans="2:23" x14ac:dyDescent="0.25">
      <c r="B22" s="1">
        <v>19</v>
      </c>
      <c r="C22" s="7">
        <f t="shared" si="1"/>
        <v>0.44186046511627908</v>
      </c>
      <c r="G22" s="1" t="s">
        <v>62</v>
      </c>
      <c r="H22" t="s">
        <v>202</v>
      </c>
      <c r="I22" s="1">
        <v>74</v>
      </c>
      <c r="J22" s="6">
        <f>I92/$R$1</f>
        <v>26.25</v>
      </c>
      <c r="K22" s="1" t="s">
        <v>63</v>
      </c>
      <c r="M22" s="1" t="s">
        <v>60</v>
      </c>
      <c r="N22" s="5" t="s">
        <v>177</v>
      </c>
      <c r="O22" s="1">
        <v>12</v>
      </c>
      <c r="P22" s="6">
        <f>AVERAGE(O91:Q91)</f>
        <v>10.5</v>
      </c>
      <c r="Q22" s="1" t="s">
        <v>83</v>
      </c>
      <c r="S22" s="1" t="s">
        <v>62</v>
      </c>
      <c r="T22" t="s">
        <v>101</v>
      </c>
      <c r="U22" s="1">
        <v>41</v>
      </c>
      <c r="V22" s="15" t="s">
        <v>178</v>
      </c>
      <c r="W22" s="1" t="s">
        <v>106</v>
      </c>
    </row>
    <row r="23" spans="2:23" x14ac:dyDescent="0.25">
      <c r="G23" s="1" t="s">
        <v>127</v>
      </c>
      <c r="H23" t="s">
        <v>151</v>
      </c>
      <c r="I23" s="1">
        <v>65</v>
      </c>
      <c r="J23" s="6">
        <f>I95/$R$1</f>
        <v>19.375</v>
      </c>
      <c r="K23" s="1" t="s">
        <v>84</v>
      </c>
      <c r="L23" s="2"/>
      <c r="M23" s="1" t="s">
        <v>61</v>
      </c>
      <c r="N23" s="5" t="s">
        <v>66</v>
      </c>
      <c r="O23" s="1">
        <v>11</v>
      </c>
      <c r="P23" s="6">
        <f>AVERAGE(O92:Q92)</f>
        <v>8.6666666666666661</v>
      </c>
      <c r="Q23" s="1" t="s">
        <v>63</v>
      </c>
      <c r="S23" s="1" t="s">
        <v>127</v>
      </c>
      <c r="T23" t="s">
        <v>102</v>
      </c>
      <c r="U23" s="1">
        <v>40</v>
      </c>
      <c r="V23" s="6">
        <f>AVERAGE(N124:P124)</f>
        <v>27.5</v>
      </c>
      <c r="W23" s="1" t="s">
        <v>106</v>
      </c>
    </row>
    <row r="24" spans="2:23" x14ac:dyDescent="0.25">
      <c r="B24" s="11" t="s">
        <v>5</v>
      </c>
      <c r="C24" t="s">
        <v>199</v>
      </c>
      <c r="D24" t="s">
        <v>138</v>
      </c>
      <c r="E24" s="7">
        <f>SUMPRODUCT(C89:C96, D89:D96)/SUM(D89:D96)</f>
        <v>1.2199730094466936</v>
      </c>
      <c r="G24" s="1" t="s">
        <v>128</v>
      </c>
      <c r="H24" t="s">
        <v>152</v>
      </c>
      <c r="I24" s="1">
        <v>63</v>
      </c>
      <c r="J24" s="6">
        <f>I94/$R$1</f>
        <v>21.875</v>
      </c>
      <c r="K24" s="12" t="s">
        <v>82</v>
      </c>
      <c r="M24" s="1" t="s">
        <v>61</v>
      </c>
      <c r="N24" s="5" t="s">
        <v>71</v>
      </c>
      <c r="O24" s="1">
        <v>11</v>
      </c>
      <c r="P24" s="6">
        <f>AVERAGE(O93:Q93)</f>
        <v>11</v>
      </c>
      <c r="Q24" s="1" t="s">
        <v>83</v>
      </c>
      <c r="S24" s="1" t="s">
        <v>128</v>
      </c>
      <c r="T24" t="s">
        <v>104</v>
      </c>
      <c r="U24" s="1">
        <v>40</v>
      </c>
      <c r="V24" s="6">
        <f>AVERAGE(N125:P125)</f>
        <v>38.5</v>
      </c>
      <c r="W24" s="1" t="s">
        <v>107</v>
      </c>
    </row>
    <row r="25" spans="2:23" x14ac:dyDescent="0.25">
      <c r="B25" s="1">
        <v>0</v>
      </c>
      <c r="C25" s="1">
        <v>1</v>
      </c>
      <c r="G25" s="1" t="s">
        <v>128</v>
      </c>
      <c r="H25" t="s">
        <v>153</v>
      </c>
      <c r="I25" s="1">
        <v>63</v>
      </c>
      <c r="J25" s="6">
        <f>I93/$R$1</f>
        <v>15.875</v>
      </c>
      <c r="K25" s="1" t="s">
        <v>82</v>
      </c>
      <c r="M25" s="1" t="s">
        <v>61</v>
      </c>
      <c r="N25" s="5" t="s">
        <v>72</v>
      </c>
      <c r="O25" s="1">
        <v>11</v>
      </c>
      <c r="P25" s="6">
        <f>AVERAGE(O94:Q94)</f>
        <v>11</v>
      </c>
      <c r="Q25" s="1" t="s">
        <v>83</v>
      </c>
      <c r="S25" s="1" t="s">
        <v>129</v>
      </c>
      <c r="T25" t="s">
        <v>103</v>
      </c>
      <c r="U25" s="1">
        <v>38</v>
      </c>
      <c r="V25" s="6">
        <f>AVERAGE(N126:P126)</f>
        <v>36.5</v>
      </c>
      <c r="W25" s="1" t="s">
        <v>107</v>
      </c>
    </row>
    <row r="26" spans="2:23" x14ac:dyDescent="0.25">
      <c r="B26" s="1">
        <v>1</v>
      </c>
      <c r="C26" s="1">
        <v>4</v>
      </c>
      <c r="G26" s="1" t="s">
        <v>128</v>
      </c>
      <c r="H26" t="s">
        <v>155</v>
      </c>
      <c r="I26" s="1">
        <v>63</v>
      </c>
      <c r="J26" s="6">
        <f>I96/$R$1</f>
        <v>12.875</v>
      </c>
      <c r="K26" s="1" t="s">
        <v>82</v>
      </c>
      <c r="M26" s="1" t="s">
        <v>61</v>
      </c>
      <c r="N26" s="5" t="s">
        <v>235</v>
      </c>
      <c r="O26" s="1">
        <v>11</v>
      </c>
      <c r="P26" s="6"/>
      <c r="Q26" s="1"/>
      <c r="S26" s="1"/>
      <c r="U26" s="1"/>
      <c r="V26" s="6"/>
      <c r="W26" s="1"/>
    </row>
    <row r="27" spans="2:23" x14ac:dyDescent="0.25">
      <c r="B27" s="1">
        <v>2</v>
      </c>
      <c r="C27" s="1">
        <v>1</v>
      </c>
      <c r="M27" s="1" t="s">
        <v>61</v>
      </c>
      <c r="N27" s="5" t="s">
        <v>236</v>
      </c>
      <c r="O27" s="1">
        <v>11</v>
      </c>
      <c r="P27" s="6"/>
      <c r="Q27" s="1"/>
      <c r="S27" s="1"/>
      <c r="U27" s="1"/>
      <c r="V27" s="6"/>
      <c r="W27" s="1"/>
    </row>
    <row r="28" spans="2:23" x14ac:dyDescent="0.25">
      <c r="B28" s="1" t="s">
        <v>29</v>
      </c>
      <c r="C28" s="1">
        <v>1</v>
      </c>
      <c r="G28" s="55" t="s">
        <v>204</v>
      </c>
      <c r="H28" s="55"/>
      <c r="I28" t="s">
        <v>136</v>
      </c>
      <c r="J28" t="s">
        <v>133</v>
      </c>
      <c r="K28" t="s">
        <v>134</v>
      </c>
      <c r="M28" s="1" t="s">
        <v>61</v>
      </c>
      <c r="N28" s="5" t="s">
        <v>67</v>
      </c>
      <c r="O28" s="1">
        <v>11</v>
      </c>
      <c r="P28" s="6"/>
      <c r="Q28" s="1"/>
    </row>
    <row r="29" spans="2:23" x14ac:dyDescent="0.25">
      <c r="G29" s="1" t="s">
        <v>58</v>
      </c>
      <c r="H29" t="s">
        <v>146</v>
      </c>
      <c r="I29" s="1">
        <v>222</v>
      </c>
      <c r="J29" s="6">
        <f>I100/2</f>
        <v>187</v>
      </c>
      <c r="K29" s="1" t="s">
        <v>83</v>
      </c>
      <c r="M29" s="1"/>
      <c r="N29" s="1"/>
    </row>
    <row r="30" spans="2:23" x14ac:dyDescent="0.25">
      <c r="B30" s="11" t="s">
        <v>6</v>
      </c>
      <c r="C30" t="s">
        <v>40</v>
      </c>
      <c r="D30" t="s">
        <v>138</v>
      </c>
      <c r="E30" s="7">
        <f>SUMPRODUCT(C121:C124, D121:D124)/SUM(D121:D124)</f>
        <v>4.3</v>
      </c>
      <c r="G30" s="1" t="s">
        <v>59</v>
      </c>
      <c r="H30" t="s">
        <v>146</v>
      </c>
      <c r="I30" s="1">
        <v>152</v>
      </c>
      <c r="J30" s="6">
        <f t="shared" ref="J30:J37" si="3">I101/2</f>
        <v>187</v>
      </c>
      <c r="K30" s="1" t="s">
        <v>83</v>
      </c>
      <c r="M30" s="57" t="s">
        <v>56</v>
      </c>
      <c r="N30" s="57"/>
      <c r="S30" s="55" t="s">
        <v>94</v>
      </c>
      <c r="T30" s="55"/>
      <c r="U30" s="1" t="s">
        <v>123</v>
      </c>
      <c r="V30" s="1" t="s">
        <v>3</v>
      </c>
    </row>
    <row r="31" spans="2:23" x14ac:dyDescent="0.25">
      <c r="B31" s="1" t="s">
        <v>37</v>
      </c>
      <c r="C31" s="1">
        <v>0</v>
      </c>
      <c r="D31" s="5"/>
      <c r="G31" s="1" t="s">
        <v>60</v>
      </c>
      <c r="H31" t="s">
        <v>142</v>
      </c>
      <c r="I31" s="1">
        <v>130</v>
      </c>
      <c r="J31" s="6">
        <f t="shared" si="3"/>
        <v>81.5</v>
      </c>
      <c r="K31" s="1" t="s">
        <v>85</v>
      </c>
      <c r="M31" s="1" t="s">
        <v>58</v>
      </c>
      <c r="N31" s="5" t="s">
        <v>80</v>
      </c>
      <c r="O31" s="1">
        <v>6</v>
      </c>
      <c r="P31" s="15" t="s">
        <v>178</v>
      </c>
      <c r="Q31" s="1" t="s">
        <v>84</v>
      </c>
      <c r="S31" s="1" t="s">
        <v>58</v>
      </c>
      <c r="T31" s="5" t="s">
        <v>109</v>
      </c>
      <c r="U31" s="1">
        <v>3</v>
      </c>
      <c r="V31" s="1">
        <v>5</v>
      </c>
      <c r="W31" s="1" t="s">
        <v>106</v>
      </c>
    </row>
    <row r="32" spans="2:23" x14ac:dyDescent="0.25">
      <c r="B32" s="12" t="s">
        <v>7</v>
      </c>
      <c r="C32" s="1">
        <v>2</v>
      </c>
      <c r="D32" s="5"/>
      <c r="G32" s="1" t="s">
        <v>61</v>
      </c>
      <c r="H32" t="s">
        <v>43</v>
      </c>
      <c r="I32" s="1">
        <v>127</v>
      </c>
      <c r="J32" s="6">
        <f t="shared" si="3"/>
        <v>71.5</v>
      </c>
      <c r="K32" s="1" t="s">
        <v>85</v>
      </c>
      <c r="M32" s="1" t="s">
        <v>58</v>
      </c>
      <c r="N32" s="5" t="s">
        <v>235</v>
      </c>
      <c r="O32" s="1">
        <v>6</v>
      </c>
      <c r="S32" s="1" t="s">
        <v>59</v>
      </c>
      <c r="T32" s="5" t="s">
        <v>109</v>
      </c>
      <c r="U32" s="1">
        <v>2</v>
      </c>
      <c r="V32" s="1">
        <v>5</v>
      </c>
      <c r="W32" s="1" t="s">
        <v>106</v>
      </c>
    </row>
    <row r="33" spans="2:23" x14ac:dyDescent="0.25">
      <c r="B33" s="12" t="s">
        <v>38</v>
      </c>
      <c r="C33" s="1">
        <v>1</v>
      </c>
      <c r="D33" s="5"/>
      <c r="G33" s="1" t="s">
        <v>62</v>
      </c>
      <c r="H33" t="s">
        <v>144</v>
      </c>
      <c r="I33" s="1">
        <v>120</v>
      </c>
      <c r="J33" s="6">
        <f t="shared" si="3"/>
        <v>50.5</v>
      </c>
      <c r="K33" s="1" t="s">
        <v>84</v>
      </c>
      <c r="M33" s="1" t="s">
        <v>59</v>
      </c>
      <c r="N33" s="5" t="s">
        <v>81</v>
      </c>
      <c r="O33" s="1">
        <v>5</v>
      </c>
      <c r="P33" s="6">
        <f t="shared" ref="P33:P44" si="4">AVERAGE(O103:P103)</f>
        <v>0</v>
      </c>
      <c r="Q33" s="1" t="s">
        <v>63</v>
      </c>
      <c r="S33" s="1" t="s">
        <v>60</v>
      </c>
      <c r="T33" s="5" t="s">
        <v>98</v>
      </c>
      <c r="U33" s="1">
        <v>1</v>
      </c>
      <c r="V33" s="1">
        <v>2</v>
      </c>
      <c r="W33" s="1" t="s">
        <v>108</v>
      </c>
    </row>
    <row r="34" spans="2:23" x14ac:dyDescent="0.25">
      <c r="B34" s="1" t="s">
        <v>39</v>
      </c>
      <c r="C34" s="1">
        <v>0</v>
      </c>
      <c r="G34" s="1" t="s">
        <v>127</v>
      </c>
      <c r="H34" t="s">
        <v>158</v>
      </c>
      <c r="I34" s="1">
        <v>114</v>
      </c>
      <c r="J34" s="6">
        <f t="shared" si="3"/>
        <v>67</v>
      </c>
      <c r="K34" s="1" t="s">
        <v>85</v>
      </c>
      <c r="M34" s="1" t="s">
        <v>60</v>
      </c>
      <c r="N34" s="5" t="s">
        <v>64</v>
      </c>
      <c r="O34" s="1">
        <v>4</v>
      </c>
      <c r="P34" s="6">
        <f t="shared" si="4"/>
        <v>2</v>
      </c>
      <c r="Q34" s="1" t="s">
        <v>82</v>
      </c>
      <c r="S34" s="1" t="s">
        <v>60</v>
      </c>
      <c r="T34" s="5" t="s">
        <v>98</v>
      </c>
      <c r="U34" s="1">
        <v>1</v>
      </c>
      <c r="V34" s="1">
        <v>2</v>
      </c>
      <c r="W34" s="1" t="s">
        <v>108</v>
      </c>
    </row>
    <row r="35" spans="2:23" x14ac:dyDescent="0.25">
      <c r="G35" s="1" t="s">
        <v>127</v>
      </c>
      <c r="H35" t="s">
        <v>145</v>
      </c>
      <c r="I35" s="1">
        <v>114</v>
      </c>
      <c r="J35" s="6">
        <f t="shared" si="3"/>
        <v>84.5</v>
      </c>
      <c r="K35" s="1" t="s">
        <v>63</v>
      </c>
      <c r="M35" s="1" t="s">
        <v>60</v>
      </c>
      <c r="N35" s="5" t="s">
        <v>78</v>
      </c>
      <c r="O35" s="1">
        <v>4</v>
      </c>
      <c r="P35" s="6">
        <f t="shared" si="4"/>
        <v>4</v>
      </c>
      <c r="Q35" s="1" t="s">
        <v>85</v>
      </c>
      <c r="S35" s="1" t="s">
        <v>62</v>
      </c>
      <c r="T35" s="5" t="s">
        <v>113</v>
      </c>
      <c r="U35" s="1">
        <v>1</v>
      </c>
      <c r="V35" s="1">
        <v>1</v>
      </c>
      <c r="W35" s="1" t="s">
        <v>107</v>
      </c>
    </row>
    <row r="36" spans="2:23" x14ac:dyDescent="0.25">
      <c r="B36" s="5"/>
      <c r="G36" s="1" t="s">
        <v>129</v>
      </c>
      <c r="H36" t="s">
        <v>159</v>
      </c>
      <c r="I36" s="1">
        <v>112</v>
      </c>
      <c r="J36" s="6">
        <f t="shared" si="3"/>
        <v>87.5</v>
      </c>
      <c r="K36" s="1" t="s">
        <v>83</v>
      </c>
      <c r="M36" s="1" t="s">
        <v>60</v>
      </c>
      <c r="N36" s="5" t="s">
        <v>79</v>
      </c>
      <c r="O36" s="1">
        <v>4</v>
      </c>
      <c r="P36" s="6">
        <f t="shared" si="4"/>
        <v>3</v>
      </c>
      <c r="Q36" s="1" t="s">
        <v>85</v>
      </c>
      <c r="S36" s="1" t="s">
        <v>62</v>
      </c>
      <c r="T36" s="5" t="s">
        <v>114</v>
      </c>
      <c r="U36" s="1">
        <v>1</v>
      </c>
      <c r="V36" s="1">
        <v>1</v>
      </c>
      <c r="W36" s="1" t="s">
        <v>108</v>
      </c>
    </row>
    <row r="37" spans="2:23" x14ac:dyDescent="0.25">
      <c r="B37" s="11" t="s">
        <v>8</v>
      </c>
      <c r="C37" s="10"/>
      <c r="D37" s="1" t="s">
        <v>11</v>
      </c>
      <c r="G37" s="1" t="s">
        <v>129</v>
      </c>
      <c r="H37" t="s">
        <v>160</v>
      </c>
      <c r="I37" s="1">
        <v>112</v>
      </c>
      <c r="J37" s="6">
        <f t="shared" si="3"/>
        <v>104.5</v>
      </c>
      <c r="K37" s="1" t="s">
        <v>84</v>
      </c>
      <c r="M37" s="1" t="s">
        <v>60</v>
      </c>
      <c r="N37" s="5" t="s">
        <v>69</v>
      </c>
      <c r="O37" s="1">
        <v>4</v>
      </c>
      <c r="P37" s="6">
        <f t="shared" si="4"/>
        <v>3.5</v>
      </c>
      <c r="Q37" s="1" t="s">
        <v>63</v>
      </c>
      <c r="S37" s="1" t="s">
        <v>62</v>
      </c>
      <c r="T37" s="5" t="s">
        <v>115</v>
      </c>
      <c r="U37" s="1">
        <v>1</v>
      </c>
      <c r="V37" s="1">
        <v>1</v>
      </c>
      <c r="W37" s="1" t="s">
        <v>105</v>
      </c>
    </row>
    <row r="38" spans="2:23" x14ac:dyDescent="0.25">
      <c r="B38" s="5" t="s">
        <v>14</v>
      </c>
      <c r="C38" s="6">
        <f>C113/($R$1-1)</f>
        <v>77.857142857142861</v>
      </c>
      <c r="M38" s="1" t="s">
        <v>60</v>
      </c>
      <c r="N38" s="5" t="s">
        <v>86</v>
      </c>
      <c r="O38" s="1">
        <v>4</v>
      </c>
      <c r="P38" s="6">
        <f t="shared" si="4"/>
        <v>2.5</v>
      </c>
      <c r="Q38" s="1" t="s">
        <v>85</v>
      </c>
      <c r="S38" s="1" t="s">
        <v>62</v>
      </c>
      <c r="T38" s="5" t="s">
        <v>116</v>
      </c>
      <c r="U38" s="1">
        <v>1</v>
      </c>
      <c r="V38" s="1">
        <v>1</v>
      </c>
      <c r="W38" s="1" t="s">
        <v>105</v>
      </c>
    </row>
    <row r="39" spans="2:23" x14ac:dyDescent="0.25">
      <c r="B39" s="5" t="s">
        <v>9</v>
      </c>
      <c r="C39" s="6">
        <f>C112/($R$1-1)</f>
        <v>74.428571428571431</v>
      </c>
      <c r="G39" s="11" t="s">
        <v>52</v>
      </c>
      <c r="H39" s="11"/>
      <c r="I39" t="s">
        <v>130</v>
      </c>
      <c r="J39" t="s">
        <v>133</v>
      </c>
      <c r="K39" t="s">
        <v>134</v>
      </c>
      <c r="M39" s="1" t="s">
        <v>60</v>
      </c>
      <c r="N39" s="5" t="s">
        <v>87</v>
      </c>
      <c r="O39" s="1">
        <v>4</v>
      </c>
      <c r="P39" s="6">
        <f t="shared" si="4"/>
        <v>3</v>
      </c>
      <c r="Q39" s="1" t="s">
        <v>82</v>
      </c>
      <c r="S39" s="1" t="s">
        <v>62</v>
      </c>
      <c r="T39" s="5" t="s">
        <v>102</v>
      </c>
      <c r="U39" s="1">
        <v>1</v>
      </c>
      <c r="V39" s="1">
        <v>1</v>
      </c>
      <c r="W39" s="1" t="s">
        <v>106</v>
      </c>
    </row>
    <row r="40" spans="2:23" x14ac:dyDescent="0.25">
      <c r="B40" s="5" t="s">
        <v>12</v>
      </c>
      <c r="C40" s="6">
        <f>C114/($R$1-1)</f>
        <v>71.857142857142861</v>
      </c>
      <c r="G40" s="1" t="s">
        <v>58</v>
      </c>
      <c r="H40" t="s">
        <v>226</v>
      </c>
      <c r="I40" s="1">
        <v>112</v>
      </c>
      <c r="J40" s="6">
        <f>I121/1</f>
        <v>112</v>
      </c>
      <c r="K40" s="1" t="s">
        <v>63</v>
      </c>
      <c r="M40" s="1" t="s">
        <v>60</v>
      </c>
      <c r="N40" s="5" t="s">
        <v>65</v>
      </c>
      <c r="O40" s="1">
        <v>4</v>
      </c>
      <c r="P40" s="6">
        <f t="shared" si="4"/>
        <v>2</v>
      </c>
      <c r="Q40" s="1" t="s">
        <v>63</v>
      </c>
      <c r="S40" s="1" t="s">
        <v>62</v>
      </c>
      <c r="T40" s="5" t="s">
        <v>117</v>
      </c>
      <c r="U40" s="1">
        <v>1</v>
      </c>
      <c r="V40" s="1">
        <v>1</v>
      </c>
      <c r="W40" s="1" t="s">
        <v>106</v>
      </c>
    </row>
    <row r="41" spans="2:23" x14ac:dyDescent="0.25">
      <c r="B41" s="5" t="s">
        <v>10</v>
      </c>
      <c r="C41" s="6">
        <f>C115/($R$1-1)</f>
        <v>69.285714285714292</v>
      </c>
      <c r="G41" s="1" t="s">
        <v>59</v>
      </c>
      <c r="H41" t="s">
        <v>227</v>
      </c>
      <c r="I41" s="1">
        <v>92</v>
      </c>
      <c r="J41" s="6">
        <f t="shared" ref="J41:J48" si="5">I122/1</f>
        <v>92</v>
      </c>
      <c r="K41" s="1" t="s">
        <v>85</v>
      </c>
      <c r="M41" s="1" t="s">
        <v>60</v>
      </c>
      <c r="N41" s="5" t="s">
        <v>88</v>
      </c>
      <c r="O41" s="1">
        <v>4</v>
      </c>
      <c r="P41" s="6">
        <f t="shared" si="4"/>
        <v>4</v>
      </c>
      <c r="Q41" s="1" t="s">
        <v>63</v>
      </c>
      <c r="S41" s="1" t="s">
        <v>62</v>
      </c>
      <c r="T41" s="5" t="s">
        <v>118</v>
      </c>
      <c r="U41" s="1">
        <v>1</v>
      </c>
      <c r="V41" s="1">
        <v>1</v>
      </c>
      <c r="W41" s="1" t="s">
        <v>122</v>
      </c>
    </row>
    <row r="42" spans="2:23" x14ac:dyDescent="0.25">
      <c r="B42" s="5" t="s">
        <v>13</v>
      </c>
      <c r="C42" s="6">
        <f>C116/($R$1-1)</f>
        <v>64.714285714285708</v>
      </c>
      <c r="G42" s="1" t="s">
        <v>60</v>
      </c>
      <c r="H42" t="s">
        <v>145</v>
      </c>
      <c r="I42" s="1">
        <v>90</v>
      </c>
      <c r="J42" s="6">
        <f t="shared" si="5"/>
        <v>90</v>
      </c>
      <c r="K42" s="1" t="s">
        <v>63</v>
      </c>
      <c r="M42" s="1" t="s">
        <v>60</v>
      </c>
      <c r="N42" s="5" t="s">
        <v>110</v>
      </c>
      <c r="O42" s="1">
        <v>4</v>
      </c>
      <c r="P42" s="6">
        <f t="shared" si="4"/>
        <v>1</v>
      </c>
      <c r="Q42" s="1" t="s">
        <v>85</v>
      </c>
      <c r="S42" s="1" t="s">
        <v>62</v>
      </c>
      <c r="T42" s="5" t="s">
        <v>119</v>
      </c>
      <c r="U42" s="1">
        <v>1</v>
      </c>
      <c r="V42" s="1">
        <v>1</v>
      </c>
      <c r="W42" s="1" t="s">
        <v>122</v>
      </c>
    </row>
    <row r="43" spans="2:23" x14ac:dyDescent="0.25">
      <c r="B43" s="5" t="s">
        <v>15</v>
      </c>
      <c r="C43" s="6">
        <f>C117/($R$1-3)</f>
        <v>64.2</v>
      </c>
      <c r="G43" s="1" t="s">
        <v>61</v>
      </c>
      <c r="H43" t="s">
        <v>228</v>
      </c>
      <c r="I43" s="1">
        <v>87</v>
      </c>
      <c r="J43" s="6">
        <f t="shared" si="5"/>
        <v>87</v>
      </c>
      <c r="K43" s="1" t="s">
        <v>63</v>
      </c>
      <c r="M43" s="1" t="s">
        <v>60</v>
      </c>
      <c r="N43" s="5" t="s">
        <v>112</v>
      </c>
      <c r="O43" s="1">
        <v>4</v>
      </c>
      <c r="P43" s="6">
        <f t="shared" si="4"/>
        <v>0</v>
      </c>
      <c r="Q43" s="1" t="s">
        <v>85</v>
      </c>
      <c r="S43" s="1" t="s">
        <v>62</v>
      </c>
      <c r="T43" s="5" t="s">
        <v>120</v>
      </c>
      <c r="U43" s="1">
        <v>1</v>
      </c>
      <c r="V43" s="1">
        <v>1</v>
      </c>
      <c r="W43" s="1" t="s">
        <v>105</v>
      </c>
    </row>
    <row r="44" spans="2:23" x14ac:dyDescent="0.25">
      <c r="G44" s="1" t="s">
        <v>62</v>
      </c>
      <c r="H44" t="s">
        <v>168</v>
      </c>
      <c r="I44" s="1">
        <v>86</v>
      </c>
      <c r="J44" s="6">
        <f t="shared" si="5"/>
        <v>86</v>
      </c>
      <c r="K44" s="1" t="s">
        <v>85</v>
      </c>
      <c r="M44" s="1" t="s">
        <v>60</v>
      </c>
      <c r="N44" s="5" t="s">
        <v>111</v>
      </c>
      <c r="O44" s="1">
        <v>4</v>
      </c>
      <c r="P44" s="6">
        <f t="shared" si="4"/>
        <v>1</v>
      </c>
      <c r="Q44" s="1" t="s">
        <v>85</v>
      </c>
      <c r="S44" s="1" t="s">
        <v>62</v>
      </c>
      <c r="T44" s="5" t="s">
        <v>121</v>
      </c>
      <c r="U44" s="1">
        <v>1</v>
      </c>
      <c r="V44" s="1">
        <v>1</v>
      </c>
      <c r="W44" s="1" t="s">
        <v>122</v>
      </c>
    </row>
    <row r="45" spans="2:23" x14ac:dyDescent="0.25">
      <c r="B45" s="11" t="s">
        <v>216</v>
      </c>
      <c r="C45" s="10"/>
      <c r="D45" t="s">
        <v>138</v>
      </c>
      <c r="E45" s="7">
        <f>SUMPRODUCT(C127:C134, D127:D134)/SUM(D127:D134)</f>
        <v>95.399460188933872</v>
      </c>
      <c r="G45" s="1" t="s">
        <v>127</v>
      </c>
      <c r="H45" t="s">
        <v>152</v>
      </c>
      <c r="I45" s="1">
        <v>82</v>
      </c>
      <c r="J45" s="6">
        <f t="shared" si="5"/>
        <v>82</v>
      </c>
      <c r="K45" s="1" t="s">
        <v>82</v>
      </c>
      <c r="M45" s="1" t="s">
        <v>60</v>
      </c>
      <c r="N45" s="5" t="s">
        <v>111</v>
      </c>
      <c r="O45" s="1">
        <v>4</v>
      </c>
      <c r="S45" s="1" t="s">
        <v>62</v>
      </c>
      <c r="T45" s="5" t="s">
        <v>239</v>
      </c>
      <c r="U45" s="1">
        <v>1</v>
      </c>
    </row>
    <row r="46" spans="2:23" x14ac:dyDescent="0.25">
      <c r="B46" s="1" t="s">
        <v>217</v>
      </c>
      <c r="C46" s="1">
        <v>6</v>
      </c>
      <c r="G46" s="1" t="s">
        <v>128</v>
      </c>
      <c r="H46" t="s">
        <v>229</v>
      </c>
      <c r="I46" s="1">
        <v>77</v>
      </c>
      <c r="J46" s="6">
        <f t="shared" si="5"/>
        <v>77</v>
      </c>
      <c r="K46" s="1" t="s">
        <v>82</v>
      </c>
      <c r="M46" s="1" t="s">
        <v>60</v>
      </c>
      <c r="N46" s="5" t="s">
        <v>181</v>
      </c>
      <c r="O46" s="1">
        <v>4</v>
      </c>
    </row>
    <row r="47" spans="2:23" x14ac:dyDescent="0.25">
      <c r="B47" s="1" t="s">
        <v>218</v>
      </c>
      <c r="C47" s="1">
        <v>0</v>
      </c>
      <c r="G47" s="1" t="s">
        <v>129</v>
      </c>
      <c r="H47" t="s">
        <v>149</v>
      </c>
      <c r="I47" s="1">
        <v>72</v>
      </c>
      <c r="J47" s="6">
        <f t="shared" si="5"/>
        <v>72</v>
      </c>
      <c r="K47" s="1" t="s">
        <v>63</v>
      </c>
      <c r="S47" s="55" t="s">
        <v>95</v>
      </c>
      <c r="T47" s="55"/>
      <c r="V47" s="1"/>
    </row>
    <row r="48" spans="2:23" x14ac:dyDescent="0.25">
      <c r="B48" s="1" t="s">
        <v>219</v>
      </c>
      <c r="C48" s="1">
        <v>2</v>
      </c>
      <c r="G48" s="1" t="s">
        <v>230</v>
      </c>
      <c r="H48" t="s">
        <v>231</v>
      </c>
      <c r="I48" s="1">
        <v>72</v>
      </c>
      <c r="J48" s="6">
        <f t="shared" si="5"/>
        <v>72</v>
      </c>
      <c r="K48" s="1" t="s">
        <v>85</v>
      </c>
      <c r="M48" s="57" t="s">
        <v>52</v>
      </c>
      <c r="N48" s="57"/>
      <c r="S48" s="1" t="s">
        <v>58</v>
      </c>
      <c r="T48" s="5" t="s">
        <v>125</v>
      </c>
      <c r="U48" s="9">
        <v>0.85</v>
      </c>
      <c r="V48" s="1" t="s">
        <v>122</v>
      </c>
    </row>
    <row r="49" spans="2:24" x14ac:dyDescent="0.25">
      <c r="B49" s="1" t="s">
        <v>220</v>
      </c>
      <c r="C49" s="1">
        <v>0</v>
      </c>
      <c r="M49" s="1" t="s">
        <v>58</v>
      </c>
      <c r="N49" s="5" t="s">
        <v>74</v>
      </c>
      <c r="O49" s="1">
        <v>16</v>
      </c>
      <c r="P49" s="1" t="s">
        <v>63</v>
      </c>
      <c r="S49" s="1" t="s">
        <v>59</v>
      </c>
      <c r="T49" s="5" t="s">
        <v>124</v>
      </c>
      <c r="U49" s="9">
        <v>0.87361111111111112</v>
      </c>
      <c r="V49" s="1" t="s">
        <v>122</v>
      </c>
    </row>
    <row r="50" spans="2:24" x14ac:dyDescent="0.25">
      <c r="B50" s="1" t="s">
        <v>221</v>
      </c>
      <c r="C50" s="1">
        <v>0</v>
      </c>
      <c r="G50" s="11" t="s">
        <v>49</v>
      </c>
      <c r="H50" s="11"/>
      <c r="I50" t="s">
        <v>137</v>
      </c>
      <c r="J50" t="s">
        <v>134</v>
      </c>
      <c r="M50" s="1" t="s">
        <v>59</v>
      </c>
      <c r="N50" s="5" t="s">
        <v>89</v>
      </c>
      <c r="O50" s="1">
        <v>14</v>
      </c>
      <c r="P50" s="1" t="s">
        <v>63</v>
      </c>
      <c r="S50" s="1" t="s">
        <v>60</v>
      </c>
      <c r="T50" s="5" t="s">
        <v>109</v>
      </c>
      <c r="U50" s="9">
        <v>0.93402777777777779</v>
      </c>
      <c r="V50" s="1" t="s">
        <v>106</v>
      </c>
    </row>
    <row r="51" spans="2:24" x14ac:dyDescent="0.25">
      <c r="B51" s="1" t="s">
        <v>222</v>
      </c>
      <c r="C51" s="1">
        <v>0</v>
      </c>
      <c r="G51" s="1" t="s">
        <v>58</v>
      </c>
      <c r="H51" t="s">
        <v>206</v>
      </c>
      <c r="I51" s="13">
        <v>1</v>
      </c>
      <c r="J51" s="1" t="s">
        <v>84</v>
      </c>
      <c r="M51" s="1" t="s">
        <v>59</v>
      </c>
      <c r="N51" s="5" t="s">
        <v>90</v>
      </c>
      <c r="O51" s="1">
        <v>14</v>
      </c>
      <c r="P51" s="1" t="s">
        <v>63</v>
      </c>
      <c r="S51" s="1" t="s">
        <v>61</v>
      </c>
      <c r="T51" s="5" t="s">
        <v>102</v>
      </c>
      <c r="U51" s="9">
        <v>0.94097222222222221</v>
      </c>
      <c r="V51" s="1" t="s">
        <v>106</v>
      </c>
    </row>
    <row r="52" spans="2:24" x14ac:dyDescent="0.25">
      <c r="G52" s="1" t="s">
        <v>59</v>
      </c>
      <c r="H52" t="s">
        <v>233</v>
      </c>
      <c r="I52" s="13">
        <v>1</v>
      </c>
      <c r="J52" s="1" t="s">
        <v>85</v>
      </c>
      <c r="M52" s="1" t="s">
        <v>59</v>
      </c>
      <c r="N52" s="5" t="s">
        <v>65</v>
      </c>
      <c r="O52" s="1">
        <v>14</v>
      </c>
      <c r="P52" s="1" t="s">
        <v>63</v>
      </c>
      <c r="S52" s="1" t="s">
        <v>62</v>
      </c>
      <c r="T52" s="5" t="s">
        <v>101</v>
      </c>
      <c r="U52" s="9">
        <v>0.94097222222222221</v>
      </c>
      <c r="V52" s="1" t="s">
        <v>106</v>
      </c>
    </row>
    <row r="53" spans="2:24" x14ac:dyDescent="0.25">
      <c r="G53" s="1" t="s">
        <v>60</v>
      </c>
      <c r="H53" t="s">
        <v>207</v>
      </c>
      <c r="I53" s="13">
        <v>0.92</v>
      </c>
      <c r="J53" s="1" t="s">
        <v>84</v>
      </c>
      <c r="M53" s="1" t="s">
        <v>59</v>
      </c>
      <c r="N53" s="5" t="s">
        <v>237</v>
      </c>
      <c r="O53" s="1">
        <v>14</v>
      </c>
      <c r="S53" s="1" t="s">
        <v>127</v>
      </c>
      <c r="T53" s="5" t="s">
        <v>126</v>
      </c>
      <c r="U53" s="9">
        <v>0.98472222222222228</v>
      </c>
      <c r="V53" s="1" t="s">
        <v>107</v>
      </c>
    </row>
    <row r="54" spans="2:24" x14ac:dyDescent="0.25">
      <c r="G54" s="1" t="s">
        <v>61</v>
      </c>
      <c r="H54" t="s">
        <v>155</v>
      </c>
      <c r="I54" s="13">
        <v>0.88</v>
      </c>
      <c r="J54" s="1" t="s">
        <v>82</v>
      </c>
      <c r="M54" s="1" t="s">
        <v>62</v>
      </c>
      <c r="N54" s="5" t="s">
        <v>77</v>
      </c>
      <c r="O54" s="1">
        <v>13</v>
      </c>
      <c r="P54" s="1" t="s">
        <v>63</v>
      </c>
      <c r="S54" s="1" t="s">
        <v>128</v>
      </c>
      <c r="T54" s="5" t="s">
        <v>125</v>
      </c>
      <c r="U54" s="9">
        <v>0.9916666666666667</v>
      </c>
      <c r="V54" s="1" t="s">
        <v>122</v>
      </c>
    </row>
    <row r="55" spans="2:24" x14ac:dyDescent="0.25">
      <c r="G55" s="1" t="s">
        <v>62</v>
      </c>
      <c r="H55" t="s">
        <v>150</v>
      </c>
      <c r="I55" s="13">
        <v>0.86</v>
      </c>
      <c r="J55" s="1" t="s">
        <v>83</v>
      </c>
      <c r="M55" s="1" t="s">
        <v>62</v>
      </c>
      <c r="N55" s="5" t="s">
        <v>91</v>
      </c>
      <c r="O55" s="1">
        <v>13</v>
      </c>
      <c r="P55" s="1" t="s">
        <v>63</v>
      </c>
      <c r="S55" s="1" t="s">
        <v>129</v>
      </c>
      <c r="T55" s="5" t="s">
        <v>192</v>
      </c>
      <c r="U55" s="8">
        <v>1.0062500000000001</v>
      </c>
      <c r="V55" s="1" t="s">
        <v>122</v>
      </c>
    </row>
    <row r="56" spans="2:24" x14ac:dyDescent="0.25">
      <c r="G56" s="1" t="s">
        <v>127</v>
      </c>
      <c r="H56" t="s">
        <v>164</v>
      </c>
      <c r="I56" s="13">
        <v>0.85</v>
      </c>
      <c r="J56" s="1" t="s">
        <v>63</v>
      </c>
      <c r="M56" s="1" t="s">
        <v>128</v>
      </c>
      <c r="N56" s="5" t="s">
        <v>179</v>
      </c>
      <c r="O56" s="1">
        <v>12</v>
      </c>
      <c r="P56" s="1" t="s">
        <v>82</v>
      </c>
      <c r="S56" s="1" t="s">
        <v>129</v>
      </c>
      <c r="T56" s="5" t="s">
        <v>193</v>
      </c>
      <c r="U56" s="8">
        <v>1.0062500000000001</v>
      </c>
      <c r="V56" s="1" t="s">
        <v>107</v>
      </c>
    </row>
    <row r="57" spans="2:24" x14ac:dyDescent="0.25">
      <c r="G57" s="1" t="s">
        <v>127</v>
      </c>
      <c r="H57" t="s">
        <v>155</v>
      </c>
      <c r="I57" s="13">
        <v>0.83</v>
      </c>
      <c r="J57" s="1" t="s">
        <v>82</v>
      </c>
      <c r="M57" s="1" t="s">
        <v>128</v>
      </c>
      <c r="N57" s="5" t="s">
        <v>180</v>
      </c>
      <c r="O57" s="1">
        <v>12</v>
      </c>
      <c r="P57" s="1" t="s">
        <v>63</v>
      </c>
    </row>
    <row r="58" spans="2:24" x14ac:dyDescent="0.25">
      <c r="G58" s="1" t="s">
        <v>129</v>
      </c>
      <c r="H58" t="s">
        <v>172</v>
      </c>
      <c r="I58" s="13">
        <v>0.83</v>
      </c>
      <c r="J58" s="1" t="s">
        <v>83</v>
      </c>
      <c r="M58" s="1" t="s">
        <v>128</v>
      </c>
      <c r="N58" s="5" t="s">
        <v>181</v>
      </c>
      <c r="O58" s="1">
        <v>12</v>
      </c>
      <c r="P58" s="1" t="s">
        <v>85</v>
      </c>
      <c r="S58" s="11" t="s">
        <v>52</v>
      </c>
      <c r="T58" s="11"/>
      <c r="U58" t="s">
        <v>130</v>
      </c>
      <c r="V58" s="1" t="s">
        <v>27</v>
      </c>
      <c r="W58" t="s">
        <v>140</v>
      </c>
    </row>
    <row r="59" spans="2:24" x14ac:dyDescent="0.25">
      <c r="G59" s="1"/>
      <c r="I59" s="13"/>
      <c r="J59" s="1"/>
      <c r="M59" s="1" t="s">
        <v>128</v>
      </c>
      <c r="N59" s="5" t="s">
        <v>182</v>
      </c>
      <c r="O59" s="1">
        <v>12</v>
      </c>
      <c r="P59" s="1" t="s">
        <v>63</v>
      </c>
      <c r="S59" s="1" t="s">
        <v>58</v>
      </c>
      <c r="T59" s="5" t="s">
        <v>113</v>
      </c>
      <c r="U59" s="1">
        <v>451</v>
      </c>
      <c r="V59" s="1">
        <v>26</v>
      </c>
      <c r="W59" s="14">
        <f t="shared" ref="W59:W66" si="6">AVERAGE(N134:P134)</f>
        <v>14.2</v>
      </c>
      <c r="X59" s="1" t="s">
        <v>106</v>
      </c>
    </row>
    <row r="60" spans="2:24" x14ac:dyDescent="0.25">
      <c r="G60" s="10" t="s">
        <v>51</v>
      </c>
      <c r="H60" s="10"/>
      <c r="I60" t="s">
        <v>137</v>
      </c>
      <c r="J60" t="s">
        <v>134</v>
      </c>
      <c r="M60" s="1" t="s">
        <v>128</v>
      </c>
      <c r="N60" s="5" t="s">
        <v>66</v>
      </c>
      <c r="O60" s="1">
        <v>12</v>
      </c>
      <c r="P60" s="1" t="s">
        <v>63</v>
      </c>
      <c r="S60" s="1" t="s">
        <v>59</v>
      </c>
      <c r="T60" s="5" t="s">
        <v>109</v>
      </c>
      <c r="U60" s="1">
        <v>438</v>
      </c>
      <c r="V60" s="1">
        <v>20</v>
      </c>
      <c r="W60" s="14">
        <f t="shared" si="6"/>
        <v>14.05</v>
      </c>
      <c r="X60" s="1" t="s">
        <v>107</v>
      </c>
    </row>
    <row r="61" spans="2:24" x14ac:dyDescent="0.25">
      <c r="G61" s="1" t="s">
        <v>58</v>
      </c>
      <c r="H61" t="s">
        <v>208</v>
      </c>
      <c r="I61" s="13">
        <v>0</v>
      </c>
      <c r="J61" s="1" t="s">
        <v>63</v>
      </c>
      <c r="M61" s="1" t="s">
        <v>128</v>
      </c>
      <c r="N61" s="5" t="s">
        <v>183</v>
      </c>
      <c r="O61" s="1">
        <v>12</v>
      </c>
      <c r="P61" s="1" t="s">
        <v>63</v>
      </c>
      <c r="S61" s="1" t="s">
        <v>60</v>
      </c>
      <c r="T61" s="5" t="s">
        <v>104</v>
      </c>
      <c r="U61" s="1">
        <v>426</v>
      </c>
      <c r="V61" s="1">
        <v>19</v>
      </c>
      <c r="W61" s="14">
        <f t="shared" si="6"/>
        <v>15.5</v>
      </c>
      <c r="X61" s="1" t="s">
        <v>107</v>
      </c>
    </row>
    <row r="62" spans="2:24" x14ac:dyDescent="0.25">
      <c r="G62" s="1" t="s">
        <v>59</v>
      </c>
      <c r="H62" t="s">
        <v>210</v>
      </c>
      <c r="I62" s="13">
        <v>0</v>
      </c>
      <c r="J62" s="1" t="s">
        <v>84</v>
      </c>
      <c r="M62" s="1" t="s">
        <v>128</v>
      </c>
      <c r="N62" s="5" t="s">
        <v>184</v>
      </c>
      <c r="O62" s="1">
        <v>12</v>
      </c>
      <c r="P62" s="1" t="s">
        <v>63</v>
      </c>
      <c r="S62" s="1" t="s">
        <v>61</v>
      </c>
      <c r="T62" s="5" t="s">
        <v>109</v>
      </c>
      <c r="U62" s="1">
        <v>375</v>
      </c>
      <c r="V62" s="1">
        <v>18</v>
      </c>
      <c r="W62" s="14">
        <f t="shared" si="6"/>
        <v>14.566666666666668</v>
      </c>
      <c r="X62" s="1" t="s">
        <v>106</v>
      </c>
    </row>
    <row r="63" spans="2:24" x14ac:dyDescent="0.25">
      <c r="G63" s="1" t="s">
        <v>59</v>
      </c>
      <c r="H63" t="s">
        <v>146</v>
      </c>
      <c r="I63" s="13">
        <v>0</v>
      </c>
      <c r="J63" s="1" t="s">
        <v>83</v>
      </c>
      <c r="M63" s="1" t="s">
        <v>128</v>
      </c>
      <c r="N63" s="5" t="s">
        <v>185</v>
      </c>
      <c r="O63" s="1">
        <v>12</v>
      </c>
      <c r="P63" s="1" t="s">
        <v>63</v>
      </c>
      <c r="S63" s="1" t="s">
        <v>62</v>
      </c>
      <c r="T63" s="5" t="s">
        <v>109</v>
      </c>
      <c r="U63" s="1">
        <v>372</v>
      </c>
      <c r="V63" s="1">
        <v>19</v>
      </c>
      <c r="W63" s="14">
        <f t="shared" si="6"/>
        <v>13.7</v>
      </c>
      <c r="X63" s="1" t="s">
        <v>107</v>
      </c>
    </row>
    <row r="64" spans="2:24" x14ac:dyDescent="0.25">
      <c r="G64" s="1" t="s">
        <v>59</v>
      </c>
      <c r="H64" t="s">
        <v>211</v>
      </c>
      <c r="I64" s="13">
        <v>0</v>
      </c>
      <c r="J64" s="1" t="s">
        <v>63</v>
      </c>
      <c r="M64" s="1" t="s">
        <v>128</v>
      </c>
      <c r="N64" s="5" t="s">
        <v>186</v>
      </c>
      <c r="O64" s="1">
        <v>12</v>
      </c>
      <c r="P64" s="1" t="s">
        <v>82</v>
      </c>
      <c r="S64" s="1" t="s">
        <v>127</v>
      </c>
      <c r="T64" s="5" t="s">
        <v>101</v>
      </c>
      <c r="U64" s="1">
        <v>369</v>
      </c>
      <c r="V64" s="1">
        <v>17</v>
      </c>
      <c r="W64" s="14">
        <f t="shared" si="6"/>
        <v>12.300000000000002</v>
      </c>
      <c r="X64" s="1" t="s">
        <v>108</v>
      </c>
    </row>
    <row r="65" spans="1:24" x14ac:dyDescent="0.25">
      <c r="G65" s="1" t="s">
        <v>62</v>
      </c>
      <c r="H65" t="s">
        <v>212</v>
      </c>
      <c r="I65" s="13">
        <v>0</v>
      </c>
      <c r="J65" s="1" t="s">
        <v>82</v>
      </c>
      <c r="M65" s="1" t="s">
        <v>128</v>
      </c>
      <c r="N65" s="5" t="s">
        <v>79</v>
      </c>
      <c r="O65" s="1">
        <v>12</v>
      </c>
      <c r="S65" s="1" t="s">
        <v>128</v>
      </c>
      <c r="T65" s="5" t="s">
        <v>109</v>
      </c>
      <c r="U65" s="1">
        <v>345</v>
      </c>
      <c r="V65" s="1">
        <v>17</v>
      </c>
      <c r="W65" s="14">
        <f t="shared" si="6"/>
        <v>14.566666666666668</v>
      </c>
      <c r="X65" s="1" t="s">
        <v>106</v>
      </c>
    </row>
    <row r="66" spans="1:24" x14ac:dyDescent="0.25">
      <c r="G66" s="1" t="s">
        <v>127</v>
      </c>
      <c r="H66" t="s">
        <v>160</v>
      </c>
      <c r="I66" s="13">
        <v>0.11</v>
      </c>
      <c r="J66" s="1" t="s">
        <v>84</v>
      </c>
      <c r="M66" s="1" t="s">
        <v>128</v>
      </c>
      <c r="N66" s="5" t="s">
        <v>235</v>
      </c>
      <c r="O66" s="1">
        <v>12</v>
      </c>
      <c r="S66" s="1" t="s">
        <v>129</v>
      </c>
      <c r="T66" s="5" t="s">
        <v>104</v>
      </c>
      <c r="U66" s="1">
        <v>344</v>
      </c>
      <c r="V66" s="1">
        <v>18</v>
      </c>
      <c r="W66" s="14">
        <f t="shared" si="6"/>
        <v>14.05</v>
      </c>
      <c r="X66" s="1" t="s">
        <v>107</v>
      </c>
    </row>
    <row r="67" spans="1:24" x14ac:dyDescent="0.25">
      <c r="G67" s="1" t="s">
        <v>127</v>
      </c>
      <c r="H67" t="s">
        <v>165</v>
      </c>
      <c r="I67" s="13">
        <v>0.11</v>
      </c>
      <c r="J67" s="1" t="s">
        <v>83</v>
      </c>
      <c r="T67" s="5"/>
      <c r="U67" s="1"/>
      <c r="V67" s="1"/>
      <c r="X67" s="1"/>
    </row>
    <row r="68" spans="1:24" x14ac:dyDescent="0.25">
      <c r="G68" s="1" t="s">
        <v>127</v>
      </c>
      <c r="H68" t="s">
        <v>209</v>
      </c>
      <c r="I68" s="13">
        <v>0.13</v>
      </c>
      <c r="J68" s="1" t="s">
        <v>84</v>
      </c>
      <c r="M68" s="57" t="s">
        <v>5</v>
      </c>
      <c r="N68" s="57"/>
      <c r="S68" s="11" t="s">
        <v>96</v>
      </c>
      <c r="T68" s="11"/>
      <c r="U68" s="1"/>
      <c r="V68" s="1"/>
      <c r="X68" s="1"/>
    </row>
    <row r="69" spans="1:24" x14ac:dyDescent="0.25">
      <c r="I69" s="13"/>
      <c r="J69" s="1"/>
      <c r="M69" s="1" t="s">
        <v>58</v>
      </c>
      <c r="N69" s="5" t="s">
        <v>73</v>
      </c>
      <c r="O69" s="1">
        <v>1</v>
      </c>
      <c r="P69" s="1" t="s">
        <v>63</v>
      </c>
      <c r="S69" t="s">
        <v>131</v>
      </c>
    </row>
    <row r="70" spans="1:24" x14ac:dyDescent="0.25">
      <c r="G70" s="10" t="s">
        <v>213</v>
      </c>
      <c r="H70" s="10"/>
      <c r="I70" s="13"/>
      <c r="J70" s="1"/>
      <c r="M70" s="1" t="s">
        <v>58</v>
      </c>
      <c r="N70" s="5" t="s">
        <v>74</v>
      </c>
      <c r="O70" s="1">
        <v>1</v>
      </c>
      <c r="P70" s="1" t="s">
        <v>63</v>
      </c>
    </row>
    <row r="71" spans="1:24" x14ac:dyDescent="0.25">
      <c r="H71" t="s">
        <v>43</v>
      </c>
      <c r="I71" s="13"/>
      <c r="J71" s="1"/>
      <c r="M71" s="1" t="s">
        <v>58</v>
      </c>
      <c r="N71" s="5" t="s">
        <v>75</v>
      </c>
      <c r="O71" s="1">
        <v>1</v>
      </c>
      <c r="P71" s="1" t="s">
        <v>63</v>
      </c>
    </row>
    <row r="72" spans="1:24" x14ac:dyDescent="0.25">
      <c r="H72" t="s">
        <v>44</v>
      </c>
      <c r="M72" s="16" t="s">
        <v>58</v>
      </c>
      <c r="N72" s="5" t="s">
        <v>76</v>
      </c>
      <c r="O72" s="1">
        <v>1</v>
      </c>
      <c r="P72" s="1" t="s">
        <v>63</v>
      </c>
    </row>
    <row r="73" spans="1:24" x14ac:dyDescent="0.25">
      <c r="H73" t="s">
        <v>45</v>
      </c>
      <c r="M73" s="1" t="s">
        <v>58</v>
      </c>
      <c r="N73" s="5" t="s">
        <v>77</v>
      </c>
      <c r="O73" s="1">
        <v>1</v>
      </c>
      <c r="P73" s="1" t="s">
        <v>63</v>
      </c>
    </row>
    <row r="74" spans="1:24" x14ac:dyDescent="0.25">
      <c r="H74" t="s">
        <v>46</v>
      </c>
    </row>
    <row r="75" spans="1:24" x14ac:dyDescent="0.25">
      <c r="B75" s="5" t="s">
        <v>34</v>
      </c>
      <c r="C75" t="s">
        <v>35</v>
      </c>
    </row>
    <row r="76" spans="1:24" x14ac:dyDescent="0.25">
      <c r="A76" t="s">
        <v>25</v>
      </c>
    </row>
    <row r="78" spans="1:24" x14ac:dyDescent="0.25">
      <c r="B78" t="s">
        <v>26</v>
      </c>
      <c r="D78" t="s">
        <v>28</v>
      </c>
      <c r="G78" t="s">
        <v>47</v>
      </c>
      <c r="M78" t="s">
        <v>54</v>
      </c>
    </row>
    <row r="79" spans="1:24" x14ac:dyDescent="0.25">
      <c r="C79" s="3">
        <v>1.8687499999999999</v>
      </c>
      <c r="D79" s="1">
        <v>127</v>
      </c>
      <c r="H79" t="s">
        <v>143</v>
      </c>
      <c r="I79" s="1">
        <v>127</v>
      </c>
      <c r="N79" t="s">
        <v>66</v>
      </c>
      <c r="O79" s="1">
        <v>7.6</v>
      </c>
      <c r="P79" s="1">
        <v>10.6</v>
      </c>
      <c r="Q79" s="1">
        <v>6.4</v>
      </c>
      <c r="R79" s="1">
        <v>4.3</v>
      </c>
    </row>
    <row r="80" spans="1:24" x14ac:dyDescent="0.25">
      <c r="C80" s="3">
        <v>1.9236111111111112</v>
      </c>
      <c r="D80" s="1">
        <v>113</v>
      </c>
      <c r="H80" t="s">
        <v>145</v>
      </c>
      <c r="I80" s="1">
        <v>169</v>
      </c>
      <c r="N80" t="s">
        <v>64</v>
      </c>
      <c r="O80" s="1">
        <v>3.6</v>
      </c>
      <c r="P80" s="1">
        <v>4.2</v>
      </c>
      <c r="Q80" s="1">
        <v>9.3000000000000007</v>
      </c>
    </row>
    <row r="81" spans="2:18" x14ac:dyDescent="0.25">
      <c r="C81" s="3">
        <v>1.9027777777777777</v>
      </c>
      <c r="D81" s="1">
        <v>106</v>
      </c>
      <c r="H81" t="s">
        <v>201</v>
      </c>
      <c r="I81" s="1">
        <v>185</v>
      </c>
      <c r="N81" t="s">
        <v>73</v>
      </c>
      <c r="O81" s="1">
        <v>8.8000000000000007</v>
      </c>
      <c r="P81" s="1"/>
      <c r="Q81" s="1"/>
      <c r="R81" s="1">
        <v>4.7</v>
      </c>
    </row>
    <row r="82" spans="2:18" x14ac:dyDescent="0.25">
      <c r="C82" s="3">
        <v>1.8229166666666667</v>
      </c>
      <c r="D82" s="1">
        <v>77</v>
      </c>
      <c r="H82" t="s">
        <v>147</v>
      </c>
      <c r="I82" s="1">
        <v>165</v>
      </c>
      <c r="N82" t="s">
        <v>65</v>
      </c>
      <c r="O82" s="1"/>
      <c r="P82" s="1">
        <v>6.8</v>
      </c>
      <c r="Q82" s="1">
        <v>8.5</v>
      </c>
    </row>
    <row r="83" spans="2:18" x14ac:dyDescent="0.25">
      <c r="C83" s="3">
        <v>2.0916666666666668</v>
      </c>
      <c r="D83" s="1">
        <v>76</v>
      </c>
      <c r="H83" t="s">
        <v>146</v>
      </c>
      <c r="I83" s="1">
        <v>159</v>
      </c>
      <c r="N83" t="s">
        <v>67</v>
      </c>
      <c r="O83" s="1">
        <v>7.6</v>
      </c>
      <c r="P83" s="1">
        <v>8.4</v>
      </c>
      <c r="Q83" s="1">
        <v>5.3</v>
      </c>
      <c r="R83" s="1">
        <v>4.5999999999999996</v>
      </c>
    </row>
    <row r="84" spans="2:18" x14ac:dyDescent="0.25">
      <c r="C84" s="3">
        <v>1.9680555555555554</v>
      </c>
      <c r="D84" s="1">
        <v>78</v>
      </c>
      <c r="H84" t="s">
        <v>142</v>
      </c>
      <c r="I84" s="1">
        <v>151</v>
      </c>
      <c r="N84" t="s">
        <v>68</v>
      </c>
      <c r="O84" s="1">
        <v>8.4</v>
      </c>
      <c r="P84" s="1">
        <v>4.5</v>
      </c>
      <c r="Q84" s="1">
        <v>5.7</v>
      </c>
      <c r="R84" s="1">
        <v>4.4000000000000004</v>
      </c>
    </row>
    <row r="85" spans="2:18" x14ac:dyDescent="0.25">
      <c r="C85" s="3">
        <v>1.9104166666666667</v>
      </c>
      <c r="D85" s="1">
        <v>80</v>
      </c>
      <c r="H85" t="s">
        <v>141</v>
      </c>
      <c r="I85" s="1">
        <v>114</v>
      </c>
      <c r="N85" t="s">
        <v>67</v>
      </c>
      <c r="O85" s="1">
        <v>7.6</v>
      </c>
      <c r="P85" s="1">
        <v>8.4</v>
      </c>
      <c r="Q85" s="1">
        <v>5.3</v>
      </c>
      <c r="R85" s="1">
        <v>4.5999999999999996</v>
      </c>
    </row>
    <row r="86" spans="2:18" x14ac:dyDescent="0.25">
      <c r="C86" s="3">
        <v>2.4520833333333334</v>
      </c>
      <c r="D86" s="1">
        <v>84</v>
      </c>
      <c r="H86" t="s">
        <v>148</v>
      </c>
      <c r="I86" s="1">
        <v>137</v>
      </c>
      <c r="N86" t="s">
        <v>174</v>
      </c>
      <c r="O86" s="1">
        <v>5.5</v>
      </c>
      <c r="P86" s="1">
        <v>5.5</v>
      </c>
      <c r="Q86" s="1">
        <v>7.3</v>
      </c>
      <c r="R86" s="1">
        <v>5.7</v>
      </c>
    </row>
    <row r="88" spans="2:18" x14ac:dyDescent="0.25">
      <c r="B88" t="s">
        <v>5</v>
      </c>
      <c r="D88" t="s">
        <v>28</v>
      </c>
      <c r="G88" t="s">
        <v>48</v>
      </c>
      <c r="M88" t="s">
        <v>55</v>
      </c>
    </row>
    <row r="89" spans="2:18" x14ac:dyDescent="0.25">
      <c r="C89" s="1">
        <v>2</v>
      </c>
      <c r="D89" s="1">
        <v>127</v>
      </c>
      <c r="H89" t="s">
        <v>144</v>
      </c>
      <c r="I89" s="1">
        <v>94</v>
      </c>
      <c r="N89" t="s">
        <v>70</v>
      </c>
      <c r="O89" s="1">
        <v>13</v>
      </c>
      <c r="P89" s="1"/>
      <c r="Q89" s="1"/>
    </row>
    <row r="90" spans="2:18" x14ac:dyDescent="0.25">
      <c r="C90" s="1">
        <v>3</v>
      </c>
      <c r="D90" s="1">
        <v>113</v>
      </c>
      <c r="H90" t="s">
        <v>154</v>
      </c>
      <c r="I90" s="1">
        <v>108</v>
      </c>
      <c r="N90" t="s">
        <v>68</v>
      </c>
      <c r="O90" s="1">
        <v>4</v>
      </c>
      <c r="P90" s="1">
        <v>7</v>
      </c>
      <c r="Q90" s="1">
        <v>12</v>
      </c>
    </row>
    <row r="91" spans="2:18" x14ac:dyDescent="0.25">
      <c r="C91" s="1">
        <v>0</v>
      </c>
      <c r="D91" s="1">
        <v>106</v>
      </c>
      <c r="H91" t="s">
        <v>149</v>
      </c>
      <c r="I91" s="1">
        <v>147</v>
      </c>
      <c r="N91" t="s">
        <v>177</v>
      </c>
      <c r="O91" s="1"/>
      <c r="P91" s="1">
        <v>12</v>
      </c>
      <c r="Q91" s="1">
        <v>9</v>
      </c>
    </row>
    <row r="92" spans="2:18" x14ac:dyDescent="0.25">
      <c r="C92" s="1">
        <v>1</v>
      </c>
      <c r="D92" s="1">
        <v>77</v>
      </c>
      <c r="H92" t="s">
        <v>202</v>
      </c>
      <c r="I92" s="1">
        <v>210</v>
      </c>
      <c r="N92" t="s">
        <v>66</v>
      </c>
      <c r="O92" s="1">
        <v>8</v>
      </c>
      <c r="P92" s="1">
        <v>11</v>
      </c>
      <c r="Q92" s="1">
        <v>7</v>
      </c>
    </row>
    <row r="93" spans="2:18" x14ac:dyDescent="0.25">
      <c r="C93" s="1">
        <v>1</v>
      </c>
      <c r="D93" s="1">
        <v>76</v>
      </c>
      <c r="H93" t="s">
        <v>153</v>
      </c>
      <c r="I93" s="1">
        <v>127</v>
      </c>
      <c r="N93" t="s">
        <v>71</v>
      </c>
      <c r="O93" s="1">
        <v>11</v>
      </c>
      <c r="P93" s="1"/>
      <c r="Q93" s="1"/>
    </row>
    <row r="94" spans="2:18" x14ac:dyDescent="0.25">
      <c r="C94" s="1">
        <v>1</v>
      </c>
      <c r="D94" s="1">
        <v>78</v>
      </c>
      <c r="H94" t="s">
        <v>152</v>
      </c>
      <c r="I94" s="1">
        <v>175</v>
      </c>
      <c r="N94" t="s">
        <v>72</v>
      </c>
      <c r="O94" s="1">
        <v>11</v>
      </c>
      <c r="P94" s="1"/>
      <c r="Q94" s="1"/>
    </row>
    <row r="95" spans="2:18" x14ac:dyDescent="0.25">
      <c r="C95" s="1">
        <v>1</v>
      </c>
      <c r="D95" s="1">
        <v>80</v>
      </c>
      <c r="H95" t="s">
        <v>151</v>
      </c>
      <c r="I95" s="1">
        <v>155</v>
      </c>
      <c r="N95" t="s">
        <v>175</v>
      </c>
      <c r="O95" s="1">
        <v>10</v>
      </c>
      <c r="P95" s="1"/>
      <c r="Q95" s="1">
        <v>8</v>
      </c>
    </row>
    <row r="96" spans="2:18" x14ac:dyDescent="0.25">
      <c r="C96" s="1">
        <v>0</v>
      </c>
      <c r="D96" s="1">
        <v>84</v>
      </c>
      <c r="E96" s="1"/>
      <c r="H96" t="s">
        <v>155</v>
      </c>
      <c r="I96" s="1">
        <v>103</v>
      </c>
      <c r="N96" s="4" t="s">
        <v>203</v>
      </c>
      <c r="O96" s="1">
        <v>10</v>
      </c>
      <c r="P96" s="1">
        <v>6</v>
      </c>
      <c r="Q96" s="1">
        <v>5</v>
      </c>
    </row>
    <row r="97" spans="2:19" x14ac:dyDescent="0.25">
      <c r="H97" t="s">
        <v>150</v>
      </c>
      <c r="I97" s="1">
        <v>89</v>
      </c>
      <c r="N97" t="s">
        <v>67</v>
      </c>
      <c r="O97" s="1">
        <v>10</v>
      </c>
      <c r="P97" s="1">
        <v>7</v>
      </c>
      <c r="Q97" s="1">
        <v>8</v>
      </c>
    </row>
    <row r="98" spans="2:19" x14ac:dyDescent="0.25">
      <c r="N98" t="s">
        <v>69</v>
      </c>
      <c r="O98" s="1"/>
      <c r="P98" s="1">
        <v>10</v>
      </c>
      <c r="Q98" s="1">
        <v>9</v>
      </c>
    </row>
    <row r="99" spans="2:19" x14ac:dyDescent="0.25">
      <c r="G99" s="5" t="s">
        <v>50</v>
      </c>
      <c r="H99" s="5"/>
      <c r="I99" t="s">
        <v>205</v>
      </c>
      <c r="N99" t="s">
        <v>176</v>
      </c>
      <c r="O99" s="1"/>
      <c r="P99" s="1">
        <v>6</v>
      </c>
      <c r="Q99" s="1">
        <v>10</v>
      </c>
      <c r="S99" s="5"/>
    </row>
    <row r="100" spans="2:19" x14ac:dyDescent="0.25">
      <c r="B100" t="s">
        <v>4</v>
      </c>
      <c r="D100">
        <f>SUM(D102:D109) /(B15*C102 + B16*C103 + B17*C104+ B18*C105 + B19*C106 + B20*C107 + B21*C108 + B22*C109)</f>
        <v>2.3255813953488372E-2</v>
      </c>
      <c r="H100" t="s">
        <v>146</v>
      </c>
      <c r="I100" s="1">
        <v>374</v>
      </c>
      <c r="S100" s="5"/>
    </row>
    <row r="101" spans="2:19" x14ac:dyDescent="0.25">
      <c r="B101" s="5" t="s">
        <v>20</v>
      </c>
      <c r="C101" s="5" t="s">
        <v>21</v>
      </c>
      <c r="D101" s="5" t="s">
        <v>4</v>
      </c>
      <c r="H101" t="s">
        <v>146</v>
      </c>
      <c r="I101" s="1">
        <v>374</v>
      </c>
      <c r="M101" t="s">
        <v>56</v>
      </c>
      <c r="O101" t="s">
        <v>161</v>
      </c>
    </row>
    <row r="102" spans="2:19" x14ac:dyDescent="0.25">
      <c r="B102" s="1">
        <v>3</v>
      </c>
      <c r="C102" s="1">
        <v>1</v>
      </c>
      <c r="D102" s="1">
        <v>0</v>
      </c>
      <c r="H102" t="s">
        <v>142</v>
      </c>
      <c r="I102" s="1">
        <v>163</v>
      </c>
      <c r="N102" t="s">
        <v>80</v>
      </c>
      <c r="O102" s="1"/>
      <c r="P102" s="1"/>
    </row>
    <row r="103" spans="2:19" x14ac:dyDescent="0.25">
      <c r="B103" s="1">
        <v>7</v>
      </c>
      <c r="C103" s="1">
        <v>1</v>
      </c>
      <c r="D103" s="1">
        <v>1</v>
      </c>
      <c r="H103" t="s">
        <v>43</v>
      </c>
      <c r="I103" s="1">
        <v>143</v>
      </c>
      <c r="N103" t="s">
        <v>81</v>
      </c>
      <c r="O103" s="1">
        <v>0</v>
      </c>
      <c r="P103" s="1">
        <v>0</v>
      </c>
    </row>
    <row r="104" spans="2:19" x14ac:dyDescent="0.25">
      <c r="B104" s="1">
        <v>8</v>
      </c>
      <c r="C104" s="1">
        <v>1</v>
      </c>
      <c r="D104" s="1">
        <v>0</v>
      </c>
      <c r="H104" t="s">
        <v>144</v>
      </c>
      <c r="I104" s="1">
        <v>101</v>
      </c>
      <c r="N104" t="s">
        <v>64</v>
      </c>
      <c r="O104" s="1">
        <v>4</v>
      </c>
      <c r="P104" s="1">
        <v>0</v>
      </c>
    </row>
    <row r="105" spans="2:19" x14ac:dyDescent="0.25">
      <c r="B105" s="1">
        <v>9</v>
      </c>
      <c r="C105" s="1">
        <v>1</v>
      </c>
      <c r="D105" s="1">
        <v>1</v>
      </c>
      <c r="H105" t="s">
        <v>158</v>
      </c>
      <c r="I105" s="1">
        <v>134</v>
      </c>
      <c r="N105" t="s">
        <v>78</v>
      </c>
      <c r="O105" s="1">
        <v>4</v>
      </c>
      <c r="P105" s="1"/>
    </row>
    <row r="106" spans="2:19" x14ac:dyDescent="0.25">
      <c r="B106" s="1">
        <v>11</v>
      </c>
      <c r="C106" s="1">
        <v>1</v>
      </c>
      <c r="D106" s="1">
        <v>0</v>
      </c>
      <c r="H106" t="s">
        <v>145</v>
      </c>
      <c r="I106" s="1">
        <v>169</v>
      </c>
      <c r="N106" t="s">
        <v>79</v>
      </c>
      <c r="O106" s="1">
        <v>4</v>
      </c>
      <c r="P106" s="1">
        <v>2</v>
      </c>
    </row>
    <row r="107" spans="2:19" x14ac:dyDescent="0.25">
      <c r="B107" s="1">
        <v>14</v>
      </c>
      <c r="C107" s="1">
        <v>1</v>
      </c>
      <c r="D107" s="1">
        <v>0</v>
      </c>
      <c r="H107" t="s">
        <v>159</v>
      </c>
      <c r="I107" s="1">
        <v>175</v>
      </c>
      <c r="N107" t="s">
        <v>69</v>
      </c>
      <c r="O107" s="1">
        <v>3</v>
      </c>
      <c r="P107" s="1">
        <v>4</v>
      </c>
    </row>
    <row r="108" spans="2:19" x14ac:dyDescent="0.25">
      <c r="B108" s="1">
        <v>15</v>
      </c>
      <c r="C108" s="1">
        <v>1</v>
      </c>
      <c r="D108" s="1">
        <v>0</v>
      </c>
      <c r="H108" t="s">
        <v>160</v>
      </c>
      <c r="I108" s="1">
        <v>209</v>
      </c>
      <c r="N108" t="s">
        <v>86</v>
      </c>
      <c r="O108" s="1">
        <v>1</v>
      </c>
      <c r="P108" s="1">
        <v>4</v>
      </c>
    </row>
    <row r="109" spans="2:19" x14ac:dyDescent="0.25">
      <c r="B109" s="1">
        <v>19</v>
      </c>
      <c r="C109" s="1">
        <v>1</v>
      </c>
      <c r="D109" s="1">
        <v>0</v>
      </c>
      <c r="N109" t="s">
        <v>87</v>
      </c>
      <c r="O109" s="1">
        <v>2</v>
      </c>
      <c r="P109" s="1">
        <v>4</v>
      </c>
    </row>
    <row r="110" spans="2:19" x14ac:dyDescent="0.25">
      <c r="G110" s="5"/>
      <c r="N110" t="s">
        <v>65</v>
      </c>
      <c r="O110" s="1">
        <v>0</v>
      </c>
      <c r="P110" s="1">
        <v>4</v>
      </c>
    </row>
    <row r="111" spans="2:19" x14ac:dyDescent="0.25">
      <c r="B111" t="s">
        <v>31</v>
      </c>
      <c r="N111" t="s">
        <v>88</v>
      </c>
      <c r="O111" s="1"/>
      <c r="P111" s="1">
        <v>4</v>
      </c>
    </row>
    <row r="112" spans="2:19" x14ac:dyDescent="0.25">
      <c r="B112" s="5" t="s">
        <v>9</v>
      </c>
      <c r="C112" s="1">
        <v>521</v>
      </c>
      <c r="D112" s="1"/>
      <c r="E112" s="1"/>
      <c r="N112" t="s">
        <v>110</v>
      </c>
      <c r="O112" s="1">
        <v>0</v>
      </c>
      <c r="P112" s="1">
        <v>2</v>
      </c>
    </row>
    <row r="113" spans="2:16" x14ac:dyDescent="0.25">
      <c r="B113" s="5" t="s">
        <v>14</v>
      </c>
      <c r="C113" s="1">
        <v>545</v>
      </c>
      <c r="D113" s="1"/>
      <c r="E113" s="1"/>
      <c r="N113" t="s">
        <v>112</v>
      </c>
      <c r="O113" s="1"/>
      <c r="P113" s="1">
        <v>0</v>
      </c>
    </row>
    <row r="114" spans="2:16" x14ac:dyDescent="0.25">
      <c r="B114" s="5" t="s">
        <v>12</v>
      </c>
      <c r="C114" s="1">
        <v>503</v>
      </c>
      <c r="D114" s="1"/>
      <c r="E114" s="1"/>
      <c r="N114" t="s">
        <v>111</v>
      </c>
      <c r="O114" s="1">
        <v>1</v>
      </c>
      <c r="P114" s="1">
        <v>1</v>
      </c>
    </row>
    <row r="115" spans="2:16" x14ac:dyDescent="0.25">
      <c r="B115" s="5" t="s">
        <v>10</v>
      </c>
      <c r="C115" s="1">
        <v>485</v>
      </c>
      <c r="D115" s="1"/>
      <c r="E115" s="1"/>
    </row>
    <row r="116" spans="2:16" x14ac:dyDescent="0.25">
      <c r="B116" s="5" t="s">
        <v>13</v>
      </c>
      <c r="C116" s="1">
        <v>453</v>
      </c>
      <c r="D116" s="1"/>
      <c r="E116" s="1"/>
    </row>
    <row r="117" spans="2:16" x14ac:dyDescent="0.25">
      <c r="B117" s="5" t="s">
        <v>15</v>
      </c>
      <c r="C117" s="1">
        <v>321</v>
      </c>
      <c r="D117" s="1"/>
      <c r="E117" s="1"/>
    </row>
    <row r="120" spans="2:16" x14ac:dyDescent="0.25">
      <c r="B120" s="5" t="s">
        <v>36</v>
      </c>
      <c r="D120" t="s">
        <v>28</v>
      </c>
      <c r="G120" s="5" t="s">
        <v>52</v>
      </c>
      <c r="H120" s="5"/>
      <c r="I120" t="s">
        <v>232</v>
      </c>
    </row>
    <row r="121" spans="2:16" x14ac:dyDescent="0.25">
      <c r="C121" s="1">
        <v>7</v>
      </c>
      <c r="D121" s="1">
        <v>127</v>
      </c>
      <c r="H121" t="s">
        <v>226</v>
      </c>
      <c r="I121" s="1">
        <v>112</v>
      </c>
      <c r="M121" t="s">
        <v>55</v>
      </c>
      <c r="O121" t="s">
        <v>161</v>
      </c>
    </row>
    <row r="122" spans="2:16" x14ac:dyDescent="0.25">
      <c r="C122" s="1">
        <v>4</v>
      </c>
      <c r="D122" s="1">
        <v>113</v>
      </c>
      <c r="H122" t="s">
        <v>227</v>
      </c>
      <c r="I122" s="1">
        <v>92</v>
      </c>
      <c r="M122" t="s">
        <v>100</v>
      </c>
      <c r="N122" s="1"/>
    </row>
    <row r="123" spans="2:16" x14ac:dyDescent="0.25">
      <c r="C123" s="1">
        <v>4</v>
      </c>
      <c r="D123" s="1">
        <v>106</v>
      </c>
      <c r="H123" t="s">
        <v>145</v>
      </c>
      <c r="I123" s="1">
        <v>90</v>
      </c>
      <c r="M123" t="s">
        <v>101</v>
      </c>
      <c r="N123" s="1"/>
    </row>
    <row r="124" spans="2:16" x14ac:dyDescent="0.25">
      <c r="C124" s="1">
        <v>1</v>
      </c>
      <c r="D124" s="1">
        <v>84</v>
      </c>
      <c r="H124" t="s">
        <v>228</v>
      </c>
      <c r="I124" s="1">
        <v>87</v>
      </c>
      <c r="M124" t="s">
        <v>102</v>
      </c>
      <c r="N124" s="1">
        <v>24</v>
      </c>
      <c r="O124" s="1">
        <v>31</v>
      </c>
    </row>
    <row r="125" spans="2:16" x14ac:dyDescent="0.25">
      <c r="H125" t="s">
        <v>168</v>
      </c>
      <c r="I125" s="1">
        <v>86</v>
      </c>
      <c r="M125" t="s">
        <v>104</v>
      </c>
      <c r="N125" s="1">
        <v>37</v>
      </c>
      <c r="O125" s="1">
        <v>40</v>
      </c>
    </row>
    <row r="126" spans="2:16" x14ac:dyDescent="0.25">
      <c r="B126" t="s">
        <v>223</v>
      </c>
      <c r="D126" t="s">
        <v>28</v>
      </c>
      <c r="H126" t="s">
        <v>152</v>
      </c>
      <c r="I126" s="1">
        <v>82</v>
      </c>
      <c r="M126" t="s">
        <v>103</v>
      </c>
      <c r="N126" s="1">
        <v>38</v>
      </c>
      <c r="O126" s="1">
        <v>35</v>
      </c>
    </row>
    <row r="127" spans="2:16" x14ac:dyDescent="0.25">
      <c r="C127" s="1">
        <v>109</v>
      </c>
      <c r="D127" s="1">
        <v>127</v>
      </c>
      <c r="E127" t="s">
        <v>16</v>
      </c>
      <c r="H127" t="s">
        <v>229</v>
      </c>
      <c r="I127" s="1">
        <v>77</v>
      </c>
      <c r="M127" t="s">
        <v>104</v>
      </c>
      <c r="N127" s="1">
        <v>37</v>
      </c>
      <c r="O127" s="1">
        <v>40</v>
      </c>
    </row>
    <row r="128" spans="2:16" x14ac:dyDescent="0.25">
      <c r="C128" s="1">
        <v>89</v>
      </c>
      <c r="D128" s="1">
        <v>113</v>
      </c>
      <c r="E128" t="s">
        <v>17</v>
      </c>
      <c r="H128" t="s">
        <v>149</v>
      </c>
      <c r="I128" s="1">
        <v>72</v>
      </c>
      <c r="M128" t="s">
        <v>191</v>
      </c>
      <c r="N128" s="1"/>
      <c r="O128" s="1">
        <v>36</v>
      </c>
    </row>
    <row r="129" spans="3:16" x14ac:dyDescent="0.25">
      <c r="C129" s="1">
        <v>95</v>
      </c>
      <c r="D129" s="1">
        <v>106</v>
      </c>
      <c r="E129" t="s">
        <v>18</v>
      </c>
      <c r="H129" t="s">
        <v>231</v>
      </c>
      <c r="I129" s="1">
        <v>72</v>
      </c>
      <c r="M129" t="s">
        <v>125</v>
      </c>
      <c r="N129" s="1">
        <v>35</v>
      </c>
      <c r="O129" s="1"/>
    </row>
    <row r="130" spans="3:16" x14ac:dyDescent="0.25">
      <c r="C130" s="1">
        <v>97</v>
      </c>
      <c r="D130" s="1">
        <v>77</v>
      </c>
      <c r="E130" t="s">
        <v>194</v>
      </c>
      <c r="M130" t="s">
        <v>109</v>
      </c>
      <c r="N130" s="1">
        <v>35</v>
      </c>
      <c r="O130" s="1">
        <v>34</v>
      </c>
    </row>
    <row r="131" spans="3:16" x14ac:dyDescent="0.25">
      <c r="C131" s="1">
        <v>79</v>
      </c>
      <c r="D131" s="1">
        <v>76</v>
      </c>
      <c r="E131" t="s">
        <v>195</v>
      </c>
      <c r="M131" t="s">
        <v>126</v>
      </c>
      <c r="N131" s="1">
        <v>38</v>
      </c>
      <c r="O131" s="1">
        <v>35</v>
      </c>
    </row>
    <row r="132" spans="3:16" x14ac:dyDescent="0.25">
      <c r="C132" s="1">
        <v>86</v>
      </c>
      <c r="D132" s="1">
        <v>78</v>
      </c>
      <c r="E132" t="s">
        <v>196</v>
      </c>
    </row>
    <row r="133" spans="3:16" x14ac:dyDescent="0.25">
      <c r="C133" s="1">
        <v>107</v>
      </c>
      <c r="D133" s="1">
        <v>80</v>
      </c>
      <c r="E133" t="s">
        <v>197</v>
      </c>
      <c r="M133" t="s">
        <v>52</v>
      </c>
    </row>
    <row r="134" spans="3:16" x14ac:dyDescent="0.25">
      <c r="C134" s="1">
        <v>95</v>
      </c>
      <c r="D134" s="1">
        <v>84</v>
      </c>
      <c r="E134" t="s">
        <v>224</v>
      </c>
      <c r="M134" s="5" t="s">
        <v>101</v>
      </c>
      <c r="N134" s="1">
        <v>14.2</v>
      </c>
      <c r="O134" s="1"/>
      <c r="P134" s="1"/>
    </row>
    <row r="135" spans="3:16" x14ac:dyDescent="0.25">
      <c r="M135" s="5" t="s">
        <v>104</v>
      </c>
      <c r="N135" s="1"/>
      <c r="O135" s="1">
        <v>12.8</v>
      </c>
      <c r="P135" s="1">
        <v>15.3</v>
      </c>
    </row>
    <row r="136" spans="3:16" x14ac:dyDescent="0.25">
      <c r="M136" s="5" t="s">
        <v>113</v>
      </c>
      <c r="N136" s="1">
        <v>15.5</v>
      </c>
      <c r="O136" s="1"/>
      <c r="P136" s="1"/>
    </row>
    <row r="137" spans="3:16" x14ac:dyDescent="0.25">
      <c r="M137" s="5" t="s">
        <v>109</v>
      </c>
      <c r="N137" s="1">
        <v>16.2</v>
      </c>
      <c r="O137" s="1">
        <v>14</v>
      </c>
      <c r="P137" s="1">
        <v>13.5</v>
      </c>
    </row>
    <row r="138" spans="3:16" x14ac:dyDescent="0.25">
      <c r="M138" s="5" t="s">
        <v>126</v>
      </c>
      <c r="N138" s="1"/>
      <c r="O138" s="1">
        <v>13.1</v>
      </c>
      <c r="P138" s="1">
        <v>14.3</v>
      </c>
    </row>
    <row r="139" spans="3:16" x14ac:dyDescent="0.25">
      <c r="M139" s="5" t="s">
        <v>98</v>
      </c>
      <c r="N139" s="1">
        <v>9</v>
      </c>
      <c r="O139" s="1">
        <v>13.6</v>
      </c>
      <c r="P139" s="1">
        <v>14.3</v>
      </c>
    </row>
    <row r="140" spans="3:16" x14ac:dyDescent="0.25">
      <c r="M140" s="5" t="s">
        <v>109</v>
      </c>
      <c r="N140" s="1">
        <v>16.2</v>
      </c>
      <c r="O140" s="1">
        <v>14</v>
      </c>
      <c r="P140" s="1">
        <v>13.5</v>
      </c>
    </row>
    <row r="141" spans="3:16" x14ac:dyDescent="0.25">
      <c r="M141" s="5" t="s">
        <v>104</v>
      </c>
      <c r="N141" s="1"/>
      <c r="O141" s="1">
        <v>12.8</v>
      </c>
      <c r="P141" s="1">
        <v>15.3</v>
      </c>
    </row>
  </sheetData>
  <sortState xmlns:xlrd2="http://schemas.microsoft.com/office/spreadsheetml/2017/richdata2" ref="H89:I97">
    <sortCondition ref="H89:H97"/>
  </sortState>
  <mergeCells count="25">
    <mergeCell ref="S4:T5"/>
    <mergeCell ref="G7:H7"/>
    <mergeCell ref="M7:N7"/>
    <mergeCell ref="S7:T7"/>
    <mergeCell ref="J1:J2"/>
    <mergeCell ref="K1:K2"/>
    <mergeCell ref="L1:L2"/>
    <mergeCell ref="G1:H2"/>
    <mergeCell ref="G4:H5"/>
    <mergeCell ref="M68:N68"/>
    <mergeCell ref="A1:C2"/>
    <mergeCell ref="D1:D2"/>
    <mergeCell ref="E1:E2"/>
    <mergeCell ref="F1:F2"/>
    <mergeCell ref="B4:C5"/>
    <mergeCell ref="I1:I2"/>
    <mergeCell ref="M4:N5"/>
    <mergeCell ref="G28:H28"/>
    <mergeCell ref="G17:H17"/>
    <mergeCell ref="M30:N30"/>
    <mergeCell ref="S30:T30"/>
    <mergeCell ref="M48:N48"/>
    <mergeCell ref="S47:T47"/>
    <mergeCell ref="M17:N17"/>
    <mergeCell ref="S17:T17"/>
  </mergeCells>
  <pageMargins left="0.7" right="0.7" top="0.78740157499999996" bottom="0.78740157499999996" header="0.3" footer="0.3"/>
  <ignoredErrors>
    <ignoredError sqref="J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8D82-0B16-4087-81CF-85694E8A4B7F}">
  <dimension ref="B2:E5"/>
  <sheetViews>
    <sheetView workbookViewId="0">
      <selection activeCell="B5" sqref="B5"/>
    </sheetView>
  </sheetViews>
  <sheetFormatPr baseColWidth="10" defaultRowHeight="15" x14ac:dyDescent="0.25"/>
  <sheetData>
    <row r="2" spans="2:5" x14ac:dyDescent="0.25">
      <c r="B2">
        <v>2022</v>
      </c>
      <c r="C2">
        <v>2023</v>
      </c>
      <c r="D2">
        <v>2024</v>
      </c>
      <c r="E2">
        <v>2025</v>
      </c>
    </row>
    <row r="3" spans="2:5" x14ac:dyDescent="0.25">
      <c r="B3">
        <v>109</v>
      </c>
      <c r="C3">
        <v>89</v>
      </c>
      <c r="D3">
        <v>95</v>
      </c>
      <c r="E3">
        <v>95</v>
      </c>
    </row>
    <row r="5" spans="2:5" x14ac:dyDescent="0.25">
      <c r="B5">
        <v>97</v>
      </c>
      <c r="C5">
        <v>79</v>
      </c>
      <c r="D5">
        <v>86</v>
      </c>
      <c r="E5">
        <v>107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0C59-5E74-4F5D-ADAD-73B400200FB0}">
  <dimension ref="A1:T65"/>
  <sheetViews>
    <sheetView workbookViewId="0">
      <selection activeCell="I11" sqref="I11"/>
    </sheetView>
  </sheetViews>
  <sheetFormatPr baseColWidth="10" defaultRowHeight="15" x14ac:dyDescent="0.25"/>
  <sheetData>
    <row r="1" spans="1:20" x14ac:dyDescent="0.25">
      <c r="A1" s="58" t="s">
        <v>0</v>
      </c>
      <c r="B1" s="58"/>
      <c r="F1" s="56" t="s">
        <v>41</v>
      </c>
      <c r="G1" s="56"/>
      <c r="L1" s="56" t="s">
        <v>53</v>
      </c>
      <c r="M1" s="56"/>
      <c r="R1" s="56" t="s">
        <v>92</v>
      </c>
      <c r="S1" s="56"/>
    </row>
    <row r="2" spans="1:20" x14ac:dyDescent="0.25">
      <c r="A2" s="58"/>
      <c r="B2" s="58"/>
      <c r="F2" s="56"/>
      <c r="G2" s="56"/>
      <c r="L2" s="56"/>
      <c r="M2" s="56"/>
      <c r="R2" s="56"/>
      <c r="S2" s="56"/>
    </row>
    <row r="4" spans="1:20" x14ac:dyDescent="0.25">
      <c r="A4" s="10" t="s">
        <v>1</v>
      </c>
      <c r="B4" s="10"/>
      <c r="C4" t="s">
        <v>138</v>
      </c>
      <c r="D4" s="8" t="e">
        <f>SUMPRODUCT(B76:B78, C76:C78)/SUM(C76:C78)</f>
        <v>#DIV/0!</v>
      </c>
      <c r="F4" s="55" t="s">
        <v>47</v>
      </c>
      <c r="G4" s="55"/>
      <c r="H4" s="5" t="s">
        <v>132</v>
      </c>
      <c r="I4" s="5" t="s">
        <v>133</v>
      </c>
      <c r="J4" s="5" t="s">
        <v>134</v>
      </c>
      <c r="L4" s="55" t="s">
        <v>54</v>
      </c>
      <c r="M4" s="55"/>
      <c r="N4" t="s">
        <v>57</v>
      </c>
      <c r="O4" t="s">
        <v>133</v>
      </c>
      <c r="R4" s="55" t="s">
        <v>93</v>
      </c>
      <c r="S4" s="55"/>
      <c r="T4" t="s">
        <v>139</v>
      </c>
    </row>
    <row r="5" spans="1:20" ht="15.75" customHeight="1" x14ac:dyDescent="0.25">
      <c r="A5" s="2" t="s">
        <v>24</v>
      </c>
      <c r="B5" s="1">
        <v>1</v>
      </c>
      <c r="F5" s="1">
        <v>1</v>
      </c>
      <c r="H5" s="1"/>
      <c r="I5" s="6"/>
      <c r="J5" s="1"/>
      <c r="L5" s="1" t="s">
        <v>58</v>
      </c>
      <c r="M5" s="5" t="s">
        <v>66</v>
      </c>
      <c r="N5" s="1">
        <v>10.6</v>
      </c>
      <c r="O5" s="14" t="e">
        <f>AVERAGE(M76:O76)</f>
        <v>#DIV/0!</v>
      </c>
      <c r="P5" s="1" t="s">
        <v>63</v>
      </c>
      <c r="R5" s="16" t="s">
        <v>58</v>
      </c>
      <c r="S5" t="s">
        <v>97</v>
      </c>
      <c r="T5" s="1" t="s">
        <v>187</v>
      </c>
    </row>
    <row r="6" spans="1:20" ht="15.75" customHeight="1" x14ac:dyDescent="0.25">
      <c r="A6" s="5" t="s">
        <v>2</v>
      </c>
      <c r="B6" s="1">
        <v>2</v>
      </c>
      <c r="F6" s="1">
        <v>2</v>
      </c>
      <c r="H6" s="1"/>
      <c r="I6" s="6"/>
      <c r="J6" s="1"/>
      <c r="L6" s="1" t="s">
        <v>59</v>
      </c>
      <c r="M6" s="5" t="s">
        <v>64</v>
      </c>
      <c r="N6" s="1">
        <v>9.3000000000000007</v>
      </c>
      <c r="O6" s="14" t="e">
        <f t="shared" ref="O6:O12" si="0">AVERAGE(M77:O77)</f>
        <v>#DIV/0!</v>
      </c>
      <c r="P6" s="1" t="s">
        <v>82</v>
      </c>
      <c r="R6" s="1" t="s">
        <v>58</v>
      </c>
      <c r="S6" t="s">
        <v>98</v>
      </c>
      <c r="T6" s="1" t="s">
        <v>187</v>
      </c>
    </row>
    <row r="7" spans="1:20" ht="15" customHeight="1" x14ac:dyDescent="0.25">
      <c r="F7" s="1">
        <v>3</v>
      </c>
      <c r="H7" s="1"/>
      <c r="I7" s="6"/>
      <c r="J7" s="12"/>
      <c r="K7" s="2"/>
      <c r="L7" s="1" t="s">
        <v>60</v>
      </c>
      <c r="M7" s="5" t="s">
        <v>73</v>
      </c>
      <c r="N7" s="1">
        <v>8.8000000000000007</v>
      </c>
      <c r="O7" s="14" t="e">
        <f t="shared" si="0"/>
        <v>#DIV/0!</v>
      </c>
      <c r="P7" s="1" t="s">
        <v>63</v>
      </c>
      <c r="R7" s="1" t="s">
        <v>58</v>
      </c>
      <c r="S7" t="s">
        <v>98</v>
      </c>
      <c r="T7" s="1" t="s">
        <v>187</v>
      </c>
    </row>
    <row r="8" spans="1:20" x14ac:dyDescent="0.25">
      <c r="A8" s="10" t="s">
        <v>4</v>
      </c>
      <c r="B8" s="10"/>
      <c r="F8" s="1"/>
      <c r="H8" s="1"/>
      <c r="I8" s="6"/>
      <c r="J8" s="12"/>
      <c r="K8" s="2"/>
      <c r="L8" s="1" t="s">
        <v>61</v>
      </c>
      <c r="M8" s="5" t="s">
        <v>65</v>
      </c>
      <c r="N8" s="1">
        <v>8.5</v>
      </c>
      <c r="O8" s="14" t="e">
        <f t="shared" si="0"/>
        <v>#DIV/0!</v>
      </c>
      <c r="P8" s="1" t="s">
        <v>63</v>
      </c>
      <c r="R8" s="1" t="s">
        <v>58</v>
      </c>
      <c r="S8" t="s">
        <v>98</v>
      </c>
      <c r="T8" s="1" t="s">
        <v>187</v>
      </c>
    </row>
    <row r="9" spans="1:20" x14ac:dyDescent="0.25">
      <c r="A9" s="1" t="s">
        <v>32</v>
      </c>
      <c r="B9" s="5" t="s">
        <v>22</v>
      </c>
      <c r="F9" s="1"/>
      <c r="H9" s="1"/>
      <c r="I9" s="6"/>
      <c r="J9" s="1"/>
      <c r="L9" s="1" t="s">
        <v>62</v>
      </c>
      <c r="M9" s="5" t="s">
        <v>67</v>
      </c>
      <c r="N9" s="1">
        <v>8.4</v>
      </c>
      <c r="O9" s="14" t="e">
        <f t="shared" si="0"/>
        <v>#DIV/0!</v>
      </c>
      <c r="P9" s="1" t="s">
        <v>83</v>
      </c>
      <c r="R9" s="1" t="s">
        <v>58</v>
      </c>
      <c r="S9" t="s">
        <v>99</v>
      </c>
      <c r="T9" s="1" t="s">
        <v>187</v>
      </c>
    </row>
    <row r="10" spans="1:20" x14ac:dyDescent="0.25">
      <c r="A10" s="1">
        <v>7</v>
      </c>
      <c r="B10" s="7">
        <f>A10 * $D$90</f>
        <v>0</v>
      </c>
      <c r="F10" s="1"/>
      <c r="H10" s="1"/>
      <c r="I10" s="6"/>
      <c r="J10" s="1"/>
      <c r="L10" s="1" t="s">
        <v>62</v>
      </c>
      <c r="M10" s="5" t="s">
        <v>68</v>
      </c>
      <c r="N10" s="1">
        <v>8.4</v>
      </c>
      <c r="O10" s="14" t="e">
        <f t="shared" si="0"/>
        <v>#DIV/0!</v>
      </c>
      <c r="P10" s="1" t="s">
        <v>82</v>
      </c>
      <c r="R10" s="1" t="s">
        <v>59</v>
      </c>
      <c r="S10" t="s">
        <v>188</v>
      </c>
      <c r="T10" s="1" t="s">
        <v>189</v>
      </c>
    </row>
    <row r="11" spans="1:20" x14ac:dyDescent="0.25">
      <c r="A11" s="1">
        <v>9</v>
      </c>
      <c r="B11" s="7">
        <f>A11 * $D$90</f>
        <v>0</v>
      </c>
      <c r="F11" s="1"/>
      <c r="H11" s="1"/>
      <c r="I11" s="6"/>
      <c r="J11" s="1"/>
      <c r="L11" s="1" t="s">
        <v>128</v>
      </c>
      <c r="M11" s="5" t="s">
        <v>67</v>
      </c>
      <c r="N11" s="1">
        <v>7.6</v>
      </c>
      <c r="O11" s="14" t="e">
        <f t="shared" si="0"/>
        <v>#DIV/0!</v>
      </c>
      <c r="P11" s="1" t="s">
        <v>83</v>
      </c>
      <c r="R11" s="1" t="s">
        <v>59</v>
      </c>
      <c r="S11" t="s">
        <v>163</v>
      </c>
    </row>
    <row r="12" spans="1:20" x14ac:dyDescent="0.25">
      <c r="A12" s="1">
        <v>11</v>
      </c>
      <c r="B12" s="7">
        <f>A12 * $D$90</f>
        <v>0</v>
      </c>
      <c r="F12" s="1"/>
      <c r="H12" s="1"/>
      <c r="I12" s="6"/>
      <c r="J12" s="1"/>
      <c r="L12" s="1" t="s">
        <v>129</v>
      </c>
      <c r="M12" s="5" t="s">
        <v>174</v>
      </c>
      <c r="N12" s="1">
        <v>7.3</v>
      </c>
      <c r="O12" s="14" t="e">
        <f t="shared" si="0"/>
        <v>#DIV/0!</v>
      </c>
      <c r="P12" s="1" t="s">
        <v>82</v>
      </c>
      <c r="R12" s="1" t="s">
        <v>59</v>
      </c>
      <c r="S12" t="s">
        <v>163</v>
      </c>
    </row>
    <row r="13" spans="1:20" x14ac:dyDescent="0.25">
      <c r="F13" s="1"/>
      <c r="H13" s="1"/>
      <c r="L13" s="1"/>
      <c r="M13" s="1"/>
    </row>
    <row r="14" spans="1:20" x14ac:dyDescent="0.25">
      <c r="A14" s="11" t="s">
        <v>5</v>
      </c>
      <c r="B14" t="s">
        <v>30</v>
      </c>
      <c r="C14" t="s">
        <v>138</v>
      </c>
      <c r="D14" s="7" t="e">
        <f>SUMPRODUCT(B82:B84, C82:C84)/SUM(C82:C84)</f>
        <v>#DIV/0!</v>
      </c>
      <c r="F14" s="55" t="s">
        <v>48</v>
      </c>
      <c r="G14" s="55"/>
      <c r="H14" t="s">
        <v>135</v>
      </c>
      <c r="I14" s="2" t="s">
        <v>133</v>
      </c>
      <c r="J14" s="2" t="s">
        <v>134</v>
      </c>
      <c r="K14" s="2"/>
      <c r="L14" s="57" t="s">
        <v>55</v>
      </c>
      <c r="M14" s="57"/>
      <c r="O14" t="s">
        <v>133</v>
      </c>
      <c r="R14" s="55" t="s">
        <v>55</v>
      </c>
      <c r="S14" s="55"/>
    </row>
    <row r="15" spans="1:20" x14ac:dyDescent="0.25">
      <c r="A15" s="1">
        <v>0</v>
      </c>
      <c r="B15" s="1">
        <v>1</v>
      </c>
      <c r="F15" s="1"/>
      <c r="H15" s="1"/>
      <c r="I15" s="6"/>
      <c r="J15" s="1"/>
      <c r="L15" s="1" t="s">
        <v>58</v>
      </c>
      <c r="M15" s="5" t="s">
        <v>70</v>
      </c>
      <c r="N15" s="1">
        <v>13</v>
      </c>
      <c r="O15" s="6" t="e">
        <f>AVERAGE(M86:O86)</f>
        <v>#DIV/0!</v>
      </c>
      <c r="P15" s="1" t="s">
        <v>83</v>
      </c>
      <c r="R15" s="1" t="s">
        <v>58</v>
      </c>
      <c r="S15" t="s">
        <v>100</v>
      </c>
      <c r="T15" s="1">
        <v>43</v>
      </c>
    </row>
    <row r="16" spans="1:20" x14ac:dyDescent="0.25">
      <c r="A16" s="1">
        <v>1</v>
      </c>
      <c r="B16" s="1">
        <v>0</v>
      </c>
      <c r="F16" s="1"/>
      <c r="H16" s="1"/>
      <c r="I16" s="6"/>
      <c r="J16" s="1"/>
      <c r="L16" s="1" t="s">
        <v>59</v>
      </c>
      <c r="M16" s="5" t="s">
        <v>68</v>
      </c>
      <c r="N16" s="1">
        <v>12</v>
      </c>
      <c r="O16" s="6" t="e">
        <f t="shared" ref="O16:O25" si="1">AVERAGE(M87:O87)</f>
        <v>#DIV/0!</v>
      </c>
      <c r="P16" s="1" t="s">
        <v>82</v>
      </c>
      <c r="R16" s="1" t="s">
        <v>59</v>
      </c>
      <c r="S16" t="s">
        <v>101</v>
      </c>
      <c r="T16" s="1">
        <v>41</v>
      </c>
    </row>
    <row r="17" spans="1:20" x14ac:dyDescent="0.25">
      <c r="A17" s="1">
        <v>2</v>
      </c>
      <c r="B17" s="1">
        <v>1</v>
      </c>
      <c r="F17" s="1"/>
      <c r="H17" s="1"/>
      <c r="I17" s="6"/>
      <c r="J17" s="12"/>
      <c r="K17" s="2"/>
      <c r="L17" s="1" t="s">
        <v>59</v>
      </c>
      <c r="M17" s="5" t="s">
        <v>177</v>
      </c>
      <c r="N17" s="1">
        <v>12</v>
      </c>
      <c r="O17" s="6" t="e">
        <f t="shared" si="1"/>
        <v>#DIV/0!</v>
      </c>
      <c r="P17" s="1" t="s">
        <v>83</v>
      </c>
      <c r="R17" s="1" t="s">
        <v>60</v>
      </c>
      <c r="S17" t="s">
        <v>102</v>
      </c>
      <c r="T17" s="1">
        <v>40</v>
      </c>
    </row>
    <row r="18" spans="1:20" x14ac:dyDescent="0.25">
      <c r="A18" s="1" t="s">
        <v>29</v>
      </c>
      <c r="B18" s="1">
        <v>1</v>
      </c>
      <c r="F18" s="1"/>
      <c r="H18" s="1"/>
      <c r="I18" s="6"/>
      <c r="J18" s="1"/>
      <c r="L18" s="1" t="s">
        <v>60</v>
      </c>
      <c r="M18" s="5" t="s">
        <v>66</v>
      </c>
      <c r="N18" s="1">
        <v>11</v>
      </c>
      <c r="O18" s="6" t="e">
        <f t="shared" si="1"/>
        <v>#DIV/0!</v>
      </c>
      <c r="P18" s="1" t="s">
        <v>63</v>
      </c>
      <c r="R18" s="1" t="s">
        <v>60</v>
      </c>
      <c r="S18" t="s">
        <v>104</v>
      </c>
      <c r="T18" s="1">
        <v>40</v>
      </c>
    </row>
    <row r="19" spans="1:20" x14ac:dyDescent="0.25">
      <c r="F19" s="1"/>
      <c r="H19" s="1"/>
      <c r="I19" s="6"/>
      <c r="J19" s="1"/>
      <c r="L19" s="1" t="s">
        <v>60</v>
      </c>
      <c r="M19" s="5" t="s">
        <v>71</v>
      </c>
      <c r="N19" s="1">
        <v>11</v>
      </c>
      <c r="O19" s="6" t="e">
        <f t="shared" si="1"/>
        <v>#DIV/0!</v>
      </c>
      <c r="P19" s="1" t="s">
        <v>83</v>
      </c>
      <c r="R19" s="1" t="s">
        <v>62</v>
      </c>
      <c r="S19" t="s">
        <v>103</v>
      </c>
      <c r="T19" s="1">
        <v>38</v>
      </c>
    </row>
    <row r="20" spans="1:20" x14ac:dyDescent="0.25">
      <c r="A20" s="11" t="s">
        <v>6</v>
      </c>
      <c r="B20" t="s">
        <v>40</v>
      </c>
      <c r="C20" t="s">
        <v>138</v>
      </c>
      <c r="D20" s="7" t="e">
        <f>SUMPRODUCT(B104:B106, C104:C106)/SUM(C104:C106)</f>
        <v>#DIV/0!</v>
      </c>
      <c r="F20" s="1"/>
      <c r="H20" s="1"/>
      <c r="I20" s="6"/>
      <c r="J20" s="12"/>
      <c r="K20" s="2"/>
      <c r="L20" s="1" t="s">
        <v>60</v>
      </c>
      <c r="M20" s="5" t="s">
        <v>72</v>
      </c>
      <c r="N20" s="1">
        <v>11</v>
      </c>
      <c r="O20" s="6" t="e">
        <f t="shared" si="1"/>
        <v>#DIV/0!</v>
      </c>
      <c r="P20" s="1" t="s">
        <v>83</v>
      </c>
      <c r="R20" s="1" t="s">
        <v>127</v>
      </c>
      <c r="S20" t="s">
        <v>104</v>
      </c>
      <c r="T20" s="1">
        <v>37</v>
      </c>
    </row>
    <row r="21" spans="1:20" x14ac:dyDescent="0.25">
      <c r="A21" s="5" t="s">
        <v>37</v>
      </c>
      <c r="B21" s="1">
        <v>0</v>
      </c>
      <c r="C21" s="5"/>
      <c r="F21" s="1"/>
      <c r="H21" s="1"/>
      <c r="I21" s="6"/>
      <c r="J21" s="1"/>
      <c r="L21" s="1" t="s">
        <v>127</v>
      </c>
      <c r="M21" s="5" t="s">
        <v>175</v>
      </c>
      <c r="N21" s="1">
        <v>10</v>
      </c>
      <c r="O21" s="6" t="e">
        <f t="shared" si="1"/>
        <v>#DIV/0!</v>
      </c>
      <c r="P21" s="1" t="s">
        <v>85</v>
      </c>
      <c r="R21" s="1" t="s">
        <v>128</v>
      </c>
      <c r="S21" t="s">
        <v>191</v>
      </c>
      <c r="T21" s="1">
        <v>36</v>
      </c>
    </row>
    <row r="22" spans="1:20" x14ac:dyDescent="0.25">
      <c r="A22" s="4" t="s">
        <v>7</v>
      </c>
      <c r="B22" s="1">
        <v>2</v>
      </c>
      <c r="C22" s="5"/>
      <c r="F22" s="1"/>
      <c r="H22" s="1"/>
      <c r="I22" s="6"/>
      <c r="J22" s="1"/>
      <c r="L22" s="1" t="s">
        <v>127</v>
      </c>
      <c r="M22" s="5">
        <v>369</v>
      </c>
      <c r="N22" s="1">
        <v>10</v>
      </c>
      <c r="O22" s="6" t="e">
        <f>AVERAGE(M93:O93)</f>
        <v>#DIV/0!</v>
      </c>
      <c r="P22" s="1" t="s">
        <v>84</v>
      </c>
      <c r="R22" s="1" t="s">
        <v>129</v>
      </c>
      <c r="S22" t="s">
        <v>125</v>
      </c>
      <c r="T22" s="1">
        <v>35</v>
      </c>
    </row>
    <row r="23" spans="1:20" x14ac:dyDescent="0.25">
      <c r="A23" s="4" t="s">
        <v>38</v>
      </c>
      <c r="B23" s="1">
        <v>1</v>
      </c>
      <c r="C23" s="5"/>
      <c r="F23" s="1"/>
      <c r="H23" s="1"/>
      <c r="L23" s="1" t="s">
        <v>127</v>
      </c>
      <c r="M23" s="5" t="s">
        <v>67</v>
      </c>
      <c r="N23" s="1">
        <v>10</v>
      </c>
      <c r="O23" s="6" t="e">
        <f t="shared" si="1"/>
        <v>#DIV/0!</v>
      </c>
      <c r="P23" s="1" t="s">
        <v>83</v>
      </c>
      <c r="R23" s="1" t="s">
        <v>129</v>
      </c>
      <c r="S23" t="s">
        <v>109</v>
      </c>
      <c r="T23" s="1">
        <v>35</v>
      </c>
    </row>
    <row r="24" spans="1:20" x14ac:dyDescent="0.25">
      <c r="A24" t="s">
        <v>39</v>
      </c>
      <c r="B24" s="1">
        <v>0</v>
      </c>
      <c r="F24" s="61"/>
      <c r="G24" s="61"/>
      <c r="L24" s="1" t="s">
        <v>127</v>
      </c>
      <c r="M24" s="5" t="s">
        <v>69</v>
      </c>
      <c r="N24" s="1">
        <v>10</v>
      </c>
      <c r="O24" s="6" t="e">
        <f t="shared" si="1"/>
        <v>#DIV/0!</v>
      </c>
      <c r="P24" s="1" t="s">
        <v>63</v>
      </c>
      <c r="R24" s="1" t="s">
        <v>129</v>
      </c>
      <c r="S24" t="s">
        <v>126</v>
      </c>
      <c r="T24" s="1">
        <v>35</v>
      </c>
    </row>
    <row r="25" spans="1:20" x14ac:dyDescent="0.25">
      <c r="F25" s="1"/>
      <c r="H25" s="1"/>
      <c r="I25" s="6"/>
      <c r="J25" s="1"/>
      <c r="L25" s="1" t="s">
        <v>127</v>
      </c>
      <c r="M25" s="5" t="s">
        <v>176</v>
      </c>
      <c r="N25" s="1">
        <v>10</v>
      </c>
      <c r="O25" s="6" t="e">
        <f t="shared" si="1"/>
        <v>#DIV/0!</v>
      </c>
      <c r="P25" s="1" t="s">
        <v>85</v>
      </c>
    </row>
    <row r="26" spans="1:20" x14ac:dyDescent="0.25">
      <c r="A26" s="5"/>
      <c r="F26" s="1"/>
      <c r="H26" s="1"/>
      <c r="I26" s="6"/>
      <c r="J26" s="1"/>
      <c r="L26" s="1"/>
      <c r="M26" s="1"/>
    </row>
    <row r="27" spans="1:20" x14ac:dyDescent="0.25">
      <c r="A27" s="11" t="s">
        <v>8</v>
      </c>
      <c r="B27" s="10"/>
      <c r="C27" s="1" t="s">
        <v>11</v>
      </c>
      <c r="F27" s="1"/>
      <c r="H27" s="1"/>
      <c r="I27" s="6"/>
      <c r="J27" s="1"/>
      <c r="L27" s="57" t="s">
        <v>56</v>
      </c>
      <c r="M27" s="57"/>
      <c r="R27" s="55" t="s">
        <v>94</v>
      </c>
      <c r="S27" s="55"/>
      <c r="T27" s="1" t="s">
        <v>123</v>
      </c>
    </row>
    <row r="28" spans="1:20" x14ac:dyDescent="0.25">
      <c r="A28" s="5" t="s">
        <v>9</v>
      </c>
      <c r="B28" s="6" t="e">
        <f>B95/$I$1</f>
        <v>#DIV/0!</v>
      </c>
      <c r="F28" s="1"/>
      <c r="H28" s="1"/>
      <c r="I28" s="6"/>
      <c r="J28" s="1"/>
      <c r="L28" s="1" t="s">
        <v>58</v>
      </c>
      <c r="M28" s="5" t="s">
        <v>80</v>
      </c>
      <c r="N28" s="1">
        <v>6</v>
      </c>
      <c r="O28" s="15" t="s">
        <v>178</v>
      </c>
      <c r="P28" s="1" t="s">
        <v>84</v>
      </c>
      <c r="R28" s="1" t="s">
        <v>58</v>
      </c>
      <c r="S28" s="5" t="s">
        <v>109</v>
      </c>
      <c r="T28" s="1">
        <v>3</v>
      </c>
    </row>
    <row r="29" spans="1:20" x14ac:dyDescent="0.25">
      <c r="A29" s="5" t="s">
        <v>14</v>
      </c>
      <c r="B29" s="6" t="e">
        <f>B96/$I$1</f>
        <v>#DIV/0!</v>
      </c>
      <c r="F29" s="1"/>
      <c r="H29" s="1"/>
      <c r="I29" s="6"/>
      <c r="J29" s="1"/>
      <c r="L29" s="1" t="s">
        <v>59</v>
      </c>
      <c r="M29" s="5" t="s">
        <v>81</v>
      </c>
      <c r="N29" s="1">
        <v>5</v>
      </c>
      <c r="O29" s="6" t="e">
        <f t="shared" ref="O29:O40" si="2">AVERAGE(M100:O100)</f>
        <v>#DIV/0!</v>
      </c>
      <c r="P29" s="1" t="s">
        <v>63</v>
      </c>
      <c r="R29" s="1" t="s">
        <v>59</v>
      </c>
      <c r="S29" s="5" t="s">
        <v>109</v>
      </c>
      <c r="T29" s="1">
        <v>2</v>
      </c>
    </row>
    <row r="30" spans="1:20" x14ac:dyDescent="0.25">
      <c r="A30" s="5" t="s">
        <v>12</v>
      </c>
      <c r="B30" s="6" t="e">
        <f>B97/$I$1</f>
        <v>#DIV/0!</v>
      </c>
      <c r="F30" s="1"/>
      <c r="H30" s="1"/>
      <c r="I30" s="6"/>
      <c r="J30" s="1"/>
      <c r="L30" s="1" t="s">
        <v>60</v>
      </c>
      <c r="M30" s="5" t="s">
        <v>64</v>
      </c>
      <c r="N30" s="1">
        <v>4</v>
      </c>
      <c r="O30" s="6" t="e">
        <f t="shared" si="2"/>
        <v>#DIV/0!</v>
      </c>
      <c r="P30" s="1" t="s">
        <v>82</v>
      </c>
      <c r="R30" s="1" t="s">
        <v>60</v>
      </c>
      <c r="S30" s="5" t="s">
        <v>98</v>
      </c>
      <c r="T30" s="1">
        <v>1</v>
      </c>
    </row>
    <row r="31" spans="1:20" x14ac:dyDescent="0.25">
      <c r="A31" s="5" t="s">
        <v>10</v>
      </c>
      <c r="B31" s="6" t="e">
        <f>B98/$I$1</f>
        <v>#DIV/0!</v>
      </c>
      <c r="F31" s="1"/>
      <c r="H31" s="1"/>
      <c r="I31" s="6"/>
      <c r="J31" s="1"/>
      <c r="L31" s="1" t="s">
        <v>60</v>
      </c>
      <c r="M31" s="5" t="s">
        <v>78</v>
      </c>
      <c r="N31" s="1">
        <v>4</v>
      </c>
      <c r="O31" s="6" t="e">
        <f t="shared" si="2"/>
        <v>#DIV/0!</v>
      </c>
      <c r="P31" s="1" t="s">
        <v>85</v>
      </c>
      <c r="R31" s="1" t="s">
        <v>60</v>
      </c>
      <c r="S31" s="5" t="s">
        <v>98</v>
      </c>
      <c r="T31" s="1">
        <v>1</v>
      </c>
    </row>
    <row r="32" spans="1:20" x14ac:dyDescent="0.25">
      <c r="A32" s="5" t="s">
        <v>13</v>
      </c>
      <c r="B32" s="6" t="e">
        <f>B99/$I$1</f>
        <v>#DIV/0!</v>
      </c>
      <c r="F32" s="1"/>
      <c r="H32" s="1"/>
      <c r="I32" s="6"/>
      <c r="J32" s="1"/>
      <c r="L32" s="1" t="s">
        <v>60</v>
      </c>
      <c r="M32" s="5" t="s">
        <v>79</v>
      </c>
      <c r="N32" s="1">
        <v>4</v>
      </c>
      <c r="O32" s="6" t="e">
        <f t="shared" si="2"/>
        <v>#DIV/0!</v>
      </c>
      <c r="P32" s="1" t="s">
        <v>85</v>
      </c>
      <c r="R32" s="1" t="s">
        <v>62</v>
      </c>
      <c r="S32" s="5" t="s">
        <v>113</v>
      </c>
      <c r="T32" s="1">
        <v>1</v>
      </c>
    </row>
    <row r="33" spans="1:20" x14ac:dyDescent="0.25">
      <c r="A33" s="5" t="s">
        <v>15</v>
      </c>
      <c r="B33" s="6">
        <f>B100/($I$1-1)</f>
        <v>0</v>
      </c>
      <c r="F33" s="1"/>
      <c r="H33" s="1"/>
      <c r="I33" s="6"/>
      <c r="J33" s="1"/>
      <c r="L33" s="1" t="s">
        <v>60</v>
      </c>
      <c r="M33" s="5" t="s">
        <v>69</v>
      </c>
      <c r="N33" s="1">
        <v>4</v>
      </c>
      <c r="O33" s="6" t="e">
        <f t="shared" si="2"/>
        <v>#DIV/0!</v>
      </c>
      <c r="P33" s="1" t="s">
        <v>63</v>
      </c>
      <c r="R33" s="1" t="s">
        <v>62</v>
      </c>
      <c r="S33" s="5" t="s">
        <v>114</v>
      </c>
      <c r="T33" s="1">
        <v>1</v>
      </c>
    </row>
    <row r="34" spans="1:20" x14ac:dyDescent="0.25">
      <c r="L34" s="1" t="s">
        <v>60</v>
      </c>
      <c r="M34" s="5" t="s">
        <v>86</v>
      </c>
      <c r="N34" s="1">
        <v>4</v>
      </c>
      <c r="O34" s="6" t="e">
        <f t="shared" si="2"/>
        <v>#DIV/0!</v>
      </c>
      <c r="P34" s="1" t="s">
        <v>85</v>
      </c>
      <c r="R34" s="1" t="s">
        <v>62</v>
      </c>
      <c r="S34" s="5" t="s">
        <v>115</v>
      </c>
      <c r="T34" s="1">
        <v>1</v>
      </c>
    </row>
    <row r="35" spans="1:20" x14ac:dyDescent="0.25">
      <c r="A35" s="5"/>
      <c r="F35" s="55" t="s">
        <v>52</v>
      </c>
      <c r="G35" s="55"/>
      <c r="H35" t="s">
        <v>130</v>
      </c>
      <c r="I35" t="s">
        <v>133</v>
      </c>
      <c r="J35" t="s">
        <v>134</v>
      </c>
      <c r="L35" s="1" t="s">
        <v>60</v>
      </c>
      <c r="M35" s="5" t="s">
        <v>87</v>
      </c>
      <c r="N35" s="1">
        <v>4</v>
      </c>
      <c r="O35" s="6" t="e">
        <f t="shared" si="2"/>
        <v>#DIV/0!</v>
      </c>
      <c r="P35" s="1" t="s">
        <v>82</v>
      </c>
      <c r="R35" s="1" t="s">
        <v>62</v>
      </c>
      <c r="S35" s="5" t="s">
        <v>116</v>
      </c>
      <c r="T35" s="1">
        <v>1</v>
      </c>
    </row>
    <row r="36" spans="1:20" x14ac:dyDescent="0.25">
      <c r="F36" s="1" t="s">
        <v>58</v>
      </c>
      <c r="G36" t="s">
        <v>162</v>
      </c>
      <c r="L36" s="1" t="s">
        <v>60</v>
      </c>
      <c r="M36" s="5" t="s">
        <v>65</v>
      </c>
      <c r="N36" s="1">
        <v>4</v>
      </c>
      <c r="O36" s="6" t="e">
        <f t="shared" si="2"/>
        <v>#DIV/0!</v>
      </c>
      <c r="P36" s="1" t="s">
        <v>63</v>
      </c>
      <c r="R36" s="1" t="s">
        <v>62</v>
      </c>
      <c r="S36" s="5" t="s">
        <v>102</v>
      </c>
      <c r="T36" s="1">
        <v>1</v>
      </c>
    </row>
    <row r="37" spans="1:20" x14ac:dyDescent="0.25">
      <c r="F37" s="1" t="s">
        <v>59</v>
      </c>
      <c r="G37" t="s">
        <v>163</v>
      </c>
      <c r="L37" s="1" t="s">
        <v>60</v>
      </c>
      <c r="M37" s="5" t="s">
        <v>88</v>
      </c>
      <c r="N37" s="1">
        <v>4</v>
      </c>
      <c r="O37" s="6" t="e">
        <f t="shared" si="2"/>
        <v>#DIV/0!</v>
      </c>
      <c r="P37" s="1" t="s">
        <v>63</v>
      </c>
      <c r="R37" s="1" t="s">
        <v>62</v>
      </c>
      <c r="S37" s="5" t="s">
        <v>117</v>
      </c>
      <c r="T37" s="1">
        <v>1</v>
      </c>
    </row>
    <row r="38" spans="1:20" x14ac:dyDescent="0.25">
      <c r="F38" s="1" t="s">
        <v>60</v>
      </c>
      <c r="G38" t="s">
        <v>163</v>
      </c>
      <c r="L38" s="1" t="s">
        <v>60</v>
      </c>
      <c r="M38" s="5" t="s">
        <v>110</v>
      </c>
      <c r="N38" s="1">
        <v>4</v>
      </c>
      <c r="O38" s="6" t="e">
        <f t="shared" si="2"/>
        <v>#DIV/0!</v>
      </c>
      <c r="P38" s="1" t="s">
        <v>85</v>
      </c>
      <c r="R38" s="1" t="s">
        <v>62</v>
      </c>
      <c r="S38" s="5" t="s">
        <v>118</v>
      </c>
      <c r="T38" s="1">
        <v>1</v>
      </c>
    </row>
    <row r="39" spans="1:20" x14ac:dyDescent="0.25">
      <c r="F39" s="1" t="s">
        <v>61</v>
      </c>
      <c r="G39" t="s">
        <v>163</v>
      </c>
      <c r="L39" s="1" t="s">
        <v>60</v>
      </c>
      <c r="M39" s="5" t="s">
        <v>112</v>
      </c>
      <c r="N39" s="1">
        <v>4</v>
      </c>
      <c r="O39" s="6" t="e">
        <f t="shared" si="2"/>
        <v>#DIV/0!</v>
      </c>
      <c r="P39" s="1" t="s">
        <v>85</v>
      </c>
      <c r="R39" s="1" t="s">
        <v>62</v>
      </c>
      <c r="S39" s="5" t="s">
        <v>119</v>
      </c>
      <c r="T39" s="1">
        <v>1</v>
      </c>
    </row>
    <row r="40" spans="1:20" x14ac:dyDescent="0.25">
      <c r="F40" s="1" t="s">
        <v>62</v>
      </c>
      <c r="G40" t="s">
        <v>163</v>
      </c>
      <c r="L40" s="1" t="s">
        <v>60</v>
      </c>
      <c r="M40" s="5" t="s">
        <v>111</v>
      </c>
      <c r="N40" s="1">
        <v>4</v>
      </c>
      <c r="O40" s="6" t="e">
        <f t="shared" si="2"/>
        <v>#DIV/0!</v>
      </c>
      <c r="P40" s="1" t="s">
        <v>85</v>
      </c>
      <c r="R40" s="1" t="s">
        <v>62</v>
      </c>
      <c r="S40" s="5" t="s">
        <v>120</v>
      </c>
      <c r="T40" s="1">
        <v>1</v>
      </c>
    </row>
    <row r="41" spans="1:20" x14ac:dyDescent="0.25">
      <c r="F41" s="1" t="s">
        <v>127</v>
      </c>
      <c r="G41" t="s">
        <v>163</v>
      </c>
      <c r="L41" s="1"/>
      <c r="M41" s="1"/>
      <c r="R41" s="1" t="s">
        <v>62</v>
      </c>
      <c r="S41" s="5" t="s">
        <v>121</v>
      </c>
      <c r="T41" s="1">
        <v>1</v>
      </c>
    </row>
    <row r="42" spans="1:20" x14ac:dyDescent="0.25">
      <c r="F42" s="1" t="s">
        <v>128</v>
      </c>
      <c r="G42" t="s">
        <v>163</v>
      </c>
      <c r="L42" s="57" t="s">
        <v>52</v>
      </c>
      <c r="M42" s="57"/>
    </row>
    <row r="43" spans="1:20" x14ac:dyDescent="0.25">
      <c r="F43" s="1" t="s">
        <v>129</v>
      </c>
      <c r="G43" t="s">
        <v>163</v>
      </c>
      <c r="L43" s="1" t="s">
        <v>58</v>
      </c>
      <c r="M43" s="5" t="s">
        <v>74</v>
      </c>
      <c r="N43" s="1">
        <v>16</v>
      </c>
      <c r="O43" s="1" t="s">
        <v>63</v>
      </c>
      <c r="R43" s="55" t="s">
        <v>95</v>
      </c>
      <c r="S43" s="55"/>
    </row>
    <row r="44" spans="1:20" x14ac:dyDescent="0.25">
      <c r="F44" s="1"/>
      <c r="L44" s="1" t="s">
        <v>59</v>
      </c>
      <c r="M44" s="5" t="s">
        <v>89</v>
      </c>
      <c r="N44" s="1">
        <v>14</v>
      </c>
      <c r="O44" s="1" t="s">
        <v>63</v>
      </c>
      <c r="R44" s="1" t="s">
        <v>58</v>
      </c>
      <c r="S44" s="5" t="s">
        <v>125</v>
      </c>
      <c r="T44" s="9">
        <v>0.85</v>
      </c>
    </row>
    <row r="45" spans="1:20" x14ac:dyDescent="0.25">
      <c r="F45" s="55" t="s">
        <v>49</v>
      </c>
      <c r="G45" s="55"/>
      <c r="H45" t="s">
        <v>137</v>
      </c>
      <c r="I45" t="s">
        <v>134</v>
      </c>
      <c r="L45" s="1" t="s">
        <v>59</v>
      </c>
      <c r="M45" s="5" t="s">
        <v>90</v>
      </c>
      <c r="N45" s="1">
        <v>14</v>
      </c>
      <c r="O45" s="1" t="s">
        <v>63</v>
      </c>
      <c r="R45" s="1" t="s">
        <v>59</v>
      </c>
      <c r="S45" s="5" t="s">
        <v>124</v>
      </c>
      <c r="T45" s="9">
        <v>0.87361111111111112</v>
      </c>
    </row>
    <row r="46" spans="1:20" x14ac:dyDescent="0.25">
      <c r="F46" s="1" t="s">
        <v>58</v>
      </c>
      <c r="G46" t="s">
        <v>155</v>
      </c>
      <c r="H46" s="13">
        <v>0.88</v>
      </c>
      <c r="I46" s="1" t="s">
        <v>82</v>
      </c>
      <c r="L46" s="1" t="s">
        <v>59</v>
      </c>
      <c r="M46" s="5" t="s">
        <v>65</v>
      </c>
      <c r="N46" s="1">
        <v>14</v>
      </c>
      <c r="O46" s="1" t="s">
        <v>63</v>
      </c>
      <c r="R46" s="1" t="s">
        <v>60</v>
      </c>
      <c r="S46" s="5" t="s">
        <v>109</v>
      </c>
      <c r="T46" s="9">
        <v>0.93402777777777779</v>
      </c>
    </row>
    <row r="47" spans="1:20" x14ac:dyDescent="0.25">
      <c r="F47" s="1" t="s">
        <v>59</v>
      </c>
      <c r="G47" t="s">
        <v>150</v>
      </c>
      <c r="H47" s="13">
        <v>0.86</v>
      </c>
      <c r="I47" s="1" t="s">
        <v>83</v>
      </c>
      <c r="L47" s="1" t="s">
        <v>62</v>
      </c>
      <c r="M47" s="5" t="s">
        <v>77</v>
      </c>
      <c r="N47" s="1">
        <v>13</v>
      </c>
      <c r="O47" s="1" t="s">
        <v>63</v>
      </c>
      <c r="R47" s="1" t="s">
        <v>61</v>
      </c>
      <c r="S47" s="5" t="s">
        <v>102</v>
      </c>
      <c r="T47" s="9">
        <v>0.94097222222222221</v>
      </c>
    </row>
    <row r="48" spans="1:20" x14ac:dyDescent="0.25">
      <c r="F48" s="1" t="s">
        <v>60</v>
      </c>
      <c r="G48" t="s">
        <v>164</v>
      </c>
      <c r="H48" s="13">
        <v>0.85</v>
      </c>
      <c r="I48" s="1" t="s">
        <v>63</v>
      </c>
      <c r="L48" s="1" t="s">
        <v>62</v>
      </c>
      <c r="M48" s="5" t="s">
        <v>91</v>
      </c>
      <c r="N48" s="1">
        <v>13</v>
      </c>
      <c r="O48" s="1" t="s">
        <v>63</v>
      </c>
      <c r="R48" s="1" t="s">
        <v>62</v>
      </c>
      <c r="S48" s="5" t="s">
        <v>101</v>
      </c>
      <c r="T48" s="9">
        <v>0.94097222222222221</v>
      </c>
    </row>
    <row r="49" spans="6:20" x14ac:dyDescent="0.25">
      <c r="F49" s="1" t="s">
        <v>61</v>
      </c>
      <c r="G49" t="s">
        <v>155</v>
      </c>
      <c r="H49" s="13">
        <v>0.83</v>
      </c>
      <c r="I49" s="1" t="s">
        <v>82</v>
      </c>
      <c r="L49" s="1" t="s">
        <v>128</v>
      </c>
      <c r="M49" s="5" t="s">
        <v>179</v>
      </c>
      <c r="N49" s="1">
        <v>12</v>
      </c>
      <c r="O49" s="1" t="s">
        <v>82</v>
      </c>
      <c r="R49" s="1" t="s">
        <v>127</v>
      </c>
      <c r="S49" s="5" t="s">
        <v>126</v>
      </c>
      <c r="T49" s="9">
        <v>0.98472222222222228</v>
      </c>
    </row>
    <row r="50" spans="6:20" x14ac:dyDescent="0.25">
      <c r="F50" s="1" t="s">
        <v>62</v>
      </c>
      <c r="G50" t="s">
        <v>165</v>
      </c>
      <c r="H50" s="13">
        <v>0.82</v>
      </c>
      <c r="I50" s="1" t="s">
        <v>83</v>
      </c>
      <c r="L50" s="1" t="s">
        <v>128</v>
      </c>
      <c r="M50" s="5" t="s">
        <v>180</v>
      </c>
      <c r="N50" s="1">
        <v>12</v>
      </c>
      <c r="O50" s="1" t="s">
        <v>63</v>
      </c>
      <c r="R50" s="1" t="s">
        <v>128</v>
      </c>
      <c r="S50" s="5" t="s">
        <v>125</v>
      </c>
      <c r="T50" s="9">
        <v>0.9916666666666667</v>
      </c>
    </row>
    <row r="51" spans="6:20" x14ac:dyDescent="0.25">
      <c r="F51" s="1" t="s">
        <v>127</v>
      </c>
      <c r="G51" t="s">
        <v>166</v>
      </c>
      <c r="H51" s="13">
        <v>0.8</v>
      </c>
      <c r="I51" s="1" t="s">
        <v>85</v>
      </c>
      <c r="L51" s="1" t="s">
        <v>128</v>
      </c>
      <c r="M51" s="5" t="s">
        <v>181</v>
      </c>
      <c r="N51" s="1">
        <v>12</v>
      </c>
      <c r="O51" s="1" t="s">
        <v>85</v>
      </c>
      <c r="R51" s="1" t="s">
        <v>129</v>
      </c>
      <c r="S51" s="5" t="s">
        <v>192</v>
      </c>
      <c r="T51" s="8">
        <v>1.0062500000000001</v>
      </c>
    </row>
    <row r="52" spans="6:20" x14ac:dyDescent="0.25">
      <c r="F52" s="1" t="s">
        <v>127</v>
      </c>
      <c r="G52" t="s">
        <v>167</v>
      </c>
      <c r="H52" s="13">
        <v>0.8</v>
      </c>
      <c r="I52" s="1" t="s">
        <v>84</v>
      </c>
      <c r="L52" s="1" t="s">
        <v>128</v>
      </c>
      <c r="M52" s="5" t="s">
        <v>182</v>
      </c>
      <c r="N52" s="1">
        <v>12</v>
      </c>
      <c r="O52" s="1" t="s">
        <v>63</v>
      </c>
      <c r="R52" s="1" t="s">
        <v>129</v>
      </c>
      <c r="S52" s="5" t="s">
        <v>193</v>
      </c>
      <c r="T52" s="8">
        <v>1.0062500000000001</v>
      </c>
    </row>
    <row r="53" spans="6:20" x14ac:dyDescent="0.25">
      <c r="F53" s="1" t="s">
        <v>129</v>
      </c>
      <c r="G53" t="s">
        <v>168</v>
      </c>
      <c r="H53" s="13">
        <v>0.78</v>
      </c>
      <c r="I53" s="1" t="s">
        <v>85</v>
      </c>
      <c r="L53" s="1" t="s">
        <v>128</v>
      </c>
      <c r="M53" s="5" t="s">
        <v>66</v>
      </c>
      <c r="N53" s="1">
        <v>12</v>
      </c>
      <c r="O53" s="1" t="s">
        <v>63</v>
      </c>
    </row>
    <row r="54" spans="6:20" x14ac:dyDescent="0.25">
      <c r="F54" s="1"/>
      <c r="L54" s="1" t="s">
        <v>128</v>
      </c>
      <c r="M54" s="5" t="s">
        <v>183</v>
      </c>
      <c r="N54" s="1">
        <v>12</v>
      </c>
      <c r="O54" s="1" t="s">
        <v>63</v>
      </c>
      <c r="R54" s="55" t="s">
        <v>52</v>
      </c>
      <c r="S54" s="55"/>
      <c r="T54" t="s">
        <v>130</v>
      </c>
    </row>
    <row r="55" spans="6:20" x14ac:dyDescent="0.25">
      <c r="F55" s="62" t="s">
        <v>51</v>
      </c>
      <c r="G55" s="62"/>
      <c r="H55" t="s">
        <v>137</v>
      </c>
      <c r="I55" t="s">
        <v>134</v>
      </c>
      <c r="L55" s="1" t="s">
        <v>128</v>
      </c>
      <c r="M55" s="5" t="s">
        <v>184</v>
      </c>
      <c r="N55" s="1">
        <v>12</v>
      </c>
      <c r="O55" s="1" t="s">
        <v>63</v>
      </c>
      <c r="R55" s="1" t="s">
        <v>58</v>
      </c>
      <c r="S55" s="5" t="s">
        <v>101</v>
      </c>
      <c r="T55" s="1">
        <v>369</v>
      </c>
    </row>
    <row r="56" spans="6:20" x14ac:dyDescent="0.25">
      <c r="F56" s="1" t="s">
        <v>58</v>
      </c>
      <c r="G56" t="s">
        <v>157</v>
      </c>
      <c r="H56" s="13">
        <v>0.14000000000000001</v>
      </c>
      <c r="I56" s="1" t="s">
        <v>83</v>
      </c>
      <c r="L56" s="1" t="s">
        <v>128</v>
      </c>
      <c r="M56" s="5" t="s">
        <v>185</v>
      </c>
      <c r="N56" s="1">
        <v>12</v>
      </c>
      <c r="O56" s="1" t="s">
        <v>63</v>
      </c>
      <c r="R56" s="1" t="s">
        <v>59</v>
      </c>
      <c r="S56" s="5" t="s">
        <v>104</v>
      </c>
      <c r="T56" s="1">
        <v>306</v>
      </c>
    </row>
    <row r="57" spans="6:20" x14ac:dyDescent="0.25">
      <c r="F57" s="1" t="s">
        <v>59</v>
      </c>
      <c r="G57" t="s">
        <v>169</v>
      </c>
      <c r="H57" s="13">
        <v>0.17</v>
      </c>
      <c r="I57" s="1" t="s">
        <v>82</v>
      </c>
      <c r="L57" s="1" t="s">
        <v>128</v>
      </c>
      <c r="M57" s="5" t="s">
        <v>186</v>
      </c>
      <c r="N57" s="1">
        <v>12</v>
      </c>
      <c r="O57" s="1" t="s">
        <v>82</v>
      </c>
      <c r="R57" s="1" t="s">
        <v>60</v>
      </c>
      <c r="S57" s="5" t="s">
        <v>113</v>
      </c>
      <c r="T57" s="1">
        <v>295</v>
      </c>
    </row>
    <row r="58" spans="6:20" x14ac:dyDescent="0.25">
      <c r="F58" s="1" t="s">
        <v>59</v>
      </c>
      <c r="G58" t="s">
        <v>172</v>
      </c>
      <c r="H58" s="13">
        <v>0.17</v>
      </c>
      <c r="I58" s="1" t="s">
        <v>83</v>
      </c>
      <c r="L58" s="1"/>
      <c r="M58" s="1"/>
      <c r="R58" s="1" t="s">
        <v>61</v>
      </c>
      <c r="S58" s="5" t="s">
        <v>109</v>
      </c>
      <c r="T58" s="1">
        <v>292</v>
      </c>
    </row>
    <row r="59" spans="6:20" x14ac:dyDescent="0.25">
      <c r="F59" s="1" t="s">
        <v>59</v>
      </c>
      <c r="G59" t="s">
        <v>173</v>
      </c>
      <c r="H59" s="13">
        <v>0.17</v>
      </c>
      <c r="I59" s="1" t="s">
        <v>84</v>
      </c>
      <c r="L59" s="57" t="s">
        <v>5</v>
      </c>
      <c r="M59" s="57"/>
      <c r="R59" s="1" t="s">
        <v>62</v>
      </c>
      <c r="S59" s="5" t="s">
        <v>126</v>
      </c>
      <c r="T59" s="1">
        <v>249</v>
      </c>
    </row>
    <row r="60" spans="6:20" x14ac:dyDescent="0.25">
      <c r="F60" s="1" t="s">
        <v>62</v>
      </c>
      <c r="G60" t="s">
        <v>170</v>
      </c>
      <c r="H60" s="13">
        <v>0.19</v>
      </c>
      <c r="I60" s="1" t="s">
        <v>83</v>
      </c>
      <c r="L60" s="1" t="s">
        <v>58</v>
      </c>
      <c r="M60" s="5" t="s">
        <v>73</v>
      </c>
      <c r="N60" s="1">
        <v>1</v>
      </c>
      <c r="O60" s="1" t="s">
        <v>63</v>
      </c>
      <c r="R60" s="1" t="s">
        <v>127</v>
      </c>
      <c r="S60" s="5" t="s">
        <v>98</v>
      </c>
      <c r="T60" s="1">
        <v>231</v>
      </c>
    </row>
    <row r="61" spans="6:20" x14ac:dyDescent="0.25">
      <c r="F61" s="1" t="s">
        <v>127</v>
      </c>
      <c r="G61" t="s">
        <v>44</v>
      </c>
      <c r="H61" s="13">
        <v>0.2</v>
      </c>
      <c r="I61" s="1" t="s">
        <v>83</v>
      </c>
      <c r="L61" s="1" t="s">
        <v>58</v>
      </c>
      <c r="M61" s="5" t="s">
        <v>74</v>
      </c>
      <c r="N61" s="1">
        <v>1</v>
      </c>
      <c r="O61" s="1" t="s">
        <v>63</v>
      </c>
      <c r="R61" s="1" t="s">
        <v>128</v>
      </c>
      <c r="S61" s="5" t="s">
        <v>109</v>
      </c>
      <c r="T61" s="1">
        <v>230</v>
      </c>
    </row>
    <row r="62" spans="6:20" x14ac:dyDescent="0.25">
      <c r="F62" s="1" t="s">
        <v>127</v>
      </c>
      <c r="G62" t="s">
        <v>171</v>
      </c>
      <c r="H62" s="13">
        <v>0.2</v>
      </c>
      <c r="I62" s="1" t="s">
        <v>82</v>
      </c>
      <c r="L62" s="1" t="s">
        <v>58</v>
      </c>
      <c r="M62" s="5" t="s">
        <v>75</v>
      </c>
      <c r="N62" s="1">
        <v>1</v>
      </c>
      <c r="O62" s="1" t="s">
        <v>63</v>
      </c>
      <c r="R62" s="1" t="s">
        <v>129</v>
      </c>
      <c r="S62" s="5" t="s">
        <v>104</v>
      </c>
      <c r="T62" s="1">
        <v>230</v>
      </c>
    </row>
    <row r="63" spans="6:20" x14ac:dyDescent="0.25">
      <c r="F63" s="1" t="s">
        <v>127</v>
      </c>
      <c r="G63" t="s">
        <v>148</v>
      </c>
      <c r="H63" s="13">
        <v>0.2</v>
      </c>
      <c r="I63" s="1" t="s">
        <v>63</v>
      </c>
      <c r="L63" s="16" t="s">
        <v>58</v>
      </c>
      <c r="M63" s="5" t="s">
        <v>76</v>
      </c>
      <c r="N63" s="1">
        <v>1</v>
      </c>
      <c r="O63" s="1" t="s">
        <v>63</v>
      </c>
      <c r="S63" s="5"/>
      <c r="T63" s="1"/>
    </row>
    <row r="64" spans="6:20" x14ac:dyDescent="0.25">
      <c r="L64" s="1" t="s">
        <v>58</v>
      </c>
      <c r="M64" s="5" t="s">
        <v>77</v>
      </c>
      <c r="N64" s="1">
        <v>1</v>
      </c>
      <c r="O64" s="1" t="s">
        <v>63</v>
      </c>
      <c r="R64" s="55" t="s">
        <v>96</v>
      </c>
      <c r="S64" s="55"/>
      <c r="T64" s="1"/>
    </row>
    <row r="65" spans="8:18" x14ac:dyDescent="0.25">
      <c r="H65" s="1"/>
      <c r="R65" t="s">
        <v>131</v>
      </c>
    </row>
  </sheetData>
  <mergeCells count="21">
    <mergeCell ref="A1:B2"/>
    <mergeCell ref="F1:G2"/>
    <mergeCell ref="F4:G4"/>
    <mergeCell ref="L1:M2"/>
    <mergeCell ref="R1:S2"/>
    <mergeCell ref="L4:M4"/>
    <mergeCell ref="R4:S4"/>
    <mergeCell ref="F14:G14"/>
    <mergeCell ref="L14:M14"/>
    <mergeCell ref="R14:S14"/>
    <mergeCell ref="F24:G24"/>
    <mergeCell ref="L27:M27"/>
    <mergeCell ref="R27:S27"/>
    <mergeCell ref="L59:M59"/>
    <mergeCell ref="R64:S64"/>
    <mergeCell ref="F35:G35"/>
    <mergeCell ref="L42:M42"/>
    <mergeCell ref="R43:S43"/>
    <mergeCell ref="F45:G45"/>
    <mergeCell ref="R54:S54"/>
    <mergeCell ref="F55:G5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Pick'Ems</vt:lpstr>
      <vt:lpstr>Worlds</vt:lpstr>
      <vt:lpstr>Worlds + MSI</vt:lpstr>
      <vt:lpstr>Tabelle1</vt:lpstr>
      <vt:lpstr>2025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Bischoff</dc:creator>
  <cp:lastModifiedBy>Oliver Bischoff</cp:lastModifiedBy>
  <dcterms:created xsi:type="dcterms:W3CDTF">2025-10-11T13:36:39Z</dcterms:created>
  <dcterms:modified xsi:type="dcterms:W3CDTF">2026-08-25T09:36:21Z</dcterms:modified>
</cp:coreProperties>
</file>