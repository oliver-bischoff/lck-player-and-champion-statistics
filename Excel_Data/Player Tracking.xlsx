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9de324575cf814/League_Excel/"/>
    </mc:Choice>
  </mc:AlternateContent>
  <xr:revisionPtr revIDLastSave="837" documentId="8_{B32CD823-6728-436F-A443-416EC7E064D1}" xr6:coauthVersionLast="47" xr6:coauthVersionMax="47" xr10:uidLastSave="{247BB7D5-5D12-45BB-A9D2-A1AFBA70C726}"/>
  <bookViews>
    <workbookView minimized="1" xWindow="-23340" yWindow="1665" windowWidth="17385" windowHeight="11325" activeTab="1" xr2:uid="{64895574-200A-4E9C-A02C-B7979F031154}"/>
  </bookViews>
  <sheets>
    <sheet name="Games" sheetId="1" r:id="rId1"/>
    <sheet name="Topla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0" i="2" l="1"/>
  <c r="BG20" i="2"/>
  <c r="BA20" i="2"/>
  <c r="AI20" i="2"/>
  <c r="L20" i="2"/>
  <c r="F20" i="2"/>
  <c r="AX3" i="2"/>
  <c r="AH3" i="2"/>
  <c r="BF3" i="2"/>
  <c r="AP3" i="2"/>
  <c r="Z3" i="2"/>
  <c r="R3" i="2"/>
  <c r="J3" i="2"/>
  <c r="C3" i="2" l="1"/>
  <c r="D3" i="2" s="1"/>
  <c r="G3" i="2" l="1"/>
  <c r="E3" i="2"/>
  <c r="H3" i="2"/>
</calcChain>
</file>

<file path=xl/sharedStrings.xml><?xml version="1.0" encoding="utf-8"?>
<sst xmlns="http://schemas.openxmlformats.org/spreadsheetml/2006/main" count="398" uniqueCount="159">
  <si>
    <t>Top</t>
  </si>
  <si>
    <t>Jungle</t>
  </si>
  <si>
    <t>Mid</t>
  </si>
  <si>
    <t>Adc</t>
  </si>
  <si>
    <t>Support</t>
  </si>
  <si>
    <t>DuDu</t>
  </si>
  <si>
    <t>Pyosik</t>
  </si>
  <si>
    <t>Clozer</t>
  </si>
  <si>
    <t>deokdam</t>
  </si>
  <si>
    <t>Life</t>
  </si>
  <si>
    <t>Peter</t>
  </si>
  <si>
    <t>Bulldog</t>
  </si>
  <si>
    <t>Berserker</t>
  </si>
  <si>
    <t>Andil</t>
  </si>
  <si>
    <t>Cuzz</t>
  </si>
  <si>
    <t>Leaper</t>
  </si>
  <si>
    <t>YoungJae</t>
  </si>
  <si>
    <t>Bull</t>
  </si>
  <si>
    <t>Quantum</t>
  </si>
  <si>
    <t>Taeyoon</t>
  </si>
  <si>
    <t>Jun</t>
  </si>
  <si>
    <t>Moham</t>
  </si>
  <si>
    <t>Kiin</t>
  </si>
  <si>
    <t>FATE</t>
  </si>
  <si>
    <t>Teddy</t>
  </si>
  <si>
    <t>Hoit</t>
  </si>
  <si>
    <t>Kingen</t>
  </si>
  <si>
    <t>Sponge</t>
  </si>
  <si>
    <t>Scout</t>
  </si>
  <si>
    <t>Diable</t>
  </si>
  <si>
    <t>Lehends</t>
  </si>
  <si>
    <t>Calix</t>
  </si>
  <si>
    <t>Jiwoo</t>
  </si>
  <si>
    <t>Fisher</t>
  </si>
  <si>
    <t>Sylvie</t>
  </si>
  <si>
    <t>vital</t>
  </si>
  <si>
    <t>Mihile</t>
  </si>
  <si>
    <t>DnDn</t>
  </si>
  <si>
    <t>Callme</t>
  </si>
  <si>
    <t>FIESTA</t>
  </si>
  <si>
    <t>Quad</t>
  </si>
  <si>
    <t>Canna</t>
  </si>
  <si>
    <t>Dread</t>
  </si>
  <si>
    <t>Bdd</t>
  </si>
  <si>
    <t>Ghost</t>
  </si>
  <si>
    <t>Effort</t>
  </si>
  <si>
    <t>Frog</t>
  </si>
  <si>
    <t>Willer</t>
  </si>
  <si>
    <t>Ucal</t>
  </si>
  <si>
    <t>Aiming</t>
  </si>
  <si>
    <t>LazyFeel</t>
  </si>
  <si>
    <t>Rich</t>
  </si>
  <si>
    <t>kyeahoo</t>
  </si>
  <si>
    <t>Juhan</t>
  </si>
  <si>
    <t>Pleata</t>
  </si>
  <si>
    <t>SeTab</t>
  </si>
  <si>
    <t>Rascal</t>
  </si>
  <si>
    <t>Paduck</t>
  </si>
  <si>
    <t>Croco</t>
  </si>
  <si>
    <t>BeryL</t>
  </si>
  <si>
    <t>Zeka</t>
  </si>
  <si>
    <t>Deft</t>
  </si>
  <si>
    <t>Clear</t>
  </si>
  <si>
    <t>Raptor</t>
  </si>
  <si>
    <t>VicLa</t>
  </si>
  <si>
    <t>Kellin</t>
  </si>
  <si>
    <t>Daystar</t>
  </si>
  <si>
    <t>Hena</t>
  </si>
  <si>
    <t>Duro</t>
  </si>
  <si>
    <t>Execute</t>
  </si>
  <si>
    <t>Burdol</t>
  </si>
  <si>
    <t>Kael</t>
  </si>
  <si>
    <t>Envyy</t>
  </si>
  <si>
    <t>Dove</t>
  </si>
  <si>
    <t>Prince</t>
  </si>
  <si>
    <t>Ice</t>
  </si>
  <si>
    <t>HamBak</t>
  </si>
  <si>
    <t>Casting</t>
  </si>
  <si>
    <t>Roamer</t>
  </si>
  <si>
    <t>Namgung</t>
  </si>
  <si>
    <t>Loki</t>
  </si>
  <si>
    <t>Morgan</t>
  </si>
  <si>
    <t>Pollu</t>
  </si>
  <si>
    <t>Hype</t>
  </si>
  <si>
    <t>Ellim</t>
  </si>
  <si>
    <t>Karis</t>
  </si>
  <si>
    <t>UmTi</t>
  </si>
  <si>
    <t>Lava</t>
  </si>
  <si>
    <t>Delight</t>
  </si>
  <si>
    <t>Siwoo</t>
  </si>
  <si>
    <t>Lucid</t>
  </si>
  <si>
    <t>ShowMaker</t>
  </si>
  <si>
    <t>Smash</t>
  </si>
  <si>
    <t>Career</t>
  </si>
  <si>
    <t>Canyon</t>
  </si>
  <si>
    <t>Nuguri</t>
  </si>
  <si>
    <t>PerfecT</t>
  </si>
  <si>
    <t>FenRir</t>
  </si>
  <si>
    <t>Way</t>
  </si>
  <si>
    <t>Aria</t>
  </si>
  <si>
    <t>Chovy</t>
  </si>
  <si>
    <t>Ruler</t>
  </si>
  <si>
    <t>Peyz</t>
  </si>
  <si>
    <t>Doran</t>
  </si>
  <si>
    <t>Peanut</t>
  </si>
  <si>
    <t>Oner</t>
  </si>
  <si>
    <t>Faker</t>
  </si>
  <si>
    <t>Keria</t>
  </si>
  <si>
    <t>Gumayusi</t>
  </si>
  <si>
    <t>Zeus</t>
  </si>
  <si>
    <t>Poby</t>
  </si>
  <si>
    <t>Kanavi</t>
  </si>
  <si>
    <t>Viper</t>
  </si>
  <si>
    <t>Grizzly</t>
  </si>
  <si>
    <t>Clid</t>
  </si>
  <si>
    <t>OnFleek</t>
  </si>
  <si>
    <t>SamD</t>
  </si>
  <si>
    <t>Vsta</t>
  </si>
  <si>
    <t>Games</t>
  </si>
  <si>
    <t>Status</t>
  </si>
  <si>
    <t>LPL</t>
  </si>
  <si>
    <t>LEC</t>
  </si>
  <si>
    <t>LCK</t>
  </si>
  <si>
    <t>Chall</t>
  </si>
  <si>
    <t>retired</t>
  </si>
  <si>
    <t>LCS</t>
  </si>
  <si>
    <t>banned</t>
  </si>
  <si>
    <t>LJL</t>
  </si>
  <si>
    <t>GIDEON</t>
  </si>
  <si>
    <t>Sharvel</t>
  </si>
  <si>
    <t>CBLOL</t>
  </si>
  <si>
    <t>LCP</t>
  </si>
  <si>
    <t>Name</t>
  </si>
  <si>
    <t>Team</t>
  </si>
  <si>
    <t>Total</t>
  </si>
  <si>
    <t>Winrate</t>
  </si>
  <si>
    <t>RFT Score</t>
  </si>
  <si>
    <t>POG/POM</t>
  </si>
  <si>
    <t>KDA</t>
  </si>
  <si>
    <t>DPM</t>
  </si>
  <si>
    <t>Share</t>
  </si>
  <si>
    <t>HLE</t>
  </si>
  <si>
    <t>T1</t>
  </si>
  <si>
    <t>GENG</t>
  </si>
  <si>
    <t>NS</t>
  </si>
  <si>
    <t>DNS</t>
  </si>
  <si>
    <t>BFX</t>
  </si>
  <si>
    <t>KT</t>
  </si>
  <si>
    <t>DK</t>
  </si>
  <si>
    <t>DRX</t>
  </si>
  <si>
    <t>BRO</t>
  </si>
  <si>
    <t>Wins</t>
  </si>
  <si>
    <t>Losses</t>
  </si>
  <si>
    <t>Lossses</t>
  </si>
  <si>
    <t>Remove</t>
  </si>
  <si>
    <t>Score</t>
  </si>
  <si>
    <t>Calc:</t>
  </si>
  <si>
    <t>Remover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</si>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</sst>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8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1" fillId="8" borderId="0" xfId="0" applyFont="1" applyFill="1"/>
    <xf numFmtId="0" fontId="0" fillId="3" borderId="0" xfId="0" applyFill="1"/>
    <xf numFmtId="0" fontId="1" fillId="9" borderId="0" xfId="0" applyFont="1" applyFill="1"/>
    <xf numFmtId="165" fontId="0" fillId="6" borderId="0" xfId="0" applyNumberFormat="1" applyFill="1" applyAlignment="1">
      <alignment horizontal="center"/>
    </xf>
    <xf numFmtId="164" fontId="1" fillId="3" borderId="0" xfId="0" applyNumberFormat="1" applyFont="1" applyFill="1"/>
    <xf numFmtId="2" fontId="0" fillId="5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B524-C584-49D2-8101-461D2B713063}">
  <dimension ref="A1:S31"/>
  <sheetViews>
    <sheetView workbookViewId="0">
      <selection activeCell="B16" sqref="B16"/>
    </sheetView>
  </sheetViews>
  <sheetFormatPr baseColWidth="10" defaultRowHeight="15" x14ac:dyDescent="0.25"/>
  <sheetData>
    <row r="1" spans="1:19" x14ac:dyDescent="0.25">
      <c r="A1" s="2" t="s">
        <v>0</v>
      </c>
      <c r="B1" s="1" t="s">
        <v>118</v>
      </c>
      <c r="C1" s="1" t="s">
        <v>119</v>
      </c>
      <c r="E1" s="2" t="s">
        <v>1</v>
      </c>
      <c r="F1" s="1" t="s">
        <v>118</v>
      </c>
      <c r="G1" s="1" t="s">
        <v>119</v>
      </c>
      <c r="I1" s="2" t="s">
        <v>2</v>
      </c>
      <c r="J1" s="1" t="s">
        <v>118</v>
      </c>
      <c r="K1" s="1" t="s">
        <v>119</v>
      </c>
      <c r="M1" s="2" t="s">
        <v>3</v>
      </c>
      <c r="N1" s="1" t="s">
        <v>118</v>
      </c>
      <c r="O1" s="1" t="s">
        <v>119</v>
      </c>
      <c r="Q1" s="2" t="s">
        <v>4</v>
      </c>
      <c r="R1" s="1" t="s">
        <v>118</v>
      </c>
      <c r="S1" s="1" t="s">
        <v>119</v>
      </c>
    </row>
    <row r="2" spans="1:19" x14ac:dyDescent="0.25">
      <c r="A2" t="s">
        <v>109</v>
      </c>
      <c r="B2" s="1">
        <v>728</v>
      </c>
      <c r="C2" s="3" t="s">
        <v>122</v>
      </c>
      <c r="E2" t="s">
        <v>105</v>
      </c>
      <c r="F2" s="1">
        <v>749</v>
      </c>
      <c r="G2" s="3" t="s">
        <v>122</v>
      </c>
      <c r="I2" t="s">
        <v>106</v>
      </c>
      <c r="J2" s="1">
        <v>736</v>
      </c>
      <c r="K2" s="3" t="s">
        <v>122</v>
      </c>
      <c r="M2" t="s">
        <v>108</v>
      </c>
      <c r="N2" s="1">
        <v>719</v>
      </c>
      <c r="O2" s="3" t="s">
        <v>122</v>
      </c>
      <c r="Q2" t="s">
        <v>107</v>
      </c>
      <c r="R2" s="1">
        <v>754</v>
      </c>
      <c r="S2" s="3" t="s">
        <v>122</v>
      </c>
    </row>
    <row r="3" spans="1:19" x14ac:dyDescent="0.25">
      <c r="A3" t="s">
        <v>103</v>
      </c>
      <c r="B3" s="1">
        <v>657</v>
      </c>
      <c r="C3" s="3" t="s">
        <v>122</v>
      </c>
      <c r="E3" t="s">
        <v>94</v>
      </c>
      <c r="F3" s="1">
        <v>615</v>
      </c>
      <c r="G3" s="3" t="s">
        <v>122</v>
      </c>
      <c r="I3" t="s">
        <v>60</v>
      </c>
      <c r="J3" s="1">
        <v>635</v>
      </c>
      <c r="K3" s="3" t="s">
        <v>122</v>
      </c>
      <c r="M3" t="s">
        <v>49</v>
      </c>
      <c r="N3" s="1">
        <v>563</v>
      </c>
      <c r="O3" s="3" t="s">
        <v>122</v>
      </c>
      <c r="Q3" t="s">
        <v>88</v>
      </c>
      <c r="R3" s="1">
        <v>604</v>
      </c>
      <c r="S3" s="3" t="s">
        <v>122</v>
      </c>
    </row>
    <row r="4" spans="1:19" x14ac:dyDescent="0.25">
      <c r="A4" t="s">
        <v>22</v>
      </c>
      <c r="B4" s="1">
        <v>616</v>
      </c>
      <c r="C4" s="3" t="s">
        <v>122</v>
      </c>
      <c r="E4" t="s">
        <v>14</v>
      </c>
      <c r="F4" s="1">
        <v>546</v>
      </c>
      <c r="G4" s="3" t="s">
        <v>122</v>
      </c>
      <c r="I4" t="s">
        <v>100</v>
      </c>
      <c r="J4" s="1">
        <v>634</v>
      </c>
      <c r="K4" s="3" t="s">
        <v>122</v>
      </c>
      <c r="M4" t="s">
        <v>112</v>
      </c>
      <c r="N4" s="1">
        <v>429</v>
      </c>
      <c r="O4" s="1" t="s">
        <v>120</v>
      </c>
      <c r="Q4" t="s">
        <v>30</v>
      </c>
      <c r="R4" s="1">
        <v>565</v>
      </c>
      <c r="S4" s="3" t="s">
        <v>122</v>
      </c>
    </row>
    <row r="5" spans="1:19" x14ac:dyDescent="0.25">
      <c r="A5" t="s">
        <v>26</v>
      </c>
      <c r="B5" s="1">
        <v>573</v>
      </c>
      <c r="C5" s="3" t="s">
        <v>122</v>
      </c>
      <c r="E5" t="s">
        <v>104</v>
      </c>
      <c r="F5" s="1">
        <v>511</v>
      </c>
      <c r="G5" s="4" t="s">
        <v>124</v>
      </c>
      <c r="I5" t="s">
        <v>91</v>
      </c>
      <c r="J5" s="1">
        <v>596</v>
      </c>
      <c r="K5" s="3" t="s">
        <v>122</v>
      </c>
      <c r="M5" t="s">
        <v>101</v>
      </c>
      <c r="N5" s="1">
        <v>397</v>
      </c>
      <c r="O5" s="3" t="s">
        <v>122</v>
      </c>
      <c r="Q5" t="s">
        <v>65</v>
      </c>
      <c r="R5" s="1">
        <v>519</v>
      </c>
      <c r="S5" s="3" t="s">
        <v>122</v>
      </c>
    </row>
    <row r="6" spans="1:19" x14ac:dyDescent="0.25">
      <c r="A6" t="s">
        <v>5</v>
      </c>
      <c r="B6" s="1">
        <v>438</v>
      </c>
      <c r="C6" s="3" t="s">
        <v>122</v>
      </c>
      <c r="E6" t="s">
        <v>6</v>
      </c>
      <c r="F6" s="1">
        <v>381</v>
      </c>
      <c r="G6" s="3" t="s">
        <v>122</v>
      </c>
      <c r="I6" t="s">
        <v>43</v>
      </c>
      <c r="J6" s="1">
        <v>548</v>
      </c>
      <c r="K6" s="3" t="s">
        <v>122</v>
      </c>
      <c r="M6" t="s">
        <v>102</v>
      </c>
      <c r="N6" s="1">
        <v>396</v>
      </c>
      <c r="O6" s="3" t="s">
        <v>122</v>
      </c>
      <c r="Q6" t="s">
        <v>59</v>
      </c>
      <c r="R6" s="1">
        <v>459</v>
      </c>
      <c r="S6" s="4" t="s">
        <v>124</v>
      </c>
    </row>
    <row r="7" spans="1:19" x14ac:dyDescent="0.25">
      <c r="A7" t="s">
        <v>81</v>
      </c>
      <c r="B7" s="1">
        <v>359</v>
      </c>
      <c r="C7" s="1" t="s">
        <v>125</v>
      </c>
      <c r="E7" t="s">
        <v>90</v>
      </c>
      <c r="F7" s="1">
        <v>373</v>
      </c>
      <c r="G7" s="3" t="s">
        <v>122</v>
      </c>
      <c r="I7" t="s">
        <v>7</v>
      </c>
      <c r="J7" s="1">
        <v>466</v>
      </c>
      <c r="K7" s="3" t="s">
        <v>122</v>
      </c>
      <c r="M7" t="s">
        <v>24</v>
      </c>
      <c r="N7" s="1">
        <v>368</v>
      </c>
      <c r="O7" s="3" t="s">
        <v>122</v>
      </c>
      <c r="Q7" t="s">
        <v>10</v>
      </c>
      <c r="R7" s="1">
        <v>324</v>
      </c>
      <c r="S7" s="3" t="s">
        <v>122</v>
      </c>
    </row>
    <row r="8" spans="1:19" x14ac:dyDescent="0.25">
      <c r="A8" t="s">
        <v>62</v>
      </c>
      <c r="B8" s="1">
        <v>326</v>
      </c>
      <c r="C8" s="3" t="s">
        <v>122</v>
      </c>
      <c r="E8" t="s">
        <v>63</v>
      </c>
      <c r="F8" s="1">
        <v>280</v>
      </c>
      <c r="G8" s="3" t="s">
        <v>122</v>
      </c>
      <c r="I8" t="s">
        <v>64</v>
      </c>
      <c r="J8" s="1">
        <v>269</v>
      </c>
      <c r="K8" s="3" t="s">
        <v>122</v>
      </c>
      <c r="M8" t="s">
        <v>8</v>
      </c>
      <c r="N8" s="1">
        <v>361</v>
      </c>
      <c r="O8" s="3" t="s">
        <v>122</v>
      </c>
      <c r="Q8" t="s">
        <v>9</v>
      </c>
      <c r="R8" s="1">
        <v>311</v>
      </c>
      <c r="S8" s="1" t="s">
        <v>123</v>
      </c>
    </row>
    <row r="9" spans="1:19" x14ac:dyDescent="0.25">
      <c r="A9" t="s">
        <v>96</v>
      </c>
      <c r="B9" s="1">
        <v>316</v>
      </c>
      <c r="C9" s="3" t="s">
        <v>122</v>
      </c>
      <c r="E9" t="s">
        <v>27</v>
      </c>
      <c r="F9" s="1">
        <v>266</v>
      </c>
      <c r="G9" s="3" t="s">
        <v>122</v>
      </c>
      <c r="I9" t="s">
        <v>11</v>
      </c>
      <c r="J9" s="1">
        <v>249</v>
      </c>
      <c r="K9" s="1" t="s">
        <v>120</v>
      </c>
      <c r="M9" t="s">
        <v>61</v>
      </c>
      <c r="N9" s="1">
        <v>335</v>
      </c>
      <c r="O9" s="4" t="s">
        <v>124</v>
      </c>
      <c r="Q9" t="s">
        <v>68</v>
      </c>
      <c r="R9" s="1">
        <v>299</v>
      </c>
      <c r="S9" s="3" t="s">
        <v>122</v>
      </c>
    </row>
    <row r="10" spans="1:19" x14ac:dyDescent="0.25">
      <c r="A10" t="s">
        <v>56</v>
      </c>
      <c r="B10" s="1">
        <v>253</v>
      </c>
      <c r="C10" s="4" t="s">
        <v>124</v>
      </c>
      <c r="E10" t="s">
        <v>128</v>
      </c>
      <c r="F10" s="1">
        <v>250</v>
      </c>
      <c r="G10" s="3" t="s">
        <v>122</v>
      </c>
      <c r="I10" t="s">
        <v>85</v>
      </c>
      <c r="J10" s="1">
        <v>225</v>
      </c>
      <c r="K10" s="1" t="s">
        <v>120</v>
      </c>
      <c r="M10" t="s">
        <v>32</v>
      </c>
      <c r="N10" s="1">
        <v>293</v>
      </c>
      <c r="O10" s="3" t="s">
        <v>122</v>
      </c>
      <c r="Q10" t="s">
        <v>13</v>
      </c>
      <c r="R10" s="1">
        <v>278</v>
      </c>
      <c r="S10" s="3" t="s">
        <v>122</v>
      </c>
    </row>
    <row r="11" spans="1:19" x14ac:dyDescent="0.25">
      <c r="A11" t="s">
        <v>89</v>
      </c>
      <c r="B11" s="1">
        <v>251</v>
      </c>
      <c r="C11" s="3" t="s">
        <v>122</v>
      </c>
      <c r="E11" t="s">
        <v>47</v>
      </c>
      <c r="F11" s="1">
        <v>236</v>
      </c>
      <c r="G11" s="3" t="s">
        <v>122</v>
      </c>
      <c r="I11" t="s">
        <v>23</v>
      </c>
      <c r="J11" s="1">
        <v>195</v>
      </c>
      <c r="K11" s="4" t="s">
        <v>124</v>
      </c>
      <c r="M11" t="s">
        <v>67</v>
      </c>
      <c r="N11" s="1">
        <v>264</v>
      </c>
      <c r="O11" s="1" t="s">
        <v>130</v>
      </c>
      <c r="Q11" t="s">
        <v>45</v>
      </c>
      <c r="R11" s="1">
        <v>224</v>
      </c>
      <c r="S11" s="3" t="s">
        <v>122</v>
      </c>
    </row>
    <row r="12" spans="1:19" x14ac:dyDescent="0.25">
      <c r="A12" t="s">
        <v>41</v>
      </c>
      <c r="B12" s="1">
        <v>214</v>
      </c>
      <c r="C12" s="1" t="s">
        <v>121</v>
      </c>
      <c r="E12" t="s">
        <v>58</v>
      </c>
      <c r="F12" s="1">
        <v>219</v>
      </c>
      <c r="G12" s="1" t="s">
        <v>120</v>
      </c>
      <c r="I12" t="s">
        <v>48</v>
      </c>
      <c r="J12" s="1">
        <v>154</v>
      </c>
      <c r="K12" s="3" t="s">
        <v>122</v>
      </c>
      <c r="M12" t="s">
        <v>29</v>
      </c>
      <c r="N12" s="1">
        <v>211</v>
      </c>
      <c r="O12" s="3" t="s">
        <v>122</v>
      </c>
      <c r="Q12" t="s">
        <v>71</v>
      </c>
      <c r="R12" s="1">
        <v>219</v>
      </c>
      <c r="S12" s="1" t="s">
        <v>120</v>
      </c>
    </row>
    <row r="13" spans="1:19" x14ac:dyDescent="0.25">
      <c r="A13" t="s">
        <v>51</v>
      </c>
      <c r="B13" s="1">
        <v>174</v>
      </c>
      <c r="C13" s="3" t="s">
        <v>122</v>
      </c>
      <c r="E13" t="s">
        <v>86</v>
      </c>
      <c r="F13" s="1">
        <v>202</v>
      </c>
      <c r="G13" s="4" t="s">
        <v>124</v>
      </c>
      <c r="I13" t="s">
        <v>28</v>
      </c>
      <c r="J13" s="1">
        <v>116</v>
      </c>
      <c r="K13" s="3" t="s">
        <v>122</v>
      </c>
      <c r="M13" t="s">
        <v>19</v>
      </c>
      <c r="N13" s="1">
        <v>188</v>
      </c>
      <c r="O13" s="3" t="s">
        <v>122</v>
      </c>
      <c r="Q13" t="s">
        <v>82</v>
      </c>
      <c r="R13" s="1">
        <v>175</v>
      </c>
      <c r="S13" s="1" t="s">
        <v>123</v>
      </c>
    </row>
    <row r="14" spans="1:19" x14ac:dyDescent="0.25">
      <c r="A14" t="s">
        <v>37</v>
      </c>
      <c r="B14" s="1">
        <v>142</v>
      </c>
      <c r="C14" s="5" t="s">
        <v>123</v>
      </c>
      <c r="E14" t="s">
        <v>111</v>
      </c>
      <c r="F14" s="1">
        <v>188</v>
      </c>
      <c r="G14" s="3" t="s">
        <v>122</v>
      </c>
      <c r="I14" t="s">
        <v>52</v>
      </c>
      <c r="J14" s="1">
        <v>106</v>
      </c>
      <c r="K14" s="1" t="s">
        <v>121</v>
      </c>
      <c r="M14" t="s">
        <v>92</v>
      </c>
      <c r="N14" s="1">
        <v>144</v>
      </c>
      <c r="O14" s="3" t="s">
        <v>122</v>
      </c>
      <c r="Q14" t="s">
        <v>93</v>
      </c>
      <c r="R14" s="1">
        <v>120</v>
      </c>
      <c r="S14" s="3" t="s">
        <v>122</v>
      </c>
    </row>
    <row r="15" spans="1:19" x14ac:dyDescent="0.25">
      <c r="A15" t="s">
        <v>70</v>
      </c>
      <c r="B15" s="1">
        <v>125</v>
      </c>
      <c r="C15" s="1" t="s">
        <v>120</v>
      </c>
      <c r="E15" t="s">
        <v>34</v>
      </c>
      <c r="F15" s="1">
        <v>175</v>
      </c>
      <c r="G15" s="1" t="s">
        <v>123</v>
      </c>
      <c r="I15" t="s">
        <v>87</v>
      </c>
      <c r="J15" s="1">
        <v>87</v>
      </c>
      <c r="K15" s="4" t="s">
        <v>124</v>
      </c>
      <c r="M15" t="s">
        <v>12</v>
      </c>
      <c r="N15" s="1">
        <v>139</v>
      </c>
      <c r="O15" s="1" t="s">
        <v>125</v>
      </c>
      <c r="Q15" t="s">
        <v>54</v>
      </c>
      <c r="R15" s="1">
        <v>106</v>
      </c>
      <c r="S15" s="1" t="s">
        <v>123</v>
      </c>
    </row>
    <row r="16" spans="1:19" x14ac:dyDescent="0.25">
      <c r="A16" t="s">
        <v>77</v>
      </c>
      <c r="B16" s="1">
        <v>115</v>
      </c>
      <c r="C16" s="3" t="s">
        <v>122</v>
      </c>
      <c r="E16" t="s">
        <v>16</v>
      </c>
      <c r="F16" s="1">
        <v>131</v>
      </c>
      <c r="G16" s="1" t="s">
        <v>130</v>
      </c>
      <c r="I16" t="s">
        <v>31</v>
      </c>
      <c r="J16" s="1">
        <v>85</v>
      </c>
      <c r="K16" s="4" t="s">
        <v>124</v>
      </c>
      <c r="M16" t="s">
        <v>72</v>
      </c>
      <c r="N16" s="1">
        <v>124</v>
      </c>
      <c r="O16" s="4" t="s">
        <v>124</v>
      </c>
      <c r="Q16" t="s">
        <v>44</v>
      </c>
      <c r="R16" s="1">
        <v>97</v>
      </c>
      <c r="S16" s="1" t="s">
        <v>123</v>
      </c>
    </row>
    <row r="17" spans="1:19" x14ac:dyDescent="0.25">
      <c r="A17" t="s">
        <v>73</v>
      </c>
      <c r="B17" s="1">
        <v>95</v>
      </c>
      <c r="C17" s="4" t="s">
        <v>124</v>
      </c>
      <c r="E17" t="s">
        <v>84</v>
      </c>
      <c r="F17" s="1">
        <v>97</v>
      </c>
      <c r="G17" s="1" t="s">
        <v>127</v>
      </c>
      <c r="I17" t="s">
        <v>39</v>
      </c>
      <c r="J17" s="1">
        <v>81</v>
      </c>
      <c r="K17" s="1" t="s">
        <v>121</v>
      </c>
      <c r="M17" t="s">
        <v>44</v>
      </c>
      <c r="N17" s="1">
        <v>97</v>
      </c>
      <c r="O17" s="1" t="s">
        <v>123</v>
      </c>
      <c r="Q17" t="s">
        <v>79</v>
      </c>
      <c r="R17" s="1">
        <v>93</v>
      </c>
      <c r="S17" s="3" t="s">
        <v>122</v>
      </c>
    </row>
    <row r="18" spans="1:19" x14ac:dyDescent="0.25">
      <c r="A18" t="s">
        <v>95</v>
      </c>
      <c r="B18" s="1">
        <v>57</v>
      </c>
      <c r="C18" s="4" t="s">
        <v>124</v>
      </c>
      <c r="E18" t="s">
        <v>42</v>
      </c>
      <c r="F18" s="1">
        <v>83</v>
      </c>
      <c r="G18" s="4" t="s">
        <v>124</v>
      </c>
      <c r="I18" t="s">
        <v>78</v>
      </c>
      <c r="J18" s="1">
        <v>76</v>
      </c>
      <c r="K18" s="3" t="s">
        <v>122</v>
      </c>
      <c r="M18" t="s">
        <v>83</v>
      </c>
      <c r="N18" s="1">
        <v>91</v>
      </c>
      <c r="O18" s="1" t="s">
        <v>121</v>
      </c>
      <c r="Q18" t="s">
        <v>117</v>
      </c>
      <c r="R18" s="1">
        <v>88</v>
      </c>
      <c r="S18" s="1" t="s">
        <v>131</v>
      </c>
    </row>
    <row r="19" spans="1:19" x14ac:dyDescent="0.25">
      <c r="A19" t="s">
        <v>46</v>
      </c>
      <c r="B19" s="1">
        <v>40</v>
      </c>
      <c r="C19" s="1" t="s">
        <v>123</v>
      </c>
      <c r="E19" t="s">
        <v>115</v>
      </c>
      <c r="F19" s="1">
        <v>81</v>
      </c>
      <c r="G19" s="4" t="s">
        <v>124</v>
      </c>
      <c r="I19" t="s">
        <v>33</v>
      </c>
      <c r="J19" s="1">
        <v>73</v>
      </c>
      <c r="K19" s="1" t="s">
        <v>131</v>
      </c>
      <c r="M19" t="s">
        <v>50</v>
      </c>
      <c r="N19" s="1">
        <v>76</v>
      </c>
      <c r="O19" s="1" t="s">
        <v>123</v>
      </c>
      <c r="Q19" t="s">
        <v>25</v>
      </c>
      <c r="R19" s="1">
        <v>74</v>
      </c>
      <c r="S19" s="4" t="s">
        <v>124</v>
      </c>
    </row>
    <row r="20" spans="1:19" x14ac:dyDescent="0.25">
      <c r="A20" t="s">
        <v>36</v>
      </c>
      <c r="B20" s="1">
        <v>29</v>
      </c>
      <c r="C20" s="1" t="s">
        <v>123</v>
      </c>
      <c r="E20" t="s">
        <v>114</v>
      </c>
      <c r="F20" s="1">
        <v>72</v>
      </c>
      <c r="G20" s="4" t="s">
        <v>126</v>
      </c>
      <c r="I20" t="s">
        <v>99</v>
      </c>
      <c r="J20" s="1">
        <v>46</v>
      </c>
      <c r="K20" s="1" t="s">
        <v>131</v>
      </c>
      <c r="M20" t="s">
        <v>116</v>
      </c>
      <c r="N20" s="1">
        <v>71</v>
      </c>
      <c r="O20" s="1" t="s">
        <v>121</v>
      </c>
      <c r="Q20" t="s">
        <v>21</v>
      </c>
      <c r="R20" s="1">
        <v>74</v>
      </c>
      <c r="S20" s="1" t="s">
        <v>120</v>
      </c>
    </row>
    <row r="21" spans="1:19" x14ac:dyDescent="0.25">
      <c r="B21" s="1"/>
      <c r="C21" s="1"/>
      <c r="E21" t="s">
        <v>53</v>
      </c>
      <c r="F21" s="1">
        <v>61</v>
      </c>
      <c r="G21" s="1" t="s">
        <v>120</v>
      </c>
      <c r="I21" t="s">
        <v>40</v>
      </c>
      <c r="J21" s="1">
        <v>46</v>
      </c>
      <c r="K21" s="1" t="s">
        <v>125</v>
      </c>
      <c r="M21" t="s">
        <v>35</v>
      </c>
      <c r="N21" s="1">
        <v>71</v>
      </c>
      <c r="O21" s="4" t="s">
        <v>124</v>
      </c>
      <c r="Q21" t="s">
        <v>20</v>
      </c>
      <c r="R21" s="1">
        <v>63</v>
      </c>
      <c r="S21" s="1" t="s">
        <v>121</v>
      </c>
    </row>
    <row r="22" spans="1:19" x14ac:dyDescent="0.25">
      <c r="B22" s="1"/>
      <c r="C22" s="1"/>
      <c r="E22" t="s">
        <v>113</v>
      </c>
      <c r="F22" s="1">
        <v>43</v>
      </c>
      <c r="G22" s="1" t="s">
        <v>123</v>
      </c>
      <c r="I22" t="s">
        <v>38</v>
      </c>
      <c r="J22" s="1">
        <v>40</v>
      </c>
      <c r="K22" s="1" t="s">
        <v>125</v>
      </c>
      <c r="M22" t="s">
        <v>17</v>
      </c>
      <c r="N22" s="1">
        <v>61</v>
      </c>
      <c r="O22" s="1" t="s">
        <v>130</v>
      </c>
      <c r="Q22" t="s">
        <v>69</v>
      </c>
      <c r="R22" s="1">
        <v>54</v>
      </c>
      <c r="S22" s="4" t="s">
        <v>124</v>
      </c>
    </row>
    <row r="23" spans="1:19" x14ac:dyDescent="0.25">
      <c r="B23" s="1"/>
      <c r="C23" s="1"/>
      <c r="E23" t="s">
        <v>76</v>
      </c>
      <c r="F23" s="1">
        <v>37</v>
      </c>
      <c r="G23" s="1" t="s">
        <v>125</v>
      </c>
      <c r="I23" t="s">
        <v>55</v>
      </c>
      <c r="J23" s="1">
        <v>35</v>
      </c>
      <c r="K23" s="1" t="s">
        <v>123</v>
      </c>
      <c r="M23" t="s">
        <v>57</v>
      </c>
      <c r="N23" s="1">
        <v>59</v>
      </c>
      <c r="O23" s="1" t="s">
        <v>121</v>
      </c>
      <c r="Q23" t="s">
        <v>18</v>
      </c>
      <c r="R23" s="1">
        <v>30</v>
      </c>
      <c r="S23" s="1" t="s">
        <v>123</v>
      </c>
    </row>
    <row r="24" spans="1:19" x14ac:dyDescent="0.25">
      <c r="E24" t="s">
        <v>129</v>
      </c>
      <c r="F24" s="1">
        <v>21</v>
      </c>
      <c r="G24" s="1" t="s">
        <v>123</v>
      </c>
      <c r="I24" t="s">
        <v>110</v>
      </c>
      <c r="J24" s="1">
        <v>23</v>
      </c>
      <c r="K24" s="1" t="s">
        <v>121</v>
      </c>
      <c r="M24" t="s">
        <v>74</v>
      </c>
      <c r="N24" s="1">
        <v>58</v>
      </c>
      <c r="O24" s="4" t="s">
        <v>124</v>
      </c>
      <c r="Q24" t="s">
        <v>98</v>
      </c>
      <c r="R24" s="1">
        <v>23</v>
      </c>
      <c r="S24" s="1" t="s">
        <v>121</v>
      </c>
    </row>
    <row r="25" spans="1:19" x14ac:dyDescent="0.25">
      <c r="I25" t="s">
        <v>66</v>
      </c>
      <c r="J25" s="1">
        <v>18</v>
      </c>
      <c r="K25" s="1" t="s">
        <v>122</v>
      </c>
      <c r="M25" t="s">
        <v>15</v>
      </c>
      <c r="N25" s="1">
        <v>44</v>
      </c>
      <c r="O25" s="4" t="s">
        <v>124</v>
      </c>
      <c r="R25" s="1"/>
      <c r="S25" s="1"/>
    </row>
    <row r="26" spans="1:19" x14ac:dyDescent="0.25">
      <c r="I26" t="s">
        <v>80</v>
      </c>
      <c r="J26" s="1">
        <v>17</v>
      </c>
      <c r="K26" s="1" t="s">
        <v>125</v>
      </c>
      <c r="M26" t="s">
        <v>75</v>
      </c>
      <c r="N26" s="1">
        <v>32</v>
      </c>
      <c r="O26" s="1" t="s">
        <v>121</v>
      </c>
      <c r="R26" s="1"/>
      <c r="S26" s="1"/>
    </row>
    <row r="27" spans="1:19" x14ac:dyDescent="0.25">
      <c r="J27" s="1"/>
      <c r="K27" s="1"/>
      <c r="M27" t="s">
        <v>97</v>
      </c>
      <c r="N27" s="1">
        <v>13</v>
      </c>
      <c r="O27" s="1" t="s">
        <v>123</v>
      </c>
      <c r="R27" s="1"/>
      <c r="S27" s="1"/>
    </row>
    <row r="28" spans="1:19" x14ac:dyDescent="0.25">
      <c r="J28" s="1"/>
      <c r="K28" s="1"/>
      <c r="N28" s="1"/>
      <c r="O28" s="1"/>
    </row>
    <row r="29" spans="1:19" x14ac:dyDescent="0.25">
      <c r="J29" s="1"/>
      <c r="K29" s="1"/>
      <c r="N29" s="1"/>
      <c r="O29" s="1"/>
    </row>
    <row r="30" spans="1:19" x14ac:dyDescent="0.25">
      <c r="N30" s="1"/>
      <c r="O30" s="1"/>
    </row>
    <row r="31" spans="1:19" x14ac:dyDescent="0.25">
      <c r="N31" s="1"/>
      <c r="O31" s="1"/>
    </row>
  </sheetData>
  <sortState xmlns:xlrd2="http://schemas.microsoft.com/office/spreadsheetml/2017/richdata2" ref="Q2:S24">
    <sortCondition descending="1" ref="R2:R24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5C0B-35AB-40CF-86E4-CEA08C118299}">
  <dimension ref="A1:BM27"/>
  <sheetViews>
    <sheetView tabSelected="1" workbookViewId="0">
      <pane xSplit="1" topLeftCell="B1" activePane="topRight" state="frozen"/>
      <selection pane="topRight" activeCell="AM14" sqref="AM14"/>
    </sheetView>
  </sheetViews>
  <sheetFormatPr baseColWidth="10" defaultRowHeight="15" x14ac:dyDescent="0.25"/>
  <sheetData>
    <row r="1" spans="1:65" x14ac:dyDescent="0.25">
      <c r="C1" t="s">
        <v>134</v>
      </c>
      <c r="J1" s="6">
        <v>2022</v>
      </c>
      <c r="K1" s="6"/>
      <c r="R1" s="6">
        <v>2023</v>
      </c>
      <c r="S1" s="6"/>
      <c r="Z1" s="6">
        <v>2024</v>
      </c>
      <c r="AH1" s="6">
        <v>2025</v>
      </c>
      <c r="AP1" s="6">
        <v>2026</v>
      </c>
      <c r="AX1" s="6">
        <v>2027</v>
      </c>
      <c r="BF1" s="6">
        <v>2028</v>
      </c>
    </row>
    <row r="2" spans="1:65" x14ac:dyDescent="0.25">
      <c r="A2" s="10" t="s">
        <v>132</v>
      </c>
      <c r="B2" s="10" t="s">
        <v>133</v>
      </c>
      <c r="C2" s="7" t="s">
        <v>118</v>
      </c>
      <c r="D2" s="7" t="s">
        <v>135</v>
      </c>
      <c r="E2" s="7" t="s">
        <v>136</v>
      </c>
      <c r="F2" s="7" t="s">
        <v>137</v>
      </c>
      <c r="G2" s="7" t="s">
        <v>138</v>
      </c>
      <c r="H2" s="7" t="s">
        <v>139</v>
      </c>
      <c r="I2" s="7" t="s">
        <v>140</v>
      </c>
      <c r="J2" s="4" t="s">
        <v>118</v>
      </c>
      <c r="K2" s="4" t="s">
        <v>151</v>
      </c>
      <c r="L2" s="4" t="s">
        <v>152</v>
      </c>
      <c r="M2" s="4" t="s">
        <v>136</v>
      </c>
      <c r="N2" s="4" t="s">
        <v>137</v>
      </c>
      <c r="O2" s="4" t="s">
        <v>138</v>
      </c>
      <c r="P2" s="4" t="s">
        <v>139</v>
      </c>
      <c r="Q2" s="4" t="s">
        <v>140</v>
      </c>
      <c r="R2" s="13" t="s">
        <v>118</v>
      </c>
      <c r="S2" s="13" t="s">
        <v>151</v>
      </c>
      <c r="T2" s="13" t="s">
        <v>152</v>
      </c>
      <c r="U2" s="13" t="s">
        <v>136</v>
      </c>
      <c r="V2" s="13" t="s">
        <v>137</v>
      </c>
      <c r="W2" s="13" t="s">
        <v>138</v>
      </c>
      <c r="X2" s="13" t="s">
        <v>139</v>
      </c>
      <c r="Y2" s="13" t="s">
        <v>140</v>
      </c>
      <c r="Z2" s="4" t="s">
        <v>118</v>
      </c>
      <c r="AA2" s="4" t="s">
        <v>151</v>
      </c>
      <c r="AB2" s="4" t="s">
        <v>152</v>
      </c>
      <c r="AC2" s="4" t="s">
        <v>136</v>
      </c>
      <c r="AD2" s="4" t="s">
        <v>137</v>
      </c>
      <c r="AE2" s="4" t="s">
        <v>138</v>
      </c>
      <c r="AF2" s="4" t="s">
        <v>139</v>
      </c>
      <c r="AG2" s="4" t="s">
        <v>140</v>
      </c>
      <c r="AH2" s="13" t="s">
        <v>118</v>
      </c>
      <c r="AI2" s="13" t="s">
        <v>151</v>
      </c>
      <c r="AJ2" s="13" t="s">
        <v>153</v>
      </c>
      <c r="AK2" s="13" t="s">
        <v>136</v>
      </c>
      <c r="AL2" s="13" t="s">
        <v>137</v>
      </c>
      <c r="AM2" s="13" t="s">
        <v>138</v>
      </c>
      <c r="AN2" s="13" t="s">
        <v>139</v>
      </c>
      <c r="AO2" s="13" t="s">
        <v>140</v>
      </c>
      <c r="AP2" s="4" t="s">
        <v>118</v>
      </c>
      <c r="AQ2" s="4" t="s">
        <v>151</v>
      </c>
      <c r="AR2" s="4" t="s">
        <v>152</v>
      </c>
      <c r="AS2" s="4" t="s">
        <v>136</v>
      </c>
      <c r="AT2" s="4" t="s">
        <v>137</v>
      </c>
      <c r="AU2" s="4" t="s">
        <v>138</v>
      </c>
      <c r="AV2" s="4" t="s">
        <v>139</v>
      </c>
      <c r="AW2" s="4" t="s">
        <v>140</v>
      </c>
      <c r="AX2" s="13" t="s">
        <v>118</v>
      </c>
      <c r="AY2" s="13" t="s">
        <v>151</v>
      </c>
      <c r="AZ2" s="13" t="s">
        <v>152</v>
      </c>
      <c r="BA2" s="13" t="s">
        <v>136</v>
      </c>
      <c r="BB2" s="13" t="s">
        <v>137</v>
      </c>
      <c r="BC2" s="13" t="s">
        <v>138</v>
      </c>
      <c r="BD2" s="13" t="s">
        <v>139</v>
      </c>
      <c r="BE2" s="13" t="s">
        <v>140</v>
      </c>
      <c r="BF2" s="4" t="s">
        <v>118</v>
      </c>
      <c r="BG2" s="4" t="s">
        <v>151</v>
      </c>
      <c r="BH2" s="4" t="s">
        <v>152</v>
      </c>
      <c r="BI2" s="4" t="s">
        <v>136</v>
      </c>
      <c r="BJ2" s="4" t="s">
        <v>137</v>
      </c>
      <c r="BK2" s="4" t="s">
        <v>138</v>
      </c>
      <c r="BL2" s="4" t="s">
        <v>139</v>
      </c>
      <c r="BM2" s="4" t="s">
        <v>140</v>
      </c>
    </row>
    <row r="3" spans="1:65" x14ac:dyDescent="0.25">
      <c r="A3" s="11" t="s">
        <v>109</v>
      </c>
      <c r="B3" s="8" t="s">
        <v>141</v>
      </c>
      <c r="C3" s="9">
        <f>J3+R3+Z3+AH3+AP3+AX3+BF3</f>
        <v>609</v>
      </c>
      <c r="D3" s="21">
        <f>(K3+S3+AA3+AI3+AQ3+AY3+BG3)/C3</f>
        <v>0.66338259441707714</v>
      </c>
      <c r="E3" s="15">
        <f>(($J$3*M3)+($R$3*U3)+($Z$3*AC3)+($AH$3*AK3)+($AP$3*AS3)+($AX$3*BA3)+($BF$3*BI3))/$C$3</f>
        <v>71.237027914614117</v>
      </c>
      <c r="F3" s="9"/>
      <c r="G3" s="15">
        <f>(($J$3*O3)+($R$3*W3)+($Z$3*AE3)+($AH$3*AM3)+($AP$3*AU3)+($AX$3*BC3)+($BF$3*BK3))/$C$3</f>
        <v>3.1691297208538587</v>
      </c>
      <c r="H3" s="16">
        <f>(($J$3*P3)+($R$3*X3)+($Z$3*AF3)+($AH$3*AN3)+($AP$3*AV3)+($AX$3*BD3)+($BF$3*BL3))/$C$3</f>
        <v>560.3497536945813</v>
      </c>
      <c r="I3" s="9"/>
      <c r="J3" s="8">
        <f>K3+L3</f>
        <v>144</v>
      </c>
      <c r="K3" s="8">
        <v>107</v>
      </c>
      <c r="L3" s="8">
        <v>37</v>
      </c>
      <c r="M3" s="23">
        <v>77.010000000000005</v>
      </c>
      <c r="N3" s="8"/>
      <c r="O3" s="14">
        <v>3.3</v>
      </c>
      <c r="P3" s="17">
        <v>553</v>
      </c>
      <c r="Q3" s="8"/>
      <c r="R3" s="9">
        <f>S3+T3</f>
        <v>152</v>
      </c>
      <c r="S3" s="9">
        <v>96</v>
      </c>
      <c r="T3" s="9">
        <v>56</v>
      </c>
      <c r="U3" s="24">
        <v>69.33</v>
      </c>
      <c r="V3" s="9"/>
      <c r="W3" s="15">
        <v>3.2</v>
      </c>
      <c r="X3" s="16">
        <v>517</v>
      </c>
      <c r="Y3" s="9"/>
      <c r="Z3" s="8">
        <f>AA3+AB3</f>
        <v>166</v>
      </c>
      <c r="AA3" s="8">
        <v>106</v>
      </c>
      <c r="AB3" s="8">
        <v>60</v>
      </c>
      <c r="AC3" s="23">
        <v>68.69</v>
      </c>
      <c r="AD3" s="8"/>
      <c r="AE3" s="14">
        <v>3</v>
      </c>
      <c r="AF3" s="17">
        <v>535</v>
      </c>
      <c r="AG3" s="8"/>
      <c r="AH3" s="9">
        <f>AI3+AJ3</f>
        <v>147</v>
      </c>
      <c r="AI3" s="9">
        <v>95</v>
      </c>
      <c r="AJ3" s="9">
        <v>52</v>
      </c>
      <c r="AK3" s="24">
        <v>70.430000000000007</v>
      </c>
      <c r="AL3" s="9"/>
      <c r="AM3" s="15">
        <v>3.2</v>
      </c>
      <c r="AN3" s="16">
        <v>641</v>
      </c>
      <c r="AO3" s="9"/>
      <c r="AP3" s="8">
        <f>AQ3+AR3</f>
        <v>0</v>
      </c>
      <c r="AQ3" s="8"/>
      <c r="AR3" s="8"/>
      <c r="AS3" s="23"/>
      <c r="AT3" s="8"/>
      <c r="AU3" s="14"/>
      <c r="AV3" s="17"/>
      <c r="AW3" s="8"/>
      <c r="AX3" s="9">
        <f>AY3+AZ3</f>
        <v>0</v>
      </c>
      <c r="AY3" s="9"/>
      <c r="AZ3" s="9"/>
      <c r="BA3" s="24"/>
      <c r="BB3" s="9"/>
      <c r="BC3" s="15"/>
      <c r="BD3" s="16"/>
      <c r="BE3" s="9"/>
      <c r="BF3" s="8">
        <f>BG3+BH3</f>
        <v>0</v>
      </c>
      <c r="BG3" s="8"/>
      <c r="BH3" s="8"/>
      <c r="BI3" s="23"/>
      <c r="BJ3" s="8"/>
      <c r="BK3" s="14"/>
      <c r="BL3" s="17"/>
      <c r="BM3" s="8"/>
    </row>
    <row r="4" spans="1:65" x14ac:dyDescent="0.25">
      <c r="A4" s="12" t="s">
        <v>103</v>
      </c>
      <c r="B4" s="9" t="s">
        <v>142</v>
      </c>
      <c r="C4" s="8"/>
      <c r="D4" s="8"/>
      <c r="E4" s="8"/>
      <c r="F4" s="8"/>
      <c r="G4" s="8"/>
      <c r="H4" s="8"/>
      <c r="I4" s="8"/>
      <c r="J4" s="9"/>
      <c r="K4" s="9"/>
      <c r="L4" s="9"/>
      <c r="M4" s="9"/>
      <c r="N4" s="9"/>
      <c r="O4" s="9"/>
      <c r="P4" s="9"/>
      <c r="Q4" s="9"/>
      <c r="R4" s="8"/>
      <c r="S4" s="8"/>
      <c r="T4" s="8"/>
      <c r="U4" s="8"/>
      <c r="V4" s="8"/>
      <c r="W4" s="8"/>
      <c r="X4" s="8"/>
      <c r="Y4" s="8"/>
      <c r="Z4" s="9"/>
      <c r="AA4" s="9"/>
      <c r="AB4" s="9"/>
      <c r="AC4" s="9"/>
      <c r="AD4" s="9"/>
      <c r="AE4" s="9"/>
      <c r="AF4" s="9"/>
      <c r="AG4" s="9"/>
      <c r="AH4" s="8"/>
      <c r="AI4" s="8"/>
      <c r="AJ4" s="8"/>
      <c r="AK4" s="8"/>
      <c r="AL4" s="8"/>
      <c r="AM4" s="8"/>
      <c r="AN4" s="8"/>
      <c r="AO4" s="8"/>
      <c r="AP4" s="9"/>
      <c r="AQ4" s="9"/>
      <c r="AR4" s="9"/>
      <c r="AS4" s="9"/>
      <c r="AT4" s="9"/>
      <c r="AU4" s="9"/>
      <c r="AV4" s="9"/>
      <c r="AW4" s="9"/>
      <c r="AX4" s="8"/>
      <c r="AY4" s="8"/>
      <c r="AZ4" s="8"/>
      <c r="BA4" s="8"/>
      <c r="BB4" s="8"/>
      <c r="BC4" s="8"/>
      <c r="BD4" s="8"/>
      <c r="BE4" s="8"/>
      <c r="BF4" s="9"/>
      <c r="BG4" s="9"/>
      <c r="BH4" s="9"/>
      <c r="BI4" s="9"/>
      <c r="BJ4" s="9"/>
      <c r="BK4" s="9"/>
      <c r="BL4" s="9"/>
      <c r="BM4" s="9"/>
    </row>
    <row r="5" spans="1:65" x14ac:dyDescent="0.25">
      <c r="A5" s="11" t="s">
        <v>22</v>
      </c>
      <c r="B5" s="8" t="s">
        <v>143</v>
      </c>
      <c r="C5" s="9"/>
      <c r="D5" s="9"/>
      <c r="E5" s="9"/>
      <c r="F5" s="9"/>
      <c r="G5" s="9"/>
      <c r="H5" s="9"/>
      <c r="I5" s="9"/>
      <c r="J5" s="8"/>
      <c r="K5" s="8"/>
      <c r="L5" s="8"/>
      <c r="M5" s="8"/>
      <c r="N5" s="8"/>
      <c r="O5" s="8"/>
      <c r="P5" s="8"/>
      <c r="Q5" s="8"/>
      <c r="R5" s="9"/>
      <c r="S5" s="9"/>
      <c r="T5" s="9"/>
      <c r="U5" s="9"/>
      <c r="V5" s="9"/>
      <c r="W5" s="9"/>
      <c r="X5" s="9"/>
      <c r="Y5" s="9"/>
      <c r="Z5" s="8"/>
      <c r="AA5" s="8"/>
      <c r="AB5" s="8"/>
      <c r="AC5" s="8"/>
      <c r="AD5" s="8"/>
      <c r="AE5" s="8"/>
      <c r="AF5" s="8"/>
      <c r="AG5" s="8"/>
      <c r="AH5" s="9"/>
      <c r="AI5" s="9"/>
      <c r="AJ5" s="9"/>
      <c r="AK5" s="9"/>
      <c r="AL5" s="9"/>
      <c r="AM5" s="9"/>
      <c r="AN5" s="9"/>
      <c r="AO5" s="9"/>
      <c r="AP5" s="8"/>
      <c r="AQ5" s="8"/>
      <c r="AR5" s="8"/>
      <c r="AS5" s="8"/>
      <c r="AT5" s="8"/>
      <c r="AU5" s="8"/>
      <c r="AV5" s="8"/>
      <c r="AW5" s="8"/>
      <c r="AX5" s="9"/>
      <c r="AY5" s="9"/>
      <c r="AZ5" s="9"/>
      <c r="BA5" s="9"/>
      <c r="BB5" s="9"/>
      <c r="BC5" s="9"/>
      <c r="BD5" s="9"/>
      <c r="BE5" s="9"/>
      <c r="BF5" s="8"/>
      <c r="BG5" s="8"/>
      <c r="BH5" s="8"/>
      <c r="BI5" s="8"/>
      <c r="BJ5" s="8"/>
      <c r="BK5" s="8"/>
      <c r="BL5" s="8"/>
      <c r="BM5" s="8"/>
    </row>
    <row r="6" spans="1:65" x14ac:dyDescent="0.25">
      <c r="A6" s="12" t="s">
        <v>26</v>
      </c>
      <c r="B6" s="9" t="s">
        <v>144</v>
      </c>
      <c r="C6" s="8"/>
      <c r="D6" s="8"/>
      <c r="E6" s="8"/>
      <c r="F6" s="8"/>
      <c r="G6" s="8"/>
      <c r="H6" s="8"/>
      <c r="I6" s="8"/>
      <c r="J6" s="9"/>
      <c r="K6" s="9"/>
      <c r="L6" s="9"/>
      <c r="M6" s="9"/>
      <c r="N6" s="9"/>
      <c r="O6" s="9"/>
      <c r="P6" s="9"/>
      <c r="Q6" s="9"/>
      <c r="R6" s="8"/>
      <c r="S6" s="8"/>
      <c r="T6" s="8"/>
      <c r="U6" s="8"/>
      <c r="V6" s="8"/>
      <c r="W6" s="8"/>
      <c r="X6" s="8"/>
      <c r="Y6" s="8"/>
      <c r="Z6" s="9"/>
      <c r="AA6" s="9"/>
      <c r="AB6" s="9"/>
      <c r="AC6" s="9"/>
      <c r="AD6" s="9"/>
      <c r="AE6" s="9"/>
      <c r="AF6" s="9"/>
      <c r="AG6" s="9"/>
      <c r="AH6" s="8"/>
      <c r="AI6" s="8"/>
      <c r="AJ6" s="8"/>
      <c r="AK6" s="8"/>
      <c r="AL6" s="8"/>
      <c r="AM6" s="8"/>
      <c r="AN6" s="8"/>
      <c r="AO6" s="8"/>
      <c r="AP6" s="9"/>
      <c r="AQ6" s="9"/>
      <c r="AR6" s="9"/>
      <c r="AS6" s="9"/>
      <c r="AT6" s="9"/>
      <c r="AU6" s="9"/>
      <c r="AV6" s="9"/>
      <c r="AW6" s="9"/>
      <c r="AX6" s="8"/>
      <c r="AY6" s="8"/>
      <c r="AZ6" s="8"/>
      <c r="BA6" s="8"/>
      <c r="BB6" s="8"/>
      <c r="BC6" s="8"/>
      <c r="BD6" s="8"/>
      <c r="BE6" s="8"/>
      <c r="BF6" s="9"/>
      <c r="BG6" s="9"/>
      <c r="BH6" s="9"/>
      <c r="BI6" s="9"/>
      <c r="BJ6" s="9"/>
      <c r="BK6" s="9"/>
      <c r="BL6" s="9"/>
      <c r="BM6" s="9"/>
    </row>
    <row r="7" spans="1:65" x14ac:dyDescent="0.25">
      <c r="A7" s="11" t="s">
        <v>5</v>
      </c>
      <c r="B7" s="8" t="s">
        <v>145</v>
      </c>
      <c r="C7" s="9"/>
      <c r="D7" s="9"/>
      <c r="E7" s="9"/>
      <c r="F7" s="9"/>
      <c r="G7" s="9"/>
      <c r="H7" s="9"/>
      <c r="I7" s="9"/>
      <c r="J7" s="8"/>
      <c r="K7" s="8"/>
      <c r="L7" s="8"/>
      <c r="M7" s="8"/>
      <c r="N7" s="8"/>
      <c r="O7" s="8"/>
      <c r="P7" s="8"/>
      <c r="Q7" s="8"/>
      <c r="R7" s="9"/>
      <c r="S7" s="9"/>
      <c r="T7" s="9"/>
      <c r="U7" s="9"/>
      <c r="V7" s="9"/>
      <c r="W7" s="9"/>
      <c r="X7" s="9"/>
      <c r="Y7" s="9"/>
      <c r="Z7" s="8"/>
      <c r="AA7" s="8"/>
      <c r="AB7" s="8"/>
      <c r="AC7" s="8"/>
      <c r="AD7" s="8"/>
      <c r="AE7" s="8"/>
      <c r="AF7" s="8"/>
      <c r="AG7" s="8"/>
      <c r="AH7" s="9"/>
      <c r="AI7" s="9"/>
      <c r="AJ7" s="9"/>
      <c r="AK7" s="9"/>
      <c r="AL7" s="9"/>
      <c r="AM7" s="9"/>
      <c r="AN7" s="9"/>
      <c r="AO7" s="9"/>
      <c r="AP7" s="8"/>
      <c r="AQ7" s="8"/>
      <c r="AR7" s="8"/>
      <c r="AS7" s="8"/>
      <c r="AT7" s="8"/>
      <c r="AU7" s="8"/>
      <c r="AV7" s="8"/>
      <c r="AW7" s="8"/>
      <c r="AX7" s="9"/>
      <c r="AY7" s="9"/>
      <c r="AZ7" s="9"/>
      <c r="BA7" s="9"/>
      <c r="BB7" s="9"/>
      <c r="BC7" s="9"/>
      <c r="BD7" s="9"/>
      <c r="BE7" s="9"/>
      <c r="BF7" s="8"/>
      <c r="BG7" s="8"/>
      <c r="BH7" s="8"/>
      <c r="BI7" s="8"/>
      <c r="BJ7" s="8"/>
      <c r="BK7" s="8"/>
      <c r="BL7" s="8"/>
      <c r="BM7" s="8"/>
    </row>
    <row r="8" spans="1:65" x14ac:dyDescent="0.25">
      <c r="A8" s="12" t="s">
        <v>62</v>
      </c>
      <c r="B8" s="9" t="s">
        <v>146</v>
      </c>
      <c r="C8" s="8"/>
      <c r="D8" s="8"/>
      <c r="E8" s="8"/>
      <c r="F8" s="8"/>
      <c r="G8" s="8"/>
      <c r="H8" s="8"/>
      <c r="I8" s="8"/>
      <c r="J8" s="9"/>
      <c r="K8" s="9"/>
      <c r="L8" s="9"/>
      <c r="M8" s="9"/>
      <c r="N8" s="9"/>
      <c r="O8" s="9"/>
      <c r="P8" s="9"/>
      <c r="Q8" s="9"/>
      <c r="R8" s="8"/>
      <c r="S8" s="8"/>
      <c r="T8" s="8"/>
      <c r="U8" s="8"/>
      <c r="V8" s="8"/>
      <c r="W8" s="8"/>
      <c r="X8" s="8"/>
      <c r="Y8" s="8"/>
      <c r="Z8" s="9"/>
      <c r="AA8" s="9"/>
      <c r="AB8" s="9"/>
      <c r="AC8" s="9"/>
      <c r="AD8" s="9"/>
      <c r="AE8" s="9"/>
      <c r="AF8" s="9"/>
      <c r="AG8" s="9"/>
      <c r="AH8" s="8"/>
      <c r="AI8" s="8"/>
      <c r="AJ8" s="8"/>
      <c r="AK8" s="8"/>
      <c r="AL8" s="8"/>
      <c r="AM8" s="8"/>
      <c r="AN8" s="8"/>
      <c r="AO8" s="8"/>
      <c r="AP8" s="9"/>
      <c r="AQ8" s="9"/>
      <c r="AR8" s="9"/>
      <c r="AS8" s="9"/>
      <c r="AT8" s="9"/>
      <c r="AU8" s="9"/>
      <c r="AV8" s="9"/>
      <c r="AW8" s="9"/>
      <c r="AX8" s="8"/>
      <c r="AY8" s="8"/>
      <c r="AZ8" s="8"/>
      <c r="BA8" s="8"/>
      <c r="BB8" s="8"/>
      <c r="BC8" s="8"/>
      <c r="BD8" s="8"/>
      <c r="BE8" s="8"/>
      <c r="BF8" s="9"/>
      <c r="BG8" s="9"/>
      <c r="BH8" s="9"/>
      <c r="BI8" s="9"/>
      <c r="BJ8" s="9"/>
      <c r="BK8" s="9"/>
      <c r="BL8" s="9"/>
      <c r="BM8" s="9"/>
    </row>
    <row r="9" spans="1:65" x14ac:dyDescent="0.25">
      <c r="A9" s="11" t="s">
        <v>96</v>
      </c>
      <c r="B9" s="8" t="s">
        <v>147</v>
      </c>
      <c r="C9" s="9"/>
      <c r="D9" s="9"/>
      <c r="E9" s="9"/>
      <c r="F9" s="9"/>
      <c r="G9" s="9"/>
      <c r="H9" s="9"/>
      <c r="I9" s="9"/>
      <c r="J9" s="8"/>
      <c r="K9" s="8"/>
      <c r="L9" s="8"/>
      <c r="M9" s="8"/>
      <c r="N9" s="8"/>
      <c r="O9" s="8"/>
      <c r="P9" s="8"/>
      <c r="Q9" s="8"/>
      <c r="R9" s="9"/>
      <c r="S9" s="9"/>
      <c r="T9" s="9"/>
      <c r="U9" s="9"/>
      <c r="V9" s="9"/>
      <c r="W9" s="9"/>
      <c r="X9" s="9"/>
      <c r="Y9" s="9"/>
      <c r="Z9" s="8"/>
      <c r="AA9" s="8"/>
      <c r="AB9" s="8"/>
      <c r="AC9" s="8"/>
      <c r="AD9" s="8"/>
      <c r="AE9" s="8"/>
      <c r="AF9" s="8"/>
      <c r="AG9" s="8"/>
      <c r="AH9" s="9"/>
      <c r="AI9" s="9"/>
      <c r="AJ9" s="9"/>
      <c r="AK9" s="9"/>
      <c r="AL9" s="9"/>
      <c r="AM9" s="9"/>
      <c r="AN9" s="9"/>
      <c r="AO9" s="9"/>
      <c r="AP9" s="8"/>
      <c r="AQ9" s="8"/>
      <c r="AR9" s="8"/>
      <c r="AS9" s="8"/>
      <c r="AT9" s="8"/>
      <c r="AU9" s="8"/>
      <c r="AV9" s="8"/>
      <c r="AW9" s="8"/>
      <c r="AX9" s="9"/>
      <c r="AY9" s="9"/>
      <c r="AZ9" s="9"/>
      <c r="BA9" s="9"/>
      <c r="BB9" s="9"/>
      <c r="BC9" s="9"/>
      <c r="BD9" s="9"/>
      <c r="BE9" s="9"/>
      <c r="BF9" s="8"/>
      <c r="BG9" s="8"/>
      <c r="BH9" s="8"/>
      <c r="BI9" s="8"/>
      <c r="BJ9" s="8"/>
      <c r="BK9" s="8"/>
      <c r="BL9" s="8"/>
      <c r="BM9" s="8"/>
    </row>
    <row r="10" spans="1:65" x14ac:dyDescent="0.25">
      <c r="A10" s="12" t="s">
        <v>89</v>
      </c>
      <c r="B10" s="9" t="s">
        <v>148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8"/>
      <c r="S10" s="8"/>
      <c r="T10" s="8"/>
      <c r="U10" s="8"/>
      <c r="V10" s="8"/>
      <c r="W10" s="8"/>
      <c r="X10" s="8"/>
      <c r="Y10" s="8"/>
      <c r="Z10" s="9"/>
      <c r="AA10" s="9"/>
      <c r="AB10" s="9"/>
      <c r="AC10" s="9"/>
      <c r="AD10" s="9"/>
      <c r="AE10" s="9"/>
      <c r="AF10" s="9"/>
      <c r="AG10" s="9"/>
      <c r="AH10" s="8"/>
      <c r="AI10" s="8"/>
      <c r="AJ10" s="8"/>
      <c r="AK10" s="8"/>
      <c r="AL10" s="8"/>
      <c r="AM10" s="8"/>
      <c r="AN10" s="8"/>
      <c r="AO10" s="8"/>
      <c r="AP10" s="9"/>
      <c r="AQ10" s="9"/>
      <c r="AR10" s="9"/>
      <c r="AS10" s="9"/>
      <c r="AT10" s="9"/>
      <c r="AU10" s="9"/>
      <c r="AV10" s="9"/>
      <c r="AW10" s="9"/>
      <c r="AX10" s="8"/>
      <c r="AY10" s="8"/>
      <c r="AZ10" s="8"/>
      <c r="BA10" s="8"/>
      <c r="BB10" s="8"/>
      <c r="BC10" s="8"/>
      <c r="BD10" s="8"/>
      <c r="BE10" s="8"/>
      <c r="BF10" s="9"/>
      <c r="BG10" s="9"/>
      <c r="BH10" s="9"/>
      <c r="BI10" s="9"/>
      <c r="BJ10" s="9"/>
      <c r="BK10" s="9"/>
      <c r="BL10" s="9"/>
      <c r="BM10" s="9"/>
    </row>
    <row r="11" spans="1:65" x14ac:dyDescent="0.25">
      <c r="A11" s="11" t="s">
        <v>51</v>
      </c>
      <c r="B11" s="8" t="s">
        <v>149</v>
      </c>
      <c r="C11" s="9"/>
      <c r="D11" s="9"/>
      <c r="E11" s="9"/>
      <c r="F11" s="9"/>
      <c r="G11" s="9"/>
      <c r="H11" s="9"/>
      <c r="I11" s="9"/>
      <c r="J11" s="8"/>
      <c r="K11" s="8"/>
      <c r="L11" s="8"/>
      <c r="M11" s="8"/>
      <c r="N11" s="8"/>
      <c r="O11" s="8"/>
      <c r="P11" s="8"/>
      <c r="Q11" s="8"/>
      <c r="R11" s="9"/>
      <c r="S11" s="9"/>
      <c r="T11" s="9"/>
      <c r="U11" s="9"/>
      <c r="V11" s="9"/>
      <c r="W11" s="9"/>
      <c r="X11" s="9"/>
      <c r="Y11" s="9"/>
      <c r="Z11" s="8"/>
      <c r="AA11" s="8"/>
      <c r="AB11" s="8"/>
      <c r="AC11" s="8"/>
      <c r="AD11" s="8"/>
      <c r="AE11" s="8"/>
      <c r="AF11" s="8"/>
      <c r="AG11" s="8"/>
      <c r="AH11" s="9"/>
      <c r="AI11" s="9"/>
      <c r="AJ11" s="9"/>
      <c r="AK11" s="9"/>
      <c r="AL11" s="9"/>
      <c r="AM11" s="9"/>
      <c r="AN11" s="9"/>
      <c r="AO11" s="9"/>
      <c r="AP11" s="8"/>
      <c r="AQ11" s="8"/>
      <c r="AR11" s="8"/>
      <c r="AS11" s="8"/>
      <c r="AT11" s="8"/>
      <c r="AU11" s="8"/>
      <c r="AV11" s="8"/>
      <c r="AW11" s="8"/>
      <c r="AX11" s="9"/>
      <c r="AY11" s="9"/>
      <c r="AZ11" s="9"/>
      <c r="BA11" s="9"/>
      <c r="BB11" s="9"/>
      <c r="BC11" s="9"/>
      <c r="BD11" s="9"/>
      <c r="BE11" s="9"/>
      <c r="BF11" s="8"/>
      <c r="BG11" s="8"/>
      <c r="BH11" s="8"/>
      <c r="BI11" s="8"/>
      <c r="BJ11" s="8"/>
      <c r="BK11" s="8"/>
      <c r="BL11" s="8"/>
      <c r="BM11" s="8"/>
    </row>
    <row r="12" spans="1:65" x14ac:dyDescent="0.25">
      <c r="A12" s="12" t="s">
        <v>77</v>
      </c>
      <c r="B12" s="9" t="s">
        <v>150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8"/>
      <c r="S12" s="8"/>
      <c r="T12" s="8"/>
      <c r="U12" s="8"/>
      <c r="V12" s="8"/>
      <c r="W12" s="8"/>
      <c r="X12" s="8"/>
      <c r="Y12" s="8"/>
      <c r="Z12" s="9"/>
      <c r="AA12" s="9"/>
      <c r="AB12" s="9"/>
      <c r="AC12" s="9"/>
      <c r="AD12" s="9"/>
      <c r="AE12" s="9"/>
      <c r="AF12" s="9"/>
      <c r="AG12" s="9"/>
      <c r="AH12" s="8"/>
      <c r="AI12" s="8"/>
      <c r="AJ12" s="8"/>
      <c r="AK12" s="8"/>
      <c r="AL12" s="8"/>
      <c r="AM12" s="8"/>
      <c r="AN12" s="8"/>
      <c r="AO12" s="8"/>
      <c r="AP12" s="9"/>
      <c r="AQ12" s="9"/>
      <c r="AR12" s="9"/>
      <c r="AS12" s="9"/>
      <c r="AT12" s="9"/>
      <c r="AU12" s="9"/>
      <c r="AV12" s="9"/>
      <c r="AW12" s="9"/>
      <c r="AX12" s="8"/>
      <c r="AY12" s="8"/>
      <c r="AZ12" s="8"/>
      <c r="BA12" s="8"/>
      <c r="BB12" s="8"/>
      <c r="BC12" s="8"/>
      <c r="BD12" s="8"/>
      <c r="BE12" s="8"/>
      <c r="BF12" s="9"/>
      <c r="BG12" s="9"/>
      <c r="BH12" s="9"/>
      <c r="BI12" s="9"/>
      <c r="BJ12" s="9"/>
      <c r="BK12" s="9"/>
      <c r="BL12" s="9"/>
      <c r="BM12" s="9"/>
    </row>
    <row r="13" spans="1:65" x14ac:dyDescent="0.25">
      <c r="A13" s="11" t="s">
        <v>81</v>
      </c>
      <c r="B13" s="11"/>
      <c r="C13" s="9"/>
      <c r="D13" s="9"/>
      <c r="E13" s="9"/>
      <c r="F13" s="9"/>
      <c r="G13" s="9"/>
      <c r="H13" s="9"/>
      <c r="I13" s="9"/>
      <c r="J13" s="8"/>
      <c r="K13" s="8"/>
      <c r="L13" s="8"/>
      <c r="M13" s="8"/>
      <c r="N13" s="8"/>
      <c r="O13" s="8"/>
      <c r="P13" s="8"/>
      <c r="Q13" s="8"/>
      <c r="R13" s="9"/>
      <c r="S13" s="9"/>
      <c r="T13" s="9"/>
      <c r="U13" s="9"/>
      <c r="V13" s="9"/>
      <c r="W13" s="9"/>
      <c r="X13" s="9"/>
      <c r="Y13" s="9"/>
      <c r="Z13" s="8"/>
      <c r="AA13" s="8"/>
      <c r="AB13" s="8"/>
      <c r="AC13" s="8"/>
      <c r="AD13" s="8"/>
      <c r="AE13" s="8"/>
      <c r="AF13" s="8"/>
      <c r="AG13" s="8"/>
      <c r="AH13" s="9"/>
      <c r="AI13" s="9"/>
      <c r="AJ13" s="9"/>
      <c r="AK13" s="9"/>
      <c r="AL13" s="9"/>
      <c r="AM13" s="9"/>
      <c r="AN13" s="9"/>
      <c r="AO13" s="9"/>
      <c r="AP13" s="8"/>
      <c r="AQ13" s="8"/>
      <c r="AR13" s="8"/>
      <c r="AS13" s="8"/>
      <c r="AT13" s="8"/>
      <c r="AU13" s="8"/>
      <c r="AV13" s="8"/>
      <c r="AW13" s="8"/>
      <c r="AX13" s="9"/>
      <c r="AY13" s="9"/>
      <c r="AZ13" s="9"/>
      <c r="BA13" s="9"/>
      <c r="BB13" s="9"/>
      <c r="BC13" s="9"/>
      <c r="BD13" s="9"/>
      <c r="BE13" s="9"/>
      <c r="BF13" s="8"/>
      <c r="BG13" s="8"/>
      <c r="BH13" s="8"/>
      <c r="BI13" s="8"/>
      <c r="BJ13" s="8"/>
      <c r="BK13" s="8"/>
      <c r="BL13" s="8"/>
      <c r="BM13" s="8"/>
    </row>
    <row r="14" spans="1:65" x14ac:dyDescent="0.25">
      <c r="A14" s="12" t="s">
        <v>56</v>
      </c>
      <c r="B14" s="12"/>
      <c r="C14" s="8"/>
      <c r="D14" s="8"/>
      <c r="E14" s="8"/>
      <c r="F14" s="8"/>
      <c r="G14" s="8"/>
      <c r="H14" s="8"/>
      <c r="I14" s="8"/>
      <c r="J14" s="9"/>
      <c r="K14" s="9"/>
      <c r="L14" s="9"/>
      <c r="M14" s="9"/>
      <c r="N14" s="9"/>
      <c r="O14" s="9"/>
      <c r="P14" s="9"/>
      <c r="Q14" s="9"/>
      <c r="R14" s="8"/>
      <c r="S14" s="8"/>
      <c r="T14" s="8"/>
      <c r="U14" s="8"/>
      <c r="V14" s="8"/>
      <c r="W14" s="8"/>
      <c r="X14" s="8"/>
      <c r="Y14" s="8"/>
      <c r="Z14" s="9"/>
      <c r="AA14" s="9"/>
      <c r="AB14" s="9"/>
      <c r="AC14" s="9"/>
      <c r="AD14" s="9"/>
      <c r="AE14" s="9"/>
      <c r="AF14" s="9"/>
      <c r="AG14" s="9"/>
      <c r="AH14" s="8"/>
      <c r="AI14" s="8"/>
      <c r="AJ14" s="8"/>
      <c r="AK14" s="8"/>
      <c r="AL14" s="8"/>
      <c r="AM14" s="8"/>
      <c r="AN14" s="8"/>
      <c r="AO14" s="8"/>
      <c r="AP14" s="9"/>
      <c r="AQ14" s="9"/>
      <c r="AR14" s="9"/>
      <c r="AS14" s="9"/>
      <c r="AT14" s="9"/>
      <c r="AU14" s="9"/>
      <c r="AV14" s="9"/>
      <c r="AW14" s="9"/>
      <c r="AX14" s="8"/>
      <c r="AY14" s="8"/>
      <c r="AZ14" s="8"/>
      <c r="BA14" s="8"/>
      <c r="BB14" s="8"/>
      <c r="BC14" s="8"/>
      <c r="BD14" s="8"/>
      <c r="BE14" s="8"/>
      <c r="BF14" s="9"/>
      <c r="BG14" s="9"/>
      <c r="BH14" s="9"/>
      <c r="BI14" s="9"/>
      <c r="BJ14" s="9"/>
      <c r="BK14" s="9"/>
      <c r="BL14" s="9"/>
      <c r="BM14" s="9"/>
    </row>
    <row r="15" spans="1:65" x14ac:dyDescent="0.25">
      <c r="A15" s="11" t="s">
        <v>41</v>
      </c>
      <c r="B15" s="11"/>
      <c r="C15" s="9"/>
      <c r="D15" s="9"/>
      <c r="E15" s="9"/>
      <c r="F15" s="9"/>
      <c r="G15" s="9"/>
      <c r="H15" s="9"/>
      <c r="I15" s="9"/>
      <c r="J15" s="8"/>
      <c r="K15" s="8"/>
      <c r="L15" s="8"/>
      <c r="M15" s="8"/>
      <c r="N15" s="8"/>
      <c r="O15" s="8"/>
      <c r="P15" s="8"/>
      <c r="Q15" s="8"/>
      <c r="R15" s="9"/>
      <c r="S15" s="9"/>
      <c r="T15" s="9"/>
      <c r="U15" s="9"/>
      <c r="V15" s="9"/>
      <c r="W15" s="9"/>
      <c r="X15" s="9"/>
      <c r="Y15" s="9"/>
      <c r="Z15" s="8"/>
      <c r="AA15" s="8"/>
      <c r="AB15" s="8"/>
      <c r="AC15" s="8"/>
      <c r="AD15" s="8"/>
      <c r="AE15" s="8"/>
      <c r="AF15" s="8"/>
      <c r="AG15" s="8"/>
      <c r="AH15" s="9"/>
      <c r="AI15" s="9"/>
      <c r="AJ15" s="9"/>
      <c r="AK15" s="9"/>
      <c r="AL15" s="9"/>
      <c r="AM15" s="9"/>
      <c r="AN15" s="9"/>
      <c r="AO15" s="9"/>
      <c r="AP15" s="8"/>
      <c r="AQ15" s="8"/>
      <c r="AR15" s="8"/>
      <c r="AS15" s="8"/>
      <c r="AT15" s="8"/>
      <c r="AU15" s="8"/>
      <c r="AV15" s="8"/>
      <c r="AW15" s="8"/>
      <c r="AX15" s="9"/>
      <c r="AY15" s="9"/>
      <c r="AZ15" s="9"/>
      <c r="BA15" s="9"/>
      <c r="BB15" s="9"/>
      <c r="BC15" s="9"/>
      <c r="BD15" s="9"/>
      <c r="BE15" s="9"/>
      <c r="BF15" s="8"/>
      <c r="BG15" s="8"/>
      <c r="BH15" s="8"/>
      <c r="BI15" s="8"/>
      <c r="BJ15" s="8"/>
      <c r="BK15" s="8"/>
      <c r="BL15" s="8"/>
      <c r="BM15" s="8"/>
    </row>
    <row r="16" spans="1:65" x14ac:dyDescent="0.25">
      <c r="A16" s="12" t="s">
        <v>37</v>
      </c>
      <c r="B16" s="12"/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8"/>
      <c r="S16" s="8"/>
      <c r="T16" s="8"/>
      <c r="U16" s="8"/>
      <c r="V16" s="8"/>
      <c r="W16" s="8"/>
      <c r="X16" s="8"/>
      <c r="Y16" s="8"/>
      <c r="Z16" s="9"/>
      <c r="AA16" s="9"/>
      <c r="AB16" s="9"/>
      <c r="AC16" s="9"/>
      <c r="AD16" s="9"/>
      <c r="AE16" s="9"/>
      <c r="AF16" s="9"/>
      <c r="AG16" s="9"/>
      <c r="AH16" s="8"/>
      <c r="AI16" s="8"/>
      <c r="AJ16" s="8"/>
      <c r="AK16" s="8"/>
      <c r="AL16" s="8"/>
      <c r="AM16" s="8"/>
      <c r="AN16" s="8"/>
      <c r="AO16" s="8"/>
      <c r="AP16" s="9"/>
      <c r="AQ16" s="9"/>
      <c r="AR16" s="9"/>
      <c r="AS16" s="9"/>
      <c r="AT16" s="9"/>
      <c r="AU16" s="9"/>
      <c r="AV16" s="9"/>
      <c r="AW16" s="9"/>
      <c r="AX16" s="8"/>
      <c r="AY16" s="8"/>
      <c r="AZ16" s="8"/>
      <c r="BA16" s="8"/>
      <c r="BB16" s="8"/>
      <c r="BC16" s="8"/>
      <c r="BD16" s="8"/>
      <c r="BE16" s="8"/>
      <c r="BF16" s="9"/>
      <c r="BG16" s="9"/>
      <c r="BH16" s="9"/>
      <c r="BI16" s="9"/>
      <c r="BJ16" s="9"/>
      <c r="BK16" s="9"/>
      <c r="BL16" s="9"/>
      <c r="BM16" s="9"/>
    </row>
    <row r="17" spans="1:65" x14ac:dyDescent="0.25">
      <c r="A17" s="11" t="s">
        <v>70</v>
      </c>
      <c r="B17" s="11"/>
      <c r="C17" s="9"/>
      <c r="D17" s="9"/>
      <c r="E17" s="9"/>
      <c r="F17" s="9"/>
      <c r="G17" s="9"/>
      <c r="H17" s="9"/>
      <c r="I17" s="9"/>
      <c r="J17" s="8"/>
      <c r="K17" s="8"/>
      <c r="L17" s="8"/>
      <c r="M17" s="8"/>
      <c r="N17" s="8"/>
      <c r="O17" s="8"/>
      <c r="P17" s="8"/>
      <c r="Q17" s="8"/>
      <c r="R17" s="9"/>
      <c r="S17" s="9"/>
      <c r="T17" s="9"/>
      <c r="U17" s="9"/>
      <c r="V17" s="9"/>
      <c r="W17" s="9"/>
      <c r="X17" s="9"/>
      <c r="Y17" s="9"/>
      <c r="Z17" s="8"/>
      <c r="AA17" s="8"/>
      <c r="AB17" s="8"/>
      <c r="AC17" s="8"/>
      <c r="AD17" s="8"/>
      <c r="AE17" s="8"/>
      <c r="AF17" s="8"/>
      <c r="AG17" s="8"/>
      <c r="AH17" s="9"/>
      <c r="AI17" s="9"/>
      <c r="AJ17" s="9"/>
      <c r="AK17" s="9"/>
      <c r="AL17" s="9"/>
      <c r="AM17" s="9"/>
      <c r="AN17" s="9"/>
      <c r="AO17" s="9"/>
      <c r="AP17" s="8"/>
      <c r="AQ17" s="8"/>
      <c r="AR17" s="8"/>
      <c r="AS17" s="8"/>
      <c r="AT17" s="8"/>
      <c r="AU17" s="8"/>
      <c r="AV17" s="8"/>
      <c r="AW17" s="8"/>
      <c r="AX17" s="9"/>
      <c r="AY17" s="9"/>
      <c r="AZ17" s="9"/>
      <c r="BA17" s="9"/>
      <c r="BB17" s="9"/>
      <c r="BC17" s="9"/>
      <c r="BD17" s="9"/>
      <c r="BE17" s="9"/>
      <c r="BF17" s="8"/>
      <c r="BG17" s="8"/>
      <c r="BH17" s="8"/>
      <c r="BI17" s="8"/>
      <c r="BJ17" s="8"/>
      <c r="BK17" s="8"/>
      <c r="BL17" s="8"/>
      <c r="BM17" s="8"/>
    </row>
    <row r="20" spans="1:65" x14ac:dyDescent="0.25">
      <c r="C20" s="18" t="s">
        <v>157</v>
      </c>
      <c r="E20" t="s">
        <v>156</v>
      </c>
      <c r="F20" s="19">
        <f>((D22*D23)-(F22*F23)-(F24*F25)-(F26*F27))/(D22-F22-F24-F26)</f>
        <v>69.294736842105252</v>
      </c>
      <c r="I20" s="20" t="s">
        <v>158</v>
      </c>
      <c r="K20" t="s">
        <v>156</v>
      </c>
      <c r="L20" s="19" t="e">
        <f>((J21*J22)+(J23*J24)+(J25*J26))/(J21+J23+J25)</f>
        <v>#DIV/0!</v>
      </c>
      <c r="Z20" s="18" t="s">
        <v>157</v>
      </c>
      <c r="AB20" t="s">
        <v>156</v>
      </c>
      <c r="AC20" s="22">
        <f>((AA23*AA22)-(AC22*AC23)-(AC24*AC25)-(AC26*AC27))/(AA22-AC22-AC24-AC26)</f>
        <v>70.433333333333323</v>
      </c>
      <c r="AF20" s="20" t="s">
        <v>158</v>
      </c>
      <c r="AH20" t="s">
        <v>156</v>
      </c>
      <c r="AI20" s="19" t="e">
        <f>((AG21*AG22)+(AG23*AG24)+(AG25*AG26))/(AG21+AG23+AG25)</f>
        <v>#DIV/0!</v>
      </c>
      <c r="AX20" s="18" t="s">
        <v>157</v>
      </c>
      <c r="AZ20" t="s">
        <v>156</v>
      </c>
      <c r="BA20" s="19">
        <f>((AY22*AY23)-(BA22*BA23)-(BA24*BA25)-(BA26*BA27))/(AY22-BA22-BA24-BA26)</f>
        <v>69.294736842105252</v>
      </c>
      <c r="BD20" s="20" t="s">
        <v>158</v>
      </c>
      <c r="BF20" t="s">
        <v>156</v>
      </c>
      <c r="BG20" s="19" t="e">
        <f>((BE21*BE22)+(BE23*BE24)+(BE25*BE26))/(BE21+BE23+BE25)</f>
        <v>#DIV/0!</v>
      </c>
    </row>
    <row r="21" spans="1:65" x14ac:dyDescent="0.25">
      <c r="D21" t="s">
        <v>134</v>
      </c>
      <c r="F21" t="s">
        <v>154</v>
      </c>
      <c r="I21" t="s">
        <v>118</v>
      </c>
      <c r="J21" s="1"/>
      <c r="AA21" t="s">
        <v>134</v>
      </c>
      <c r="AC21" t="s">
        <v>154</v>
      </c>
      <c r="AF21" t="s">
        <v>118</v>
      </c>
      <c r="AG21" s="1"/>
      <c r="AY21" t="s">
        <v>134</v>
      </c>
      <c r="BA21" t="s">
        <v>154</v>
      </c>
      <c r="BD21" t="s">
        <v>118</v>
      </c>
      <c r="BE21" s="1"/>
    </row>
    <row r="22" spans="1:65" x14ac:dyDescent="0.25">
      <c r="C22" t="s">
        <v>118</v>
      </c>
      <c r="D22" s="1">
        <v>164</v>
      </c>
      <c r="E22" t="s">
        <v>118</v>
      </c>
      <c r="F22" s="1">
        <v>12</v>
      </c>
      <c r="I22" t="s">
        <v>155</v>
      </c>
      <c r="J22" s="1"/>
      <c r="Z22" t="s">
        <v>118</v>
      </c>
      <c r="AA22" s="1">
        <v>169</v>
      </c>
      <c r="AB22" t="s">
        <v>118</v>
      </c>
      <c r="AC22" s="1">
        <v>5</v>
      </c>
      <c r="AF22" t="s">
        <v>155</v>
      </c>
      <c r="AG22" s="1"/>
      <c r="AX22" t="s">
        <v>118</v>
      </c>
      <c r="AY22" s="1">
        <v>164</v>
      </c>
      <c r="AZ22" t="s">
        <v>118</v>
      </c>
      <c r="BA22" s="1">
        <v>12</v>
      </c>
      <c r="BD22" t="s">
        <v>155</v>
      </c>
      <c r="BE22" s="1"/>
    </row>
    <row r="23" spans="1:65" x14ac:dyDescent="0.25">
      <c r="C23" t="s">
        <v>155</v>
      </c>
      <c r="D23" s="1">
        <v>68.599999999999994</v>
      </c>
      <c r="E23" t="s">
        <v>155</v>
      </c>
      <c r="F23" s="1">
        <v>59.8</v>
      </c>
      <c r="I23" t="s">
        <v>118</v>
      </c>
      <c r="J23" s="1"/>
      <c r="Z23" t="s">
        <v>155</v>
      </c>
      <c r="AA23" s="1">
        <v>69.099999999999994</v>
      </c>
      <c r="AB23" t="s">
        <v>155</v>
      </c>
      <c r="AC23" s="1">
        <v>60.5</v>
      </c>
      <c r="AF23" t="s">
        <v>118</v>
      </c>
      <c r="AG23" s="1"/>
      <c r="AX23" t="s">
        <v>155</v>
      </c>
      <c r="AY23" s="1">
        <v>68.599999999999994</v>
      </c>
      <c r="AZ23" t="s">
        <v>155</v>
      </c>
      <c r="BA23" s="1">
        <v>59.8</v>
      </c>
      <c r="BD23" t="s">
        <v>118</v>
      </c>
      <c r="BE23" s="1"/>
    </row>
    <row r="24" spans="1:65" x14ac:dyDescent="0.25">
      <c r="E24" t="s">
        <v>118</v>
      </c>
      <c r="I24" t="s">
        <v>155</v>
      </c>
      <c r="J24" s="1"/>
      <c r="AB24" t="s">
        <v>118</v>
      </c>
      <c r="AC24" s="1">
        <v>17</v>
      </c>
      <c r="AF24" t="s">
        <v>155</v>
      </c>
      <c r="AG24" s="1"/>
      <c r="AZ24" t="s">
        <v>118</v>
      </c>
      <c r="BD24" t="s">
        <v>155</v>
      </c>
      <c r="BE24" s="1"/>
    </row>
    <row r="25" spans="1:65" x14ac:dyDescent="0.25">
      <c r="E25" t="s">
        <v>155</v>
      </c>
      <c r="I25" t="s">
        <v>118</v>
      </c>
      <c r="J25" s="1"/>
      <c r="AB25" t="s">
        <v>155</v>
      </c>
      <c r="AC25" s="1">
        <v>60.1</v>
      </c>
      <c r="AF25" t="s">
        <v>118</v>
      </c>
      <c r="AG25" s="1"/>
      <c r="AZ25" t="s">
        <v>155</v>
      </c>
      <c r="BD25" t="s">
        <v>118</v>
      </c>
      <c r="BE25" s="1"/>
    </row>
    <row r="26" spans="1:65" x14ac:dyDescent="0.25">
      <c r="E26" t="s">
        <v>118</v>
      </c>
      <c r="I26" t="s">
        <v>155</v>
      </c>
      <c r="J26" s="1"/>
      <c r="AB26" t="s">
        <v>118</v>
      </c>
      <c r="AC26" s="1"/>
      <c r="AF26" t="s">
        <v>155</v>
      </c>
      <c r="AG26" s="1"/>
      <c r="AZ26" t="s">
        <v>118</v>
      </c>
      <c r="BD26" t="s">
        <v>155</v>
      </c>
      <c r="BE26" s="1"/>
    </row>
    <row r="27" spans="1:65" x14ac:dyDescent="0.25">
      <c r="E27" t="s">
        <v>155</v>
      </c>
      <c r="AB27" t="s">
        <v>155</v>
      </c>
      <c r="AC27" s="1"/>
      <c r="AZ27" t="s">
        <v>155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Games</vt:lpstr>
      <vt:lpstr>Toplane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Bischoff</dc:creator>
  <cp:lastModifiedBy>Oliver Bischoff</cp:lastModifiedBy>
  <dcterms:created xsi:type="dcterms:W3CDTF">2026-09-14T15:43:22Z</dcterms:created>
  <dcterms:modified xsi:type="dcterms:W3CDTF">2026-09-28T14:03:44Z</dcterms:modified>
</cp:coreProperties>
</file>