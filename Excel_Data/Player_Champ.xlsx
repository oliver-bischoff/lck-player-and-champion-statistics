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d.docs.live.net/ed9de324575cf814/League_Excel/"/>
    </mc:Choice>
  </mc:AlternateContent>
  <xr:revisionPtr revIDLastSave="8630" documentId="13_ncr:1_{4D977A1B-495D-4B90-8BF8-A3AA5CD00E30}" xr6:coauthVersionLast="47" xr6:coauthVersionMax="47" xr10:uidLastSave="{059BA071-8DB6-47F6-8CF3-BA2DFEAB3400}"/>
  <bookViews>
    <workbookView minimized="1" xWindow="-24540" yWindow="2640" windowWidth="17385" windowHeight="11325" tabRatio="868" activeTab="19" xr2:uid="{3C309A24-7E15-484B-8913-4E35F2B949DE}"/>
  </bookViews>
  <sheets>
    <sheet name="toAdd" sheetId="61" r:id="rId1"/>
    <sheet name="Top" sheetId="67" r:id="rId2"/>
    <sheet name="Jungle" sheetId="68" r:id="rId3"/>
    <sheet name="Mid" sheetId="69" r:id="rId4"/>
    <sheet name="Bottom" sheetId="70" r:id="rId5"/>
    <sheet name="Support" sheetId="71" r:id="rId6"/>
    <sheet name="Burdol" sheetId="8" r:id="rId7"/>
    <sheet name="Canna" sheetId="4" r:id="rId8"/>
    <sheet name="Clear" sheetId="52" r:id="rId9"/>
    <sheet name="DnDn" sheetId="10" r:id="rId10"/>
    <sheet name="Doran" sheetId="2" r:id="rId11"/>
    <sheet name="DuDu" sheetId="5" r:id="rId12"/>
    <sheet name="Kiin" sheetId="3" r:id="rId13"/>
    <sheet name="Kingen" sheetId="6" r:id="rId14"/>
    <sheet name="Morgan" sheetId="9" r:id="rId15"/>
    <sheet name="PerfecT" sheetId="51" r:id="rId16"/>
    <sheet name="Rascal" sheetId="7" r:id="rId17"/>
    <sheet name="Rich" sheetId="73" r:id="rId18"/>
    <sheet name="Siwoo" sheetId="72" r:id="rId19"/>
    <sheet name="Zeus" sheetId="1" r:id="rId20"/>
    <sheet name="Canyon" sheetId="12" r:id="rId21"/>
    <sheet name="Croco" sheetId="19" r:id="rId22"/>
    <sheet name="Cuzz" sheetId="14" r:id="rId23"/>
    <sheet name="GIDEON" sheetId="62" r:id="rId24"/>
    <sheet name="Lucid" sheetId="16" r:id="rId25"/>
    <sheet name="Oner" sheetId="11" r:id="rId26"/>
    <sheet name="Peanut" sheetId="13" r:id="rId27"/>
    <sheet name="Pyosik" sheetId="15" r:id="rId28"/>
    <sheet name="Raptor" sheetId="63" r:id="rId29"/>
    <sheet name="Sponge" sheetId="58" r:id="rId30"/>
    <sheet name="Sylvie" sheetId="20" r:id="rId31"/>
    <sheet name="UmTi" sheetId="17" r:id="rId32"/>
    <sheet name="Willer" sheetId="18" r:id="rId33"/>
    <sheet name="YoungJae" sheetId="53" r:id="rId34"/>
    <sheet name="Bdd" sheetId="26" r:id="rId35"/>
    <sheet name="Bulldog" sheetId="28" r:id="rId36"/>
    <sheet name="Chovy" sheetId="21" r:id="rId37"/>
    <sheet name="Clozer" sheetId="25" r:id="rId38"/>
    <sheet name="Faker" sheetId="23" r:id="rId39"/>
    <sheet name="FATE" sheetId="27" r:id="rId40"/>
    <sheet name="FIESTA" sheetId="29" r:id="rId41"/>
    <sheet name="Karis" sheetId="30" r:id="rId42"/>
    <sheet name="kyeahoo" sheetId="54" r:id="rId43"/>
    <sheet name="Showmaker" sheetId="24" r:id="rId44"/>
    <sheet name="Vicla" sheetId="64" r:id="rId45"/>
    <sheet name="Zeka" sheetId="22" r:id="rId46"/>
    <sheet name="Aiming" sheetId="36" r:id="rId47"/>
    <sheet name="Berserker" sheetId="57" r:id="rId48"/>
    <sheet name="Deft" sheetId="34" r:id="rId49"/>
    <sheet name="deokdam" sheetId="65" r:id="rId50"/>
    <sheet name="Envyy" sheetId="39" r:id="rId51"/>
    <sheet name="Gumayusi" sheetId="35" r:id="rId52"/>
    <sheet name="Hena" sheetId="40" r:id="rId53"/>
    <sheet name="Hype" sheetId="59" r:id="rId54"/>
    <sheet name="Jiwoo" sheetId="37" r:id="rId55"/>
    <sheet name="Peyz" sheetId="32" r:id="rId56"/>
    <sheet name="Ruler" sheetId="31" r:id="rId57"/>
    <sheet name="Teddy" sheetId="38" r:id="rId58"/>
    <sheet name="Viper" sheetId="33" r:id="rId59"/>
    <sheet name="Andil" sheetId="55" r:id="rId60"/>
    <sheet name="BeryL" sheetId="45" r:id="rId61"/>
    <sheet name="Delight" sheetId="44" r:id="rId62"/>
    <sheet name="Duro" sheetId="66" r:id="rId63"/>
    <sheet name="Effort" sheetId="49" r:id="rId64"/>
    <sheet name="Kael" sheetId="47" r:id="rId65"/>
    <sheet name="Kellin" sheetId="43" r:id="rId66"/>
    <sheet name="Lehends" sheetId="42" r:id="rId67"/>
    <sheet name="Life" sheetId="46" r:id="rId68"/>
    <sheet name="Peter" sheetId="50" r:id="rId69"/>
    <sheet name="Pleata" sheetId="56" r:id="rId70"/>
    <sheet name="Pollu" sheetId="60" r:id="rId71"/>
    <sheet name="Keria" sheetId="41" r:id="rId7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" l="1"/>
  <c r="G45" i="1"/>
  <c r="J45" i="1"/>
  <c r="M45" i="1"/>
  <c r="D25" i="51"/>
  <c r="G25" i="51"/>
  <c r="J25" i="51"/>
  <c r="M25" i="51"/>
  <c r="D26" i="51"/>
  <c r="G26" i="51"/>
  <c r="J26" i="51"/>
  <c r="M26" i="51"/>
  <c r="D27" i="51"/>
  <c r="G27" i="51"/>
  <c r="J27" i="51"/>
  <c r="M27" i="51"/>
  <c r="D28" i="51"/>
  <c r="G28" i="51"/>
  <c r="J28" i="51"/>
  <c r="M28" i="51"/>
  <c r="D29" i="51"/>
  <c r="G29" i="51"/>
  <c r="J29" i="51"/>
  <c r="M29" i="51"/>
  <c r="D30" i="51"/>
  <c r="G30" i="51"/>
  <c r="J30" i="51"/>
  <c r="M30" i="51"/>
  <c r="D31" i="51"/>
  <c r="G31" i="51"/>
  <c r="J31" i="51"/>
  <c r="M31" i="51"/>
  <c r="D32" i="51"/>
  <c r="G32" i="51"/>
  <c r="J32" i="51"/>
  <c r="M32" i="51"/>
  <c r="D33" i="51"/>
  <c r="G33" i="51"/>
  <c r="J33" i="51"/>
  <c r="M33" i="51"/>
  <c r="D34" i="51"/>
  <c r="G34" i="51"/>
  <c r="J34" i="51"/>
  <c r="M34" i="51"/>
  <c r="D4" i="51"/>
  <c r="G4" i="51"/>
  <c r="J4" i="51"/>
  <c r="M4" i="51"/>
  <c r="D7" i="6"/>
  <c r="G7" i="6"/>
  <c r="J7" i="6"/>
  <c r="M7" i="6"/>
  <c r="P7" i="6"/>
  <c r="R7" i="6"/>
  <c r="U7" i="6" s="1"/>
  <c r="R24" i="73"/>
  <c r="U24" i="73" s="1"/>
  <c r="P24" i="73"/>
  <c r="M24" i="73"/>
  <c r="J24" i="73"/>
  <c r="G24" i="73"/>
  <c r="D24" i="73"/>
  <c r="R23" i="73"/>
  <c r="U23" i="73" s="1"/>
  <c r="P23" i="73"/>
  <c r="M23" i="73"/>
  <c r="J23" i="73"/>
  <c r="G23" i="73"/>
  <c r="D23" i="73"/>
  <c r="R22" i="73"/>
  <c r="U22" i="73" s="1"/>
  <c r="P22" i="73"/>
  <c r="M22" i="73"/>
  <c r="S22" i="73" s="1"/>
  <c r="J22" i="73"/>
  <c r="G22" i="73"/>
  <c r="D22" i="73"/>
  <c r="R18" i="73"/>
  <c r="U18" i="73" s="1"/>
  <c r="P18" i="73"/>
  <c r="M18" i="73"/>
  <c r="J18" i="73"/>
  <c r="G18" i="73"/>
  <c r="D18" i="73"/>
  <c r="R14" i="73"/>
  <c r="U14" i="73" s="1"/>
  <c r="P14" i="73"/>
  <c r="M14" i="73"/>
  <c r="J14" i="73"/>
  <c r="G14" i="73"/>
  <c r="D14" i="73"/>
  <c r="R21" i="73"/>
  <c r="U21" i="73" s="1"/>
  <c r="P21" i="73"/>
  <c r="M21" i="73"/>
  <c r="J21" i="73"/>
  <c r="G21" i="73"/>
  <c r="D21" i="73"/>
  <c r="R15" i="73"/>
  <c r="U15" i="73" s="1"/>
  <c r="P15" i="73"/>
  <c r="M15" i="73"/>
  <c r="J15" i="73"/>
  <c r="G15" i="73"/>
  <c r="D15" i="73"/>
  <c r="R20" i="73"/>
  <c r="U20" i="73" s="1"/>
  <c r="P20" i="73"/>
  <c r="M20" i="73"/>
  <c r="J20" i="73"/>
  <c r="G20" i="73"/>
  <c r="D20" i="73"/>
  <c r="R19" i="73"/>
  <c r="U19" i="73" s="1"/>
  <c r="P19" i="73"/>
  <c r="M19" i="73"/>
  <c r="J19" i="73"/>
  <c r="G19" i="73"/>
  <c r="D19" i="73"/>
  <c r="R17" i="73"/>
  <c r="U17" i="73" s="1"/>
  <c r="P17" i="73"/>
  <c r="M17" i="73"/>
  <c r="J17" i="73"/>
  <c r="G17" i="73"/>
  <c r="D17" i="73"/>
  <c r="R10" i="73"/>
  <c r="U10" i="73" s="1"/>
  <c r="P10" i="73"/>
  <c r="M10" i="73"/>
  <c r="J10" i="73"/>
  <c r="G10" i="73"/>
  <c r="D10" i="73"/>
  <c r="R13" i="73"/>
  <c r="P13" i="73"/>
  <c r="M13" i="73"/>
  <c r="J13" i="73"/>
  <c r="G13" i="73"/>
  <c r="D13" i="73"/>
  <c r="R16" i="73"/>
  <c r="U16" i="73" s="1"/>
  <c r="P16" i="73"/>
  <c r="M16" i="73"/>
  <c r="J16" i="73"/>
  <c r="G16" i="73"/>
  <c r="D16" i="73"/>
  <c r="R7" i="73"/>
  <c r="U7" i="73" s="1"/>
  <c r="P7" i="73"/>
  <c r="M7" i="73"/>
  <c r="J7" i="73"/>
  <c r="G7" i="73"/>
  <c r="D7" i="73"/>
  <c r="R12" i="73"/>
  <c r="U12" i="73" s="1"/>
  <c r="P12" i="73"/>
  <c r="M12" i="73"/>
  <c r="J12" i="73"/>
  <c r="G12" i="73"/>
  <c r="D12" i="73"/>
  <c r="R9" i="73"/>
  <c r="U9" i="73" s="1"/>
  <c r="P9" i="73"/>
  <c r="M9" i="73"/>
  <c r="J9" i="73"/>
  <c r="G9" i="73"/>
  <c r="D9" i="73"/>
  <c r="R6" i="73"/>
  <c r="U6" i="73" s="1"/>
  <c r="P6" i="73"/>
  <c r="M6" i="73"/>
  <c r="J6" i="73"/>
  <c r="G6" i="73"/>
  <c r="D6" i="73"/>
  <c r="R8" i="73"/>
  <c r="U8" i="73" s="1"/>
  <c r="P8" i="73"/>
  <c r="M8" i="73"/>
  <c r="J8" i="73"/>
  <c r="G8" i="73"/>
  <c r="D8" i="73"/>
  <c r="R11" i="73"/>
  <c r="U11" i="73" s="1"/>
  <c r="P11" i="73"/>
  <c r="M11" i="73"/>
  <c r="J11" i="73"/>
  <c r="G11" i="73"/>
  <c r="D11" i="73"/>
  <c r="R5" i="73"/>
  <c r="U5" i="73" s="1"/>
  <c r="P5" i="73"/>
  <c r="M5" i="73"/>
  <c r="J5" i="73"/>
  <c r="G5" i="73"/>
  <c r="D5" i="73"/>
  <c r="R4" i="73"/>
  <c r="U4" i="73" s="1"/>
  <c r="P4" i="73"/>
  <c r="M4" i="73"/>
  <c r="J4" i="73"/>
  <c r="G4" i="73"/>
  <c r="D4" i="73"/>
  <c r="R3" i="73"/>
  <c r="P3" i="73"/>
  <c r="M3" i="73"/>
  <c r="J3" i="73"/>
  <c r="G3" i="73"/>
  <c r="D3" i="73"/>
  <c r="D5" i="5"/>
  <c r="G5" i="5"/>
  <c r="J5" i="5"/>
  <c r="M5" i="5"/>
  <c r="P5" i="5"/>
  <c r="R5" i="5"/>
  <c r="U5" i="5" s="1"/>
  <c r="R25" i="72"/>
  <c r="U25" i="72" s="1"/>
  <c r="P25" i="72"/>
  <c r="M25" i="72"/>
  <c r="J25" i="72"/>
  <c r="G25" i="72"/>
  <c r="D25" i="72"/>
  <c r="S25" i="72" s="1"/>
  <c r="R24" i="72"/>
  <c r="U24" i="72" s="1"/>
  <c r="P24" i="72"/>
  <c r="M24" i="72"/>
  <c r="J24" i="72"/>
  <c r="G24" i="72"/>
  <c r="D24" i="72"/>
  <c r="R23" i="72"/>
  <c r="U23" i="72" s="1"/>
  <c r="P23" i="72"/>
  <c r="M23" i="72"/>
  <c r="J23" i="72"/>
  <c r="G23" i="72"/>
  <c r="D23" i="72"/>
  <c r="R22" i="72"/>
  <c r="U22" i="72" s="1"/>
  <c r="P22" i="72"/>
  <c r="M22" i="72"/>
  <c r="J22" i="72"/>
  <c r="G22" i="72"/>
  <c r="D22" i="72"/>
  <c r="R20" i="72"/>
  <c r="U20" i="72" s="1"/>
  <c r="P20" i="72"/>
  <c r="M20" i="72"/>
  <c r="J20" i="72"/>
  <c r="G20" i="72"/>
  <c r="D20" i="72"/>
  <c r="R15" i="72"/>
  <c r="U15" i="72" s="1"/>
  <c r="P15" i="72"/>
  <c r="M15" i="72"/>
  <c r="J15" i="72"/>
  <c r="G15" i="72"/>
  <c r="D15" i="72"/>
  <c r="R8" i="72"/>
  <c r="U8" i="72" s="1"/>
  <c r="P8" i="72"/>
  <c r="M8" i="72"/>
  <c r="J8" i="72"/>
  <c r="G8" i="72"/>
  <c r="D8" i="72"/>
  <c r="R5" i="72"/>
  <c r="U5" i="72" s="1"/>
  <c r="P5" i="72"/>
  <c r="M5" i="72"/>
  <c r="J5" i="72"/>
  <c r="G5" i="72"/>
  <c r="D5" i="72"/>
  <c r="R14" i="72"/>
  <c r="U14" i="72" s="1"/>
  <c r="P14" i="72"/>
  <c r="M14" i="72"/>
  <c r="J14" i="72"/>
  <c r="G14" i="72"/>
  <c r="D14" i="72"/>
  <c r="R12" i="72"/>
  <c r="U12" i="72" s="1"/>
  <c r="P12" i="72"/>
  <c r="M12" i="72"/>
  <c r="J12" i="72"/>
  <c r="G12" i="72"/>
  <c r="D12" i="72"/>
  <c r="R19" i="72"/>
  <c r="U19" i="72" s="1"/>
  <c r="P19" i="72"/>
  <c r="M19" i="72"/>
  <c r="J19" i="72"/>
  <c r="G19" i="72"/>
  <c r="D19" i="72"/>
  <c r="R11" i="72"/>
  <c r="U11" i="72" s="1"/>
  <c r="P11" i="72"/>
  <c r="M11" i="72"/>
  <c r="J11" i="72"/>
  <c r="G11" i="72"/>
  <c r="D11" i="72"/>
  <c r="R18" i="72"/>
  <c r="U18" i="72" s="1"/>
  <c r="P18" i="72"/>
  <c r="M18" i="72"/>
  <c r="J18" i="72"/>
  <c r="G18" i="72"/>
  <c r="D18" i="72"/>
  <c r="R7" i="72"/>
  <c r="U7" i="72" s="1"/>
  <c r="P7" i="72"/>
  <c r="M7" i="72"/>
  <c r="J7" i="72"/>
  <c r="G7" i="72"/>
  <c r="D7" i="72"/>
  <c r="R10" i="72"/>
  <c r="P10" i="72"/>
  <c r="M10" i="72"/>
  <c r="J10" i="72"/>
  <c r="G10" i="72"/>
  <c r="D10" i="72"/>
  <c r="R4" i="72"/>
  <c r="U4" i="72" s="1"/>
  <c r="P4" i="72"/>
  <c r="M4" i="72"/>
  <c r="J4" i="72"/>
  <c r="G4" i="72"/>
  <c r="D4" i="72"/>
  <c r="R21" i="72"/>
  <c r="U21" i="72" s="1"/>
  <c r="P21" i="72"/>
  <c r="M21" i="72"/>
  <c r="J21" i="72"/>
  <c r="G21" i="72"/>
  <c r="D21" i="72"/>
  <c r="R9" i="72"/>
  <c r="U9" i="72" s="1"/>
  <c r="P9" i="72"/>
  <c r="M9" i="72"/>
  <c r="J9" i="72"/>
  <c r="G9" i="72"/>
  <c r="D9" i="72"/>
  <c r="R17" i="72"/>
  <c r="U17" i="72" s="1"/>
  <c r="P17" i="72"/>
  <c r="M17" i="72"/>
  <c r="J17" i="72"/>
  <c r="G17" i="72"/>
  <c r="D17" i="72"/>
  <c r="R16" i="72"/>
  <c r="U16" i="72" s="1"/>
  <c r="P16" i="72"/>
  <c r="M16" i="72"/>
  <c r="J16" i="72"/>
  <c r="G16" i="72"/>
  <c r="D16" i="72"/>
  <c r="R6" i="72"/>
  <c r="U6" i="72" s="1"/>
  <c r="P6" i="72"/>
  <c r="M6" i="72"/>
  <c r="J6" i="72"/>
  <c r="G6" i="72"/>
  <c r="D6" i="72"/>
  <c r="R3" i="72"/>
  <c r="U3" i="72" s="1"/>
  <c r="P3" i="72"/>
  <c r="M3" i="72"/>
  <c r="J3" i="72"/>
  <c r="G3" i="72"/>
  <c r="D3" i="72"/>
  <c r="R13" i="72"/>
  <c r="U13" i="72" s="1"/>
  <c r="P13" i="72"/>
  <c r="M13" i="72"/>
  <c r="J13" i="72"/>
  <c r="G13" i="72"/>
  <c r="D13" i="72"/>
  <c r="S7" i="6" l="1"/>
  <c r="S18" i="73"/>
  <c r="S23" i="73"/>
  <c r="S24" i="73"/>
  <c r="S4" i="73"/>
  <c r="S21" i="73"/>
  <c r="S10" i="73"/>
  <c r="S9" i="73"/>
  <c r="V3" i="73"/>
  <c r="T6" i="73" s="1"/>
  <c r="S20" i="73"/>
  <c r="S12" i="73"/>
  <c r="S15" i="73"/>
  <c r="S8" i="73"/>
  <c r="S17" i="73"/>
  <c r="S5" i="73"/>
  <c r="S11" i="73"/>
  <c r="S16" i="73"/>
  <c r="S3" i="73"/>
  <c r="S13" i="73"/>
  <c r="S19" i="73"/>
  <c r="S6" i="73"/>
  <c r="S7" i="73"/>
  <c r="S14" i="73"/>
  <c r="U13" i="73"/>
  <c r="U3" i="73"/>
  <c r="S5" i="5"/>
  <c r="S18" i="72"/>
  <c r="S24" i="72"/>
  <c r="S22" i="72"/>
  <c r="S23" i="72"/>
  <c r="S20" i="72"/>
  <c r="S14" i="72"/>
  <c r="S15" i="72"/>
  <c r="S9" i="72"/>
  <c r="S6" i="72"/>
  <c r="S11" i="72"/>
  <c r="S10" i="72"/>
  <c r="S17" i="72"/>
  <c r="S12" i="72"/>
  <c r="S8" i="72"/>
  <c r="S19" i="72"/>
  <c r="S4" i="72"/>
  <c r="S3" i="72"/>
  <c r="S21" i="72"/>
  <c r="S5" i="72"/>
  <c r="V3" i="72"/>
  <c r="T5" i="72" s="1"/>
  <c r="S7" i="72"/>
  <c r="S16" i="72"/>
  <c r="S13" i="72"/>
  <c r="U10" i="72"/>
  <c r="T20" i="73" l="1"/>
  <c r="T18" i="73"/>
  <c r="T17" i="73"/>
  <c r="T13" i="73"/>
  <c r="T11" i="73"/>
  <c r="T5" i="73"/>
  <c r="T14" i="73"/>
  <c r="T21" i="73"/>
  <c r="W3" i="73"/>
  <c r="T7" i="73"/>
  <c r="T4" i="73"/>
  <c r="T19" i="73"/>
  <c r="T16" i="73"/>
  <c r="T22" i="73"/>
  <c r="T10" i="73"/>
  <c r="T8" i="73"/>
  <c r="T9" i="73"/>
  <c r="T12" i="73"/>
  <c r="T23" i="73"/>
  <c r="T3" i="73"/>
  <c r="T24" i="73"/>
  <c r="T15" i="73"/>
  <c r="T23" i="72"/>
  <c r="T7" i="72"/>
  <c r="T12" i="72"/>
  <c r="T3" i="72"/>
  <c r="T13" i="72"/>
  <c r="T22" i="72"/>
  <c r="T16" i="72"/>
  <c r="T10" i="72"/>
  <c r="T21" i="72"/>
  <c r="T8" i="72"/>
  <c r="T25" i="72"/>
  <c r="T9" i="72"/>
  <c r="T18" i="72"/>
  <c r="T6" i="72"/>
  <c r="T11" i="72"/>
  <c r="T19" i="72"/>
  <c r="T20" i="72"/>
  <c r="T14" i="72"/>
  <c r="T15" i="72"/>
  <c r="T17" i="72"/>
  <c r="T24" i="72"/>
  <c r="T4" i="72"/>
  <c r="W3" i="72"/>
  <c r="AA76" i="69"/>
  <c r="AB76" i="69" s="1"/>
  <c r="AA48" i="67"/>
  <c r="AB48" i="67" s="1"/>
  <c r="R30" i="41"/>
  <c r="D30" i="41"/>
  <c r="D3" i="60"/>
  <c r="G3" i="60"/>
  <c r="J3" i="60"/>
  <c r="M3" i="60"/>
  <c r="P3" i="60"/>
  <c r="R3" i="60"/>
  <c r="D36" i="9"/>
  <c r="G36" i="9"/>
  <c r="J36" i="9"/>
  <c r="M36" i="9"/>
  <c r="P36" i="9"/>
  <c r="D37" i="9"/>
  <c r="G37" i="9"/>
  <c r="J37" i="9"/>
  <c r="M37" i="9"/>
  <c r="P37" i="9"/>
  <c r="D38" i="9"/>
  <c r="G38" i="9"/>
  <c r="J38" i="9"/>
  <c r="M38" i="9"/>
  <c r="P38" i="9"/>
  <c r="D39" i="9"/>
  <c r="G39" i="9"/>
  <c r="J39" i="9"/>
  <c r="M39" i="9"/>
  <c r="P39" i="9"/>
  <c r="D40" i="9"/>
  <c r="G40" i="9"/>
  <c r="J40" i="9"/>
  <c r="M40" i="9"/>
  <c r="P40" i="9"/>
  <c r="D41" i="9"/>
  <c r="G41" i="9"/>
  <c r="J41" i="9"/>
  <c r="M41" i="9"/>
  <c r="P41" i="9"/>
  <c r="D42" i="9"/>
  <c r="G42" i="9"/>
  <c r="J42" i="9"/>
  <c r="M42" i="9"/>
  <c r="P42" i="9"/>
  <c r="D43" i="9"/>
  <c r="G43" i="9"/>
  <c r="J43" i="9"/>
  <c r="M43" i="9"/>
  <c r="P43" i="9"/>
  <c r="D44" i="9"/>
  <c r="G44" i="9"/>
  <c r="J44" i="9"/>
  <c r="M44" i="9"/>
  <c r="P44" i="9"/>
  <c r="D45" i="9"/>
  <c r="G45" i="9"/>
  <c r="J45" i="9"/>
  <c r="M45" i="9"/>
  <c r="P45" i="9"/>
  <c r="D46" i="9"/>
  <c r="G46" i="9"/>
  <c r="J46" i="9"/>
  <c r="M46" i="9"/>
  <c r="P46" i="9"/>
  <c r="D47" i="9"/>
  <c r="G47" i="9"/>
  <c r="J47" i="9"/>
  <c r="M47" i="9"/>
  <c r="P47" i="9"/>
  <c r="D48" i="9"/>
  <c r="G48" i="9"/>
  <c r="J48" i="9"/>
  <c r="M48" i="9"/>
  <c r="P48" i="9"/>
  <c r="D49" i="9"/>
  <c r="G49" i="9"/>
  <c r="J49" i="9"/>
  <c r="M49" i="9"/>
  <c r="P49" i="9"/>
  <c r="D50" i="9"/>
  <c r="G50" i="9"/>
  <c r="J50" i="9"/>
  <c r="M50" i="9"/>
  <c r="P50" i="9"/>
  <c r="D51" i="9"/>
  <c r="G51" i="9"/>
  <c r="J51" i="9"/>
  <c r="M51" i="9"/>
  <c r="P51" i="9"/>
  <c r="D52" i="9"/>
  <c r="G52" i="9"/>
  <c r="J52" i="9"/>
  <c r="M52" i="9"/>
  <c r="P52" i="9"/>
  <c r="D53" i="9"/>
  <c r="G53" i="9"/>
  <c r="J53" i="9"/>
  <c r="M53" i="9"/>
  <c r="P53" i="9"/>
  <c r="D54" i="9"/>
  <c r="G54" i="9"/>
  <c r="J54" i="9"/>
  <c r="M54" i="9"/>
  <c r="P54" i="9"/>
  <c r="D55" i="9"/>
  <c r="G55" i="9"/>
  <c r="J55" i="9"/>
  <c r="M55" i="9"/>
  <c r="P55" i="9"/>
  <c r="D56" i="9"/>
  <c r="G56" i="9"/>
  <c r="J56" i="9"/>
  <c r="M56" i="9"/>
  <c r="P56" i="9"/>
  <c r="D5" i="3"/>
  <c r="G5" i="3"/>
  <c r="J5" i="3"/>
  <c r="M5" i="3"/>
  <c r="P5" i="3"/>
  <c r="D52" i="3"/>
  <c r="G52" i="3"/>
  <c r="J52" i="3"/>
  <c r="M52" i="3"/>
  <c r="P52" i="3"/>
  <c r="D53" i="3"/>
  <c r="G53" i="3"/>
  <c r="J53" i="3"/>
  <c r="M53" i="3"/>
  <c r="P53" i="3"/>
  <c r="D54" i="3"/>
  <c r="G54" i="3"/>
  <c r="J54" i="3"/>
  <c r="M54" i="3"/>
  <c r="P54" i="3"/>
  <c r="D55" i="3"/>
  <c r="G55" i="3"/>
  <c r="J55" i="3"/>
  <c r="M55" i="3"/>
  <c r="P55" i="3"/>
  <c r="D7" i="2"/>
  <c r="G7" i="2"/>
  <c r="J7" i="2"/>
  <c r="M7" i="2"/>
  <c r="P7" i="2"/>
  <c r="D44" i="2"/>
  <c r="G44" i="2"/>
  <c r="J44" i="2"/>
  <c r="M44" i="2"/>
  <c r="P44" i="2"/>
  <c r="D45" i="2"/>
  <c r="G45" i="2"/>
  <c r="J45" i="2"/>
  <c r="M45" i="2"/>
  <c r="P45" i="2"/>
  <c r="D46" i="2"/>
  <c r="G46" i="2"/>
  <c r="J46" i="2"/>
  <c r="M46" i="2"/>
  <c r="P46" i="2"/>
  <c r="D47" i="2"/>
  <c r="G47" i="2"/>
  <c r="J47" i="2"/>
  <c r="M47" i="2"/>
  <c r="P47" i="2"/>
  <c r="D48" i="2"/>
  <c r="G48" i="2"/>
  <c r="J48" i="2"/>
  <c r="M48" i="2"/>
  <c r="P48" i="2"/>
  <c r="D49" i="2"/>
  <c r="G49" i="2"/>
  <c r="J49" i="2"/>
  <c r="M49" i="2"/>
  <c r="P49" i="2"/>
  <c r="D50" i="2"/>
  <c r="G50" i="2"/>
  <c r="J50" i="2"/>
  <c r="M50" i="2"/>
  <c r="P50" i="2"/>
  <c r="D51" i="2"/>
  <c r="G51" i="2"/>
  <c r="J51" i="2"/>
  <c r="M51" i="2"/>
  <c r="P51" i="2"/>
  <c r="D52" i="2"/>
  <c r="G52" i="2"/>
  <c r="J52" i="2"/>
  <c r="M52" i="2"/>
  <c r="P52" i="2"/>
  <c r="D53" i="2"/>
  <c r="G53" i="2"/>
  <c r="J53" i="2"/>
  <c r="M53" i="2"/>
  <c r="P53" i="2"/>
  <c r="D54" i="2"/>
  <c r="G54" i="2"/>
  <c r="J54" i="2"/>
  <c r="M54" i="2"/>
  <c r="P54" i="2"/>
  <c r="D55" i="2"/>
  <c r="G55" i="2"/>
  <c r="J55" i="2"/>
  <c r="M55" i="2"/>
  <c r="P55" i="2"/>
  <c r="D56" i="2"/>
  <c r="G56" i="2"/>
  <c r="J56" i="2"/>
  <c r="M56" i="2"/>
  <c r="P56" i="2"/>
  <c r="S29" i="10"/>
  <c r="P29" i="10"/>
  <c r="P35" i="52"/>
  <c r="M35" i="52"/>
  <c r="J35" i="52"/>
  <c r="G35" i="52"/>
  <c r="D35" i="52"/>
  <c r="P34" i="52"/>
  <c r="M34" i="52"/>
  <c r="J34" i="52"/>
  <c r="G34" i="52"/>
  <c r="D34" i="52"/>
  <c r="P33" i="52"/>
  <c r="M33" i="52"/>
  <c r="J33" i="52"/>
  <c r="G33" i="52"/>
  <c r="D33" i="52"/>
  <c r="P32" i="52"/>
  <c r="M32" i="52"/>
  <c r="J32" i="52"/>
  <c r="G32" i="52"/>
  <c r="D32" i="52"/>
  <c r="P31" i="52"/>
  <c r="M31" i="52"/>
  <c r="J31" i="52"/>
  <c r="G31" i="52"/>
  <c r="D31" i="52"/>
  <c r="P30" i="52"/>
  <c r="M30" i="52"/>
  <c r="J30" i="52"/>
  <c r="G30" i="52"/>
  <c r="D30" i="52"/>
  <c r="P29" i="52"/>
  <c r="M29" i="52"/>
  <c r="J29" i="52"/>
  <c r="G29" i="52"/>
  <c r="D29" i="52"/>
  <c r="P28" i="52"/>
  <c r="M28" i="52"/>
  <c r="J28" i="52"/>
  <c r="G28" i="52"/>
  <c r="D28" i="52"/>
  <c r="P27" i="52"/>
  <c r="M27" i="52"/>
  <c r="J27" i="52"/>
  <c r="G27" i="52"/>
  <c r="D27" i="52"/>
  <c r="P4" i="52"/>
  <c r="M4" i="52"/>
  <c r="J4" i="52"/>
  <c r="G4" i="52"/>
  <c r="D4" i="52"/>
  <c r="P5" i="52"/>
  <c r="M5" i="52"/>
  <c r="J5" i="52"/>
  <c r="G5" i="52"/>
  <c r="D5" i="52"/>
  <c r="D29" i="4"/>
  <c r="G29" i="4"/>
  <c r="J29" i="4"/>
  <c r="M29" i="4"/>
  <c r="P29" i="4"/>
  <c r="D30" i="4"/>
  <c r="G30" i="4"/>
  <c r="J30" i="4"/>
  <c r="M30" i="4"/>
  <c r="P30" i="4"/>
  <c r="D31" i="4"/>
  <c r="G31" i="4"/>
  <c r="J31" i="4"/>
  <c r="M31" i="4"/>
  <c r="P31" i="4"/>
  <c r="D32" i="4"/>
  <c r="G32" i="4"/>
  <c r="J32" i="4"/>
  <c r="M32" i="4"/>
  <c r="P32" i="4"/>
  <c r="D33" i="4"/>
  <c r="G33" i="4"/>
  <c r="J33" i="4"/>
  <c r="M33" i="4"/>
  <c r="P33" i="4"/>
  <c r="D34" i="4"/>
  <c r="G34" i="4"/>
  <c r="J34" i="4"/>
  <c r="M34" i="4"/>
  <c r="P34" i="4"/>
  <c r="D35" i="4"/>
  <c r="G35" i="4"/>
  <c r="J35" i="4"/>
  <c r="M35" i="4"/>
  <c r="P35" i="4"/>
  <c r="D36" i="4"/>
  <c r="G36" i="4"/>
  <c r="J36" i="4"/>
  <c r="M36" i="4"/>
  <c r="P36" i="4"/>
  <c r="D3" i="4"/>
  <c r="G3" i="4"/>
  <c r="J3" i="4"/>
  <c r="M3" i="4"/>
  <c r="P3" i="4"/>
  <c r="R3" i="4"/>
  <c r="D18" i="50"/>
  <c r="G18" i="50"/>
  <c r="J18" i="50"/>
  <c r="M18" i="50"/>
  <c r="P18" i="50"/>
  <c r="R18" i="50"/>
  <c r="M32" i="41"/>
  <c r="M26" i="41"/>
  <c r="M21" i="41"/>
  <c r="M34" i="41"/>
  <c r="M3" i="41"/>
  <c r="M50" i="41"/>
  <c r="M27" i="41"/>
  <c r="D57" i="41"/>
  <c r="G57" i="41"/>
  <c r="J57" i="41"/>
  <c r="M57" i="41"/>
  <c r="P57" i="41"/>
  <c r="R57" i="41"/>
  <c r="U56" i="46"/>
  <c r="U55" i="46"/>
  <c r="U54" i="46"/>
  <c r="U53" i="46"/>
  <c r="U52" i="46"/>
  <c r="U51" i="46"/>
  <c r="U50" i="46"/>
  <c r="U49" i="46"/>
  <c r="U48" i="46"/>
  <c r="U47" i="46"/>
  <c r="U46" i="46"/>
  <c r="U45" i="46"/>
  <c r="U44" i="46"/>
  <c r="U43" i="46"/>
  <c r="U42" i="46"/>
  <c r="U41" i="46"/>
  <c r="U40" i="46"/>
  <c r="U39" i="46"/>
  <c r="U38" i="46"/>
  <c r="U37" i="46"/>
  <c r="U56" i="42"/>
  <c r="U55" i="42"/>
  <c r="U54" i="42"/>
  <c r="U53" i="42"/>
  <c r="U52" i="42"/>
  <c r="U51" i="42"/>
  <c r="U50" i="42"/>
  <c r="U49" i="42"/>
  <c r="U48" i="42"/>
  <c r="U47" i="42"/>
  <c r="U46" i="42"/>
  <c r="U45" i="42"/>
  <c r="U44" i="42"/>
  <c r="U43" i="42"/>
  <c r="U42" i="42"/>
  <c r="U41" i="42"/>
  <c r="U40" i="42"/>
  <c r="U56" i="43"/>
  <c r="U55" i="43"/>
  <c r="U54" i="43"/>
  <c r="U53" i="43"/>
  <c r="U52" i="43"/>
  <c r="U51" i="43"/>
  <c r="U50" i="43"/>
  <c r="U49" i="43"/>
  <c r="U48" i="43"/>
  <c r="U47" i="43"/>
  <c r="U46" i="43"/>
  <c r="U45" i="43"/>
  <c r="U44" i="43"/>
  <c r="U43" i="43"/>
  <c r="U42" i="43"/>
  <c r="U41" i="43"/>
  <c r="U40" i="43"/>
  <c r="U39" i="43"/>
  <c r="U38" i="43"/>
  <c r="U37" i="43"/>
  <c r="U36" i="43"/>
  <c r="U35" i="43"/>
  <c r="U34" i="43"/>
  <c r="U33" i="43"/>
  <c r="U32" i="43"/>
  <c r="U31" i="43"/>
  <c r="U30" i="43"/>
  <c r="U29" i="43"/>
  <c r="U44" i="66"/>
  <c r="U43" i="66"/>
  <c r="U42" i="66"/>
  <c r="U41" i="66"/>
  <c r="U40" i="66"/>
  <c r="U39" i="66"/>
  <c r="U38" i="66"/>
  <c r="U37" i="66"/>
  <c r="U36" i="66"/>
  <c r="U35" i="66"/>
  <c r="U34" i="66"/>
  <c r="U33" i="66"/>
  <c r="U32" i="66"/>
  <c r="U31" i="66"/>
  <c r="U30" i="66"/>
  <c r="U29" i="66"/>
  <c r="U28" i="66"/>
  <c r="U27" i="66"/>
  <c r="U56" i="44"/>
  <c r="U55" i="44"/>
  <c r="U54" i="44"/>
  <c r="U53" i="44"/>
  <c r="U52" i="44"/>
  <c r="U51" i="44"/>
  <c r="U50" i="44"/>
  <c r="U49" i="44"/>
  <c r="U48" i="44"/>
  <c r="U47" i="44"/>
  <c r="U46" i="44"/>
  <c r="U45" i="44"/>
  <c r="U44" i="44"/>
  <c r="U43" i="44"/>
  <c r="U42" i="44"/>
  <c r="U41" i="44"/>
  <c r="U40" i="44"/>
  <c r="U39" i="44"/>
  <c r="U38" i="44"/>
  <c r="U56" i="45"/>
  <c r="U55" i="45"/>
  <c r="U54" i="45"/>
  <c r="U53" i="45"/>
  <c r="U52" i="45"/>
  <c r="U51" i="45"/>
  <c r="U50" i="45"/>
  <c r="U29" i="55"/>
  <c r="U30" i="55"/>
  <c r="U31" i="55"/>
  <c r="U32" i="55"/>
  <c r="U33" i="55"/>
  <c r="U34" i="55"/>
  <c r="U35" i="55"/>
  <c r="U36" i="55"/>
  <c r="U37" i="55"/>
  <c r="U38" i="55"/>
  <c r="U39" i="55"/>
  <c r="U40" i="55"/>
  <c r="U41" i="55"/>
  <c r="U42" i="55"/>
  <c r="U43" i="55"/>
  <c r="U44" i="55"/>
  <c r="U45" i="55"/>
  <c r="U46" i="55"/>
  <c r="U47" i="55"/>
  <c r="U48" i="55"/>
  <c r="U49" i="55"/>
  <c r="U50" i="55"/>
  <c r="U51" i="55"/>
  <c r="U52" i="55"/>
  <c r="U53" i="55"/>
  <c r="U54" i="55"/>
  <c r="U55" i="55"/>
  <c r="U56" i="55"/>
  <c r="U56" i="31"/>
  <c r="U55" i="31"/>
  <c r="U54" i="31"/>
  <c r="U53" i="31"/>
  <c r="U52" i="31"/>
  <c r="U51" i="31"/>
  <c r="U50" i="31"/>
  <c r="U49" i="31"/>
  <c r="U48" i="31"/>
  <c r="U47" i="31"/>
  <c r="U46" i="31"/>
  <c r="U45" i="31"/>
  <c r="U44" i="31"/>
  <c r="U43" i="31"/>
  <c r="U42" i="31"/>
  <c r="U41" i="31"/>
  <c r="U40" i="31"/>
  <c r="U39" i="31"/>
  <c r="U38" i="31"/>
  <c r="U37" i="31"/>
  <c r="U36" i="31"/>
  <c r="U35" i="31"/>
  <c r="U34" i="31"/>
  <c r="U33" i="31"/>
  <c r="U32" i="31"/>
  <c r="U31" i="31"/>
  <c r="U30" i="31"/>
  <c r="U29" i="31"/>
  <c r="U28" i="31"/>
  <c r="U27" i="31"/>
  <c r="U56" i="32"/>
  <c r="U55" i="32"/>
  <c r="U54" i="32"/>
  <c r="U53" i="32"/>
  <c r="U52" i="32"/>
  <c r="U51" i="32"/>
  <c r="U50" i="32"/>
  <c r="U49" i="32"/>
  <c r="U48" i="32"/>
  <c r="U47" i="32"/>
  <c r="U46" i="32"/>
  <c r="U45" i="32"/>
  <c r="U44" i="32"/>
  <c r="U43" i="32"/>
  <c r="U42" i="32"/>
  <c r="U41" i="32"/>
  <c r="U40" i="32"/>
  <c r="U39" i="32"/>
  <c r="U38" i="32"/>
  <c r="U37" i="32"/>
  <c r="U36" i="32"/>
  <c r="U35" i="32"/>
  <c r="U34" i="32"/>
  <c r="U33" i="32"/>
  <c r="U32" i="32"/>
  <c r="U31" i="32"/>
  <c r="U30" i="32"/>
  <c r="U29" i="32"/>
  <c r="U28" i="32"/>
  <c r="U27" i="32"/>
  <c r="U56" i="34"/>
  <c r="U55" i="34"/>
  <c r="U54" i="34"/>
  <c r="U53" i="34"/>
  <c r="U52" i="34"/>
  <c r="U51" i="34"/>
  <c r="U50" i="34"/>
  <c r="U49" i="34"/>
  <c r="U48" i="34"/>
  <c r="U47" i="34"/>
  <c r="U46" i="34"/>
  <c r="U45" i="34"/>
  <c r="U44" i="34"/>
  <c r="U43" i="34"/>
  <c r="U42" i="34"/>
  <c r="U41" i="34"/>
  <c r="U40" i="34"/>
  <c r="U39" i="34"/>
  <c r="U38" i="34"/>
  <c r="U37" i="34"/>
  <c r="U36" i="34"/>
  <c r="U35" i="34"/>
  <c r="U34" i="34"/>
  <c r="U33" i="34"/>
  <c r="U32" i="34"/>
  <c r="U31" i="34"/>
  <c r="U30" i="34"/>
  <c r="U29" i="34"/>
  <c r="W3" i="22"/>
  <c r="W3" i="21"/>
  <c r="U56" i="22"/>
  <c r="U55" i="22"/>
  <c r="U54" i="22"/>
  <c r="U53" i="22"/>
  <c r="U52" i="22"/>
  <c r="U51" i="22"/>
  <c r="U50" i="22"/>
  <c r="U49" i="22"/>
  <c r="U48" i="22"/>
  <c r="U47" i="22"/>
  <c r="U46" i="22"/>
  <c r="U45" i="22"/>
  <c r="U44" i="22"/>
  <c r="U43" i="22"/>
  <c r="U42" i="22"/>
  <c r="U41" i="22"/>
  <c r="U40" i="22"/>
  <c r="U39" i="22"/>
  <c r="U45" i="64"/>
  <c r="U44" i="64"/>
  <c r="U43" i="64"/>
  <c r="U42" i="64"/>
  <c r="U41" i="64"/>
  <c r="U40" i="64"/>
  <c r="U39" i="64"/>
  <c r="U38" i="64"/>
  <c r="U37" i="64"/>
  <c r="U36" i="64"/>
  <c r="U35" i="64"/>
  <c r="U34" i="64"/>
  <c r="U33" i="64"/>
  <c r="U32" i="64"/>
  <c r="U31" i="64"/>
  <c r="U30" i="64"/>
  <c r="U29" i="64"/>
  <c r="U28" i="64"/>
  <c r="U27" i="64"/>
  <c r="U26" i="64"/>
  <c r="U25" i="64"/>
  <c r="U56" i="21"/>
  <c r="U55" i="21"/>
  <c r="U54" i="21"/>
  <c r="U53" i="21"/>
  <c r="U52" i="21"/>
  <c r="U51" i="21"/>
  <c r="U50" i="21"/>
  <c r="U49" i="21"/>
  <c r="J36" i="21"/>
  <c r="AC76" i="69" l="1"/>
  <c r="AC48" i="67"/>
  <c r="S3" i="60"/>
  <c r="S3" i="4"/>
  <c r="S18" i="50"/>
  <c r="S57" i="41"/>
  <c r="AA75" i="69"/>
  <c r="AB75" i="69" s="1"/>
  <c r="AA63" i="69"/>
  <c r="AB63" i="69" s="1"/>
  <c r="AA50" i="69"/>
  <c r="AB50" i="69" s="1"/>
  <c r="W3" i="63"/>
  <c r="W3" i="13"/>
  <c r="W3" i="11"/>
  <c r="W3" i="12"/>
  <c r="D10" i="14"/>
  <c r="G10" i="14"/>
  <c r="J10" i="14"/>
  <c r="M10" i="14"/>
  <c r="P10" i="14"/>
  <c r="R10" i="14"/>
  <c r="D9" i="14"/>
  <c r="G9" i="14"/>
  <c r="J9" i="14"/>
  <c r="M9" i="14"/>
  <c r="P9" i="14"/>
  <c r="R9" i="14"/>
  <c r="M8" i="51"/>
  <c r="D10" i="51"/>
  <c r="G10" i="51"/>
  <c r="J10" i="51"/>
  <c r="M10" i="51"/>
  <c r="P10" i="51"/>
  <c r="R10" i="51"/>
  <c r="D20" i="51"/>
  <c r="G20" i="51"/>
  <c r="J20" i="51"/>
  <c r="M20" i="51"/>
  <c r="P20" i="51"/>
  <c r="R20" i="51"/>
  <c r="D9" i="2"/>
  <c r="G9" i="2"/>
  <c r="J9" i="2"/>
  <c r="M9" i="2"/>
  <c r="P9" i="2"/>
  <c r="R9" i="2"/>
  <c r="D5" i="2"/>
  <c r="G5" i="2"/>
  <c r="J5" i="2"/>
  <c r="M5" i="2"/>
  <c r="P5" i="2"/>
  <c r="R5" i="2"/>
  <c r="D33" i="2"/>
  <c r="G33" i="2"/>
  <c r="J33" i="2"/>
  <c r="M33" i="2"/>
  <c r="P33" i="2"/>
  <c r="R33" i="2"/>
  <c r="D32" i="2"/>
  <c r="G32" i="2"/>
  <c r="J32" i="2"/>
  <c r="M32" i="2"/>
  <c r="P32" i="2"/>
  <c r="R32" i="2"/>
  <c r="S10" i="14" l="1"/>
  <c r="AC50" i="69"/>
  <c r="AC63" i="69"/>
  <c r="AC75" i="69"/>
  <c r="S9" i="14"/>
  <c r="S10" i="51"/>
  <c r="S20" i="51"/>
  <c r="S9" i="2"/>
  <c r="S5" i="2"/>
  <c r="S33" i="2"/>
  <c r="S32" i="2"/>
  <c r="AA25" i="67" l="1"/>
  <c r="AA72" i="67"/>
  <c r="AC72" i="67" s="1"/>
  <c r="AA68" i="67"/>
  <c r="AB68" i="67" s="1"/>
  <c r="AA44" i="67"/>
  <c r="AA75" i="67"/>
  <c r="AC75" i="67" s="1"/>
  <c r="AA74" i="67"/>
  <c r="AB74" i="67" s="1"/>
  <c r="AA57" i="67"/>
  <c r="AB57" i="67" s="1"/>
  <c r="AC57" i="67"/>
  <c r="AA13" i="67"/>
  <c r="AC44" i="67" l="1"/>
  <c r="U9" i="2"/>
  <c r="AB13" i="67"/>
  <c r="U20" i="51"/>
  <c r="U32" i="2"/>
  <c r="AB44" i="67"/>
  <c r="AC25" i="67"/>
  <c r="U10" i="51"/>
  <c r="U33" i="2"/>
  <c r="AC68" i="67"/>
  <c r="AB72" i="67"/>
  <c r="AB75" i="67"/>
  <c r="AC74" i="67"/>
  <c r="AB25" i="67"/>
  <c r="AC13" i="67"/>
  <c r="AA72" i="71"/>
  <c r="AC72" i="71" s="1"/>
  <c r="AA71" i="71"/>
  <c r="AC71" i="71" s="1"/>
  <c r="AA70" i="71"/>
  <c r="AC70" i="71" s="1"/>
  <c r="AA69" i="71"/>
  <c r="AC69" i="71" s="1"/>
  <c r="AA68" i="71"/>
  <c r="AC68" i="71" s="1"/>
  <c r="AA67" i="71"/>
  <c r="AC67" i="71" s="1"/>
  <c r="AA56" i="71"/>
  <c r="AA65" i="71"/>
  <c r="AC65" i="71" s="1"/>
  <c r="AA23" i="71"/>
  <c r="AA64" i="71"/>
  <c r="AC64" i="71" s="1"/>
  <c r="AA62" i="71"/>
  <c r="AB62" i="71" s="1"/>
  <c r="AA57" i="71"/>
  <c r="AB57" i="71" s="1"/>
  <c r="AA14" i="71"/>
  <c r="AC14" i="71" s="1"/>
  <c r="AA38" i="71"/>
  <c r="AA58" i="71"/>
  <c r="AC58" i="71" s="1"/>
  <c r="AA43" i="71"/>
  <c r="AC43" i="71" s="1"/>
  <c r="AA61" i="71"/>
  <c r="AC61" i="71" s="1"/>
  <c r="AA51" i="71"/>
  <c r="AC51" i="71" s="1"/>
  <c r="AA54" i="71"/>
  <c r="AB54" i="71" s="1"/>
  <c r="AA13" i="71"/>
  <c r="AA19" i="71"/>
  <c r="AA53" i="71"/>
  <c r="AB53" i="71" s="1"/>
  <c r="AA36" i="71"/>
  <c r="AA52" i="71"/>
  <c r="AA29" i="71"/>
  <c r="AC29" i="71" s="1"/>
  <c r="AA33" i="71"/>
  <c r="AC33" i="71" s="1"/>
  <c r="AA55" i="71"/>
  <c r="AA66" i="71"/>
  <c r="AC66" i="71" s="1"/>
  <c r="AA63" i="71"/>
  <c r="AC63" i="71" s="1"/>
  <c r="AA49" i="71"/>
  <c r="AB49" i="71" s="1"/>
  <c r="AA48" i="71"/>
  <c r="AA32" i="71"/>
  <c r="AC32" i="71" s="1"/>
  <c r="AA42" i="71"/>
  <c r="AA30" i="71"/>
  <c r="AC30" i="71" s="1"/>
  <c r="AA50" i="71"/>
  <c r="AA45" i="71"/>
  <c r="AC45" i="71" s="1"/>
  <c r="AA41" i="71"/>
  <c r="AA31" i="71"/>
  <c r="AB31" i="71" s="1"/>
  <c r="AA22" i="71"/>
  <c r="AA18" i="71"/>
  <c r="AA37" i="71"/>
  <c r="AA15" i="71"/>
  <c r="AA25" i="71"/>
  <c r="AA35" i="71"/>
  <c r="AA28" i="71"/>
  <c r="AA60" i="71"/>
  <c r="AB60" i="71" s="1"/>
  <c r="AA7" i="71"/>
  <c r="AA27" i="71"/>
  <c r="AA10" i="71"/>
  <c r="AA44" i="71"/>
  <c r="AC44" i="71" s="1"/>
  <c r="AA34" i="71"/>
  <c r="AA39" i="71"/>
  <c r="AA40" i="71"/>
  <c r="AC40" i="71" s="1"/>
  <c r="AA24" i="71"/>
  <c r="AA16" i="71"/>
  <c r="AA46" i="71"/>
  <c r="AA21" i="71"/>
  <c r="AA5" i="71"/>
  <c r="U30" i="41" s="1"/>
  <c r="AA26" i="71"/>
  <c r="AA9" i="71"/>
  <c r="AA59" i="71"/>
  <c r="AC59" i="71" s="1"/>
  <c r="AA20" i="71"/>
  <c r="AA47" i="71"/>
  <c r="AA17" i="71"/>
  <c r="AA4" i="71"/>
  <c r="AA12" i="71"/>
  <c r="AA6" i="71"/>
  <c r="AA8" i="71"/>
  <c r="AA3" i="71"/>
  <c r="AA11" i="71"/>
  <c r="AB52" i="70"/>
  <c r="AB53" i="70"/>
  <c r="AB54" i="70"/>
  <c r="AB55" i="70"/>
  <c r="AB56" i="70"/>
  <c r="AB57" i="70"/>
  <c r="AB58" i="70"/>
  <c r="AB59" i="70"/>
  <c r="AB60" i="70"/>
  <c r="AB61" i="70"/>
  <c r="AB62" i="70"/>
  <c r="AB63" i="70"/>
  <c r="AB64" i="70"/>
  <c r="AB65" i="70"/>
  <c r="AB66" i="70"/>
  <c r="AB67" i="70"/>
  <c r="AB68" i="70"/>
  <c r="AB69" i="70"/>
  <c r="AB70" i="70"/>
  <c r="AB71" i="70"/>
  <c r="AB72" i="70"/>
  <c r="AA72" i="70"/>
  <c r="AC72" i="70" s="1"/>
  <c r="AA71" i="70"/>
  <c r="AC71" i="70" s="1"/>
  <c r="AA70" i="70"/>
  <c r="AC70" i="70" s="1"/>
  <c r="AA69" i="70"/>
  <c r="AC69" i="70" s="1"/>
  <c r="AA68" i="70"/>
  <c r="AC68" i="70" s="1"/>
  <c r="AA67" i="70"/>
  <c r="AA66" i="70"/>
  <c r="AC66" i="70" s="1"/>
  <c r="AA65" i="70"/>
  <c r="AA64" i="70"/>
  <c r="AC64" i="70" s="1"/>
  <c r="AA63" i="70"/>
  <c r="AC63" i="70" s="1"/>
  <c r="AA62" i="70"/>
  <c r="AC62" i="70" s="1"/>
  <c r="AA61" i="70"/>
  <c r="AC61" i="70" s="1"/>
  <c r="AA60" i="70"/>
  <c r="AC60" i="70" s="1"/>
  <c r="AA59" i="70"/>
  <c r="AC59" i="70" s="1"/>
  <c r="AA58" i="70"/>
  <c r="AC58" i="70" s="1"/>
  <c r="AA57" i="70"/>
  <c r="AA56" i="70"/>
  <c r="AC56" i="70" s="1"/>
  <c r="AA55" i="70"/>
  <c r="AC55" i="70" s="1"/>
  <c r="AA54" i="70"/>
  <c r="AC54" i="70" s="1"/>
  <c r="AA53" i="70"/>
  <c r="AC53" i="70" s="1"/>
  <c r="AA52" i="70"/>
  <c r="AA19" i="70"/>
  <c r="AB19" i="70" s="1"/>
  <c r="AA39" i="70"/>
  <c r="AB39" i="70" s="1"/>
  <c r="AA32" i="70"/>
  <c r="AB32" i="70" s="1"/>
  <c r="AA43" i="70"/>
  <c r="AC43" i="70" s="1"/>
  <c r="AA23" i="70"/>
  <c r="AC23" i="70" s="1"/>
  <c r="AA46" i="70"/>
  <c r="AC46" i="70" s="1"/>
  <c r="AA21" i="70"/>
  <c r="AC21" i="70" s="1"/>
  <c r="AA37" i="70"/>
  <c r="AC37" i="70" s="1"/>
  <c r="AA51" i="70"/>
  <c r="AC51" i="70" s="1"/>
  <c r="AA30" i="70"/>
  <c r="AC30" i="70" s="1"/>
  <c r="AA40" i="70"/>
  <c r="AB40" i="70" s="1"/>
  <c r="AA29" i="70"/>
  <c r="AC29" i="70" s="1"/>
  <c r="AA33" i="70"/>
  <c r="AC33" i="70" s="1"/>
  <c r="AA48" i="70"/>
  <c r="AC48" i="70" s="1"/>
  <c r="AA38" i="70"/>
  <c r="AC38" i="70" s="1"/>
  <c r="AA50" i="70"/>
  <c r="AB50" i="70" s="1"/>
  <c r="AA31" i="70"/>
  <c r="AA20" i="70"/>
  <c r="AC20" i="70" s="1"/>
  <c r="AA24" i="70"/>
  <c r="AB24" i="70" s="1"/>
  <c r="AA36" i="70"/>
  <c r="AC36" i="70" s="1"/>
  <c r="AA28" i="70"/>
  <c r="AC28" i="70" s="1"/>
  <c r="AA12" i="70"/>
  <c r="AB12" i="70" s="1"/>
  <c r="AA26" i="70"/>
  <c r="AB26" i="70" s="1"/>
  <c r="AA44" i="70"/>
  <c r="AC44" i="70" s="1"/>
  <c r="AA4" i="70"/>
  <c r="AC4" i="70" s="1"/>
  <c r="AA45" i="70"/>
  <c r="AB45" i="70" s="1"/>
  <c r="AA17" i="70"/>
  <c r="AB17" i="70" s="1"/>
  <c r="AA34" i="70"/>
  <c r="AC34" i="70" s="1"/>
  <c r="AA25" i="70"/>
  <c r="AC25" i="70" s="1"/>
  <c r="AA14" i="70"/>
  <c r="AC14" i="70" s="1"/>
  <c r="AA22" i="70"/>
  <c r="AC22" i="70" s="1"/>
  <c r="AA13" i="70"/>
  <c r="AB13" i="70" s="1"/>
  <c r="AA18" i="70"/>
  <c r="AB18" i="70" s="1"/>
  <c r="AA9" i="70"/>
  <c r="AA16" i="70"/>
  <c r="AB16" i="70" s="1"/>
  <c r="AA27" i="70"/>
  <c r="AC27" i="70" s="1"/>
  <c r="AA47" i="70"/>
  <c r="AC47" i="70" s="1"/>
  <c r="AA41" i="70"/>
  <c r="AC41" i="70" s="1"/>
  <c r="AA7" i="70"/>
  <c r="AC7" i="70" s="1"/>
  <c r="AA49" i="70"/>
  <c r="AC49" i="70" s="1"/>
  <c r="AA8" i="70"/>
  <c r="AC8" i="70" s="1"/>
  <c r="AA42" i="70"/>
  <c r="AA35" i="70"/>
  <c r="AC35" i="70" s="1"/>
  <c r="AA15" i="70"/>
  <c r="AC15" i="70" s="1"/>
  <c r="AA10" i="70"/>
  <c r="AC10" i="70" s="1"/>
  <c r="AA11" i="70"/>
  <c r="AC11" i="70" s="1"/>
  <c r="AA5" i="70"/>
  <c r="AC5" i="70" s="1"/>
  <c r="AA3" i="70"/>
  <c r="AC3" i="70" s="1"/>
  <c r="AA6" i="70"/>
  <c r="AB6" i="70" s="1"/>
  <c r="AA60" i="69"/>
  <c r="AC60" i="69" s="1"/>
  <c r="AA45" i="69"/>
  <c r="AC45" i="69" s="1"/>
  <c r="AA67" i="69"/>
  <c r="AC67" i="69" s="1"/>
  <c r="AA71" i="69"/>
  <c r="AB71" i="69" s="1"/>
  <c r="AA53" i="69"/>
  <c r="AC53" i="69" s="1"/>
  <c r="AA39" i="69"/>
  <c r="AC39" i="69" s="1"/>
  <c r="AA40" i="69"/>
  <c r="AC40" i="69" s="1"/>
  <c r="AA31" i="69"/>
  <c r="AB31" i="69" s="1"/>
  <c r="AA46" i="69"/>
  <c r="AC46" i="69" s="1"/>
  <c r="AA73" i="69"/>
  <c r="AC73" i="69" s="1"/>
  <c r="AA65" i="69"/>
  <c r="AC65" i="69" s="1"/>
  <c r="AA24" i="69"/>
  <c r="AC24" i="69" s="1"/>
  <c r="AA72" i="69"/>
  <c r="AB72" i="69" s="1"/>
  <c r="AA51" i="69"/>
  <c r="AC51" i="69" s="1"/>
  <c r="AA70" i="69"/>
  <c r="AB70" i="69" s="1"/>
  <c r="AA66" i="69"/>
  <c r="AC66" i="69" s="1"/>
  <c r="AA19" i="69"/>
  <c r="AC19" i="69" s="1"/>
  <c r="AA47" i="69"/>
  <c r="AC47" i="69" s="1"/>
  <c r="AA61" i="69"/>
  <c r="AB61" i="69" s="1"/>
  <c r="AA17" i="69"/>
  <c r="AC17" i="69" s="1"/>
  <c r="AA38" i="69"/>
  <c r="AC38" i="69" s="1"/>
  <c r="AA35" i="69"/>
  <c r="AC35" i="69" s="1"/>
  <c r="AA69" i="69"/>
  <c r="AB69" i="69" s="1"/>
  <c r="AA62" i="69"/>
  <c r="AC62" i="69" s="1"/>
  <c r="AA29" i="69"/>
  <c r="AC29" i="69" s="1"/>
  <c r="AA13" i="69"/>
  <c r="AC13" i="69" s="1"/>
  <c r="AA74" i="69"/>
  <c r="AC74" i="69" s="1"/>
  <c r="AA25" i="69"/>
  <c r="AC25" i="69" s="1"/>
  <c r="AA57" i="69"/>
  <c r="AB57" i="69" s="1"/>
  <c r="AA58" i="69"/>
  <c r="AC58" i="69" s="1"/>
  <c r="AA23" i="69"/>
  <c r="AB23" i="69" s="1"/>
  <c r="AA55" i="69"/>
  <c r="AC55" i="69" s="1"/>
  <c r="AA64" i="69"/>
  <c r="AB64" i="69" s="1"/>
  <c r="AA42" i="69"/>
  <c r="AC42" i="69" s="1"/>
  <c r="AA49" i="69"/>
  <c r="AB49" i="69" s="1"/>
  <c r="AA36" i="69"/>
  <c r="AC36" i="69" s="1"/>
  <c r="AA48" i="69"/>
  <c r="AC48" i="69" s="1"/>
  <c r="AA28" i="69"/>
  <c r="AC28" i="69" s="1"/>
  <c r="AA41" i="69"/>
  <c r="AC41" i="69" s="1"/>
  <c r="AA8" i="69"/>
  <c r="AC8" i="69" s="1"/>
  <c r="AA12" i="69"/>
  <c r="AC12" i="69" s="1"/>
  <c r="AA6" i="69"/>
  <c r="AC6" i="69" s="1"/>
  <c r="AA34" i="69"/>
  <c r="AA52" i="69"/>
  <c r="AC52" i="69" s="1"/>
  <c r="AA33" i="69"/>
  <c r="AB33" i="69" s="1"/>
  <c r="AA37" i="69"/>
  <c r="AC37" i="69" s="1"/>
  <c r="AA21" i="69"/>
  <c r="AB21" i="69" s="1"/>
  <c r="AA27" i="69"/>
  <c r="AC27" i="69" s="1"/>
  <c r="AA26" i="69"/>
  <c r="AB26" i="69" s="1"/>
  <c r="AA18" i="69"/>
  <c r="AC18" i="69" s="1"/>
  <c r="AA22" i="69"/>
  <c r="AB22" i="69" s="1"/>
  <c r="AA68" i="69"/>
  <c r="AB68" i="69" s="1"/>
  <c r="AA20" i="69"/>
  <c r="AC20" i="69" s="1"/>
  <c r="AA44" i="69"/>
  <c r="AC44" i="69" s="1"/>
  <c r="AA56" i="69"/>
  <c r="AC56" i="69" s="1"/>
  <c r="AA16" i="69"/>
  <c r="AB16" i="69" s="1"/>
  <c r="AA4" i="69"/>
  <c r="AC4" i="69" s="1"/>
  <c r="AA32" i="69"/>
  <c r="AC32" i="69" s="1"/>
  <c r="AA43" i="69"/>
  <c r="AB43" i="69" s="1"/>
  <c r="AA54" i="69"/>
  <c r="AC54" i="69" s="1"/>
  <c r="AA14" i="69"/>
  <c r="AC14" i="69" s="1"/>
  <c r="AA11" i="69"/>
  <c r="AC11" i="69" s="1"/>
  <c r="AA9" i="69"/>
  <c r="AB9" i="69" s="1"/>
  <c r="AA7" i="69"/>
  <c r="AC7" i="69" s="1"/>
  <c r="AA59" i="69"/>
  <c r="AB59" i="69" s="1"/>
  <c r="AA10" i="69"/>
  <c r="AC10" i="69" s="1"/>
  <c r="AA3" i="69"/>
  <c r="AB3" i="69" s="1"/>
  <c r="AA30" i="69"/>
  <c r="AB30" i="69" s="1"/>
  <c r="AA5" i="69"/>
  <c r="AB5" i="69" s="1"/>
  <c r="AA15" i="69"/>
  <c r="AC15" i="69" s="1"/>
  <c r="AA72" i="68"/>
  <c r="AC72" i="68" s="1"/>
  <c r="AA71" i="68"/>
  <c r="AC71" i="68" s="1"/>
  <c r="AA70" i="68"/>
  <c r="AC70" i="68" s="1"/>
  <c r="AA69" i="68"/>
  <c r="AC69" i="68" s="1"/>
  <c r="AA68" i="68"/>
  <c r="AC68" i="68" s="1"/>
  <c r="AA67" i="68"/>
  <c r="AB67" i="68" s="1"/>
  <c r="AA66" i="68"/>
  <c r="AC66" i="68" s="1"/>
  <c r="AA65" i="68"/>
  <c r="AC65" i="68" s="1"/>
  <c r="AA64" i="68"/>
  <c r="AC64" i="68" s="1"/>
  <c r="AA63" i="68"/>
  <c r="AC63" i="68" s="1"/>
  <c r="AA58" i="68"/>
  <c r="AA28" i="68"/>
  <c r="AC28" i="68" s="1"/>
  <c r="AA35" i="68"/>
  <c r="AB35" i="68" s="1"/>
  <c r="AA39" i="68"/>
  <c r="AC39" i="68" s="1"/>
  <c r="AA50" i="68"/>
  <c r="AC50" i="68" s="1"/>
  <c r="AA36" i="68"/>
  <c r="AA45" i="68"/>
  <c r="AA24" i="68"/>
  <c r="AA37" i="68"/>
  <c r="AA22" i="68"/>
  <c r="AA41" i="68"/>
  <c r="AA60" i="68"/>
  <c r="AB60" i="68" s="1"/>
  <c r="AA59" i="68"/>
  <c r="AC59" i="68" s="1"/>
  <c r="AA31" i="68"/>
  <c r="AA51" i="68"/>
  <c r="AA46" i="68"/>
  <c r="AA54" i="68"/>
  <c r="AA49" i="68"/>
  <c r="AA61" i="68"/>
  <c r="AC61" i="68" s="1"/>
  <c r="AA21" i="68"/>
  <c r="AA40" i="68"/>
  <c r="AA43" i="68"/>
  <c r="AA29" i="68"/>
  <c r="AA33" i="68"/>
  <c r="AA18" i="68"/>
  <c r="AA47" i="68"/>
  <c r="AB47" i="68" s="1"/>
  <c r="AA17" i="68"/>
  <c r="AA30" i="68"/>
  <c r="AA62" i="68"/>
  <c r="AC62" i="68" s="1"/>
  <c r="AA52" i="68"/>
  <c r="AA56" i="68"/>
  <c r="AA53" i="68"/>
  <c r="AA55" i="68"/>
  <c r="AC55" i="68" s="1"/>
  <c r="AA48" i="68"/>
  <c r="AA19" i="68"/>
  <c r="AA15" i="68"/>
  <c r="AA38" i="68"/>
  <c r="AA42" i="68"/>
  <c r="AA44" i="68"/>
  <c r="AA16" i="68"/>
  <c r="AA27" i="68"/>
  <c r="AA34" i="68"/>
  <c r="AA13" i="68"/>
  <c r="AA11" i="68"/>
  <c r="AA26" i="68"/>
  <c r="AA25" i="68"/>
  <c r="AA6" i="68"/>
  <c r="AA32" i="68"/>
  <c r="AA12" i="68"/>
  <c r="AA3" i="68"/>
  <c r="AA20" i="68"/>
  <c r="AA4" i="68"/>
  <c r="AA14" i="68"/>
  <c r="AA9" i="68"/>
  <c r="AA23" i="68"/>
  <c r="AA57" i="68"/>
  <c r="AA8" i="68"/>
  <c r="AA10" i="68"/>
  <c r="AA5" i="68"/>
  <c r="AA7" i="68"/>
  <c r="AB14" i="67"/>
  <c r="AC52" i="67"/>
  <c r="AA73" i="67"/>
  <c r="AC73" i="67" s="1"/>
  <c r="AA26" i="67"/>
  <c r="AA52" i="67"/>
  <c r="AA18" i="67"/>
  <c r="AA62" i="67"/>
  <c r="AA16" i="67"/>
  <c r="AA66" i="67"/>
  <c r="AC66" i="67" s="1"/>
  <c r="AA50" i="67"/>
  <c r="AA56" i="67"/>
  <c r="AA40" i="67"/>
  <c r="AA20" i="67"/>
  <c r="AA35" i="67"/>
  <c r="AA17" i="67"/>
  <c r="AA53" i="67"/>
  <c r="AC53" i="67" s="1"/>
  <c r="AA7" i="67"/>
  <c r="AA14" i="67"/>
  <c r="AA27" i="67"/>
  <c r="AA6" i="67"/>
  <c r="AA78" i="67"/>
  <c r="AB78" i="67" s="1"/>
  <c r="AA34" i="67"/>
  <c r="AA71" i="67"/>
  <c r="AA8" i="67"/>
  <c r="AC8" i="67" s="1"/>
  <c r="AA9" i="67"/>
  <c r="AA67" i="67"/>
  <c r="AC67" i="67" s="1"/>
  <c r="AA60" i="67"/>
  <c r="AA42" i="67"/>
  <c r="AA15" i="67"/>
  <c r="AA4" i="67"/>
  <c r="AA58" i="67"/>
  <c r="AA46" i="67"/>
  <c r="AA65" i="67"/>
  <c r="AC65" i="67" s="1"/>
  <c r="AA64" i="67"/>
  <c r="AA29" i="67"/>
  <c r="AA33" i="67"/>
  <c r="AA37" i="67"/>
  <c r="AB37" i="67" s="1"/>
  <c r="AA51" i="67"/>
  <c r="AA31" i="67"/>
  <c r="AB31" i="67" s="1"/>
  <c r="AA11" i="67"/>
  <c r="AC11" i="67" s="1"/>
  <c r="AA19" i="67"/>
  <c r="AC19" i="67" s="1"/>
  <c r="AA49" i="67"/>
  <c r="AC49" i="67" s="1"/>
  <c r="AA30" i="67"/>
  <c r="AA3" i="67"/>
  <c r="AA79" i="67"/>
  <c r="AC79" i="67" s="1"/>
  <c r="AA5" i="67"/>
  <c r="AA41" i="67"/>
  <c r="AC41" i="67" s="1"/>
  <c r="AA22" i="67"/>
  <c r="AA63" i="67"/>
  <c r="AC63" i="67" s="1"/>
  <c r="AA55" i="67"/>
  <c r="AC55" i="67" s="1"/>
  <c r="AA69" i="67"/>
  <c r="AA12" i="67"/>
  <c r="AA28" i="67"/>
  <c r="AA59" i="67"/>
  <c r="AA70" i="67"/>
  <c r="AA43" i="67"/>
  <c r="U3" i="4" s="1"/>
  <c r="AA80" i="67"/>
  <c r="AC80" i="67" s="1"/>
  <c r="AA61" i="67"/>
  <c r="AA81" i="67"/>
  <c r="AA23" i="67"/>
  <c r="AA21" i="67"/>
  <c r="AA24" i="67"/>
  <c r="AA38" i="67"/>
  <c r="AA36" i="67"/>
  <c r="AC36" i="67" s="1"/>
  <c r="AA47" i="67"/>
  <c r="AA54" i="67"/>
  <c r="AC54" i="67" s="1"/>
  <c r="AA45" i="67"/>
  <c r="AA32" i="67"/>
  <c r="AA39" i="67"/>
  <c r="AA76" i="67"/>
  <c r="AA77" i="67"/>
  <c r="AB77" i="67" s="1"/>
  <c r="AA10" i="67"/>
  <c r="AC10" i="67" s="1"/>
  <c r="AC50" i="71" l="1"/>
  <c r="U16" i="42"/>
  <c r="AC42" i="70"/>
  <c r="U13" i="41"/>
  <c r="AC9" i="70"/>
  <c r="U56" i="41"/>
  <c r="AB31" i="70"/>
  <c r="U14" i="41"/>
  <c r="AC34" i="69"/>
  <c r="U3" i="24"/>
  <c r="AB58" i="68"/>
  <c r="U53" i="63"/>
  <c r="U37" i="63"/>
  <c r="U47" i="13"/>
  <c r="U48" i="11"/>
  <c r="U52" i="12"/>
  <c r="U54" i="12"/>
  <c r="U55" i="63"/>
  <c r="U52" i="63"/>
  <c r="U36" i="63"/>
  <c r="U46" i="13"/>
  <c r="U53" i="12"/>
  <c r="U49" i="13"/>
  <c r="U51" i="63"/>
  <c r="U35" i="63"/>
  <c r="U45" i="13"/>
  <c r="U46" i="11"/>
  <c r="U49" i="12"/>
  <c r="U50" i="63"/>
  <c r="U34" i="63"/>
  <c r="U44" i="13"/>
  <c r="U45" i="11"/>
  <c r="U55" i="12"/>
  <c r="U43" i="11"/>
  <c r="U48" i="12"/>
  <c r="U49" i="63"/>
  <c r="U33" i="63"/>
  <c r="U43" i="13"/>
  <c r="U44" i="11"/>
  <c r="U56" i="12"/>
  <c r="U47" i="12"/>
  <c r="U51" i="11"/>
  <c r="U48" i="63"/>
  <c r="U32" i="63"/>
  <c r="U42" i="13"/>
  <c r="U47" i="63"/>
  <c r="U31" i="63"/>
  <c r="U41" i="13"/>
  <c r="U42" i="11"/>
  <c r="U41" i="11"/>
  <c r="U52" i="11"/>
  <c r="U50" i="11"/>
  <c r="U46" i="63"/>
  <c r="U56" i="13"/>
  <c r="U40" i="13"/>
  <c r="U45" i="63"/>
  <c r="U55" i="13"/>
  <c r="U56" i="11"/>
  <c r="U40" i="11"/>
  <c r="U56" i="63"/>
  <c r="U39" i="63"/>
  <c r="U44" i="63"/>
  <c r="U54" i="13"/>
  <c r="U55" i="11"/>
  <c r="U45" i="12"/>
  <c r="U51" i="13"/>
  <c r="U43" i="63"/>
  <c r="U53" i="13"/>
  <c r="U54" i="11"/>
  <c r="U46" i="12"/>
  <c r="U41" i="63"/>
  <c r="U42" i="63"/>
  <c r="U52" i="13"/>
  <c r="U53" i="11"/>
  <c r="U40" i="63"/>
  <c r="U50" i="12"/>
  <c r="U54" i="63"/>
  <c r="U38" i="63"/>
  <c r="U48" i="13"/>
  <c r="U49" i="11"/>
  <c r="U51" i="12"/>
  <c r="U47" i="11"/>
  <c r="U50" i="13"/>
  <c r="AC5" i="68"/>
  <c r="U4" i="63"/>
  <c r="U20" i="12"/>
  <c r="U18" i="13"/>
  <c r="U22" i="11"/>
  <c r="AC13" i="68"/>
  <c r="U26" i="13"/>
  <c r="U25" i="11"/>
  <c r="U31" i="12"/>
  <c r="U9" i="63"/>
  <c r="AC17" i="68"/>
  <c r="U11" i="13"/>
  <c r="U3" i="11"/>
  <c r="U18" i="12"/>
  <c r="AC41" i="68"/>
  <c r="U26" i="63"/>
  <c r="U30" i="13"/>
  <c r="AB37" i="68"/>
  <c r="U6" i="11"/>
  <c r="AC44" i="68"/>
  <c r="U21" i="63"/>
  <c r="U38" i="13"/>
  <c r="U11" i="12"/>
  <c r="AC29" i="68"/>
  <c r="U10" i="13"/>
  <c r="U19" i="12"/>
  <c r="U20" i="11"/>
  <c r="AC45" i="68"/>
  <c r="U17" i="63"/>
  <c r="U27" i="11"/>
  <c r="U10" i="14"/>
  <c r="AC18" i="68"/>
  <c r="U5" i="12"/>
  <c r="U32" i="11"/>
  <c r="U23" i="13"/>
  <c r="AB16" i="68"/>
  <c r="U28" i="13"/>
  <c r="U20" i="63"/>
  <c r="U26" i="11"/>
  <c r="U13" i="12"/>
  <c r="AC23" i="68"/>
  <c r="U23" i="12"/>
  <c r="U20" i="13"/>
  <c r="U9" i="11"/>
  <c r="AC9" i="68"/>
  <c r="U3" i="63"/>
  <c r="U22" i="13"/>
  <c r="U12" i="11"/>
  <c r="U33" i="12"/>
  <c r="AC42" i="68"/>
  <c r="U4" i="12"/>
  <c r="AC43" i="68"/>
  <c r="U37" i="13"/>
  <c r="U28" i="12"/>
  <c r="AC36" i="68"/>
  <c r="U29" i="11"/>
  <c r="U30" i="12"/>
  <c r="U9" i="14"/>
  <c r="AC24" i="68"/>
  <c r="U31" i="11"/>
  <c r="U24" i="12"/>
  <c r="U6" i="63"/>
  <c r="U33" i="13"/>
  <c r="AB14" i="68"/>
  <c r="U37" i="12"/>
  <c r="U25" i="13"/>
  <c r="U16" i="63"/>
  <c r="U11" i="11"/>
  <c r="AB38" i="68"/>
  <c r="U5" i="13"/>
  <c r="U23" i="63"/>
  <c r="AC40" i="68"/>
  <c r="U7" i="12"/>
  <c r="AC22" i="68"/>
  <c r="U34" i="11"/>
  <c r="U32" i="13"/>
  <c r="U16" i="12"/>
  <c r="U8" i="63"/>
  <c r="AC33" i="68"/>
  <c r="U35" i="11"/>
  <c r="U8" i="13"/>
  <c r="U14" i="12"/>
  <c r="AB21" i="68"/>
  <c r="U21" i="12"/>
  <c r="U10" i="11"/>
  <c r="U29" i="13"/>
  <c r="U24" i="63"/>
  <c r="AC10" i="68"/>
  <c r="U15" i="11"/>
  <c r="U19" i="13"/>
  <c r="U7" i="63"/>
  <c r="U34" i="12"/>
  <c r="AB20" i="68"/>
  <c r="U13" i="11"/>
  <c r="U3" i="13"/>
  <c r="U15" i="12"/>
  <c r="AB19" i="68"/>
  <c r="U25" i="12"/>
  <c r="U15" i="63"/>
  <c r="U36" i="13"/>
  <c r="U23" i="11"/>
  <c r="AB15" i="68"/>
  <c r="U22" i="12"/>
  <c r="U13" i="13"/>
  <c r="U18" i="11"/>
  <c r="U12" i="63"/>
  <c r="AB3" i="68"/>
  <c r="U5" i="63"/>
  <c r="U27" i="12"/>
  <c r="U24" i="11"/>
  <c r="U15" i="13"/>
  <c r="AB48" i="68"/>
  <c r="U10" i="12"/>
  <c r="U4" i="13"/>
  <c r="U38" i="11"/>
  <c r="AC49" i="68"/>
  <c r="U39" i="13"/>
  <c r="U25" i="63"/>
  <c r="U4" i="11"/>
  <c r="AB54" i="68"/>
  <c r="U39" i="12"/>
  <c r="U5" i="11"/>
  <c r="AC32" i="68"/>
  <c r="U8" i="12"/>
  <c r="U39" i="11"/>
  <c r="AC53" i="68"/>
  <c r="U9" i="13"/>
  <c r="U27" i="63"/>
  <c r="U7" i="11"/>
  <c r="AC46" i="68"/>
  <c r="U12" i="12"/>
  <c r="U29" i="63"/>
  <c r="U31" i="13"/>
  <c r="AC6" i="68"/>
  <c r="U30" i="11"/>
  <c r="U26" i="12"/>
  <c r="U13" i="63"/>
  <c r="U12" i="13"/>
  <c r="AC56" i="68"/>
  <c r="U42" i="12"/>
  <c r="AC51" i="68"/>
  <c r="U6" i="13"/>
  <c r="AC34" i="68"/>
  <c r="U43" i="12"/>
  <c r="U36" i="11"/>
  <c r="AC27" i="68"/>
  <c r="U33" i="11"/>
  <c r="U3" i="12"/>
  <c r="U21" i="13"/>
  <c r="AB57" i="68"/>
  <c r="U44" i="12"/>
  <c r="AB4" i="68"/>
  <c r="U18" i="63"/>
  <c r="U35" i="12"/>
  <c r="U19" i="11"/>
  <c r="U16" i="13"/>
  <c r="AC25" i="68"/>
  <c r="U17" i="11"/>
  <c r="U24" i="13"/>
  <c r="U32" i="12"/>
  <c r="AC52" i="68"/>
  <c r="U7" i="13"/>
  <c r="U9" i="12"/>
  <c r="AC31" i="68"/>
  <c r="U6" i="12"/>
  <c r="U19" i="63"/>
  <c r="U37" i="11"/>
  <c r="AC26" i="68"/>
  <c r="U29" i="12"/>
  <c r="U28" i="63"/>
  <c r="U34" i="13"/>
  <c r="AC8" i="68"/>
  <c r="U38" i="12"/>
  <c r="U16" i="11"/>
  <c r="U22" i="63"/>
  <c r="U14" i="13"/>
  <c r="AC12" i="68"/>
  <c r="U40" i="12"/>
  <c r="U17" i="13"/>
  <c r="U10" i="63"/>
  <c r="U21" i="11"/>
  <c r="AB7" i="68"/>
  <c r="U27" i="13"/>
  <c r="U14" i="11"/>
  <c r="U11" i="63"/>
  <c r="U17" i="12"/>
  <c r="AB11" i="68"/>
  <c r="U14" i="63"/>
  <c r="U8" i="11"/>
  <c r="U35" i="13"/>
  <c r="U36" i="12"/>
  <c r="AB30" i="68"/>
  <c r="U41" i="12"/>
  <c r="U28" i="11"/>
  <c r="U30" i="63"/>
  <c r="AC35" i="67"/>
  <c r="U5" i="2"/>
  <c r="AC22" i="67"/>
  <c r="U28" i="4"/>
  <c r="AC41" i="71"/>
  <c r="AB47" i="71"/>
  <c r="AB48" i="71"/>
  <c r="AC25" i="71"/>
  <c r="AB55" i="71"/>
  <c r="AC46" i="71"/>
  <c r="AC52" i="71"/>
  <c r="AC36" i="71"/>
  <c r="AB11" i="71"/>
  <c r="AC21" i="71"/>
  <c r="AC42" i="71"/>
  <c r="AC17" i="71"/>
  <c r="AC37" i="71"/>
  <c r="AC35" i="71"/>
  <c r="AC34" i="71"/>
  <c r="AB20" i="71"/>
  <c r="AB8" i="71"/>
  <c r="AB7" i="71"/>
  <c r="AB67" i="71"/>
  <c r="AC4" i="71"/>
  <c r="AC27" i="71"/>
  <c r="U3" i="60"/>
  <c r="AB38" i="71"/>
  <c r="AC13" i="71"/>
  <c r="AC3" i="71"/>
  <c r="AC16" i="71"/>
  <c r="U13" i="46"/>
  <c r="AC19" i="71"/>
  <c r="U10" i="46"/>
  <c r="AB24" i="71"/>
  <c r="AC28" i="71"/>
  <c r="AB9" i="71"/>
  <c r="AC6" i="71"/>
  <c r="AC56" i="71"/>
  <c r="U57" i="41"/>
  <c r="AC12" i="71"/>
  <c r="AB39" i="71"/>
  <c r="AC23" i="71"/>
  <c r="U18" i="50"/>
  <c r="AC10" i="71"/>
  <c r="AB26" i="71"/>
  <c r="AC15" i="71"/>
  <c r="AC22" i="71"/>
  <c r="AC18" i="71"/>
  <c r="AC5" i="71"/>
  <c r="AC71" i="69"/>
  <c r="AC72" i="69"/>
  <c r="AB53" i="69"/>
  <c r="AC18" i="67"/>
  <c r="AB54" i="67"/>
  <c r="AB51" i="67"/>
  <c r="AB64" i="67"/>
  <c r="AB26" i="67"/>
  <c r="AB73" i="67"/>
  <c r="AC40" i="67"/>
  <c r="AB76" i="67"/>
  <c r="AB32" i="67"/>
  <c r="AB45" i="67"/>
  <c r="AB29" i="67"/>
  <c r="AB15" i="67"/>
  <c r="AB81" i="67"/>
  <c r="AB34" i="67"/>
  <c r="AB61" i="67"/>
  <c r="AB6" i="67"/>
  <c r="U12" i="8"/>
  <c r="AB59" i="67"/>
  <c r="AB27" i="67"/>
  <c r="AB12" i="67"/>
  <c r="AB69" i="67"/>
  <c r="AB20" i="67"/>
  <c r="AB67" i="67"/>
  <c r="AC20" i="67"/>
  <c r="AB55" i="67"/>
  <c r="AB56" i="67"/>
  <c r="AB21" i="67"/>
  <c r="AB79" i="67"/>
  <c r="AB50" i="67"/>
  <c r="AB60" i="67"/>
  <c r="AC16" i="67"/>
  <c r="AB30" i="67"/>
  <c r="AB18" i="67"/>
  <c r="AB49" i="67"/>
  <c r="AC81" i="67"/>
  <c r="AB33" i="67"/>
  <c r="AC76" i="67"/>
  <c r="AC59" i="67"/>
  <c r="AC51" i="67"/>
  <c r="AC34" i="67"/>
  <c r="AB47" i="67"/>
  <c r="AB63" i="67"/>
  <c r="AB65" i="67"/>
  <c r="AB7" i="67"/>
  <c r="AC77" i="67"/>
  <c r="AC70" i="67"/>
  <c r="AC31" i="67"/>
  <c r="AC71" i="67"/>
  <c r="AC39" i="67"/>
  <c r="AC37" i="67"/>
  <c r="AB36" i="67"/>
  <c r="AB53" i="67"/>
  <c r="AC32" i="67"/>
  <c r="AC12" i="67"/>
  <c r="AC33" i="67"/>
  <c r="AC6" i="67"/>
  <c r="AB41" i="67"/>
  <c r="AB58" i="67"/>
  <c r="AB17" i="67"/>
  <c r="AC58" i="67"/>
  <c r="AC28" i="67"/>
  <c r="AC78" i="67"/>
  <c r="AB22" i="67"/>
  <c r="AB46" i="67"/>
  <c r="AB38" i="67"/>
  <c r="AC45" i="67"/>
  <c r="AC69" i="67"/>
  <c r="AC29" i="67"/>
  <c r="AC27" i="67"/>
  <c r="AB24" i="67"/>
  <c r="AB5" i="67"/>
  <c r="AB4" i="67"/>
  <c r="AB35" i="67"/>
  <c r="U8" i="8"/>
  <c r="AC64" i="67"/>
  <c r="AC14" i="67"/>
  <c r="AC26" i="67"/>
  <c r="AC47" i="67"/>
  <c r="AC7" i="67"/>
  <c r="AB23" i="67"/>
  <c r="AB3" i="67"/>
  <c r="AB42" i="67"/>
  <c r="AB40" i="67"/>
  <c r="AC56" i="67"/>
  <c r="AC5" i="67"/>
  <c r="AB19" i="67"/>
  <c r="AB9" i="67"/>
  <c r="AB66" i="67"/>
  <c r="AC17" i="67"/>
  <c r="AC50" i="67"/>
  <c r="AC21" i="67"/>
  <c r="AC15" i="67"/>
  <c r="AB10" i="67"/>
  <c r="AB43" i="67"/>
  <c r="AB11" i="67"/>
  <c r="AB8" i="67"/>
  <c r="AB16" i="67"/>
  <c r="U3" i="8"/>
  <c r="AC38" i="67"/>
  <c r="AC24" i="67"/>
  <c r="AC4" i="67"/>
  <c r="AB80" i="67"/>
  <c r="AC23" i="67"/>
  <c r="AC3" i="67"/>
  <c r="AC42" i="67"/>
  <c r="AB70" i="67"/>
  <c r="AB71" i="67"/>
  <c r="AB62" i="67"/>
  <c r="AC30" i="67"/>
  <c r="AC60" i="67"/>
  <c r="AC62" i="67"/>
  <c r="AC61" i="67"/>
  <c r="AB39" i="67"/>
  <c r="AB28" i="67"/>
  <c r="AB52" i="67"/>
  <c r="AC46" i="67"/>
  <c r="AC9" i="67"/>
  <c r="AC43" i="67"/>
  <c r="AC57" i="71"/>
  <c r="AC62" i="71"/>
  <c r="AC38" i="71"/>
  <c r="AB61" i="71"/>
  <c r="AB43" i="71"/>
  <c r="AB51" i="71"/>
  <c r="AC54" i="71"/>
  <c r="AC8" i="71"/>
  <c r="AB13" i="71"/>
  <c r="AC53" i="71"/>
  <c r="AB35" i="71"/>
  <c r="AB27" i="71"/>
  <c r="AC24" i="71"/>
  <c r="AB66" i="71"/>
  <c r="AC47" i="71"/>
  <c r="AC39" i="71"/>
  <c r="AC20" i="71"/>
  <c r="AB45" i="71"/>
  <c r="AB50" i="71"/>
  <c r="AC55" i="71"/>
  <c r="AC26" i="71"/>
  <c r="AB44" i="71"/>
  <c r="AC9" i="71"/>
  <c r="AB30" i="71"/>
  <c r="AB12" i="71"/>
  <c r="AB42" i="71"/>
  <c r="AB10" i="71"/>
  <c r="AB37" i="71"/>
  <c r="AB29" i="71"/>
  <c r="AB4" i="71"/>
  <c r="AB21" i="71"/>
  <c r="AB32" i="71"/>
  <c r="AB34" i="71"/>
  <c r="AB25" i="71"/>
  <c r="AB17" i="71"/>
  <c r="AB6" i="71"/>
  <c r="AC7" i="71"/>
  <c r="AC31" i="71"/>
  <c r="AC48" i="71"/>
  <c r="AC11" i="71"/>
  <c r="AC60" i="71"/>
  <c r="AC49" i="71"/>
  <c r="AB3" i="71"/>
  <c r="AB40" i="71"/>
  <c r="AB41" i="71"/>
  <c r="AB19" i="71"/>
  <c r="AB68" i="71"/>
  <c r="AB5" i="71"/>
  <c r="AB15" i="71"/>
  <c r="AB33" i="71"/>
  <c r="AB64" i="71"/>
  <c r="AB58" i="71"/>
  <c r="AB69" i="71"/>
  <c r="AB23" i="71"/>
  <c r="AB70" i="71"/>
  <c r="AB46" i="71"/>
  <c r="AB18" i="71"/>
  <c r="AB52" i="71"/>
  <c r="AB65" i="71"/>
  <c r="AB59" i="71"/>
  <c r="AB28" i="71"/>
  <c r="AB63" i="71"/>
  <c r="AB14" i="71"/>
  <c r="AB71" i="71"/>
  <c r="AB16" i="71"/>
  <c r="AB22" i="71"/>
  <c r="AB36" i="71"/>
  <c r="AB56" i="71"/>
  <c r="AB72" i="71"/>
  <c r="AB43" i="70"/>
  <c r="AB23" i="70"/>
  <c r="AB46" i="70"/>
  <c r="AB21" i="70"/>
  <c r="AB37" i="70"/>
  <c r="AB51" i="70"/>
  <c r="AB30" i="70"/>
  <c r="AB29" i="70"/>
  <c r="AB33" i="70"/>
  <c r="AB48" i="70"/>
  <c r="AB38" i="70"/>
  <c r="AB20" i="70"/>
  <c r="AB36" i="70"/>
  <c r="AB28" i="70"/>
  <c r="AB44" i="70"/>
  <c r="AB4" i="70"/>
  <c r="AB34" i="70"/>
  <c r="AB25" i="70"/>
  <c r="AB14" i="70"/>
  <c r="AB22" i="70"/>
  <c r="AB27" i="70"/>
  <c r="AB9" i="70"/>
  <c r="AB47" i="70"/>
  <c r="AB7" i="70"/>
  <c r="AB49" i="70"/>
  <c r="AB8" i="70"/>
  <c r="AB42" i="70"/>
  <c r="AB35" i="70"/>
  <c r="AB15" i="70"/>
  <c r="AB10" i="70"/>
  <c r="AB11" i="70"/>
  <c r="AB5" i="70"/>
  <c r="AB3" i="70"/>
  <c r="AB41" i="70"/>
  <c r="AC16" i="70"/>
  <c r="AC18" i="70"/>
  <c r="AC31" i="70"/>
  <c r="AC32" i="70"/>
  <c r="AC39" i="70"/>
  <c r="AC12" i="70"/>
  <c r="AC24" i="70"/>
  <c r="AC19" i="70"/>
  <c r="AC65" i="70"/>
  <c r="AC6" i="70"/>
  <c r="AC67" i="70"/>
  <c r="AC13" i="70"/>
  <c r="AC50" i="70"/>
  <c r="AC52" i="70"/>
  <c r="AC17" i="70"/>
  <c r="AC45" i="70"/>
  <c r="AC40" i="70"/>
  <c r="AC57" i="70"/>
  <c r="AC26" i="70"/>
  <c r="AB39" i="69"/>
  <c r="AC31" i="69"/>
  <c r="AC70" i="69"/>
  <c r="AB66" i="69"/>
  <c r="AC61" i="69"/>
  <c r="AB36" i="69"/>
  <c r="AC57" i="69"/>
  <c r="AB44" i="69"/>
  <c r="AC3" i="69"/>
  <c r="AB28" i="69"/>
  <c r="AC9" i="69"/>
  <c r="AC16" i="69"/>
  <c r="AB38" i="69"/>
  <c r="AC21" i="69"/>
  <c r="AB62" i="69"/>
  <c r="AC68" i="69"/>
  <c r="AC30" i="69"/>
  <c r="AC22" i="69"/>
  <c r="AC64" i="69"/>
  <c r="AB15" i="69"/>
  <c r="AC43" i="69"/>
  <c r="AB8" i="69"/>
  <c r="AB55" i="69"/>
  <c r="AC26" i="69"/>
  <c r="AB35" i="69"/>
  <c r="AC33" i="69"/>
  <c r="AC59" i="69"/>
  <c r="AB27" i="69"/>
  <c r="AC23" i="69"/>
  <c r="AB14" i="69"/>
  <c r="AB7" i="69"/>
  <c r="AB17" i="69"/>
  <c r="AC49" i="69"/>
  <c r="AB34" i="69"/>
  <c r="AB74" i="69"/>
  <c r="AB65" i="69"/>
  <c r="AB45" i="69"/>
  <c r="AB20" i="69"/>
  <c r="AB48" i="69"/>
  <c r="AC5" i="69"/>
  <c r="AB32" i="69"/>
  <c r="AB6" i="69"/>
  <c r="AB13" i="69"/>
  <c r="AB73" i="69"/>
  <c r="AB4" i="69"/>
  <c r="AB12" i="69"/>
  <c r="AB29" i="69"/>
  <c r="AB46" i="69"/>
  <c r="AB11" i="69"/>
  <c r="AB37" i="69"/>
  <c r="AB58" i="69"/>
  <c r="AB51" i="69"/>
  <c r="AB67" i="69"/>
  <c r="AB10" i="69"/>
  <c r="AB18" i="69"/>
  <c r="AB47" i="69"/>
  <c r="AB40" i="69"/>
  <c r="AB54" i="69"/>
  <c r="AB52" i="69"/>
  <c r="AC69" i="69"/>
  <c r="AB42" i="69"/>
  <c r="AB56" i="69"/>
  <c r="AB41" i="69"/>
  <c r="AB25" i="69"/>
  <c r="AB24" i="69"/>
  <c r="AB19" i="69"/>
  <c r="AB60" i="69"/>
  <c r="AB8" i="68"/>
  <c r="AB34" i="68"/>
  <c r="AC37" i="68"/>
  <c r="AB45" i="68"/>
  <c r="AC35" i="68"/>
  <c r="AC16" i="68"/>
  <c r="AB12" i="68"/>
  <c r="AC47" i="68"/>
  <c r="AC15" i="68"/>
  <c r="AC3" i="68"/>
  <c r="AC19" i="68"/>
  <c r="AB33" i="68"/>
  <c r="AC54" i="68"/>
  <c r="AB55" i="68"/>
  <c r="AC14" i="68"/>
  <c r="AB22" i="68"/>
  <c r="AB43" i="68"/>
  <c r="AB29" i="68"/>
  <c r="AB23" i="68"/>
  <c r="AB42" i="68"/>
  <c r="AC58" i="68"/>
  <c r="AB9" i="68"/>
  <c r="AC38" i="68"/>
  <c r="AC21" i="68"/>
  <c r="AB63" i="68"/>
  <c r="AB44" i="68"/>
  <c r="AB24" i="68"/>
  <c r="AB18" i="68"/>
  <c r="AB56" i="68"/>
  <c r="AC4" i="68"/>
  <c r="AB10" i="68"/>
  <c r="AC20" i="68"/>
  <c r="AB27" i="68"/>
  <c r="AC48" i="68"/>
  <c r="AC57" i="68"/>
  <c r="AB36" i="68"/>
  <c r="AC7" i="68"/>
  <c r="AC11" i="68"/>
  <c r="AC30" i="68"/>
  <c r="AC60" i="68"/>
  <c r="AC67" i="68"/>
  <c r="AB5" i="68"/>
  <c r="AB13" i="68"/>
  <c r="AB17" i="68"/>
  <c r="AB41" i="68"/>
  <c r="AB68" i="68"/>
  <c r="AB32" i="68"/>
  <c r="AB53" i="68"/>
  <c r="AB46" i="68"/>
  <c r="AB40" i="68"/>
  <c r="AB50" i="68"/>
  <c r="AB69" i="68"/>
  <c r="AB6" i="68"/>
  <c r="AB51" i="68"/>
  <c r="AB64" i="68"/>
  <c r="AB39" i="68"/>
  <c r="AB70" i="68"/>
  <c r="AB25" i="68"/>
  <c r="AB52" i="68"/>
  <c r="AB31" i="68"/>
  <c r="AB65" i="68"/>
  <c r="AB61" i="68"/>
  <c r="AB71" i="68"/>
  <c r="AB26" i="68"/>
  <c r="AB62" i="68"/>
  <c r="AB59" i="68"/>
  <c r="AB66" i="68"/>
  <c r="AB49" i="68"/>
  <c r="AB28" i="68"/>
  <c r="AB72" i="68"/>
  <c r="D25" i="66"/>
  <c r="G25" i="66"/>
  <c r="J25" i="66"/>
  <c r="M25" i="66"/>
  <c r="P25" i="66"/>
  <c r="R25" i="66"/>
  <c r="U25" i="66" s="1"/>
  <c r="R7" i="66"/>
  <c r="U7" i="66" s="1"/>
  <c r="P7" i="66"/>
  <c r="M7" i="66"/>
  <c r="J7" i="66"/>
  <c r="G7" i="66"/>
  <c r="D7" i="66"/>
  <c r="R23" i="66"/>
  <c r="U23" i="66" s="1"/>
  <c r="P23" i="66"/>
  <c r="M23" i="66"/>
  <c r="J23" i="66"/>
  <c r="G23" i="66"/>
  <c r="D23" i="66"/>
  <c r="R6" i="66"/>
  <c r="U6" i="66" s="1"/>
  <c r="P6" i="66"/>
  <c r="M6" i="66"/>
  <c r="J6" i="66"/>
  <c r="G6" i="66"/>
  <c r="D6" i="66"/>
  <c r="R5" i="66"/>
  <c r="U5" i="66" s="1"/>
  <c r="P5" i="66"/>
  <c r="M5" i="66"/>
  <c r="J5" i="66"/>
  <c r="G5" i="66"/>
  <c r="D5" i="66"/>
  <c r="R3" i="66"/>
  <c r="U3" i="66" s="1"/>
  <c r="P3" i="66"/>
  <c r="M3" i="66"/>
  <c r="J3" i="66"/>
  <c r="G3" i="66"/>
  <c r="D3" i="66"/>
  <c r="R4" i="66"/>
  <c r="U4" i="66" s="1"/>
  <c r="P4" i="66"/>
  <c r="M4" i="66"/>
  <c r="J4" i="66"/>
  <c r="G4" i="66"/>
  <c r="D4" i="66"/>
  <c r="R8" i="66"/>
  <c r="U8" i="66" s="1"/>
  <c r="P8" i="66"/>
  <c r="M8" i="66"/>
  <c r="J8" i="66"/>
  <c r="G8" i="66"/>
  <c r="D8" i="66"/>
  <c r="R24" i="66"/>
  <c r="U24" i="66" s="1"/>
  <c r="P24" i="66"/>
  <c r="M24" i="66"/>
  <c r="J24" i="66"/>
  <c r="G24" i="66"/>
  <c r="D24" i="66"/>
  <c r="R12" i="66"/>
  <c r="U12" i="66" s="1"/>
  <c r="P12" i="66"/>
  <c r="M12" i="66"/>
  <c r="J12" i="66"/>
  <c r="G12" i="66"/>
  <c r="D12" i="66"/>
  <c r="R17" i="66"/>
  <c r="U17" i="66" s="1"/>
  <c r="P17" i="66"/>
  <c r="M17" i="66"/>
  <c r="J17" i="66"/>
  <c r="G17" i="66"/>
  <c r="D17" i="66"/>
  <c r="R9" i="66"/>
  <c r="U9" i="66" s="1"/>
  <c r="P9" i="66"/>
  <c r="M9" i="66"/>
  <c r="J9" i="66"/>
  <c r="G9" i="66"/>
  <c r="D9" i="66"/>
  <c r="R26" i="66"/>
  <c r="U26" i="66" s="1"/>
  <c r="P26" i="66"/>
  <c r="M26" i="66"/>
  <c r="J26" i="66"/>
  <c r="G26" i="66"/>
  <c r="D26" i="66"/>
  <c r="R11" i="66"/>
  <c r="U11" i="66" s="1"/>
  <c r="P11" i="66"/>
  <c r="M11" i="66"/>
  <c r="J11" i="66"/>
  <c r="G11" i="66"/>
  <c r="D11" i="66"/>
  <c r="R22" i="66"/>
  <c r="U22" i="66" s="1"/>
  <c r="P22" i="66"/>
  <c r="M22" i="66"/>
  <c r="J22" i="66"/>
  <c r="G22" i="66"/>
  <c r="D22" i="66"/>
  <c r="R18" i="66"/>
  <c r="U18" i="66" s="1"/>
  <c r="P18" i="66"/>
  <c r="M18" i="66"/>
  <c r="J18" i="66"/>
  <c r="G18" i="66"/>
  <c r="D18" i="66"/>
  <c r="R20" i="66"/>
  <c r="U20" i="66" s="1"/>
  <c r="P20" i="66"/>
  <c r="M20" i="66"/>
  <c r="J20" i="66"/>
  <c r="G20" i="66"/>
  <c r="D20" i="66"/>
  <c r="R14" i="66"/>
  <c r="U14" i="66" s="1"/>
  <c r="P14" i="66"/>
  <c r="M14" i="66"/>
  <c r="J14" i="66"/>
  <c r="G14" i="66"/>
  <c r="D14" i="66"/>
  <c r="R10" i="66"/>
  <c r="U10" i="66" s="1"/>
  <c r="P10" i="66"/>
  <c r="M10" i="66"/>
  <c r="J10" i="66"/>
  <c r="G10" i="66"/>
  <c r="D10" i="66"/>
  <c r="R15" i="66"/>
  <c r="U15" i="66" s="1"/>
  <c r="P15" i="66"/>
  <c r="M15" i="66"/>
  <c r="J15" i="66"/>
  <c r="G15" i="66"/>
  <c r="D15" i="66"/>
  <c r="R21" i="66"/>
  <c r="U21" i="66" s="1"/>
  <c r="P21" i="66"/>
  <c r="M21" i="66"/>
  <c r="J21" i="66"/>
  <c r="G21" i="66"/>
  <c r="D21" i="66"/>
  <c r="R16" i="66"/>
  <c r="U16" i="66" s="1"/>
  <c r="P16" i="66"/>
  <c r="M16" i="66"/>
  <c r="J16" i="66"/>
  <c r="G16" i="66"/>
  <c r="D16" i="66"/>
  <c r="R19" i="66"/>
  <c r="U19" i="66" s="1"/>
  <c r="P19" i="66"/>
  <c r="M19" i="66"/>
  <c r="J19" i="66"/>
  <c r="G19" i="66"/>
  <c r="D19" i="66"/>
  <c r="R13" i="66"/>
  <c r="U13" i="66" s="1"/>
  <c r="P13" i="66"/>
  <c r="M13" i="66"/>
  <c r="J13" i="66"/>
  <c r="G13" i="66"/>
  <c r="D13" i="66"/>
  <c r="D28" i="42"/>
  <c r="G28" i="42"/>
  <c r="J28" i="42"/>
  <c r="M28" i="42"/>
  <c r="P28" i="42"/>
  <c r="R28" i="42"/>
  <c r="U28" i="42" s="1"/>
  <c r="D18" i="43"/>
  <c r="G18" i="43"/>
  <c r="J18" i="43"/>
  <c r="M18" i="43"/>
  <c r="P18" i="43"/>
  <c r="R18" i="43"/>
  <c r="U18" i="43" s="1"/>
  <c r="D34" i="44"/>
  <c r="G34" i="44"/>
  <c r="J34" i="44"/>
  <c r="M34" i="44"/>
  <c r="P34" i="44"/>
  <c r="R34" i="44"/>
  <c r="U34" i="44" s="1"/>
  <c r="D4" i="45"/>
  <c r="G4" i="45"/>
  <c r="J4" i="45"/>
  <c r="M4" i="45"/>
  <c r="P4" i="45"/>
  <c r="R4" i="45"/>
  <c r="U4" i="45" s="1"/>
  <c r="D44" i="45"/>
  <c r="G44" i="45"/>
  <c r="J44" i="45"/>
  <c r="M44" i="45"/>
  <c r="P44" i="45"/>
  <c r="R44" i="45"/>
  <c r="U44" i="45" s="1"/>
  <c r="D5" i="45"/>
  <c r="G5" i="45"/>
  <c r="J5" i="45"/>
  <c r="M5" i="45"/>
  <c r="P5" i="45"/>
  <c r="R5" i="45"/>
  <c r="U5" i="45" s="1"/>
  <c r="D47" i="45"/>
  <c r="G47" i="45"/>
  <c r="J47" i="45"/>
  <c r="M47" i="45"/>
  <c r="P47" i="45"/>
  <c r="R47" i="45"/>
  <c r="U47" i="45" s="1"/>
  <c r="D4" i="65"/>
  <c r="S54" i="65"/>
  <c r="R54" i="65"/>
  <c r="U54" i="65" s="1"/>
  <c r="P54" i="65"/>
  <c r="R53" i="65"/>
  <c r="U53" i="65" s="1"/>
  <c r="P53" i="65"/>
  <c r="R52" i="65"/>
  <c r="U52" i="65" s="1"/>
  <c r="P52" i="65"/>
  <c r="S52" i="65" s="1"/>
  <c r="R51" i="65"/>
  <c r="U51" i="65" s="1"/>
  <c r="P51" i="65"/>
  <c r="S51" i="65" s="1"/>
  <c r="R50" i="65"/>
  <c r="U50" i="65" s="1"/>
  <c r="P50" i="65"/>
  <c r="S50" i="65" s="1"/>
  <c r="R49" i="65"/>
  <c r="U49" i="65" s="1"/>
  <c r="P49" i="65"/>
  <c r="R48" i="65"/>
  <c r="P48" i="65"/>
  <c r="R47" i="65"/>
  <c r="U47" i="65" s="1"/>
  <c r="P47" i="65"/>
  <c r="R46" i="65"/>
  <c r="U46" i="65" s="1"/>
  <c r="P46" i="65"/>
  <c r="S46" i="65" s="1"/>
  <c r="R45" i="65"/>
  <c r="U45" i="65" s="1"/>
  <c r="P45" i="65"/>
  <c r="R44" i="65"/>
  <c r="U44" i="65" s="1"/>
  <c r="P44" i="65"/>
  <c r="R43" i="65"/>
  <c r="U43" i="65" s="1"/>
  <c r="P43" i="65"/>
  <c r="S43" i="65" s="1"/>
  <c r="R42" i="65"/>
  <c r="U42" i="65" s="1"/>
  <c r="P42" i="65"/>
  <c r="R41" i="65"/>
  <c r="P41" i="65"/>
  <c r="R40" i="65"/>
  <c r="U40" i="65" s="1"/>
  <c r="P40" i="65"/>
  <c r="S39" i="65"/>
  <c r="R39" i="65"/>
  <c r="U39" i="65" s="1"/>
  <c r="P39" i="65"/>
  <c r="R38" i="65"/>
  <c r="U38" i="65" s="1"/>
  <c r="P38" i="65"/>
  <c r="S38" i="65" s="1"/>
  <c r="R37" i="65"/>
  <c r="U37" i="65" s="1"/>
  <c r="P37" i="65"/>
  <c r="R36" i="65"/>
  <c r="U36" i="65" s="1"/>
  <c r="P36" i="65"/>
  <c r="S36" i="65" s="1"/>
  <c r="R35" i="65"/>
  <c r="U35" i="65" s="1"/>
  <c r="P35" i="65"/>
  <c r="M35" i="65"/>
  <c r="S35" i="65" s="1"/>
  <c r="J35" i="65"/>
  <c r="G35" i="65"/>
  <c r="D35" i="65"/>
  <c r="R34" i="65"/>
  <c r="U34" i="65" s="1"/>
  <c r="P34" i="65"/>
  <c r="M34" i="65"/>
  <c r="J34" i="65"/>
  <c r="G34" i="65"/>
  <c r="D34" i="65"/>
  <c r="R33" i="65"/>
  <c r="U33" i="65" s="1"/>
  <c r="P33" i="65"/>
  <c r="M33" i="65"/>
  <c r="J33" i="65"/>
  <c r="G33" i="65"/>
  <c r="D33" i="65"/>
  <c r="S33" i="65" s="1"/>
  <c r="R32" i="65"/>
  <c r="U32" i="65" s="1"/>
  <c r="P32" i="65"/>
  <c r="M32" i="65"/>
  <c r="J32" i="65"/>
  <c r="G32" i="65"/>
  <c r="D32" i="65"/>
  <c r="R31" i="65"/>
  <c r="U31" i="65" s="1"/>
  <c r="P31" i="65"/>
  <c r="M31" i="65"/>
  <c r="J31" i="65"/>
  <c r="G31" i="65"/>
  <c r="D31" i="65"/>
  <c r="S31" i="65" s="1"/>
  <c r="R30" i="65"/>
  <c r="U30" i="65" s="1"/>
  <c r="P30" i="65"/>
  <c r="M30" i="65"/>
  <c r="J30" i="65"/>
  <c r="G30" i="65"/>
  <c r="D30" i="65"/>
  <c r="R24" i="65"/>
  <c r="U24" i="65" s="1"/>
  <c r="P24" i="65"/>
  <c r="M24" i="65"/>
  <c r="J24" i="65"/>
  <c r="G24" i="65"/>
  <c r="D24" i="65"/>
  <c r="R11" i="65"/>
  <c r="P11" i="65"/>
  <c r="M11" i="65"/>
  <c r="J11" i="65"/>
  <c r="G11" i="65"/>
  <c r="D11" i="65"/>
  <c r="R29" i="65"/>
  <c r="U29" i="65" s="1"/>
  <c r="P29" i="65"/>
  <c r="M29" i="65"/>
  <c r="J29" i="65"/>
  <c r="G29" i="65"/>
  <c r="D29" i="65"/>
  <c r="R14" i="65"/>
  <c r="U14" i="65" s="1"/>
  <c r="P14" i="65"/>
  <c r="M14" i="65"/>
  <c r="J14" i="65"/>
  <c r="G14" i="65"/>
  <c r="D14" i="65"/>
  <c r="R3" i="65"/>
  <c r="U3" i="65" s="1"/>
  <c r="P3" i="65"/>
  <c r="M3" i="65"/>
  <c r="J3" i="65"/>
  <c r="G3" i="65"/>
  <c r="D3" i="65"/>
  <c r="R28" i="65"/>
  <c r="U28" i="65" s="1"/>
  <c r="P28" i="65"/>
  <c r="M28" i="65"/>
  <c r="J28" i="65"/>
  <c r="G28" i="65"/>
  <c r="D28" i="65"/>
  <c r="R27" i="65"/>
  <c r="U27" i="65" s="1"/>
  <c r="P27" i="65"/>
  <c r="M27" i="65"/>
  <c r="J27" i="65"/>
  <c r="G27" i="65"/>
  <c r="D27" i="65"/>
  <c r="R26" i="65"/>
  <c r="U26" i="65" s="1"/>
  <c r="P26" i="65"/>
  <c r="M26" i="65"/>
  <c r="J26" i="65"/>
  <c r="G26" i="65"/>
  <c r="D26" i="65"/>
  <c r="R22" i="65"/>
  <c r="P22" i="65"/>
  <c r="M22" i="65"/>
  <c r="J22" i="65"/>
  <c r="G22" i="65"/>
  <c r="D22" i="65"/>
  <c r="R25" i="65"/>
  <c r="U25" i="65" s="1"/>
  <c r="P25" i="65"/>
  <c r="M25" i="65"/>
  <c r="J25" i="65"/>
  <c r="G25" i="65"/>
  <c r="D25" i="65"/>
  <c r="R23" i="65"/>
  <c r="U23" i="65" s="1"/>
  <c r="P23" i="65"/>
  <c r="M23" i="65"/>
  <c r="J23" i="65"/>
  <c r="G23" i="65"/>
  <c r="D23" i="65"/>
  <c r="R15" i="65"/>
  <c r="U15" i="65" s="1"/>
  <c r="P15" i="65"/>
  <c r="M15" i="65"/>
  <c r="J15" i="65"/>
  <c r="G15" i="65"/>
  <c r="D15" i="65"/>
  <c r="R13" i="65"/>
  <c r="U13" i="65" s="1"/>
  <c r="P13" i="65"/>
  <c r="M13" i="65"/>
  <c r="J13" i="65"/>
  <c r="G13" i="65"/>
  <c r="D13" i="65"/>
  <c r="R21" i="65"/>
  <c r="U21" i="65" s="1"/>
  <c r="P21" i="65"/>
  <c r="M21" i="65"/>
  <c r="J21" i="65"/>
  <c r="G21" i="65"/>
  <c r="D21" i="65"/>
  <c r="R9" i="65"/>
  <c r="U9" i="65" s="1"/>
  <c r="P9" i="65"/>
  <c r="M9" i="65"/>
  <c r="J9" i="65"/>
  <c r="G9" i="65"/>
  <c r="D9" i="65"/>
  <c r="R18" i="65"/>
  <c r="U18" i="65" s="1"/>
  <c r="P18" i="65"/>
  <c r="M18" i="65"/>
  <c r="J18" i="65"/>
  <c r="G18" i="65"/>
  <c r="D18" i="65"/>
  <c r="R5" i="65"/>
  <c r="U5" i="65" s="1"/>
  <c r="P5" i="65"/>
  <c r="M5" i="65"/>
  <c r="J5" i="65"/>
  <c r="G5" i="65"/>
  <c r="D5" i="65"/>
  <c r="R7" i="65"/>
  <c r="U7" i="65" s="1"/>
  <c r="P7" i="65"/>
  <c r="M7" i="65"/>
  <c r="J7" i="65"/>
  <c r="G7" i="65"/>
  <c r="D7" i="65"/>
  <c r="R4" i="65"/>
  <c r="U4" i="65" s="1"/>
  <c r="P4" i="65"/>
  <c r="M4" i="65"/>
  <c r="J4" i="65"/>
  <c r="G4" i="65"/>
  <c r="R17" i="65"/>
  <c r="U17" i="65" s="1"/>
  <c r="P17" i="65"/>
  <c r="M17" i="65"/>
  <c r="J17" i="65"/>
  <c r="G17" i="65"/>
  <c r="D17" i="65"/>
  <c r="R19" i="65"/>
  <c r="U19" i="65" s="1"/>
  <c r="P19" i="65"/>
  <c r="M19" i="65"/>
  <c r="J19" i="65"/>
  <c r="G19" i="65"/>
  <c r="D19" i="65"/>
  <c r="R16" i="65"/>
  <c r="U16" i="65" s="1"/>
  <c r="P16" i="65"/>
  <c r="M16" i="65"/>
  <c r="J16" i="65"/>
  <c r="G16" i="65"/>
  <c r="D16" i="65"/>
  <c r="R12" i="65"/>
  <c r="U12" i="65" s="1"/>
  <c r="P12" i="65"/>
  <c r="M12" i="65"/>
  <c r="J12" i="65"/>
  <c r="G12" i="65"/>
  <c r="D12" i="65"/>
  <c r="R8" i="65"/>
  <c r="U8" i="65" s="1"/>
  <c r="P8" i="65"/>
  <c r="M8" i="65"/>
  <c r="J8" i="65"/>
  <c r="G8" i="65"/>
  <c r="D8" i="65"/>
  <c r="R20" i="65"/>
  <c r="U20" i="65" s="1"/>
  <c r="P20" i="65"/>
  <c r="M20" i="65"/>
  <c r="J20" i="65"/>
  <c r="G20" i="65"/>
  <c r="D20" i="65"/>
  <c r="R6" i="65"/>
  <c r="U6" i="65" s="1"/>
  <c r="P6" i="65"/>
  <c r="M6" i="65"/>
  <c r="J6" i="65"/>
  <c r="G6" i="65"/>
  <c r="D6" i="65"/>
  <c r="R10" i="65"/>
  <c r="U10" i="65" s="1"/>
  <c r="P10" i="65"/>
  <c r="M10" i="65"/>
  <c r="J10" i="65"/>
  <c r="G10" i="65"/>
  <c r="D10" i="65"/>
  <c r="R13" i="64"/>
  <c r="U13" i="64" s="1"/>
  <c r="P13" i="64"/>
  <c r="M13" i="64"/>
  <c r="J13" i="64"/>
  <c r="G13" i="64"/>
  <c r="D13" i="64"/>
  <c r="R16" i="64"/>
  <c r="U16" i="64" s="1"/>
  <c r="P16" i="64"/>
  <c r="M16" i="64"/>
  <c r="J16" i="64"/>
  <c r="G16" i="64"/>
  <c r="D16" i="64"/>
  <c r="R23" i="64"/>
  <c r="U23" i="64" s="1"/>
  <c r="P23" i="64"/>
  <c r="M23" i="64"/>
  <c r="J23" i="64"/>
  <c r="G23" i="64"/>
  <c r="D23" i="64"/>
  <c r="R22" i="64"/>
  <c r="U22" i="64" s="1"/>
  <c r="P22" i="64"/>
  <c r="M22" i="64"/>
  <c r="J22" i="64"/>
  <c r="G22" i="64"/>
  <c r="D22" i="64"/>
  <c r="R11" i="64"/>
  <c r="U11" i="64" s="1"/>
  <c r="P11" i="64"/>
  <c r="M11" i="64"/>
  <c r="J11" i="64"/>
  <c r="G11" i="64"/>
  <c r="D11" i="64"/>
  <c r="R12" i="64"/>
  <c r="U12" i="64" s="1"/>
  <c r="P12" i="64"/>
  <c r="M12" i="64"/>
  <c r="J12" i="64"/>
  <c r="G12" i="64"/>
  <c r="D12" i="64"/>
  <c r="R17" i="64"/>
  <c r="U17" i="64" s="1"/>
  <c r="P17" i="64"/>
  <c r="M17" i="64"/>
  <c r="J17" i="64"/>
  <c r="G17" i="64"/>
  <c r="D17" i="64"/>
  <c r="R14" i="64"/>
  <c r="U14" i="64" s="1"/>
  <c r="P14" i="64"/>
  <c r="M14" i="64"/>
  <c r="J14" i="64"/>
  <c r="G14" i="64"/>
  <c r="D14" i="64"/>
  <c r="R5" i="64"/>
  <c r="U5" i="64" s="1"/>
  <c r="P5" i="64"/>
  <c r="M5" i="64"/>
  <c r="J5" i="64"/>
  <c r="G5" i="64"/>
  <c r="D5" i="64"/>
  <c r="R19" i="64"/>
  <c r="U19" i="64" s="1"/>
  <c r="P19" i="64"/>
  <c r="M19" i="64"/>
  <c r="J19" i="64"/>
  <c r="G19" i="64"/>
  <c r="D19" i="64"/>
  <c r="R3" i="64"/>
  <c r="U3" i="64" s="1"/>
  <c r="P3" i="64"/>
  <c r="M3" i="64"/>
  <c r="J3" i="64"/>
  <c r="G3" i="64"/>
  <c r="D3" i="64"/>
  <c r="R18" i="64"/>
  <c r="U18" i="64" s="1"/>
  <c r="P18" i="64"/>
  <c r="M18" i="64"/>
  <c r="J18" i="64"/>
  <c r="G18" i="64"/>
  <c r="D18" i="64"/>
  <c r="R20" i="64"/>
  <c r="U20" i="64" s="1"/>
  <c r="P20" i="64"/>
  <c r="M20" i="64"/>
  <c r="J20" i="64"/>
  <c r="G20" i="64"/>
  <c r="D20" i="64"/>
  <c r="R4" i="64"/>
  <c r="U4" i="64" s="1"/>
  <c r="P4" i="64"/>
  <c r="M4" i="64"/>
  <c r="J4" i="64"/>
  <c r="G4" i="64"/>
  <c r="D4" i="64"/>
  <c r="R21" i="64"/>
  <c r="U21" i="64" s="1"/>
  <c r="P21" i="64"/>
  <c r="M21" i="64"/>
  <c r="J21" i="64"/>
  <c r="G21" i="64"/>
  <c r="D21" i="64"/>
  <c r="R9" i="64"/>
  <c r="U9" i="64" s="1"/>
  <c r="P9" i="64"/>
  <c r="M9" i="64"/>
  <c r="J9" i="64"/>
  <c r="G9" i="64"/>
  <c r="D9" i="64"/>
  <c r="R6" i="64"/>
  <c r="U6" i="64" s="1"/>
  <c r="P6" i="64"/>
  <c r="M6" i="64"/>
  <c r="J6" i="64"/>
  <c r="G6" i="64"/>
  <c r="D6" i="64"/>
  <c r="R7" i="64"/>
  <c r="U7" i="64" s="1"/>
  <c r="P7" i="64"/>
  <c r="M7" i="64"/>
  <c r="J7" i="64"/>
  <c r="G7" i="64"/>
  <c r="D7" i="64"/>
  <c r="R10" i="64"/>
  <c r="U10" i="64" s="1"/>
  <c r="P10" i="64"/>
  <c r="M10" i="64"/>
  <c r="J10" i="64"/>
  <c r="G10" i="64"/>
  <c r="D10" i="64"/>
  <c r="R8" i="64"/>
  <c r="U8" i="64" s="1"/>
  <c r="P8" i="64"/>
  <c r="M8" i="64"/>
  <c r="J8" i="64"/>
  <c r="G8" i="64"/>
  <c r="D8" i="64"/>
  <c r="R24" i="64"/>
  <c r="U24" i="64" s="1"/>
  <c r="P24" i="64"/>
  <c r="M24" i="64"/>
  <c r="J24" i="64"/>
  <c r="G24" i="64"/>
  <c r="D24" i="64"/>
  <c r="R15" i="64"/>
  <c r="U15" i="64" s="1"/>
  <c r="P15" i="64"/>
  <c r="M15" i="64"/>
  <c r="J15" i="64"/>
  <c r="G15" i="64"/>
  <c r="D15" i="64"/>
  <c r="D46" i="24"/>
  <c r="G46" i="24"/>
  <c r="J46" i="24"/>
  <c r="M46" i="24"/>
  <c r="P46" i="24"/>
  <c r="R46" i="24"/>
  <c r="U46" i="24" s="1"/>
  <c r="D49" i="24"/>
  <c r="G49" i="24"/>
  <c r="J49" i="24"/>
  <c r="M49" i="24"/>
  <c r="P49" i="24"/>
  <c r="R49" i="24"/>
  <c r="U49" i="24" s="1"/>
  <c r="D51" i="24"/>
  <c r="G51" i="24"/>
  <c r="J51" i="24"/>
  <c r="M51" i="24"/>
  <c r="P51" i="24"/>
  <c r="R51" i="24"/>
  <c r="U51" i="24" s="1"/>
  <c r="D48" i="21"/>
  <c r="G48" i="21"/>
  <c r="J48" i="21"/>
  <c r="M48" i="21"/>
  <c r="P48" i="21"/>
  <c r="D47" i="21"/>
  <c r="G47" i="21"/>
  <c r="J47" i="21"/>
  <c r="M47" i="21"/>
  <c r="P47" i="21"/>
  <c r="D15" i="21"/>
  <c r="G15" i="21"/>
  <c r="J15" i="21"/>
  <c r="M15" i="21"/>
  <c r="P15" i="21"/>
  <c r="D30" i="63"/>
  <c r="G30" i="63"/>
  <c r="J30" i="63"/>
  <c r="M30" i="63"/>
  <c r="P30" i="63"/>
  <c r="D17" i="63"/>
  <c r="G17" i="63"/>
  <c r="J17" i="63"/>
  <c r="M17" i="63"/>
  <c r="P17" i="63"/>
  <c r="D19" i="63"/>
  <c r="G19" i="63"/>
  <c r="J19" i="63"/>
  <c r="M19" i="63"/>
  <c r="P19" i="63"/>
  <c r="R35" i="63"/>
  <c r="P35" i="63"/>
  <c r="R34" i="63"/>
  <c r="P34" i="63"/>
  <c r="R33" i="63"/>
  <c r="P33" i="63"/>
  <c r="R32" i="63"/>
  <c r="P32" i="63"/>
  <c r="R31" i="63"/>
  <c r="P31" i="63"/>
  <c r="R30" i="63"/>
  <c r="R17" i="63"/>
  <c r="R19" i="63"/>
  <c r="R25" i="63"/>
  <c r="P25" i="63"/>
  <c r="M25" i="63"/>
  <c r="J25" i="63"/>
  <c r="G25" i="63"/>
  <c r="D25" i="63"/>
  <c r="R21" i="63"/>
  <c r="P21" i="63"/>
  <c r="M21" i="63"/>
  <c r="J21" i="63"/>
  <c r="G21" i="63"/>
  <c r="D21" i="63"/>
  <c r="R15" i="63"/>
  <c r="P15" i="63"/>
  <c r="M15" i="63"/>
  <c r="J15" i="63"/>
  <c r="G15" i="63"/>
  <c r="D15" i="63"/>
  <c r="R6" i="63"/>
  <c r="P6" i="63"/>
  <c r="M6" i="63"/>
  <c r="J6" i="63"/>
  <c r="G6" i="63"/>
  <c r="D6" i="63"/>
  <c r="R28" i="63"/>
  <c r="P28" i="63"/>
  <c r="M28" i="63"/>
  <c r="J28" i="63"/>
  <c r="G28" i="63"/>
  <c r="D28" i="63"/>
  <c r="R14" i="63"/>
  <c r="P14" i="63"/>
  <c r="M14" i="63"/>
  <c r="J14" i="63"/>
  <c r="G14" i="63"/>
  <c r="D14" i="63"/>
  <c r="R29" i="63"/>
  <c r="P29" i="63"/>
  <c r="M29" i="63"/>
  <c r="J29" i="63"/>
  <c r="G29" i="63"/>
  <c r="D29" i="63"/>
  <c r="R27" i="63"/>
  <c r="P27" i="63"/>
  <c r="M27" i="63"/>
  <c r="J27" i="63"/>
  <c r="G27" i="63"/>
  <c r="D27" i="63"/>
  <c r="R26" i="63"/>
  <c r="P26" i="63"/>
  <c r="M26" i="63"/>
  <c r="J26" i="63"/>
  <c r="G26" i="63"/>
  <c r="D26" i="63"/>
  <c r="R23" i="63"/>
  <c r="P23" i="63"/>
  <c r="M23" i="63"/>
  <c r="J23" i="63"/>
  <c r="G23" i="63"/>
  <c r="D23" i="63"/>
  <c r="R24" i="63"/>
  <c r="P24" i="63"/>
  <c r="M24" i="63"/>
  <c r="J24" i="63"/>
  <c r="G24" i="63"/>
  <c r="D24" i="63"/>
  <c r="R8" i="63"/>
  <c r="P8" i="63"/>
  <c r="M8" i="63"/>
  <c r="J8" i="63"/>
  <c r="G8" i="63"/>
  <c r="D8" i="63"/>
  <c r="R12" i="63"/>
  <c r="P12" i="63"/>
  <c r="M12" i="63"/>
  <c r="J12" i="63"/>
  <c r="G12" i="63"/>
  <c r="D12" i="63"/>
  <c r="R16" i="63"/>
  <c r="P16" i="63"/>
  <c r="M16" i="63"/>
  <c r="J16" i="63"/>
  <c r="G16" i="63"/>
  <c r="D16" i="63"/>
  <c r="R20" i="63"/>
  <c r="P20" i="63"/>
  <c r="M20" i="63"/>
  <c r="J20" i="63"/>
  <c r="G20" i="63"/>
  <c r="D20" i="63"/>
  <c r="R9" i="63"/>
  <c r="P9" i="63"/>
  <c r="M9" i="63"/>
  <c r="J9" i="63"/>
  <c r="G9" i="63"/>
  <c r="D9" i="63"/>
  <c r="R7" i="63"/>
  <c r="P7" i="63"/>
  <c r="M7" i="63"/>
  <c r="J7" i="63"/>
  <c r="G7" i="63"/>
  <c r="D7" i="63"/>
  <c r="R11" i="63"/>
  <c r="P11" i="63"/>
  <c r="M11" i="63"/>
  <c r="J11" i="63"/>
  <c r="G11" i="63"/>
  <c r="D11" i="63"/>
  <c r="R10" i="63"/>
  <c r="P10" i="63"/>
  <c r="M10" i="63"/>
  <c r="J10" i="63"/>
  <c r="G10" i="63"/>
  <c r="D10" i="63"/>
  <c r="R3" i="63"/>
  <c r="P3" i="63"/>
  <c r="M3" i="63"/>
  <c r="J3" i="63"/>
  <c r="G3" i="63"/>
  <c r="D3" i="63"/>
  <c r="R22" i="63"/>
  <c r="P22" i="63"/>
  <c r="M22" i="63"/>
  <c r="J22" i="63"/>
  <c r="G22" i="63"/>
  <c r="D22" i="63"/>
  <c r="R4" i="63"/>
  <c r="P4" i="63"/>
  <c r="M4" i="63"/>
  <c r="J4" i="63"/>
  <c r="G4" i="63"/>
  <c r="D4" i="63"/>
  <c r="R13" i="63"/>
  <c r="P13" i="63"/>
  <c r="M13" i="63"/>
  <c r="J13" i="63"/>
  <c r="G13" i="63"/>
  <c r="D13" i="63"/>
  <c r="R18" i="63"/>
  <c r="P18" i="63"/>
  <c r="M18" i="63"/>
  <c r="J18" i="63"/>
  <c r="G18" i="63"/>
  <c r="D18" i="63"/>
  <c r="R5" i="63"/>
  <c r="P5" i="63"/>
  <c r="M5" i="63"/>
  <c r="J5" i="63"/>
  <c r="G5" i="63"/>
  <c r="D5" i="63"/>
  <c r="R31" i="62"/>
  <c r="U31" i="62" s="1"/>
  <c r="P31" i="62"/>
  <c r="R30" i="62"/>
  <c r="U30" i="62" s="1"/>
  <c r="P30" i="62"/>
  <c r="R29" i="62"/>
  <c r="U29" i="62" s="1"/>
  <c r="P29" i="62"/>
  <c r="R28" i="62"/>
  <c r="U28" i="62" s="1"/>
  <c r="P28" i="62"/>
  <c r="S28" i="62" s="1"/>
  <c r="R27" i="62"/>
  <c r="U27" i="62" s="1"/>
  <c r="P27" i="62"/>
  <c r="R26" i="62"/>
  <c r="U26" i="62" s="1"/>
  <c r="P26" i="62"/>
  <c r="S26" i="62" s="1"/>
  <c r="R25" i="62"/>
  <c r="U25" i="62" s="1"/>
  <c r="P25" i="62"/>
  <c r="S25" i="62" s="1"/>
  <c r="R24" i="62"/>
  <c r="U24" i="62" s="1"/>
  <c r="P24" i="62"/>
  <c r="M24" i="62"/>
  <c r="J24" i="62"/>
  <c r="G24" i="62"/>
  <c r="D24" i="62"/>
  <c r="R4" i="62"/>
  <c r="U4" i="62" s="1"/>
  <c r="P4" i="62"/>
  <c r="M4" i="62"/>
  <c r="J4" i="62"/>
  <c r="G4" i="62"/>
  <c r="D4" i="62"/>
  <c r="R19" i="62"/>
  <c r="U19" i="62" s="1"/>
  <c r="P19" i="62"/>
  <c r="M19" i="62"/>
  <c r="J19" i="62"/>
  <c r="G19" i="62"/>
  <c r="D19" i="62"/>
  <c r="R3" i="62"/>
  <c r="U3" i="62" s="1"/>
  <c r="P3" i="62"/>
  <c r="M3" i="62"/>
  <c r="J3" i="62"/>
  <c r="G3" i="62"/>
  <c r="D3" i="62"/>
  <c r="R23" i="62"/>
  <c r="U23" i="62" s="1"/>
  <c r="P23" i="62"/>
  <c r="M23" i="62"/>
  <c r="J23" i="62"/>
  <c r="G23" i="62"/>
  <c r="D23" i="62"/>
  <c r="R11" i="62"/>
  <c r="U11" i="62" s="1"/>
  <c r="P11" i="62"/>
  <c r="M11" i="62"/>
  <c r="J11" i="62"/>
  <c r="G11" i="62"/>
  <c r="D11" i="62"/>
  <c r="R13" i="62"/>
  <c r="U13" i="62" s="1"/>
  <c r="P13" i="62"/>
  <c r="M13" i="62"/>
  <c r="J13" i="62"/>
  <c r="G13" i="62"/>
  <c r="D13" i="62"/>
  <c r="R12" i="62"/>
  <c r="U12" i="62" s="1"/>
  <c r="P12" i="62"/>
  <c r="M12" i="62"/>
  <c r="J12" i="62"/>
  <c r="G12" i="62"/>
  <c r="D12" i="62"/>
  <c r="R7" i="62"/>
  <c r="U7" i="62" s="1"/>
  <c r="P7" i="62"/>
  <c r="M7" i="62"/>
  <c r="J7" i="62"/>
  <c r="G7" i="62"/>
  <c r="D7" i="62"/>
  <c r="R17" i="62"/>
  <c r="U17" i="62" s="1"/>
  <c r="P17" i="62"/>
  <c r="M17" i="62"/>
  <c r="J17" i="62"/>
  <c r="G17" i="62"/>
  <c r="D17" i="62"/>
  <c r="R6" i="62"/>
  <c r="U6" i="62" s="1"/>
  <c r="P6" i="62"/>
  <c r="M6" i="62"/>
  <c r="J6" i="62"/>
  <c r="G6" i="62"/>
  <c r="D6" i="62"/>
  <c r="R22" i="62"/>
  <c r="U22" i="62" s="1"/>
  <c r="P22" i="62"/>
  <c r="M22" i="62"/>
  <c r="J22" i="62"/>
  <c r="G22" i="62"/>
  <c r="D22" i="62"/>
  <c r="R20" i="62"/>
  <c r="U20" i="62" s="1"/>
  <c r="P20" i="62"/>
  <c r="M20" i="62"/>
  <c r="J20" i="62"/>
  <c r="G20" i="62"/>
  <c r="D20" i="62"/>
  <c r="R15" i="62"/>
  <c r="U15" i="62" s="1"/>
  <c r="P15" i="62"/>
  <c r="M15" i="62"/>
  <c r="J15" i="62"/>
  <c r="G15" i="62"/>
  <c r="D15" i="62"/>
  <c r="R16" i="62"/>
  <c r="U16" i="62" s="1"/>
  <c r="P16" i="62"/>
  <c r="M16" i="62"/>
  <c r="J16" i="62"/>
  <c r="G16" i="62"/>
  <c r="D16" i="62"/>
  <c r="R8" i="62"/>
  <c r="U8" i="62" s="1"/>
  <c r="P8" i="62"/>
  <c r="M8" i="62"/>
  <c r="J8" i="62"/>
  <c r="G8" i="62"/>
  <c r="D8" i="62"/>
  <c r="R21" i="62"/>
  <c r="U21" i="62" s="1"/>
  <c r="P21" i="62"/>
  <c r="M21" i="62"/>
  <c r="J21" i="62"/>
  <c r="G21" i="62"/>
  <c r="D21" i="62"/>
  <c r="R5" i="62"/>
  <c r="U5" i="62" s="1"/>
  <c r="P5" i="62"/>
  <c r="M5" i="62"/>
  <c r="J5" i="62"/>
  <c r="G5" i="62"/>
  <c r="D5" i="62"/>
  <c r="R18" i="62"/>
  <c r="U18" i="62" s="1"/>
  <c r="P18" i="62"/>
  <c r="M18" i="62"/>
  <c r="J18" i="62"/>
  <c r="G18" i="62"/>
  <c r="D18" i="62"/>
  <c r="R9" i="62"/>
  <c r="U9" i="62" s="1"/>
  <c r="P9" i="62"/>
  <c r="M9" i="62"/>
  <c r="J9" i="62"/>
  <c r="G9" i="62"/>
  <c r="D9" i="62"/>
  <c r="R14" i="62"/>
  <c r="U14" i="62" s="1"/>
  <c r="P14" i="62"/>
  <c r="M14" i="62"/>
  <c r="J14" i="62"/>
  <c r="G14" i="62"/>
  <c r="D14" i="62"/>
  <c r="R10" i="62"/>
  <c r="U10" i="62" s="1"/>
  <c r="P10" i="62"/>
  <c r="M10" i="62"/>
  <c r="J10" i="62"/>
  <c r="G10" i="62"/>
  <c r="D10" i="62"/>
  <c r="D3" i="12"/>
  <c r="G3" i="12"/>
  <c r="J3" i="12"/>
  <c r="M3" i="12"/>
  <c r="P3" i="12"/>
  <c r="D55" i="1"/>
  <c r="G55" i="1"/>
  <c r="J55" i="1"/>
  <c r="M55" i="1"/>
  <c r="P55" i="1"/>
  <c r="D37" i="1"/>
  <c r="G37" i="1"/>
  <c r="J37" i="1"/>
  <c r="M37" i="1"/>
  <c r="P37" i="1"/>
  <c r="D36" i="1"/>
  <c r="G36" i="1"/>
  <c r="J36" i="1"/>
  <c r="M36" i="1"/>
  <c r="P36" i="1"/>
  <c r="R36" i="1"/>
  <c r="U36" i="1" s="1"/>
  <c r="D18" i="1"/>
  <c r="G18" i="1"/>
  <c r="J18" i="1"/>
  <c r="M18" i="1"/>
  <c r="P18" i="1"/>
  <c r="R18" i="1"/>
  <c r="U18" i="1" s="1"/>
  <c r="D11" i="1"/>
  <c r="G11" i="1"/>
  <c r="J11" i="1"/>
  <c r="M11" i="1"/>
  <c r="P11" i="1"/>
  <c r="R11" i="1"/>
  <c r="U11" i="1" s="1"/>
  <c r="D43" i="6"/>
  <c r="G43" i="6"/>
  <c r="J43" i="6"/>
  <c r="M43" i="6"/>
  <c r="P43" i="6"/>
  <c r="R43" i="6"/>
  <c r="U43" i="6" s="1"/>
  <c r="D44" i="6"/>
  <c r="G44" i="6"/>
  <c r="J44" i="6"/>
  <c r="M44" i="6"/>
  <c r="P44" i="6"/>
  <c r="R44" i="6"/>
  <c r="U44" i="6" s="1"/>
  <c r="D11" i="6"/>
  <c r="G11" i="6"/>
  <c r="J11" i="6"/>
  <c r="M11" i="6"/>
  <c r="P11" i="6"/>
  <c r="R11" i="6"/>
  <c r="U11" i="6" s="1"/>
  <c r="D38" i="6"/>
  <c r="G38" i="6"/>
  <c r="J38" i="6"/>
  <c r="M38" i="6"/>
  <c r="P38" i="6"/>
  <c r="R38" i="6"/>
  <c r="U38" i="6" s="1"/>
  <c r="D27" i="6"/>
  <c r="G27" i="6"/>
  <c r="J27" i="6"/>
  <c r="M27" i="6"/>
  <c r="P27" i="6"/>
  <c r="R27" i="6"/>
  <c r="U27" i="6" s="1"/>
  <c r="D25" i="6"/>
  <c r="G25" i="6"/>
  <c r="J25" i="6"/>
  <c r="M25" i="6"/>
  <c r="P25" i="6"/>
  <c r="R25" i="6"/>
  <c r="U25" i="6" s="1"/>
  <c r="D11" i="3"/>
  <c r="G11" i="3"/>
  <c r="J11" i="3"/>
  <c r="M11" i="3"/>
  <c r="P11" i="3"/>
  <c r="D9" i="3"/>
  <c r="G9" i="3"/>
  <c r="J9" i="3"/>
  <c r="M9" i="3"/>
  <c r="P9" i="3"/>
  <c r="D8" i="3"/>
  <c r="G8" i="3"/>
  <c r="J8" i="3"/>
  <c r="M8" i="3"/>
  <c r="P8" i="3"/>
  <c r="D39" i="3"/>
  <c r="G39" i="3"/>
  <c r="J39" i="3"/>
  <c r="M39" i="3"/>
  <c r="P39" i="3"/>
  <c r="D3" i="3"/>
  <c r="G3" i="3"/>
  <c r="J3" i="3"/>
  <c r="M3" i="3"/>
  <c r="P3" i="3"/>
  <c r="D9" i="52"/>
  <c r="G9" i="52"/>
  <c r="J9" i="52"/>
  <c r="M9" i="52"/>
  <c r="P9" i="52"/>
  <c r="D20" i="52"/>
  <c r="G20" i="52"/>
  <c r="J20" i="52"/>
  <c r="M20" i="52"/>
  <c r="P20" i="52"/>
  <c r="D21" i="4"/>
  <c r="G21" i="4"/>
  <c r="J21" i="4"/>
  <c r="M21" i="4"/>
  <c r="P33" i="47"/>
  <c r="R33" i="47"/>
  <c r="P18" i="56"/>
  <c r="R18" i="56"/>
  <c r="P17" i="56"/>
  <c r="R17" i="56"/>
  <c r="P27" i="56"/>
  <c r="R27" i="56"/>
  <c r="P28" i="56"/>
  <c r="R28" i="56"/>
  <c r="P29" i="56"/>
  <c r="R29" i="56"/>
  <c r="S29" i="56"/>
  <c r="P30" i="56"/>
  <c r="R30" i="56"/>
  <c r="R44" i="60"/>
  <c r="U44" i="60" s="1"/>
  <c r="P44" i="60"/>
  <c r="S44" i="60" s="1"/>
  <c r="R43" i="60"/>
  <c r="U43" i="60" s="1"/>
  <c r="P43" i="60"/>
  <c r="R42" i="60"/>
  <c r="U42" i="60" s="1"/>
  <c r="P42" i="60"/>
  <c r="R41" i="60"/>
  <c r="U41" i="60" s="1"/>
  <c r="P41" i="60"/>
  <c r="R40" i="60"/>
  <c r="U40" i="60" s="1"/>
  <c r="P40" i="60"/>
  <c r="R39" i="60"/>
  <c r="U39" i="60" s="1"/>
  <c r="P39" i="60"/>
  <c r="S39" i="60" s="1"/>
  <c r="R38" i="60"/>
  <c r="U38" i="60" s="1"/>
  <c r="P38" i="60"/>
  <c r="R37" i="60"/>
  <c r="U37" i="60" s="1"/>
  <c r="P37" i="60"/>
  <c r="R36" i="60"/>
  <c r="U36" i="60" s="1"/>
  <c r="P36" i="60"/>
  <c r="R35" i="60"/>
  <c r="U35" i="60" s="1"/>
  <c r="P35" i="60"/>
  <c r="R34" i="60"/>
  <c r="U34" i="60" s="1"/>
  <c r="P34" i="60"/>
  <c r="R33" i="60"/>
  <c r="U33" i="60" s="1"/>
  <c r="P33" i="60"/>
  <c r="R32" i="60"/>
  <c r="U32" i="60" s="1"/>
  <c r="P32" i="60"/>
  <c r="R31" i="60"/>
  <c r="U31" i="60" s="1"/>
  <c r="P31" i="60"/>
  <c r="R30" i="60"/>
  <c r="U30" i="60" s="1"/>
  <c r="P30" i="60"/>
  <c r="R29" i="60"/>
  <c r="U29" i="60" s="1"/>
  <c r="P29" i="60"/>
  <c r="R28" i="60"/>
  <c r="U28" i="60" s="1"/>
  <c r="P28" i="60"/>
  <c r="R27" i="60"/>
  <c r="U27" i="60" s="1"/>
  <c r="P27" i="60"/>
  <c r="R26" i="60"/>
  <c r="U26" i="60" s="1"/>
  <c r="P26" i="60"/>
  <c r="R25" i="60"/>
  <c r="U25" i="60" s="1"/>
  <c r="P25" i="60"/>
  <c r="R24" i="60"/>
  <c r="U24" i="60" s="1"/>
  <c r="P24" i="60"/>
  <c r="R23" i="60"/>
  <c r="U23" i="60" s="1"/>
  <c r="P23" i="60"/>
  <c r="R22" i="60"/>
  <c r="U22" i="60" s="1"/>
  <c r="P22" i="60"/>
  <c r="R21" i="60"/>
  <c r="U21" i="60" s="1"/>
  <c r="P21" i="60"/>
  <c r="R20" i="60"/>
  <c r="U20" i="60" s="1"/>
  <c r="P20" i="60"/>
  <c r="R19" i="60"/>
  <c r="U19" i="60" s="1"/>
  <c r="P19" i="60"/>
  <c r="R18" i="60"/>
  <c r="U18" i="60" s="1"/>
  <c r="P18" i="60"/>
  <c r="R17" i="60"/>
  <c r="U17" i="60" s="1"/>
  <c r="P17" i="60"/>
  <c r="R16" i="60"/>
  <c r="U16" i="60" s="1"/>
  <c r="P16" i="60"/>
  <c r="R5" i="60"/>
  <c r="U5" i="60" s="1"/>
  <c r="P5" i="60"/>
  <c r="R4" i="60"/>
  <c r="P4" i="60"/>
  <c r="R8" i="60"/>
  <c r="U8" i="60" s="1"/>
  <c r="P8" i="60"/>
  <c r="R13" i="60"/>
  <c r="U13" i="60" s="1"/>
  <c r="P13" i="60"/>
  <c r="R14" i="60"/>
  <c r="U14" i="60" s="1"/>
  <c r="P14" i="60"/>
  <c r="R15" i="60"/>
  <c r="U15" i="60" s="1"/>
  <c r="P15" i="60"/>
  <c r="R11" i="60"/>
  <c r="U11" i="60" s="1"/>
  <c r="P11" i="60"/>
  <c r="R10" i="60"/>
  <c r="U10" i="60" s="1"/>
  <c r="P10" i="60"/>
  <c r="R6" i="60"/>
  <c r="U6" i="60" s="1"/>
  <c r="P6" i="60"/>
  <c r="R12" i="60"/>
  <c r="U12" i="60" s="1"/>
  <c r="P12" i="60"/>
  <c r="R9" i="60"/>
  <c r="U9" i="60" s="1"/>
  <c r="P9" i="60"/>
  <c r="R7" i="60"/>
  <c r="P7" i="60"/>
  <c r="R26" i="56"/>
  <c r="U26" i="56" s="1"/>
  <c r="P26" i="56"/>
  <c r="R25" i="56"/>
  <c r="U25" i="56" s="1"/>
  <c r="P25" i="56"/>
  <c r="R24" i="56"/>
  <c r="U24" i="56" s="1"/>
  <c r="P24" i="56"/>
  <c r="R23" i="56"/>
  <c r="U23" i="56" s="1"/>
  <c r="P23" i="56"/>
  <c r="R22" i="56"/>
  <c r="U22" i="56" s="1"/>
  <c r="P22" i="56"/>
  <c r="R20" i="56"/>
  <c r="U20" i="56" s="1"/>
  <c r="P20" i="56"/>
  <c r="R19" i="56"/>
  <c r="U19" i="56" s="1"/>
  <c r="P19" i="56"/>
  <c r="R16" i="56"/>
  <c r="U16" i="56" s="1"/>
  <c r="P16" i="56"/>
  <c r="R15" i="56"/>
  <c r="U15" i="56" s="1"/>
  <c r="P15" i="56"/>
  <c r="R3" i="56"/>
  <c r="U3" i="56" s="1"/>
  <c r="P3" i="56"/>
  <c r="R14" i="56"/>
  <c r="U14" i="56" s="1"/>
  <c r="P14" i="56"/>
  <c r="R21" i="56"/>
  <c r="U21" i="56" s="1"/>
  <c r="P21" i="56"/>
  <c r="R6" i="56"/>
  <c r="U6" i="56" s="1"/>
  <c r="P6" i="56"/>
  <c r="R13" i="56"/>
  <c r="U13" i="56" s="1"/>
  <c r="P13" i="56"/>
  <c r="R5" i="56"/>
  <c r="U5" i="56" s="1"/>
  <c r="P5" i="56"/>
  <c r="R12" i="56"/>
  <c r="U12" i="56" s="1"/>
  <c r="P12" i="56"/>
  <c r="R4" i="56"/>
  <c r="U4" i="56" s="1"/>
  <c r="P4" i="56"/>
  <c r="R9" i="56"/>
  <c r="U9" i="56" s="1"/>
  <c r="P9" i="56"/>
  <c r="R7" i="56"/>
  <c r="U7" i="56" s="1"/>
  <c r="P7" i="56"/>
  <c r="R11" i="56"/>
  <c r="U11" i="56" s="1"/>
  <c r="P11" i="56"/>
  <c r="R10" i="56"/>
  <c r="U10" i="56" s="1"/>
  <c r="P10" i="56"/>
  <c r="R8" i="56"/>
  <c r="U8" i="56" s="1"/>
  <c r="P8" i="56"/>
  <c r="R27" i="50"/>
  <c r="U27" i="50" s="1"/>
  <c r="P27" i="50"/>
  <c r="R9" i="50"/>
  <c r="U9" i="50" s="1"/>
  <c r="P9" i="50"/>
  <c r="R5" i="50"/>
  <c r="U5" i="50" s="1"/>
  <c r="P5" i="50"/>
  <c r="R26" i="50"/>
  <c r="U26" i="50" s="1"/>
  <c r="P26" i="50"/>
  <c r="R4" i="50"/>
  <c r="U4" i="50" s="1"/>
  <c r="P4" i="50"/>
  <c r="R25" i="50"/>
  <c r="U25" i="50" s="1"/>
  <c r="P25" i="50"/>
  <c r="R24" i="50"/>
  <c r="U24" i="50" s="1"/>
  <c r="P24" i="50"/>
  <c r="R23" i="50"/>
  <c r="U23" i="50" s="1"/>
  <c r="P23" i="50"/>
  <c r="R22" i="50"/>
  <c r="U22" i="50" s="1"/>
  <c r="P22" i="50"/>
  <c r="R3" i="50"/>
  <c r="U3" i="50" s="1"/>
  <c r="P3" i="50"/>
  <c r="R8" i="50"/>
  <c r="U8" i="50" s="1"/>
  <c r="P8" i="50"/>
  <c r="R17" i="50"/>
  <c r="U17" i="50" s="1"/>
  <c r="P17" i="50"/>
  <c r="R11" i="50"/>
  <c r="U11" i="50" s="1"/>
  <c r="P11" i="50"/>
  <c r="R7" i="50"/>
  <c r="U7" i="50" s="1"/>
  <c r="P7" i="50"/>
  <c r="R12" i="50"/>
  <c r="P12" i="50"/>
  <c r="R15" i="50"/>
  <c r="U15" i="50" s="1"/>
  <c r="P15" i="50"/>
  <c r="R21" i="50"/>
  <c r="U21" i="50" s="1"/>
  <c r="P21" i="50"/>
  <c r="R19" i="50"/>
  <c r="P19" i="50"/>
  <c r="R6" i="50"/>
  <c r="U6" i="50" s="1"/>
  <c r="P6" i="50"/>
  <c r="R20" i="50"/>
  <c r="U20" i="50" s="1"/>
  <c r="P20" i="50"/>
  <c r="R16" i="50"/>
  <c r="U16" i="50" s="1"/>
  <c r="P16" i="50"/>
  <c r="R13" i="50"/>
  <c r="U13" i="50" s="1"/>
  <c r="P13" i="50"/>
  <c r="R14" i="50"/>
  <c r="U14" i="50" s="1"/>
  <c r="P14" i="50"/>
  <c r="R10" i="50"/>
  <c r="P10" i="50"/>
  <c r="R56" i="46"/>
  <c r="P56" i="46"/>
  <c r="R55" i="46"/>
  <c r="P55" i="46"/>
  <c r="R54" i="46"/>
  <c r="P54" i="46"/>
  <c r="R53" i="46"/>
  <c r="P53" i="46"/>
  <c r="S53" i="46" s="1"/>
  <c r="R52" i="46"/>
  <c r="P52" i="46"/>
  <c r="S52" i="46" s="1"/>
  <c r="R51" i="46"/>
  <c r="P51" i="46"/>
  <c r="R50" i="46"/>
  <c r="P50" i="46"/>
  <c r="S50" i="46" s="1"/>
  <c r="R49" i="46"/>
  <c r="P49" i="46"/>
  <c r="S49" i="46" s="1"/>
  <c r="R48" i="46"/>
  <c r="P48" i="46"/>
  <c r="S47" i="46"/>
  <c r="R47" i="46"/>
  <c r="P47" i="46"/>
  <c r="S46" i="46"/>
  <c r="R46" i="46"/>
  <c r="P46" i="46"/>
  <c r="R45" i="46"/>
  <c r="P45" i="46"/>
  <c r="R44" i="46"/>
  <c r="P44" i="46"/>
  <c r="S43" i="46"/>
  <c r="R43" i="46"/>
  <c r="P43" i="46"/>
  <c r="R42" i="46"/>
  <c r="P42" i="46"/>
  <c r="R41" i="46"/>
  <c r="P41" i="46"/>
  <c r="R40" i="46"/>
  <c r="P40" i="46"/>
  <c r="R39" i="46"/>
  <c r="P39" i="46"/>
  <c r="R38" i="46"/>
  <c r="P38" i="46"/>
  <c r="R37" i="46"/>
  <c r="P37" i="46"/>
  <c r="S37" i="46" s="1"/>
  <c r="R32" i="46"/>
  <c r="U32" i="46" s="1"/>
  <c r="P32" i="46"/>
  <c r="R31" i="46"/>
  <c r="U31" i="46" s="1"/>
  <c r="P31" i="46"/>
  <c r="R30" i="46"/>
  <c r="U30" i="46" s="1"/>
  <c r="P30" i="46"/>
  <c r="R36" i="46"/>
  <c r="U36" i="46" s="1"/>
  <c r="P36" i="46"/>
  <c r="R35" i="46"/>
  <c r="U35" i="46" s="1"/>
  <c r="P35" i="46"/>
  <c r="R34" i="46"/>
  <c r="U34" i="46" s="1"/>
  <c r="P34" i="46"/>
  <c r="R29" i="46"/>
  <c r="U29" i="46" s="1"/>
  <c r="P29" i="46"/>
  <c r="R33" i="46"/>
  <c r="U33" i="46" s="1"/>
  <c r="P33" i="46"/>
  <c r="R28" i="46"/>
  <c r="P28" i="46"/>
  <c r="R7" i="46"/>
  <c r="U7" i="46" s="1"/>
  <c r="P7" i="46"/>
  <c r="R6" i="46"/>
  <c r="U6" i="46" s="1"/>
  <c r="P6" i="46"/>
  <c r="R5" i="46"/>
  <c r="U5" i="46" s="1"/>
  <c r="P5" i="46"/>
  <c r="R4" i="46"/>
  <c r="P4" i="46"/>
  <c r="R3" i="46"/>
  <c r="U3" i="46" s="1"/>
  <c r="P3" i="46"/>
  <c r="R23" i="46"/>
  <c r="U23" i="46" s="1"/>
  <c r="P23" i="46"/>
  <c r="R24" i="46"/>
  <c r="U24" i="46" s="1"/>
  <c r="P24" i="46"/>
  <c r="R27" i="46"/>
  <c r="U27" i="46" s="1"/>
  <c r="P27" i="46"/>
  <c r="R17" i="46"/>
  <c r="U17" i="46" s="1"/>
  <c r="P17" i="46"/>
  <c r="R10" i="46"/>
  <c r="P10" i="46"/>
  <c r="R26" i="46"/>
  <c r="U26" i="46" s="1"/>
  <c r="P26" i="46"/>
  <c r="R22" i="46"/>
  <c r="U22" i="46" s="1"/>
  <c r="P22" i="46"/>
  <c r="R16" i="46"/>
  <c r="U16" i="46" s="1"/>
  <c r="P16" i="46"/>
  <c r="R12" i="46"/>
  <c r="U12" i="46" s="1"/>
  <c r="P12" i="46"/>
  <c r="R9" i="46"/>
  <c r="U9" i="46" s="1"/>
  <c r="P9" i="46"/>
  <c r="R21" i="46"/>
  <c r="P21" i="46"/>
  <c r="R8" i="46"/>
  <c r="U8" i="46" s="1"/>
  <c r="P8" i="46"/>
  <c r="R18" i="46"/>
  <c r="U18" i="46" s="1"/>
  <c r="P18" i="46"/>
  <c r="R15" i="46"/>
  <c r="U15" i="46" s="1"/>
  <c r="P15" i="46"/>
  <c r="R25" i="46"/>
  <c r="P25" i="46"/>
  <c r="R13" i="46"/>
  <c r="P13" i="46"/>
  <c r="R20" i="46"/>
  <c r="U20" i="46" s="1"/>
  <c r="P20" i="46"/>
  <c r="R19" i="46"/>
  <c r="P19" i="46"/>
  <c r="R11" i="46"/>
  <c r="U11" i="46" s="1"/>
  <c r="P11" i="46"/>
  <c r="R14" i="46"/>
  <c r="U14" i="46" s="1"/>
  <c r="P14" i="46"/>
  <c r="R32" i="42"/>
  <c r="U32" i="42" s="1"/>
  <c r="P32" i="42"/>
  <c r="R33" i="42"/>
  <c r="U33" i="42" s="1"/>
  <c r="P33" i="42"/>
  <c r="R39" i="42"/>
  <c r="U39" i="42" s="1"/>
  <c r="P39" i="42"/>
  <c r="R17" i="42"/>
  <c r="U17" i="42" s="1"/>
  <c r="P17" i="42"/>
  <c r="R30" i="42"/>
  <c r="U30" i="42" s="1"/>
  <c r="P30" i="42"/>
  <c r="R38" i="42"/>
  <c r="U38" i="42" s="1"/>
  <c r="P38" i="42"/>
  <c r="R37" i="42"/>
  <c r="U37" i="42" s="1"/>
  <c r="P37" i="42"/>
  <c r="R36" i="42"/>
  <c r="U36" i="42" s="1"/>
  <c r="P36" i="42"/>
  <c r="R35" i="42"/>
  <c r="U35" i="42" s="1"/>
  <c r="P35" i="42"/>
  <c r="R8" i="42"/>
  <c r="U8" i="42" s="1"/>
  <c r="P8" i="42"/>
  <c r="R7" i="42"/>
  <c r="U7" i="42" s="1"/>
  <c r="P7" i="42"/>
  <c r="R31" i="42"/>
  <c r="U31" i="42" s="1"/>
  <c r="P31" i="42"/>
  <c r="R6" i="42"/>
  <c r="U6" i="42" s="1"/>
  <c r="P6" i="42"/>
  <c r="R5" i="42"/>
  <c r="U5" i="42" s="1"/>
  <c r="P5" i="42"/>
  <c r="R4" i="42"/>
  <c r="U4" i="42" s="1"/>
  <c r="P4" i="42"/>
  <c r="R19" i="42"/>
  <c r="U19" i="42" s="1"/>
  <c r="P19" i="42"/>
  <c r="R18" i="42"/>
  <c r="U18" i="42" s="1"/>
  <c r="P18" i="42"/>
  <c r="R29" i="42"/>
  <c r="U29" i="42" s="1"/>
  <c r="P29" i="42"/>
  <c r="R3" i="42"/>
  <c r="U3" i="42" s="1"/>
  <c r="P3" i="42"/>
  <c r="R34" i="42"/>
  <c r="U34" i="42" s="1"/>
  <c r="P34" i="42"/>
  <c r="R14" i="42"/>
  <c r="U14" i="42" s="1"/>
  <c r="P14" i="42"/>
  <c r="R10" i="42"/>
  <c r="U10" i="42" s="1"/>
  <c r="P10" i="42"/>
  <c r="R16" i="42"/>
  <c r="P16" i="42"/>
  <c r="R22" i="42"/>
  <c r="U22" i="42" s="1"/>
  <c r="P22" i="42"/>
  <c r="R27" i="42"/>
  <c r="U27" i="42" s="1"/>
  <c r="P27" i="42"/>
  <c r="R21" i="42"/>
  <c r="U21" i="42" s="1"/>
  <c r="P21" i="42"/>
  <c r="R26" i="42"/>
  <c r="U26" i="42" s="1"/>
  <c r="P26" i="42"/>
  <c r="R15" i="42"/>
  <c r="U15" i="42" s="1"/>
  <c r="P15" i="42"/>
  <c r="R25" i="42"/>
  <c r="U25" i="42" s="1"/>
  <c r="P25" i="42"/>
  <c r="R9" i="42"/>
  <c r="U9" i="42" s="1"/>
  <c r="P9" i="42"/>
  <c r="R13" i="42"/>
  <c r="U13" i="42" s="1"/>
  <c r="P13" i="42"/>
  <c r="R12" i="42"/>
  <c r="U12" i="42" s="1"/>
  <c r="P12" i="42"/>
  <c r="R24" i="42"/>
  <c r="U24" i="42" s="1"/>
  <c r="P24" i="42"/>
  <c r="R20" i="42"/>
  <c r="U20" i="42" s="1"/>
  <c r="P20" i="42"/>
  <c r="R11" i="42"/>
  <c r="U11" i="42" s="1"/>
  <c r="P11" i="42"/>
  <c r="R23" i="42"/>
  <c r="U23" i="42" s="1"/>
  <c r="P23" i="42"/>
  <c r="R34" i="43"/>
  <c r="P34" i="43"/>
  <c r="R33" i="43"/>
  <c r="P33" i="43"/>
  <c r="R32" i="43"/>
  <c r="P32" i="43"/>
  <c r="R31" i="43"/>
  <c r="P31" i="43"/>
  <c r="R30" i="43"/>
  <c r="P30" i="43"/>
  <c r="R29" i="43"/>
  <c r="P29" i="43"/>
  <c r="R28" i="43"/>
  <c r="U28" i="43" s="1"/>
  <c r="P28" i="43"/>
  <c r="R27" i="43"/>
  <c r="U27" i="43" s="1"/>
  <c r="P27" i="43"/>
  <c r="R26" i="43"/>
  <c r="U26" i="43" s="1"/>
  <c r="P26" i="43"/>
  <c r="R23" i="43"/>
  <c r="U23" i="43" s="1"/>
  <c r="P23" i="43"/>
  <c r="R25" i="43"/>
  <c r="U25" i="43" s="1"/>
  <c r="P25" i="43"/>
  <c r="R24" i="43"/>
  <c r="U24" i="43" s="1"/>
  <c r="P24" i="43"/>
  <c r="R17" i="43"/>
  <c r="U17" i="43" s="1"/>
  <c r="P17" i="43"/>
  <c r="R6" i="43"/>
  <c r="U6" i="43" s="1"/>
  <c r="P6" i="43"/>
  <c r="R7" i="43"/>
  <c r="U7" i="43" s="1"/>
  <c r="P7" i="43"/>
  <c r="R10" i="43"/>
  <c r="U10" i="43" s="1"/>
  <c r="P10" i="43"/>
  <c r="R16" i="43"/>
  <c r="U16" i="43" s="1"/>
  <c r="P16" i="43"/>
  <c r="R5" i="43"/>
  <c r="U5" i="43" s="1"/>
  <c r="P5" i="43"/>
  <c r="R22" i="43"/>
  <c r="U22" i="43" s="1"/>
  <c r="P22" i="43"/>
  <c r="R4" i="43"/>
  <c r="U4" i="43" s="1"/>
  <c r="P4" i="43"/>
  <c r="R15" i="43"/>
  <c r="U15" i="43" s="1"/>
  <c r="P15" i="43"/>
  <c r="R20" i="43"/>
  <c r="U20" i="43" s="1"/>
  <c r="P20" i="43"/>
  <c r="R12" i="43"/>
  <c r="U12" i="43" s="1"/>
  <c r="P12" i="43"/>
  <c r="R19" i="43"/>
  <c r="U19" i="43" s="1"/>
  <c r="P19" i="43"/>
  <c r="R13" i="43"/>
  <c r="U13" i="43" s="1"/>
  <c r="P13" i="43"/>
  <c r="R21" i="43"/>
  <c r="U21" i="43" s="1"/>
  <c r="P21" i="43"/>
  <c r="R14" i="43"/>
  <c r="U14" i="43" s="1"/>
  <c r="P14" i="43"/>
  <c r="R3" i="43"/>
  <c r="U3" i="43" s="1"/>
  <c r="P3" i="43"/>
  <c r="R9" i="43"/>
  <c r="U9" i="43" s="1"/>
  <c r="P9" i="43"/>
  <c r="R8" i="43"/>
  <c r="U8" i="43" s="1"/>
  <c r="P8" i="43"/>
  <c r="R11" i="43"/>
  <c r="U11" i="43" s="1"/>
  <c r="P11" i="43"/>
  <c r="R32" i="47"/>
  <c r="U32" i="47" s="1"/>
  <c r="P32" i="47"/>
  <c r="R10" i="47"/>
  <c r="U10" i="47" s="1"/>
  <c r="P10" i="47"/>
  <c r="R7" i="47"/>
  <c r="U7" i="47" s="1"/>
  <c r="P7" i="47"/>
  <c r="R31" i="47"/>
  <c r="U31" i="47" s="1"/>
  <c r="P31" i="47"/>
  <c r="R30" i="47"/>
  <c r="U30" i="47" s="1"/>
  <c r="P30" i="47"/>
  <c r="R3" i="47"/>
  <c r="U3" i="47" s="1"/>
  <c r="P3" i="47"/>
  <c r="R11" i="47"/>
  <c r="U11" i="47" s="1"/>
  <c r="P11" i="47"/>
  <c r="R8" i="47"/>
  <c r="U8" i="47" s="1"/>
  <c r="P8" i="47"/>
  <c r="R29" i="47"/>
  <c r="U29" i="47" s="1"/>
  <c r="P29" i="47"/>
  <c r="R25" i="47"/>
  <c r="U25" i="47" s="1"/>
  <c r="P25" i="47"/>
  <c r="R6" i="47"/>
  <c r="U6" i="47" s="1"/>
  <c r="P6" i="47"/>
  <c r="R20" i="47"/>
  <c r="U20" i="47" s="1"/>
  <c r="P20" i="47"/>
  <c r="R5" i="47"/>
  <c r="U5" i="47" s="1"/>
  <c r="P5" i="47"/>
  <c r="R19" i="47"/>
  <c r="U19" i="47" s="1"/>
  <c r="P19" i="47"/>
  <c r="R4" i="47"/>
  <c r="U4" i="47" s="1"/>
  <c r="P4" i="47"/>
  <c r="R26" i="47"/>
  <c r="U26" i="47" s="1"/>
  <c r="P26" i="47"/>
  <c r="R28" i="47"/>
  <c r="U28" i="47" s="1"/>
  <c r="P28" i="47"/>
  <c r="R27" i="47"/>
  <c r="U27" i="47" s="1"/>
  <c r="P27" i="47"/>
  <c r="R23" i="47"/>
  <c r="U23" i="47" s="1"/>
  <c r="P23" i="47"/>
  <c r="R9" i="47"/>
  <c r="U9" i="47" s="1"/>
  <c r="P9" i="47"/>
  <c r="R14" i="47"/>
  <c r="U14" i="47" s="1"/>
  <c r="P14" i="47"/>
  <c r="R18" i="47"/>
  <c r="U18" i="47" s="1"/>
  <c r="P18" i="47"/>
  <c r="R22" i="47"/>
  <c r="U22" i="47" s="1"/>
  <c r="P22" i="47"/>
  <c r="R21" i="47"/>
  <c r="U21" i="47" s="1"/>
  <c r="P21" i="47"/>
  <c r="R15" i="47"/>
  <c r="U15" i="47" s="1"/>
  <c r="P15" i="47"/>
  <c r="R12" i="47"/>
  <c r="U12" i="47" s="1"/>
  <c r="P12" i="47"/>
  <c r="R24" i="47"/>
  <c r="U24" i="47" s="1"/>
  <c r="P24" i="47"/>
  <c r="R17" i="47"/>
  <c r="U17" i="47" s="1"/>
  <c r="P17" i="47"/>
  <c r="R13" i="47"/>
  <c r="U13" i="47" s="1"/>
  <c r="P13" i="47"/>
  <c r="R16" i="47"/>
  <c r="U16" i="47" s="1"/>
  <c r="P16" i="47"/>
  <c r="R27" i="49"/>
  <c r="U27" i="49" s="1"/>
  <c r="P27" i="49"/>
  <c r="R26" i="49"/>
  <c r="U26" i="49" s="1"/>
  <c r="P26" i="49"/>
  <c r="R25" i="49"/>
  <c r="U25" i="49" s="1"/>
  <c r="P25" i="49"/>
  <c r="R24" i="49"/>
  <c r="U24" i="49" s="1"/>
  <c r="P24" i="49"/>
  <c r="R23" i="49"/>
  <c r="U23" i="49" s="1"/>
  <c r="P23" i="49"/>
  <c r="R22" i="49"/>
  <c r="U22" i="49" s="1"/>
  <c r="P22" i="49"/>
  <c r="R21" i="49"/>
  <c r="U21" i="49" s="1"/>
  <c r="P21" i="49"/>
  <c r="R20" i="49"/>
  <c r="U20" i="49" s="1"/>
  <c r="P20" i="49"/>
  <c r="R3" i="49"/>
  <c r="U3" i="49" s="1"/>
  <c r="P3" i="49"/>
  <c r="R19" i="49"/>
  <c r="U19" i="49" s="1"/>
  <c r="P19" i="49"/>
  <c r="R18" i="49"/>
  <c r="U18" i="49" s="1"/>
  <c r="P18" i="49"/>
  <c r="R13" i="49"/>
  <c r="U13" i="49" s="1"/>
  <c r="P13" i="49"/>
  <c r="R14" i="49"/>
  <c r="U14" i="49" s="1"/>
  <c r="P14" i="49"/>
  <c r="R5" i="49"/>
  <c r="U5" i="49" s="1"/>
  <c r="P5" i="49"/>
  <c r="R16" i="49"/>
  <c r="U16" i="49" s="1"/>
  <c r="P16" i="49"/>
  <c r="R12" i="49"/>
  <c r="U12" i="49" s="1"/>
  <c r="P12" i="49"/>
  <c r="R10" i="49"/>
  <c r="P10" i="49"/>
  <c r="R15" i="49"/>
  <c r="U15" i="49" s="1"/>
  <c r="P15" i="49"/>
  <c r="R17" i="49"/>
  <c r="U17" i="49" s="1"/>
  <c r="P17" i="49"/>
  <c r="R7" i="49"/>
  <c r="U7" i="49" s="1"/>
  <c r="P7" i="49"/>
  <c r="R6" i="49"/>
  <c r="U6" i="49" s="1"/>
  <c r="P6" i="49"/>
  <c r="R8" i="49"/>
  <c r="U8" i="49" s="1"/>
  <c r="P8" i="49"/>
  <c r="R11" i="49"/>
  <c r="U11" i="49" s="1"/>
  <c r="P11" i="49"/>
  <c r="R9" i="49"/>
  <c r="U9" i="49" s="1"/>
  <c r="P9" i="49"/>
  <c r="R4" i="49"/>
  <c r="P4" i="49"/>
  <c r="R8" i="44"/>
  <c r="U8" i="44" s="1"/>
  <c r="P8" i="44"/>
  <c r="R33" i="44"/>
  <c r="U33" i="44" s="1"/>
  <c r="P33" i="44"/>
  <c r="R15" i="44"/>
  <c r="U15" i="44" s="1"/>
  <c r="P15" i="44"/>
  <c r="R25" i="44"/>
  <c r="U25" i="44" s="1"/>
  <c r="P25" i="44"/>
  <c r="R37" i="44"/>
  <c r="U37" i="44" s="1"/>
  <c r="P37" i="44"/>
  <c r="R10" i="44"/>
  <c r="U10" i="44" s="1"/>
  <c r="P10" i="44"/>
  <c r="R36" i="44"/>
  <c r="U36" i="44" s="1"/>
  <c r="P36" i="44"/>
  <c r="R32" i="44"/>
  <c r="U32" i="44" s="1"/>
  <c r="P32" i="44"/>
  <c r="R7" i="44"/>
  <c r="U7" i="44" s="1"/>
  <c r="P7" i="44"/>
  <c r="R6" i="44"/>
  <c r="U6" i="44" s="1"/>
  <c r="P6" i="44"/>
  <c r="R3" i="44"/>
  <c r="U3" i="44" s="1"/>
  <c r="P3" i="44"/>
  <c r="R5" i="44"/>
  <c r="U5" i="44" s="1"/>
  <c r="P5" i="44"/>
  <c r="R31" i="44"/>
  <c r="U31" i="44" s="1"/>
  <c r="P31" i="44"/>
  <c r="R21" i="44"/>
  <c r="U21" i="44" s="1"/>
  <c r="P21" i="44"/>
  <c r="R4" i="44"/>
  <c r="U4" i="44" s="1"/>
  <c r="P4" i="44"/>
  <c r="R14" i="44"/>
  <c r="U14" i="44" s="1"/>
  <c r="P14" i="44"/>
  <c r="R35" i="44"/>
  <c r="U35" i="44" s="1"/>
  <c r="P35" i="44"/>
  <c r="R27" i="44"/>
  <c r="U27" i="44" s="1"/>
  <c r="P27" i="44"/>
  <c r="R20" i="44"/>
  <c r="U20" i="44" s="1"/>
  <c r="P20" i="44"/>
  <c r="R19" i="44"/>
  <c r="U19" i="44" s="1"/>
  <c r="P19" i="44"/>
  <c r="R29" i="44"/>
  <c r="U29" i="44" s="1"/>
  <c r="P29" i="44"/>
  <c r="R13" i="44"/>
  <c r="U13" i="44" s="1"/>
  <c r="P13" i="44"/>
  <c r="R12" i="44"/>
  <c r="U12" i="44" s="1"/>
  <c r="P12" i="44"/>
  <c r="R9" i="44"/>
  <c r="U9" i="44" s="1"/>
  <c r="P9" i="44"/>
  <c r="R28" i="44"/>
  <c r="U28" i="44" s="1"/>
  <c r="P28" i="44"/>
  <c r="R17" i="44"/>
  <c r="U17" i="44" s="1"/>
  <c r="P17" i="44"/>
  <c r="R23" i="44"/>
  <c r="U23" i="44" s="1"/>
  <c r="P23" i="44"/>
  <c r="R30" i="44"/>
  <c r="U30" i="44" s="1"/>
  <c r="P30" i="44"/>
  <c r="R24" i="44"/>
  <c r="U24" i="44" s="1"/>
  <c r="P24" i="44"/>
  <c r="R22" i="44"/>
  <c r="U22" i="44" s="1"/>
  <c r="P22" i="44"/>
  <c r="R26" i="44"/>
  <c r="U26" i="44" s="1"/>
  <c r="P26" i="44"/>
  <c r="R18" i="44"/>
  <c r="U18" i="44" s="1"/>
  <c r="P18" i="44"/>
  <c r="R11" i="44"/>
  <c r="U11" i="44" s="1"/>
  <c r="P11" i="44"/>
  <c r="R16" i="44"/>
  <c r="U16" i="44" s="1"/>
  <c r="P16" i="44"/>
  <c r="R49" i="45"/>
  <c r="U49" i="45" s="1"/>
  <c r="P49" i="45"/>
  <c r="R48" i="45"/>
  <c r="U48" i="45" s="1"/>
  <c r="P48" i="45"/>
  <c r="R41" i="45"/>
  <c r="U41" i="45" s="1"/>
  <c r="P41" i="45"/>
  <c r="R40" i="45"/>
  <c r="U40" i="45" s="1"/>
  <c r="P40" i="45"/>
  <c r="R46" i="45"/>
  <c r="U46" i="45" s="1"/>
  <c r="P46" i="45"/>
  <c r="R45" i="45"/>
  <c r="U45" i="45" s="1"/>
  <c r="P45" i="45"/>
  <c r="R26" i="45"/>
  <c r="U26" i="45" s="1"/>
  <c r="P26" i="45"/>
  <c r="R7" i="45"/>
  <c r="U7" i="45" s="1"/>
  <c r="P7" i="45"/>
  <c r="R6" i="45"/>
  <c r="U6" i="45" s="1"/>
  <c r="P6" i="45"/>
  <c r="R43" i="45"/>
  <c r="U43" i="45" s="1"/>
  <c r="P43" i="45"/>
  <c r="R42" i="45"/>
  <c r="U42" i="45" s="1"/>
  <c r="P42" i="45"/>
  <c r="R18" i="45"/>
  <c r="U18" i="45" s="1"/>
  <c r="P18" i="45"/>
  <c r="R37" i="45"/>
  <c r="U37" i="45" s="1"/>
  <c r="P37" i="45"/>
  <c r="R36" i="45"/>
  <c r="U36" i="45" s="1"/>
  <c r="P36" i="45"/>
  <c r="R10" i="45"/>
  <c r="U10" i="45" s="1"/>
  <c r="P10" i="45"/>
  <c r="R9" i="45"/>
  <c r="U9" i="45" s="1"/>
  <c r="P9" i="45"/>
  <c r="R27" i="45"/>
  <c r="U27" i="45" s="1"/>
  <c r="P27" i="45"/>
  <c r="R8" i="45"/>
  <c r="U8" i="45" s="1"/>
  <c r="P8" i="45"/>
  <c r="R3" i="45"/>
  <c r="U3" i="45" s="1"/>
  <c r="P3" i="45"/>
  <c r="R20" i="45"/>
  <c r="U20" i="45" s="1"/>
  <c r="P20" i="45"/>
  <c r="R35" i="45"/>
  <c r="U35" i="45" s="1"/>
  <c r="P35" i="45"/>
  <c r="R32" i="45"/>
  <c r="U32" i="45" s="1"/>
  <c r="P32" i="45"/>
  <c r="R13" i="45"/>
  <c r="U13" i="45" s="1"/>
  <c r="P13" i="45"/>
  <c r="R24" i="45"/>
  <c r="U24" i="45" s="1"/>
  <c r="P24" i="45"/>
  <c r="R38" i="45"/>
  <c r="U38" i="45" s="1"/>
  <c r="P38" i="45"/>
  <c r="R12" i="45"/>
  <c r="U12" i="45" s="1"/>
  <c r="P12" i="45"/>
  <c r="R39" i="45"/>
  <c r="U39" i="45" s="1"/>
  <c r="P39" i="45"/>
  <c r="R21" i="45"/>
  <c r="U21" i="45" s="1"/>
  <c r="P21" i="45"/>
  <c r="R19" i="45"/>
  <c r="U19" i="45" s="1"/>
  <c r="P19" i="45"/>
  <c r="R29" i="45"/>
  <c r="U29" i="45" s="1"/>
  <c r="P29" i="45"/>
  <c r="R11" i="45"/>
  <c r="U11" i="45" s="1"/>
  <c r="P11" i="45"/>
  <c r="R25" i="45"/>
  <c r="U25" i="45" s="1"/>
  <c r="P25" i="45"/>
  <c r="R22" i="45"/>
  <c r="U22" i="45" s="1"/>
  <c r="P22" i="45"/>
  <c r="R34" i="45"/>
  <c r="U34" i="45" s="1"/>
  <c r="P34" i="45"/>
  <c r="R16" i="45"/>
  <c r="U16" i="45" s="1"/>
  <c r="P16" i="45"/>
  <c r="R15" i="45"/>
  <c r="U15" i="45" s="1"/>
  <c r="P15" i="45"/>
  <c r="R30" i="45"/>
  <c r="U30" i="45" s="1"/>
  <c r="P30" i="45"/>
  <c r="R33" i="45"/>
  <c r="U33" i="45" s="1"/>
  <c r="P33" i="45"/>
  <c r="R14" i="45"/>
  <c r="U14" i="45" s="1"/>
  <c r="P14" i="45"/>
  <c r="R31" i="45"/>
  <c r="U31" i="45" s="1"/>
  <c r="P31" i="45"/>
  <c r="R28" i="45"/>
  <c r="U28" i="45" s="1"/>
  <c r="P28" i="45"/>
  <c r="R23" i="45"/>
  <c r="U23" i="45" s="1"/>
  <c r="P23" i="45"/>
  <c r="R17" i="45"/>
  <c r="U17" i="45" s="1"/>
  <c r="P17" i="45"/>
  <c r="R56" i="55"/>
  <c r="P56" i="55"/>
  <c r="R55" i="55"/>
  <c r="P55" i="55"/>
  <c r="R54" i="55"/>
  <c r="P54" i="55"/>
  <c r="S54" i="55" s="1"/>
  <c r="R53" i="55"/>
  <c r="P53" i="55"/>
  <c r="S53" i="55" s="1"/>
  <c r="R52" i="55"/>
  <c r="P52" i="55"/>
  <c r="S51" i="55"/>
  <c r="R51" i="55"/>
  <c r="P51" i="55"/>
  <c r="R50" i="55"/>
  <c r="P50" i="55"/>
  <c r="S50" i="55" s="1"/>
  <c r="R49" i="55"/>
  <c r="P49" i="55"/>
  <c r="R48" i="55"/>
  <c r="P48" i="55"/>
  <c r="S47" i="55"/>
  <c r="R47" i="55"/>
  <c r="P47" i="55"/>
  <c r="R46" i="55"/>
  <c r="P46" i="55"/>
  <c r="R45" i="55"/>
  <c r="P45" i="55"/>
  <c r="S45" i="55" s="1"/>
  <c r="R44" i="55"/>
  <c r="P44" i="55"/>
  <c r="R43" i="55"/>
  <c r="P43" i="55"/>
  <c r="R42" i="55"/>
  <c r="P42" i="55"/>
  <c r="S42" i="55" s="1"/>
  <c r="R41" i="55"/>
  <c r="P41" i="55"/>
  <c r="R40" i="55"/>
  <c r="P40" i="55"/>
  <c r="R39" i="55"/>
  <c r="P39" i="55"/>
  <c r="R38" i="55"/>
  <c r="P38" i="55"/>
  <c r="S38" i="55" s="1"/>
  <c r="R37" i="55"/>
  <c r="P37" i="55"/>
  <c r="S37" i="55" s="1"/>
  <c r="R36" i="55"/>
  <c r="P36" i="55"/>
  <c r="S35" i="55"/>
  <c r="R35" i="55"/>
  <c r="P35" i="55"/>
  <c r="R34" i="55"/>
  <c r="P34" i="55"/>
  <c r="S34" i="55" s="1"/>
  <c r="R33" i="55"/>
  <c r="P33" i="55"/>
  <c r="R32" i="55"/>
  <c r="S32" i="55" s="1"/>
  <c r="P32" i="55"/>
  <c r="S31" i="55"/>
  <c r="R31" i="55"/>
  <c r="P31" i="55"/>
  <c r="R30" i="55"/>
  <c r="P30" i="55"/>
  <c r="R29" i="55"/>
  <c r="P29" i="55"/>
  <c r="S29" i="55" s="1"/>
  <c r="R28" i="55"/>
  <c r="P28" i="55"/>
  <c r="R22" i="55"/>
  <c r="P22" i="55"/>
  <c r="R21" i="55"/>
  <c r="P21" i="55"/>
  <c r="R27" i="55"/>
  <c r="U27" i="55" s="1"/>
  <c r="P27" i="55"/>
  <c r="R26" i="55"/>
  <c r="U26" i="55" s="1"/>
  <c r="P26" i="55"/>
  <c r="R15" i="55"/>
  <c r="P15" i="55"/>
  <c r="R20" i="55"/>
  <c r="U20" i="55" s="1"/>
  <c r="P20" i="55"/>
  <c r="R17" i="55"/>
  <c r="P17" i="55"/>
  <c r="R16" i="55"/>
  <c r="P16" i="55"/>
  <c r="R14" i="55"/>
  <c r="U14" i="55" s="1"/>
  <c r="P14" i="55"/>
  <c r="R25" i="55"/>
  <c r="U25" i="55" s="1"/>
  <c r="P25" i="55"/>
  <c r="R24" i="55"/>
  <c r="P24" i="55"/>
  <c r="R23" i="55"/>
  <c r="P23" i="55"/>
  <c r="R19" i="55"/>
  <c r="U19" i="55" s="1"/>
  <c r="P19" i="55"/>
  <c r="R10" i="55"/>
  <c r="P10" i="55"/>
  <c r="R18" i="55"/>
  <c r="U18" i="55" s="1"/>
  <c r="P18" i="55"/>
  <c r="R12" i="55"/>
  <c r="P12" i="55"/>
  <c r="R11" i="55"/>
  <c r="P11" i="55"/>
  <c r="R9" i="55"/>
  <c r="P9" i="55"/>
  <c r="R13" i="55"/>
  <c r="P13" i="55"/>
  <c r="R6" i="55"/>
  <c r="P6" i="55"/>
  <c r="R7" i="55"/>
  <c r="P7" i="55"/>
  <c r="R5" i="55"/>
  <c r="U5" i="55" s="1"/>
  <c r="P5" i="55"/>
  <c r="R8" i="55"/>
  <c r="P8" i="55"/>
  <c r="R3" i="55"/>
  <c r="P3" i="55"/>
  <c r="R4" i="55"/>
  <c r="P4" i="55"/>
  <c r="R53" i="33"/>
  <c r="U53" i="33" s="1"/>
  <c r="P53" i="33"/>
  <c r="R52" i="33"/>
  <c r="U52" i="33" s="1"/>
  <c r="P52" i="33"/>
  <c r="S52" i="33" s="1"/>
  <c r="R51" i="33"/>
  <c r="U51" i="33" s="1"/>
  <c r="P51" i="33"/>
  <c r="R50" i="33"/>
  <c r="U50" i="33" s="1"/>
  <c r="P50" i="33"/>
  <c r="S50" i="33" s="1"/>
  <c r="R49" i="33"/>
  <c r="U49" i="33" s="1"/>
  <c r="P49" i="33"/>
  <c r="S49" i="33" s="1"/>
  <c r="R48" i="33"/>
  <c r="U48" i="33" s="1"/>
  <c r="P48" i="33"/>
  <c r="R47" i="33"/>
  <c r="U47" i="33" s="1"/>
  <c r="P47" i="33"/>
  <c r="S47" i="33" s="1"/>
  <c r="R46" i="33"/>
  <c r="U46" i="33" s="1"/>
  <c r="P46" i="33"/>
  <c r="S46" i="33" s="1"/>
  <c r="R45" i="33"/>
  <c r="U45" i="33" s="1"/>
  <c r="P45" i="33"/>
  <c r="R44" i="33"/>
  <c r="U44" i="33" s="1"/>
  <c r="P44" i="33"/>
  <c r="R43" i="33"/>
  <c r="U43" i="33" s="1"/>
  <c r="P43" i="33"/>
  <c r="R42" i="33"/>
  <c r="U42" i="33" s="1"/>
  <c r="P42" i="33"/>
  <c r="R41" i="33"/>
  <c r="U41" i="33" s="1"/>
  <c r="P41" i="33"/>
  <c r="R40" i="33"/>
  <c r="U40" i="33" s="1"/>
  <c r="P40" i="33"/>
  <c r="R39" i="33"/>
  <c r="U39" i="33" s="1"/>
  <c r="P39" i="33"/>
  <c r="R38" i="33"/>
  <c r="U38" i="33" s="1"/>
  <c r="P38" i="33"/>
  <c r="R37" i="33"/>
  <c r="U37" i="33" s="1"/>
  <c r="P37" i="33"/>
  <c r="R36" i="33"/>
  <c r="U36" i="33" s="1"/>
  <c r="P36" i="33"/>
  <c r="R35" i="33"/>
  <c r="U35" i="33" s="1"/>
  <c r="P35" i="33"/>
  <c r="R34" i="33"/>
  <c r="U34" i="33" s="1"/>
  <c r="P34" i="33"/>
  <c r="R33" i="33"/>
  <c r="U33" i="33" s="1"/>
  <c r="P33" i="33"/>
  <c r="R32" i="33"/>
  <c r="U32" i="33" s="1"/>
  <c r="P32" i="33"/>
  <c r="R31" i="33"/>
  <c r="U31" i="33" s="1"/>
  <c r="P31" i="33"/>
  <c r="R30" i="33"/>
  <c r="U30" i="33" s="1"/>
  <c r="P30" i="33"/>
  <c r="R29" i="33"/>
  <c r="U29" i="33" s="1"/>
  <c r="P29" i="33"/>
  <c r="R28" i="33"/>
  <c r="U28" i="33" s="1"/>
  <c r="P28" i="33"/>
  <c r="R27" i="33"/>
  <c r="U27" i="33" s="1"/>
  <c r="P27" i="33"/>
  <c r="R3" i="33"/>
  <c r="U3" i="33" s="1"/>
  <c r="P3" i="33"/>
  <c r="R22" i="33"/>
  <c r="U22" i="33" s="1"/>
  <c r="P22" i="33"/>
  <c r="R24" i="33"/>
  <c r="U24" i="33" s="1"/>
  <c r="P24" i="33"/>
  <c r="R26" i="33"/>
  <c r="U26" i="33" s="1"/>
  <c r="P26" i="33"/>
  <c r="R23" i="33"/>
  <c r="U23" i="33" s="1"/>
  <c r="P23" i="33"/>
  <c r="R4" i="33"/>
  <c r="U4" i="33" s="1"/>
  <c r="P4" i="33"/>
  <c r="R5" i="33"/>
  <c r="U5" i="33" s="1"/>
  <c r="P5" i="33"/>
  <c r="R13" i="33"/>
  <c r="U13" i="33" s="1"/>
  <c r="P13" i="33"/>
  <c r="R25" i="33"/>
  <c r="U25" i="33" s="1"/>
  <c r="P25" i="33"/>
  <c r="R11" i="33"/>
  <c r="U11" i="33" s="1"/>
  <c r="P11" i="33"/>
  <c r="R9" i="33"/>
  <c r="U9" i="33" s="1"/>
  <c r="P9" i="33"/>
  <c r="R6" i="33"/>
  <c r="U6" i="33" s="1"/>
  <c r="P6" i="33"/>
  <c r="R20" i="33"/>
  <c r="U20" i="33" s="1"/>
  <c r="P20" i="33"/>
  <c r="R15" i="33"/>
  <c r="U15" i="33" s="1"/>
  <c r="P15" i="33"/>
  <c r="R7" i="33"/>
  <c r="U7" i="33" s="1"/>
  <c r="P7" i="33"/>
  <c r="R8" i="33"/>
  <c r="U8" i="33" s="1"/>
  <c r="P8" i="33"/>
  <c r="R16" i="33"/>
  <c r="U16" i="33" s="1"/>
  <c r="P16" i="33"/>
  <c r="R14" i="33"/>
  <c r="U14" i="33" s="1"/>
  <c r="P14" i="33"/>
  <c r="R10" i="33"/>
  <c r="U10" i="33" s="1"/>
  <c r="P10" i="33"/>
  <c r="R17" i="33"/>
  <c r="U17" i="33" s="1"/>
  <c r="P17" i="33"/>
  <c r="R18" i="33"/>
  <c r="U18" i="33" s="1"/>
  <c r="P18" i="33"/>
  <c r="R19" i="33"/>
  <c r="U19" i="33" s="1"/>
  <c r="P19" i="33"/>
  <c r="R12" i="33"/>
  <c r="U12" i="33" s="1"/>
  <c r="P12" i="33"/>
  <c r="R21" i="33"/>
  <c r="U21" i="33" s="1"/>
  <c r="P21" i="33"/>
  <c r="R47" i="38"/>
  <c r="U47" i="38" s="1"/>
  <c r="P47" i="38"/>
  <c r="R46" i="38"/>
  <c r="U46" i="38" s="1"/>
  <c r="P46" i="38"/>
  <c r="S46" i="38" s="1"/>
  <c r="R45" i="38"/>
  <c r="U45" i="38" s="1"/>
  <c r="P45" i="38"/>
  <c r="R44" i="38"/>
  <c r="U44" i="38" s="1"/>
  <c r="P44" i="38"/>
  <c r="S44" i="38" s="1"/>
  <c r="R43" i="38"/>
  <c r="U43" i="38" s="1"/>
  <c r="P43" i="38"/>
  <c r="S43" i="38" s="1"/>
  <c r="R42" i="38"/>
  <c r="U42" i="38" s="1"/>
  <c r="P42" i="38"/>
  <c r="R41" i="38"/>
  <c r="U41" i="38" s="1"/>
  <c r="P41" i="38"/>
  <c r="R40" i="38"/>
  <c r="U40" i="38" s="1"/>
  <c r="P40" i="38"/>
  <c r="S40" i="38" s="1"/>
  <c r="R39" i="38"/>
  <c r="U39" i="38" s="1"/>
  <c r="P39" i="38"/>
  <c r="R38" i="38"/>
  <c r="U38" i="38" s="1"/>
  <c r="P38" i="38"/>
  <c r="R37" i="38"/>
  <c r="U37" i="38" s="1"/>
  <c r="P37" i="38"/>
  <c r="R36" i="38"/>
  <c r="U36" i="38" s="1"/>
  <c r="P36" i="38"/>
  <c r="R35" i="38"/>
  <c r="P35" i="38"/>
  <c r="R34" i="38"/>
  <c r="U34" i="38" s="1"/>
  <c r="P34" i="38"/>
  <c r="R33" i="38"/>
  <c r="U33" i="38" s="1"/>
  <c r="P33" i="38"/>
  <c r="R32" i="38"/>
  <c r="U32" i="38" s="1"/>
  <c r="P32" i="38"/>
  <c r="R31" i="38"/>
  <c r="U31" i="38" s="1"/>
  <c r="P31" i="38"/>
  <c r="R30" i="38"/>
  <c r="U30" i="38" s="1"/>
  <c r="P30" i="38"/>
  <c r="R29" i="38"/>
  <c r="U29" i="38" s="1"/>
  <c r="P29" i="38"/>
  <c r="R28" i="38"/>
  <c r="U28" i="38" s="1"/>
  <c r="P28" i="38"/>
  <c r="R27" i="38"/>
  <c r="U27" i="38" s="1"/>
  <c r="P27" i="38"/>
  <c r="R26" i="38"/>
  <c r="U26" i="38" s="1"/>
  <c r="P26" i="38"/>
  <c r="R25" i="38"/>
  <c r="U25" i="38" s="1"/>
  <c r="P25" i="38"/>
  <c r="R24" i="38"/>
  <c r="U24" i="38" s="1"/>
  <c r="P24" i="38"/>
  <c r="R20" i="38"/>
  <c r="P20" i="38"/>
  <c r="R23" i="38"/>
  <c r="U23" i="38" s="1"/>
  <c r="P23" i="38"/>
  <c r="R22" i="38"/>
  <c r="U22" i="38" s="1"/>
  <c r="P22" i="38"/>
  <c r="R17" i="38"/>
  <c r="U17" i="38" s="1"/>
  <c r="P17" i="38"/>
  <c r="R21" i="38"/>
  <c r="U21" i="38" s="1"/>
  <c r="P21" i="38"/>
  <c r="R19" i="38"/>
  <c r="U19" i="38" s="1"/>
  <c r="P19" i="38"/>
  <c r="R14" i="38"/>
  <c r="U14" i="38" s="1"/>
  <c r="P14" i="38"/>
  <c r="R6" i="38"/>
  <c r="U6" i="38" s="1"/>
  <c r="P6" i="38"/>
  <c r="R18" i="38"/>
  <c r="U18" i="38" s="1"/>
  <c r="P18" i="38"/>
  <c r="R16" i="38"/>
  <c r="P16" i="38"/>
  <c r="R9" i="38"/>
  <c r="U9" i="38" s="1"/>
  <c r="P9" i="38"/>
  <c r="R12" i="38"/>
  <c r="P12" i="38"/>
  <c r="R11" i="38"/>
  <c r="U11" i="38" s="1"/>
  <c r="P11" i="38"/>
  <c r="R15" i="38"/>
  <c r="U15" i="38" s="1"/>
  <c r="P15" i="38"/>
  <c r="R8" i="38"/>
  <c r="U8" i="38" s="1"/>
  <c r="P8" i="38"/>
  <c r="R10" i="38"/>
  <c r="U10" i="38" s="1"/>
  <c r="P10" i="38"/>
  <c r="R13" i="38"/>
  <c r="P13" i="38"/>
  <c r="R5" i="38"/>
  <c r="U5" i="38" s="1"/>
  <c r="P5" i="38"/>
  <c r="R7" i="38"/>
  <c r="P7" i="38"/>
  <c r="R4" i="38"/>
  <c r="U4" i="38" s="1"/>
  <c r="P4" i="38"/>
  <c r="R3" i="38"/>
  <c r="P3" i="38"/>
  <c r="R56" i="31"/>
  <c r="P56" i="31"/>
  <c r="R55" i="31"/>
  <c r="P55" i="31"/>
  <c r="S55" i="31" s="1"/>
  <c r="R54" i="31"/>
  <c r="P54" i="31"/>
  <c r="R53" i="31"/>
  <c r="P53" i="31"/>
  <c r="S53" i="31" s="1"/>
  <c r="R52" i="31"/>
  <c r="P52" i="31"/>
  <c r="S52" i="31" s="1"/>
  <c r="R51" i="31"/>
  <c r="P51" i="31"/>
  <c r="R50" i="31"/>
  <c r="P50" i="31"/>
  <c r="S50" i="31" s="1"/>
  <c r="S49" i="31"/>
  <c r="R49" i="31"/>
  <c r="P49" i="31"/>
  <c r="R48" i="31"/>
  <c r="P48" i="31"/>
  <c r="S47" i="31"/>
  <c r="R47" i="31"/>
  <c r="P47" i="31"/>
  <c r="R46" i="31"/>
  <c r="P46" i="31"/>
  <c r="R45" i="31"/>
  <c r="P45" i="31"/>
  <c r="R44" i="31"/>
  <c r="P44" i="31"/>
  <c r="R43" i="31"/>
  <c r="P43" i="31"/>
  <c r="R42" i="31"/>
  <c r="P42" i="31"/>
  <c r="R41" i="31"/>
  <c r="P41" i="31"/>
  <c r="R40" i="31"/>
  <c r="P40" i="31"/>
  <c r="R39" i="31"/>
  <c r="P39" i="31"/>
  <c r="S39" i="31" s="1"/>
  <c r="R38" i="31"/>
  <c r="P38" i="31"/>
  <c r="R37" i="31"/>
  <c r="P37" i="31"/>
  <c r="S37" i="31" s="1"/>
  <c r="R36" i="31"/>
  <c r="P36" i="31"/>
  <c r="S36" i="31" s="1"/>
  <c r="R35" i="31"/>
  <c r="P35" i="31"/>
  <c r="R34" i="31"/>
  <c r="P34" i="31"/>
  <c r="S34" i="31" s="1"/>
  <c r="S33" i="31"/>
  <c r="R33" i="31"/>
  <c r="P33" i="31"/>
  <c r="R32" i="31"/>
  <c r="P32" i="31"/>
  <c r="S31" i="31"/>
  <c r="R31" i="31"/>
  <c r="P31" i="31"/>
  <c r="R30" i="31"/>
  <c r="P30" i="31"/>
  <c r="R29" i="31"/>
  <c r="P29" i="31"/>
  <c r="R28" i="31"/>
  <c r="P28" i="31"/>
  <c r="R27" i="31"/>
  <c r="P27" i="31"/>
  <c r="R26" i="31"/>
  <c r="U26" i="31" s="1"/>
  <c r="P26" i="31"/>
  <c r="R4" i="31"/>
  <c r="U4" i="31" s="1"/>
  <c r="P4" i="31"/>
  <c r="R3" i="31"/>
  <c r="U3" i="31" s="1"/>
  <c r="P3" i="31"/>
  <c r="R10" i="31"/>
  <c r="U10" i="31" s="1"/>
  <c r="P10" i="31"/>
  <c r="R25" i="31"/>
  <c r="U25" i="31" s="1"/>
  <c r="P25" i="31"/>
  <c r="R5" i="31"/>
  <c r="U5" i="31" s="1"/>
  <c r="P5" i="31"/>
  <c r="R6" i="31"/>
  <c r="U6" i="31" s="1"/>
  <c r="P6" i="31"/>
  <c r="R7" i="31"/>
  <c r="U7" i="31" s="1"/>
  <c r="P7" i="31"/>
  <c r="R14" i="31"/>
  <c r="U14" i="31" s="1"/>
  <c r="P14" i="31"/>
  <c r="R21" i="31"/>
  <c r="U21" i="31" s="1"/>
  <c r="P21" i="31"/>
  <c r="R8" i="31"/>
  <c r="U8" i="31" s="1"/>
  <c r="P8" i="31"/>
  <c r="R22" i="31"/>
  <c r="U22" i="31" s="1"/>
  <c r="P22" i="31"/>
  <c r="R15" i="31"/>
  <c r="U15" i="31" s="1"/>
  <c r="P15" i="31"/>
  <c r="R24" i="31"/>
  <c r="U24" i="31" s="1"/>
  <c r="P24" i="31"/>
  <c r="R12" i="31"/>
  <c r="U12" i="31" s="1"/>
  <c r="P12" i="31"/>
  <c r="R20" i="31"/>
  <c r="U20" i="31" s="1"/>
  <c r="P20" i="31"/>
  <c r="R11" i="31"/>
  <c r="U11" i="31" s="1"/>
  <c r="P11" i="31"/>
  <c r="R23" i="31"/>
  <c r="U23" i="31" s="1"/>
  <c r="P23" i="31"/>
  <c r="R18" i="31"/>
  <c r="U18" i="31" s="1"/>
  <c r="P18" i="31"/>
  <c r="R13" i="31"/>
  <c r="U13" i="31" s="1"/>
  <c r="P13" i="31"/>
  <c r="R19" i="31"/>
  <c r="U19" i="31" s="1"/>
  <c r="P19" i="31"/>
  <c r="R9" i="31"/>
  <c r="U9" i="31" s="1"/>
  <c r="P9" i="31"/>
  <c r="R16" i="31"/>
  <c r="U16" i="31" s="1"/>
  <c r="P16" i="31"/>
  <c r="R17" i="31"/>
  <c r="U17" i="31" s="1"/>
  <c r="P17" i="31"/>
  <c r="S56" i="32"/>
  <c r="R56" i="32"/>
  <c r="P56" i="32"/>
  <c r="R55" i="32"/>
  <c r="P55" i="32"/>
  <c r="R54" i="32"/>
  <c r="P54" i="32"/>
  <c r="R53" i="32"/>
  <c r="P53" i="32"/>
  <c r="S52" i="32"/>
  <c r="R52" i="32"/>
  <c r="P52" i="32"/>
  <c r="R51" i="32"/>
  <c r="P51" i="32"/>
  <c r="R50" i="32"/>
  <c r="P50" i="32"/>
  <c r="S50" i="32" s="1"/>
  <c r="R49" i="32"/>
  <c r="P49" i="32"/>
  <c r="R48" i="32"/>
  <c r="P48" i="32"/>
  <c r="S47" i="32"/>
  <c r="R47" i="32"/>
  <c r="P47" i="32"/>
  <c r="S46" i="32"/>
  <c r="R46" i="32"/>
  <c r="P46" i="32"/>
  <c r="R45" i="32"/>
  <c r="P45" i="32"/>
  <c r="R44" i="32"/>
  <c r="P44" i="32"/>
  <c r="R43" i="32"/>
  <c r="S43" i="32" s="1"/>
  <c r="P43" i="32"/>
  <c r="R42" i="32"/>
  <c r="P42" i="32"/>
  <c r="R41" i="32"/>
  <c r="P41" i="32"/>
  <c r="S41" i="32" s="1"/>
  <c r="S40" i="32"/>
  <c r="R40" i="32"/>
  <c r="P40" i="32"/>
  <c r="R39" i="32"/>
  <c r="P39" i="32"/>
  <c r="R38" i="32"/>
  <c r="P38" i="32"/>
  <c r="R37" i="32"/>
  <c r="P37" i="32"/>
  <c r="S36" i="32"/>
  <c r="R36" i="32"/>
  <c r="P36" i="32"/>
  <c r="R35" i="32"/>
  <c r="P35" i="32"/>
  <c r="R34" i="32"/>
  <c r="P34" i="32"/>
  <c r="S34" i="32" s="1"/>
  <c r="R33" i="32"/>
  <c r="P33" i="32"/>
  <c r="S33" i="32" s="1"/>
  <c r="R32" i="32"/>
  <c r="P32" i="32"/>
  <c r="S31" i="32"/>
  <c r="R31" i="32"/>
  <c r="P31" i="32"/>
  <c r="S30" i="32"/>
  <c r="R30" i="32"/>
  <c r="P30" i="32"/>
  <c r="R29" i="32"/>
  <c r="P29" i="32"/>
  <c r="R28" i="32"/>
  <c r="P28" i="32"/>
  <c r="R27" i="32"/>
  <c r="S27" i="32" s="1"/>
  <c r="P27" i="32"/>
  <c r="R3" i="32"/>
  <c r="U3" i="32" s="1"/>
  <c r="P3" i="32"/>
  <c r="R9" i="32"/>
  <c r="U9" i="32" s="1"/>
  <c r="P9" i="32"/>
  <c r="R25" i="32"/>
  <c r="U25" i="32" s="1"/>
  <c r="P25" i="32"/>
  <c r="R8" i="32"/>
  <c r="U8" i="32" s="1"/>
  <c r="P8" i="32"/>
  <c r="R7" i="32"/>
  <c r="U7" i="32" s="1"/>
  <c r="P7" i="32"/>
  <c r="R6" i="32"/>
  <c r="U6" i="32" s="1"/>
  <c r="P6" i="32"/>
  <c r="R24" i="32"/>
  <c r="U24" i="32" s="1"/>
  <c r="P24" i="32"/>
  <c r="R5" i="32"/>
  <c r="U5" i="32" s="1"/>
  <c r="P5" i="32"/>
  <c r="R21" i="32"/>
  <c r="U21" i="32" s="1"/>
  <c r="P21" i="32"/>
  <c r="R4" i="32"/>
  <c r="U4" i="32" s="1"/>
  <c r="P4" i="32"/>
  <c r="R14" i="32"/>
  <c r="U14" i="32" s="1"/>
  <c r="P14" i="32"/>
  <c r="R23" i="32"/>
  <c r="U23" i="32" s="1"/>
  <c r="P23" i="32"/>
  <c r="R18" i="32"/>
  <c r="U18" i="32" s="1"/>
  <c r="P18" i="32"/>
  <c r="R26" i="32"/>
  <c r="U26" i="32" s="1"/>
  <c r="P26" i="32"/>
  <c r="R17" i="32"/>
  <c r="U17" i="32" s="1"/>
  <c r="P17" i="32"/>
  <c r="R11" i="32"/>
  <c r="P11" i="32"/>
  <c r="R22" i="32"/>
  <c r="U22" i="32" s="1"/>
  <c r="P22" i="32"/>
  <c r="R19" i="32"/>
  <c r="U19" i="32" s="1"/>
  <c r="P19" i="32"/>
  <c r="R16" i="32"/>
  <c r="U16" i="32" s="1"/>
  <c r="P16" i="32"/>
  <c r="R10" i="32"/>
  <c r="U10" i="32" s="1"/>
  <c r="P10" i="32"/>
  <c r="R12" i="32"/>
  <c r="P12" i="32"/>
  <c r="R15" i="32"/>
  <c r="P15" i="32"/>
  <c r="R20" i="32"/>
  <c r="U20" i="32" s="1"/>
  <c r="P20" i="32"/>
  <c r="R13" i="32"/>
  <c r="U13" i="32" s="1"/>
  <c r="P13" i="32"/>
  <c r="R23" i="41"/>
  <c r="U23" i="41" s="1"/>
  <c r="P23" i="41"/>
  <c r="R52" i="41"/>
  <c r="U52" i="41" s="1"/>
  <c r="P52" i="41"/>
  <c r="R56" i="41"/>
  <c r="P56" i="41"/>
  <c r="R55" i="41"/>
  <c r="U55" i="41" s="1"/>
  <c r="P55" i="41"/>
  <c r="R54" i="41"/>
  <c r="P54" i="41"/>
  <c r="R53" i="41"/>
  <c r="U53" i="41" s="1"/>
  <c r="P53" i="41"/>
  <c r="R50" i="41"/>
  <c r="P50" i="41"/>
  <c r="R51" i="41"/>
  <c r="U51" i="41" s="1"/>
  <c r="P51" i="41"/>
  <c r="R49" i="41"/>
  <c r="P49" i="41"/>
  <c r="R48" i="41"/>
  <c r="U48" i="41" s="1"/>
  <c r="P48" i="41"/>
  <c r="R15" i="41"/>
  <c r="P15" i="41"/>
  <c r="R14" i="41"/>
  <c r="P14" i="41"/>
  <c r="R13" i="41"/>
  <c r="P13" i="41"/>
  <c r="R12" i="41"/>
  <c r="U12" i="41" s="1"/>
  <c r="P12" i="41"/>
  <c r="R45" i="41"/>
  <c r="U45" i="41" s="1"/>
  <c r="P45" i="41"/>
  <c r="R41" i="41"/>
  <c r="U41" i="41" s="1"/>
  <c r="P41" i="41"/>
  <c r="R44" i="41"/>
  <c r="P44" i="41"/>
  <c r="R43" i="41"/>
  <c r="P43" i="41"/>
  <c r="R42" i="41"/>
  <c r="P42" i="41"/>
  <c r="R11" i="41"/>
  <c r="U11" i="41" s="1"/>
  <c r="P11" i="41"/>
  <c r="R10" i="41"/>
  <c r="U10" i="41" s="1"/>
  <c r="P10" i="41"/>
  <c r="R9" i="41"/>
  <c r="U9" i="41" s="1"/>
  <c r="P9" i="41"/>
  <c r="R47" i="41"/>
  <c r="P47" i="41"/>
  <c r="R8" i="41"/>
  <c r="U8" i="41" s="1"/>
  <c r="P8" i="41"/>
  <c r="R40" i="41"/>
  <c r="P40" i="41"/>
  <c r="R46" i="41"/>
  <c r="U46" i="41" s="1"/>
  <c r="P46" i="41"/>
  <c r="R28" i="41"/>
  <c r="U28" i="41" s="1"/>
  <c r="P28" i="41"/>
  <c r="R27" i="41"/>
  <c r="P27" i="41"/>
  <c r="R7" i="41"/>
  <c r="P7" i="41"/>
  <c r="R38" i="41"/>
  <c r="U38" i="41" s="1"/>
  <c r="P38" i="41"/>
  <c r="R5" i="41"/>
  <c r="U5" i="41" s="1"/>
  <c r="P5" i="41"/>
  <c r="R6" i="41"/>
  <c r="U6" i="41" s="1"/>
  <c r="P6" i="41"/>
  <c r="R21" i="41"/>
  <c r="P21" i="41"/>
  <c r="R31" i="41"/>
  <c r="P31" i="41"/>
  <c r="R29" i="41"/>
  <c r="P29" i="41"/>
  <c r="R4" i="41"/>
  <c r="U4" i="41" s="1"/>
  <c r="P4" i="41"/>
  <c r="R22" i="41"/>
  <c r="U22" i="41" s="1"/>
  <c r="P22" i="41"/>
  <c r="R36" i="41"/>
  <c r="U36" i="41" s="1"/>
  <c r="P36" i="41"/>
  <c r="R17" i="41"/>
  <c r="P17" i="41"/>
  <c r="R3" i="41"/>
  <c r="P3" i="41"/>
  <c r="R37" i="41"/>
  <c r="P37" i="41"/>
  <c r="R16" i="41"/>
  <c r="U16" i="41" s="1"/>
  <c r="P16" i="41"/>
  <c r="R32" i="41"/>
  <c r="U32" i="41" s="1"/>
  <c r="P32" i="41"/>
  <c r="R39" i="41"/>
  <c r="U39" i="41" s="1"/>
  <c r="P39" i="41"/>
  <c r="R25" i="41"/>
  <c r="U25" i="41" s="1"/>
  <c r="P25" i="41"/>
  <c r="R33" i="41"/>
  <c r="P33" i="41"/>
  <c r="R18" i="41"/>
  <c r="P18" i="41"/>
  <c r="R19" i="41"/>
  <c r="U19" i="41" s="1"/>
  <c r="P19" i="41"/>
  <c r="P30" i="41"/>
  <c r="R34" i="41"/>
  <c r="P34" i="41"/>
  <c r="R24" i="41"/>
  <c r="P24" i="41"/>
  <c r="R26" i="41"/>
  <c r="U26" i="41" s="1"/>
  <c r="P26" i="41"/>
  <c r="R35" i="41"/>
  <c r="P35" i="41"/>
  <c r="R20" i="41"/>
  <c r="U20" i="41" s="1"/>
  <c r="P20" i="41"/>
  <c r="R51" i="37"/>
  <c r="U51" i="37" s="1"/>
  <c r="P51" i="37"/>
  <c r="R50" i="37"/>
  <c r="U50" i="37" s="1"/>
  <c r="P50" i="37"/>
  <c r="R49" i="37"/>
  <c r="U49" i="37" s="1"/>
  <c r="P49" i="37"/>
  <c r="R48" i="37"/>
  <c r="U48" i="37" s="1"/>
  <c r="P48" i="37"/>
  <c r="R47" i="37"/>
  <c r="U47" i="37" s="1"/>
  <c r="P47" i="37"/>
  <c r="S47" i="37" s="1"/>
  <c r="R46" i="37"/>
  <c r="U46" i="37" s="1"/>
  <c r="P46" i="37"/>
  <c r="R45" i="37"/>
  <c r="U45" i="37" s="1"/>
  <c r="P45" i="37"/>
  <c r="R44" i="37"/>
  <c r="U44" i="37" s="1"/>
  <c r="P44" i="37"/>
  <c r="R43" i="37"/>
  <c r="U43" i="37" s="1"/>
  <c r="P43" i="37"/>
  <c r="R42" i="37"/>
  <c r="U42" i="37" s="1"/>
  <c r="P42" i="37"/>
  <c r="S42" i="37" s="1"/>
  <c r="R41" i="37"/>
  <c r="U41" i="37" s="1"/>
  <c r="P41" i="37"/>
  <c r="R40" i="37"/>
  <c r="U40" i="37" s="1"/>
  <c r="P40" i="37"/>
  <c r="R39" i="37"/>
  <c r="U39" i="37" s="1"/>
  <c r="P39" i="37"/>
  <c r="R38" i="37"/>
  <c r="U38" i="37" s="1"/>
  <c r="P38" i="37"/>
  <c r="R37" i="37"/>
  <c r="U37" i="37" s="1"/>
  <c r="P37" i="37"/>
  <c r="S37" i="37" s="1"/>
  <c r="R36" i="37"/>
  <c r="U36" i="37" s="1"/>
  <c r="P36" i="37"/>
  <c r="R35" i="37"/>
  <c r="U35" i="37" s="1"/>
  <c r="P35" i="37"/>
  <c r="R34" i="37"/>
  <c r="U34" i="37" s="1"/>
  <c r="P34" i="37"/>
  <c r="S34" i="37" s="1"/>
  <c r="R33" i="37"/>
  <c r="U33" i="37" s="1"/>
  <c r="P33" i="37"/>
  <c r="R32" i="37"/>
  <c r="U32" i="37" s="1"/>
  <c r="P32" i="37"/>
  <c r="R31" i="37"/>
  <c r="U31" i="37" s="1"/>
  <c r="P31" i="37"/>
  <c r="R30" i="37"/>
  <c r="U30" i="37" s="1"/>
  <c r="P30" i="37"/>
  <c r="R29" i="37"/>
  <c r="P29" i="37"/>
  <c r="R28" i="37"/>
  <c r="U28" i="37" s="1"/>
  <c r="P28" i="37"/>
  <c r="R27" i="37"/>
  <c r="U27" i="37" s="1"/>
  <c r="P27" i="37"/>
  <c r="R25" i="37"/>
  <c r="U25" i="37" s="1"/>
  <c r="P25" i="37"/>
  <c r="R16" i="37"/>
  <c r="U16" i="37" s="1"/>
  <c r="P16" i="37"/>
  <c r="R23" i="37"/>
  <c r="U23" i="37" s="1"/>
  <c r="P23" i="37"/>
  <c r="R26" i="37"/>
  <c r="U26" i="37" s="1"/>
  <c r="P26" i="37"/>
  <c r="R6" i="37"/>
  <c r="U6" i="37" s="1"/>
  <c r="P6" i="37"/>
  <c r="R24" i="37"/>
  <c r="U24" i="37" s="1"/>
  <c r="P24" i="37"/>
  <c r="R4" i="37"/>
  <c r="U4" i="37" s="1"/>
  <c r="P4" i="37"/>
  <c r="R3" i="37"/>
  <c r="U3" i="37" s="1"/>
  <c r="P3" i="37"/>
  <c r="R22" i="37"/>
  <c r="U22" i="37" s="1"/>
  <c r="P22" i="37"/>
  <c r="R11" i="37"/>
  <c r="U11" i="37" s="1"/>
  <c r="P11" i="37"/>
  <c r="R18" i="37"/>
  <c r="U18" i="37" s="1"/>
  <c r="P18" i="37"/>
  <c r="R5" i="37"/>
  <c r="U5" i="37" s="1"/>
  <c r="P5" i="37"/>
  <c r="R20" i="37"/>
  <c r="U20" i="37" s="1"/>
  <c r="P20" i="37"/>
  <c r="R19" i="37"/>
  <c r="U19" i="37" s="1"/>
  <c r="P19" i="37"/>
  <c r="R15" i="37"/>
  <c r="U15" i="37" s="1"/>
  <c r="P15" i="37"/>
  <c r="R12" i="37"/>
  <c r="U12" i="37" s="1"/>
  <c r="P12" i="37"/>
  <c r="R8" i="37"/>
  <c r="U8" i="37" s="1"/>
  <c r="P8" i="37"/>
  <c r="R21" i="37"/>
  <c r="U21" i="37" s="1"/>
  <c r="P21" i="37"/>
  <c r="R13" i="37"/>
  <c r="U13" i="37" s="1"/>
  <c r="P13" i="37"/>
  <c r="R17" i="37"/>
  <c r="U17" i="37" s="1"/>
  <c r="P17" i="37"/>
  <c r="R14" i="37"/>
  <c r="U14" i="37" s="1"/>
  <c r="P14" i="37"/>
  <c r="R7" i="37"/>
  <c r="U7" i="37" s="1"/>
  <c r="P7" i="37"/>
  <c r="R10" i="37"/>
  <c r="U10" i="37" s="1"/>
  <c r="P10" i="37"/>
  <c r="R9" i="37"/>
  <c r="U9" i="37" s="1"/>
  <c r="P9" i="37"/>
  <c r="R41" i="59"/>
  <c r="U41" i="59" s="1"/>
  <c r="P41" i="59"/>
  <c r="S41" i="59" s="1"/>
  <c r="R40" i="59"/>
  <c r="U40" i="59" s="1"/>
  <c r="P40" i="59"/>
  <c r="S40" i="59" s="1"/>
  <c r="R39" i="59"/>
  <c r="U39" i="59" s="1"/>
  <c r="P39" i="59"/>
  <c r="R38" i="59"/>
  <c r="U38" i="59" s="1"/>
  <c r="P38" i="59"/>
  <c r="S38" i="59" s="1"/>
  <c r="R37" i="59"/>
  <c r="U37" i="59" s="1"/>
  <c r="P37" i="59"/>
  <c r="R36" i="59"/>
  <c r="U36" i="59" s="1"/>
  <c r="P36" i="59"/>
  <c r="R35" i="59"/>
  <c r="U35" i="59" s="1"/>
  <c r="P35" i="59"/>
  <c r="S35" i="59" s="1"/>
  <c r="R34" i="59"/>
  <c r="U34" i="59" s="1"/>
  <c r="P34" i="59"/>
  <c r="R33" i="59"/>
  <c r="U33" i="59" s="1"/>
  <c r="P33" i="59"/>
  <c r="R32" i="59"/>
  <c r="U32" i="59" s="1"/>
  <c r="P32" i="59"/>
  <c r="R31" i="59"/>
  <c r="U31" i="59" s="1"/>
  <c r="P31" i="59"/>
  <c r="S31" i="59" s="1"/>
  <c r="R30" i="59"/>
  <c r="U30" i="59" s="1"/>
  <c r="P30" i="59"/>
  <c r="R29" i="59"/>
  <c r="P29" i="59"/>
  <c r="R28" i="59"/>
  <c r="U28" i="59" s="1"/>
  <c r="P28" i="59"/>
  <c r="S28" i="59" s="1"/>
  <c r="R27" i="59"/>
  <c r="U27" i="59" s="1"/>
  <c r="P27" i="59"/>
  <c r="R26" i="59"/>
  <c r="U26" i="59" s="1"/>
  <c r="P26" i="59"/>
  <c r="S26" i="59" s="1"/>
  <c r="S25" i="59"/>
  <c r="R25" i="59"/>
  <c r="U25" i="59" s="1"/>
  <c r="P25" i="59"/>
  <c r="R24" i="59"/>
  <c r="U24" i="59" s="1"/>
  <c r="P24" i="59"/>
  <c r="S24" i="59" s="1"/>
  <c r="R23" i="59"/>
  <c r="U23" i="59" s="1"/>
  <c r="P23" i="59"/>
  <c r="S22" i="59"/>
  <c r="R22" i="59"/>
  <c r="U22" i="59" s="1"/>
  <c r="P22" i="59"/>
  <c r="R21" i="59"/>
  <c r="U21" i="59" s="1"/>
  <c r="P21" i="59"/>
  <c r="R20" i="59"/>
  <c r="U20" i="59" s="1"/>
  <c r="P20" i="59"/>
  <c r="R19" i="59"/>
  <c r="U19" i="59" s="1"/>
  <c r="P19" i="59"/>
  <c r="S19" i="59" s="1"/>
  <c r="R18" i="59"/>
  <c r="U18" i="59" s="1"/>
  <c r="P18" i="59"/>
  <c r="R17" i="59"/>
  <c r="U17" i="59" s="1"/>
  <c r="P17" i="59"/>
  <c r="R3" i="59"/>
  <c r="U3" i="59" s="1"/>
  <c r="P3" i="59"/>
  <c r="R4" i="59"/>
  <c r="U4" i="59" s="1"/>
  <c r="P4" i="59"/>
  <c r="R7" i="59"/>
  <c r="U7" i="59" s="1"/>
  <c r="P7" i="59"/>
  <c r="R14" i="59"/>
  <c r="U14" i="59" s="1"/>
  <c r="P14" i="59"/>
  <c r="R13" i="59"/>
  <c r="U13" i="59" s="1"/>
  <c r="P13" i="59"/>
  <c r="R16" i="59"/>
  <c r="U16" i="59" s="1"/>
  <c r="P16" i="59"/>
  <c r="R15" i="59"/>
  <c r="U15" i="59" s="1"/>
  <c r="P15" i="59"/>
  <c r="R9" i="59"/>
  <c r="U9" i="59" s="1"/>
  <c r="P9" i="59"/>
  <c r="R8" i="59"/>
  <c r="U8" i="59" s="1"/>
  <c r="P8" i="59"/>
  <c r="R12" i="59"/>
  <c r="U12" i="59" s="1"/>
  <c r="P12" i="59"/>
  <c r="R5" i="59"/>
  <c r="U5" i="59" s="1"/>
  <c r="P5" i="59"/>
  <c r="R11" i="59"/>
  <c r="U11" i="59" s="1"/>
  <c r="P11" i="59"/>
  <c r="R6" i="59"/>
  <c r="U6" i="59" s="1"/>
  <c r="P6" i="59"/>
  <c r="R10" i="59"/>
  <c r="P10" i="59"/>
  <c r="R49" i="40"/>
  <c r="U49" i="40" s="1"/>
  <c r="P49" i="40"/>
  <c r="S48" i="40"/>
  <c r="R48" i="40"/>
  <c r="U48" i="40" s="1"/>
  <c r="P48" i="40"/>
  <c r="R47" i="40"/>
  <c r="U47" i="40" s="1"/>
  <c r="P47" i="40"/>
  <c r="R46" i="40"/>
  <c r="U46" i="40" s="1"/>
  <c r="P46" i="40"/>
  <c r="S46" i="40" s="1"/>
  <c r="R45" i="40"/>
  <c r="U45" i="40" s="1"/>
  <c r="P45" i="40"/>
  <c r="R44" i="40"/>
  <c r="U44" i="40" s="1"/>
  <c r="P44" i="40"/>
  <c r="R43" i="40"/>
  <c r="U43" i="40" s="1"/>
  <c r="P43" i="40"/>
  <c r="S43" i="40" s="1"/>
  <c r="R42" i="40"/>
  <c r="U42" i="40" s="1"/>
  <c r="P42" i="40"/>
  <c r="R41" i="40"/>
  <c r="U41" i="40" s="1"/>
  <c r="P41" i="40"/>
  <c r="R40" i="40"/>
  <c r="U40" i="40" s="1"/>
  <c r="P40" i="40"/>
  <c r="S40" i="40" s="1"/>
  <c r="R39" i="40"/>
  <c r="U39" i="40" s="1"/>
  <c r="P39" i="40"/>
  <c r="S39" i="40" s="1"/>
  <c r="S38" i="40"/>
  <c r="R38" i="40"/>
  <c r="U38" i="40" s="1"/>
  <c r="P38" i="40"/>
  <c r="R37" i="40"/>
  <c r="U37" i="40" s="1"/>
  <c r="P37" i="40"/>
  <c r="R36" i="40"/>
  <c r="U36" i="40" s="1"/>
  <c r="P36" i="40"/>
  <c r="R35" i="40"/>
  <c r="U35" i="40" s="1"/>
  <c r="P35" i="40"/>
  <c r="R34" i="40"/>
  <c r="U34" i="40" s="1"/>
  <c r="P34" i="40"/>
  <c r="R33" i="40"/>
  <c r="U33" i="40" s="1"/>
  <c r="P33" i="40"/>
  <c r="R32" i="40"/>
  <c r="U32" i="40" s="1"/>
  <c r="P32" i="40"/>
  <c r="S32" i="40" s="1"/>
  <c r="R31" i="40"/>
  <c r="U31" i="40" s="1"/>
  <c r="P31" i="40"/>
  <c r="R30" i="40"/>
  <c r="U30" i="40" s="1"/>
  <c r="P30" i="40"/>
  <c r="R29" i="40"/>
  <c r="U29" i="40" s="1"/>
  <c r="P29" i="40"/>
  <c r="R28" i="40"/>
  <c r="U28" i="40" s="1"/>
  <c r="P28" i="40"/>
  <c r="R27" i="40"/>
  <c r="U27" i="40" s="1"/>
  <c r="P27" i="40"/>
  <c r="R26" i="40"/>
  <c r="U26" i="40" s="1"/>
  <c r="P26" i="40"/>
  <c r="R25" i="40"/>
  <c r="U25" i="40" s="1"/>
  <c r="P25" i="40"/>
  <c r="R23" i="40"/>
  <c r="U23" i="40" s="1"/>
  <c r="P23" i="40"/>
  <c r="R24" i="40"/>
  <c r="U24" i="40" s="1"/>
  <c r="P24" i="40"/>
  <c r="R21" i="40"/>
  <c r="P21" i="40"/>
  <c r="R22" i="40"/>
  <c r="U22" i="40" s="1"/>
  <c r="P22" i="40"/>
  <c r="R3" i="40"/>
  <c r="P3" i="40"/>
  <c r="R18" i="40"/>
  <c r="P18" i="40"/>
  <c r="R15" i="40"/>
  <c r="U15" i="40" s="1"/>
  <c r="P15" i="40"/>
  <c r="R14" i="40"/>
  <c r="U14" i="40" s="1"/>
  <c r="P14" i="40"/>
  <c r="R7" i="40"/>
  <c r="U7" i="40" s="1"/>
  <c r="P7" i="40"/>
  <c r="R20" i="40"/>
  <c r="U20" i="40" s="1"/>
  <c r="P20" i="40"/>
  <c r="R4" i="40"/>
  <c r="P4" i="40"/>
  <c r="R6" i="40"/>
  <c r="U6" i="40" s="1"/>
  <c r="P6" i="40"/>
  <c r="R10" i="40"/>
  <c r="P10" i="40"/>
  <c r="R17" i="40"/>
  <c r="P17" i="40"/>
  <c r="R9" i="40"/>
  <c r="U9" i="40" s="1"/>
  <c r="P9" i="40"/>
  <c r="R13" i="40"/>
  <c r="U13" i="40" s="1"/>
  <c r="P13" i="40"/>
  <c r="R12" i="40"/>
  <c r="P12" i="40"/>
  <c r="R8" i="40"/>
  <c r="P8" i="40"/>
  <c r="R19" i="40"/>
  <c r="P19" i="40"/>
  <c r="R16" i="40"/>
  <c r="P16" i="40"/>
  <c r="R11" i="40"/>
  <c r="U11" i="40" s="1"/>
  <c r="P11" i="40"/>
  <c r="R5" i="40"/>
  <c r="P5" i="40"/>
  <c r="R55" i="35"/>
  <c r="U55" i="35" s="1"/>
  <c r="P55" i="35"/>
  <c r="S55" i="35" s="1"/>
  <c r="R54" i="35"/>
  <c r="U54" i="35" s="1"/>
  <c r="P54" i="35"/>
  <c r="R53" i="35"/>
  <c r="U53" i="35" s="1"/>
  <c r="P53" i="35"/>
  <c r="R52" i="35"/>
  <c r="U52" i="35" s="1"/>
  <c r="P52" i="35"/>
  <c r="R51" i="35"/>
  <c r="U51" i="35" s="1"/>
  <c r="P51" i="35"/>
  <c r="R50" i="35"/>
  <c r="U50" i="35" s="1"/>
  <c r="P50" i="35"/>
  <c r="S50" i="35" s="1"/>
  <c r="R49" i="35"/>
  <c r="U49" i="35" s="1"/>
  <c r="P49" i="35"/>
  <c r="S49" i="35" s="1"/>
  <c r="R48" i="35"/>
  <c r="U48" i="35" s="1"/>
  <c r="P48" i="35"/>
  <c r="R47" i="35"/>
  <c r="U47" i="35" s="1"/>
  <c r="P47" i="35"/>
  <c r="S47" i="35" s="1"/>
  <c r="R46" i="35"/>
  <c r="U46" i="35" s="1"/>
  <c r="P46" i="35"/>
  <c r="S46" i="35" s="1"/>
  <c r="R45" i="35"/>
  <c r="U45" i="35" s="1"/>
  <c r="P45" i="35"/>
  <c r="S45" i="35" s="1"/>
  <c r="R44" i="35"/>
  <c r="U44" i="35" s="1"/>
  <c r="P44" i="35"/>
  <c r="R43" i="35"/>
  <c r="U43" i="35" s="1"/>
  <c r="P43" i="35"/>
  <c r="R42" i="35"/>
  <c r="U42" i="35" s="1"/>
  <c r="P42" i="35"/>
  <c r="S42" i="35" s="1"/>
  <c r="R41" i="35"/>
  <c r="U41" i="35" s="1"/>
  <c r="P41" i="35"/>
  <c r="R40" i="35"/>
  <c r="U40" i="35" s="1"/>
  <c r="P40" i="35"/>
  <c r="R39" i="35"/>
  <c r="U39" i="35" s="1"/>
  <c r="P39" i="35"/>
  <c r="S39" i="35" s="1"/>
  <c r="R38" i="35"/>
  <c r="U38" i="35" s="1"/>
  <c r="P38" i="35"/>
  <c r="R37" i="35"/>
  <c r="U37" i="35" s="1"/>
  <c r="P37" i="35"/>
  <c r="R36" i="35"/>
  <c r="U36" i="35" s="1"/>
  <c r="P36" i="35"/>
  <c r="R35" i="35"/>
  <c r="U35" i="35" s="1"/>
  <c r="P35" i="35"/>
  <c r="R34" i="35"/>
  <c r="U34" i="35" s="1"/>
  <c r="P34" i="35"/>
  <c r="R33" i="35"/>
  <c r="U33" i="35" s="1"/>
  <c r="P33" i="35"/>
  <c r="R32" i="35"/>
  <c r="U32" i="35" s="1"/>
  <c r="P32" i="35"/>
  <c r="R27" i="35"/>
  <c r="U27" i="35" s="1"/>
  <c r="P27" i="35"/>
  <c r="R25" i="35"/>
  <c r="U25" i="35" s="1"/>
  <c r="P25" i="35"/>
  <c r="R28" i="35"/>
  <c r="U28" i="35" s="1"/>
  <c r="P28" i="35"/>
  <c r="R31" i="35"/>
  <c r="U31" i="35" s="1"/>
  <c r="P31" i="35"/>
  <c r="R30" i="35"/>
  <c r="U30" i="35" s="1"/>
  <c r="P30" i="35"/>
  <c r="R29" i="35"/>
  <c r="U29" i="35" s="1"/>
  <c r="P29" i="35"/>
  <c r="R3" i="35"/>
  <c r="U3" i="35" s="1"/>
  <c r="P3" i="35"/>
  <c r="R22" i="35"/>
  <c r="U22" i="35" s="1"/>
  <c r="P22" i="35"/>
  <c r="R5" i="35"/>
  <c r="U5" i="35" s="1"/>
  <c r="P5" i="35"/>
  <c r="R4" i="35"/>
  <c r="U4" i="35" s="1"/>
  <c r="P4" i="35"/>
  <c r="R23" i="35"/>
  <c r="U23" i="35" s="1"/>
  <c r="P23" i="35"/>
  <c r="R6" i="35"/>
  <c r="U6" i="35" s="1"/>
  <c r="P6" i="35"/>
  <c r="R15" i="35"/>
  <c r="U15" i="35" s="1"/>
  <c r="P15" i="35"/>
  <c r="R24" i="35"/>
  <c r="U24" i="35" s="1"/>
  <c r="P24" i="35"/>
  <c r="R26" i="35"/>
  <c r="U26" i="35" s="1"/>
  <c r="P26" i="35"/>
  <c r="R12" i="35"/>
  <c r="U12" i="35" s="1"/>
  <c r="P12" i="35"/>
  <c r="R21" i="35"/>
  <c r="U21" i="35" s="1"/>
  <c r="P21" i="35"/>
  <c r="R16" i="35"/>
  <c r="U16" i="35" s="1"/>
  <c r="P16" i="35"/>
  <c r="R18" i="35"/>
  <c r="U18" i="35" s="1"/>
  <c r="P18" i="35"/>
  <c r="R17" i="35"/>
  <c r="P17" i="35"/>
  <c r="R20" i="35"/>
  <c r="U20" i="35" s="1"/>
  <c r="P20" i="35"/>
  <c r="R11" i="35"/>
  <c r="U11" i="35" s="1"/>
  <c r="P11" i="35"/>
  <c r="R14" i="35"/>
  <c r="U14" i="35" s="1"/>
  <c r="P14" i="35"/>
  <c r="R13" i="35"/>
  <c r="U13" i="35" s="1"/>
  <c r="P13" i="35"/>
  <c r="R19" i="35"/>
  <c r="U19" i="35" s="1"/>
  <c r="P19" i="35"/>
  <c r="R10" i="35"/>
  <c r="U10" i="35" s="1"/>
  <c r="P10" i="35"/>
  <c r="R7" i="35"/>
  <c r="P7" i="35"/>
  <c r="R8" i="35"/>
  <c r="U8" i="35" s="1"/>
  <c r="P8" i="35"/>
  <c r="R9" i="35"/>
  <c r="P9" i="35"/>
  <c r="R44" i="39"/>
  <c r="U44" i="39" s="1"/>
  <c r="P44" i="39"/>
  <c r="R43" i="39"/>
  <c r="U43" i="39" s="1"/>
  <c r="P43" i="39"/>
  <c r="S43" i="39" s="1"/>
  <c r="R42" i="39"/>
  <c r="U42" i="39" s="1"/>
  <c r="P42" i="39"/>
  <c r="R41" i="39"/>
  <c r="U41" i="39" s="1"/>
  <c r="P41" i="39"/>
  <c r="S41" i="39" s="1"/>
  <c r="R40" i="39"/>
  <c r="U40" i="39" s="1"/>
  <c r="P40" i="39"/>
  <c r="S40" i="39" s="1"/>
  <c r="R39" i="39"/>
  <c r="U39" i="39" s="1"/>
  <c r="P39" i="39"/>
  <c r="R38" i="39"/>
  <c r="U38" i="39" s="1"/>
  <c r="P38" i="39"/>
  <c r="S38" i="39" s="1"/>
  <c r="S37" i="39"/>
  <c r="R37" i="39"/>
  <c r="U37" i="39" s="1"/>
  <c r="P37" i="39"/>
  <c r="R36" i="39"/>
  <c r="U36" i="39" s="1"/>
  <c r="P36" i="39"/>
  <c r="R35" i="39"/>
  <c r="U35" i="39" s="1"/>
  <c r="P35" i="39"/>
  <c r="R34" i="39"/>
  <c r="U34" i="39" s="1"/>
  <c r="P34" i="39"/>
  <c r="R33" i="39"/>
  <c r="U33" i="39" s="1"/>
  <c r="P33" i="39"/>
  <c r="R32" i="39"/>
  <c r="U32" i="39" s="1"/>
  <c r="P32" i="39"/>
  <c r="R31" i="39"/>
  <c r="U31" i="39" s="1"/>
  <c r="P31" i="39"/>
  <c r="S30" i="39"/>
  <c r="R30" i="39"/>
  <c r="U30" i="39" s="1"/>
  <c r="P30" i="39"/>
  <c r="R29" i="39"/>
  <c r="U29" i="39" s="1"/>
  <c r="P29" i="39"/>
  <c r="R28" i="39"/>
  <c r="U28" i="39" s="1"/>
  <c r="P28" i="39"/>
  <c r="R27" i="39"/>
  <c r="U27" i="39" s="1"/>
  <c r="P27" i="39"/>
  <c r="S27" i="39" s="1"/>
  <c r="R26" i="39"/>
  <c r="U26" i="39" s="1"/>
  <c r="P26" i="39"/>
  <c r="R25" i="39"/>
  <c r="U25" i="39" s="1"/>
  <c r="P25" i="39"/>
  <c r="R24" i="39"/>
  <c r="U24" i="39" s="1"/>
  <c r="P24" i="39"/>
  <c r="R23" i="39"/>
  <c r="U23" i="39" s="1"/>
  <c r="P23" i="39"/>
  <c r="R22" i="39"/>
  <c r="U22" i="39" s="1"/>
  <c r="P22" i="39"/>
  <c r="R21" i="39"/>
  <c r="U21" i="39" s="1"/>
  <c r="P21" i="39"/>
  <c r="R20" i="39"/>
  <c r="U20" i="39" s="1"/>
  <c r="P20" i="39"/>
  <c r="R19" i="39"/>
  <c r="U19" i="39" s="1"/>
  <c r="P19" i="39"/>
  <c r="R18" i="39"/>
  <c r="U18" i="39" s="1"/>
  <c r="P18" i="39"/>
  <c r="R17" i="39"/>
  <c r="U17" i="39" s="1"/>
  <c r="P17" i="39"/>
  <c r="R3" i="39"/>
  <c r="U3" i="39" s="1"/>
  <c r="P3" i="39"/>
  <c r="R12" i="39"/>
  <c r="U12" i="39" s="1"/>
  <c r="P12" i="39"/>
  <c r="R15" i="39"/>
  <c r="U15" i="39" s="1"/>
  <c r="P15" i="39"/>
  <c r="R9" i="39"/>
  <c r="U9" i="39" s="1"/>
  <c r="P9" i="39"/>
  <c r="R4" i="39"/>
  <c r="U4" i="39" s="1"/>
  <c r="P4" i="39"/>
  <c r="R8" i="39"/>
  <c r="U8" i="39" s="1"/>
  <c r="P8" i="39"/>
  <c r="R11" i="39"/>
  <c r="U11" i="39" s="1"/>
  <c r="P11" i="39"/>
  <c r="R16" i="39"/>
  <c r="U16" i="39" s="1"/>
  <c r="P16" i="39"/>
  <c r="R14" i="39"/>
  <c r="U14" i="39" s="1"/>
  <c r="P14" i="39"/>
  <c r="R13" i="39"/>
  <c r="U13" i="39" s="1"/>
  <c r="P13" i="39"/>
  <c r="R7" i="39"/>
  <c r="U7" i="39" s="1"/>
  <c r="P7" i="39"/>
  <c r="R10" i="39"/>
  <c r="U10" i="39" s="1"/>
  <c r="P10" i="39"/>
  <c r="R5" i="39"/>
  <c r="U5" i="39" s="1"/>
  <c r="P5" i="39"/>
  <c r="R6" i="39"/>
  <c r="P6" i="39"/>
  <c r="R56" i="34"/>
  <c r="P56" i="34"/>
  <c r="R55" i="34"/>
  <c r="P55" i="34"/>
  <c r="S55" i="34" s="1"/>
  <c r="R54" i="34"/>
  <c r="P54" i="34"/>
  <c r="R53" i="34"/>
  <c r="P53" i="34"/>
  <c r="S53" i="34" s="1"/>
  <c r="S52" i="34"/>
  <c r="R52" i="34"/>
  <c r="P52" i="34"/>
  <c r="R51" i="34"/>
  <c r="P51" i="34"/>
  <c r="R50" i="34"/>
  <c r="P50" i="34"/>
  <c r="S50" i="34" s="1"/>
  <c r="S49" i="34"/>
  <c r="R49" i="34"/>
  <c r="P49" i="34"/>
  <c r="R48" i="34"/>
  <c r="P48" i="34"/>
  <c r="S47" i="34"/>
  <c r="R47" i="34"/>
  <c r="P47" i="34"/>
  <c r="R46" i="34"/>
  <c r="P46" i="34"/>
  <c r="R45" i="34"/>
  <c r="P45" i="34"/>
  <c r="R44" i="34"/>
  <c r="P44" i="34"/>
  <c r="R43" i="34"/>
  <c r="P43" i="34"/>
  <c r="R42" i="34"/>
  <c r="P42" i="34"/>
  <c r="R41" i="34"/>
  <c r="P41" i="34"/>
  <c r="R40" i="34"/>
  <c r="P40" i="34"/>
  <c r="R39" i="34"/>
  <c r="P39" i="34"/>
  <c r="S39" i="34" s="1"/>
  <c r="R38" i="34"/>
  <c r="P38" i="34"/>
  <c r="R37" i="34"/>
  <c r="P37" i="34"/>
  <c r="S37" i="34" s="1"/>
  <c r="S36" i="34"/>
  <c r="R36" i="34"/>
  <c r="P36" i="34"/>
  <c r="R35" i="34"/>
  <c r="P35" i="34"/>
  <c r="R34" i="34"/>
  <c r="S34" i="34" s="1"/>
  <c r="P34" i="34"/>
  <c r="S33" i="34"/>
  <c r="R33" i="34"/>
  <c r="P33" i="34"/>
  <c r="R32" i="34"/>
  <c r="P32" i="34"/>
  <c r="S31" i="34"/>
  <c r="R31" i="34"/>
  <c r="P31" i="34"/>
  <c r="R30" i="34"/>
  <c r="P30" i="34"/>
  <c r="R29" i="34"/>
  <c r="P29" i="34"/>
  <c r="R3" i="34"/>
  <c r="U3" i="34" s="1"/>
  <c r="P3" i="34"/>
  <c r="R28" i="34"/>
  <c r="U28" i="34" s="1"/>
  <c r="P28" i="34"/>
  <c r="R7" i="34"/>
  <c r="P7" i="34"/>
  <c r="R6" i="34"/>
  <c r="U6" i="34" s="1"/>
  <c r="P6" i="34"/>
  <c r="R21" i="34"/>
  <c r="U21" i="34" s="1"/>
  <c r="P21" i="34"/>
  <c r="R5" i="34"/>
  <c r="U5" i="34" s="1"/>
  <c r="P5" i="34"/>
  <c r="R27" i="34"/>
  <c r="U27" i="34" s="1"/>
  <c r="P27" i="34"/>
  <c r="R4" i="34"/>
  <c r="U4" i="34" s="1"/>
  <c r="P4" i="34"/>
  <c r="R13" i="34"/>
  <c r="U13" i="34" s="1"/>
  <c r="P13" i="34"/>
  <c r="R26" i="34"/>
  <c r="U26" i="34" s="1"/>
  <c r="P26" i="34"/>
  <c r="R18" i="34"/>
  <c r="P18" i="34"/>
  <c r="R25" i="34"/>
  <c r="U25" i="34" s="1"/>
  <c r="P25" i="34"/>
  <c r="R10" i="34"/>
  <c r="U10" i="34" s="1"/>
  <c r="P10" i="34"/>
  <c r="R15" i="34"/>
  <c r="U15" i="34" s="1"/>
  <c r="P15" i="34"/>
  <c r="R24" i="34"/>
  <c r="P24" i="34"/>
  <c r="R16" i="34"/>
  <c r="U16" i="34" s="1"/>
  <c r="P16" i="34"/>
  <c r="R9" i="34"/>
  <c r="U9" i="34" s="1"/>
  <c r="P9" i="34"/>
  <c r="R17" i="34"/>
  <c r="U17" i="34" s="1"/>
  <c r="P17" i="34"/>
  <c r="R8" i="34"/>
  <c r="U8" i="34" s="1"/>
  <c r="P8" i="34"/>
  <c r="R22" i="34"/>
  <c r="U22" i="34" s="1"/>
  <c r="P22" i="34"/>
  <c r="R20" i="34"/>
  <c r="U20" i="34" s="1"/>
  <c r="P20" i="34"/>
  <c r="R19" i="34"/>
  <c r="U19" i="34" s="1"/>
  <c r="P19" i="34"/>
  <c r="R14" i="34"/>
  <c r="P14" i="34"/>
  <c r="R12" i="34"/>
  <c r="U12" i="34" s="1"/>
  <c r="P12" i="34"/>
  <c r="R11" i="34"/>
  <c r="U11" i="34" s="1"/>
  <c r="P11" i="34"/>
  <c r="R23" i="34"/>
  <c r="U23" i="34" s="1"/>
  <c r="P23" i="34"/>
  <c r="R47" i="57"/>
  <c r="U47" i="57" s="1"/>
  <c r="P47" i="57"/>
  <c r="R46" i="57"/>
  <c r="U46" i="57" s="1"/>
  <c r="P46" i="57"/>
  <c r="R45" i="57"/>
  <c r="U45" i="57" s="1"/>
  <c r="P45" i="57"/>
  <c r="R44" i="57"/>
  <c r="U44" i="57" s="1"/>
  <c r="P44" i="57"/>
  <c r="R43" i="57"/>
  <c r="U43" i="57" s="1"/>
  <c r="P43" i="57"/>
  <c r="R42" i="57"/>
  <c r="U42" i="57" s="1"/>
  <c r="P42" i="57"/>
  <c r="R41" i="57"/>
  <c r="U41" i="57" s="1"/>
  <c r="P41" i="57"/>
  <c r="S41" i="57" s="1"/>
  <c r="R40" i="57"/>
  <c r="U40" i="57" s="1"/>
  <c r="P40" i="57"/>
  <c r="S39" i="57"/>
  <c r="R39" i="57"/>
  <c r="U39" i="57" s="1"/>
  <c r="P39" i="57"/>
  <c r="R38" i="57"/>
  <c r="U38" i="57" s="1"/>
  <c r="P38" i="57"/>
  <c r="R37" i="57"/>
  <c r="U37" i="57" s="1"/>
  <c r="P37" i="57"/>
  <c r="R36" i="57"/>
  <c r="U36" i="57" s="1"/>
  <c r="P36" i="57"/>
  <c r="R35" i="57"/>
  <c r="U35" i="57" s="1"/>
  <c r="P35" i="57"/>
  <c r="R34" i="57"/>
  <c r="U34" i="57" s="1"/>
  <c r="P34" i="57"/>
  <c r="S34" i="57" s="1"/>
  <c r="R33" i="57"/>
  <c r="U33" i="57" s="1"/>
  <c r="P33" i="57"/>
  <c r="R32" i="57"/>
  <c r="U32" i="57" s="1"/>
  <c r="P32" i="57"/>
  <c r="S32" i="57" s="1"/>
  <c r="R31" i="57"/>
  <c r="U31" i="57" s="1"/>
  <c r="P31" i="57"/>
  <c r="R30" i="57"/>
  <c r="U30" i="57" s="1"/>
  <c r="P30" i="57"/>
  <c r="R29" i="57"/>
  <c r="U29" i="57" s="1"/>
  <c r="P29" i="57"/>
  <c r="R28" i="57"/>
  <c r="U28" i="57" s="1"/>
  <c r="P28" i="57"/>
  <c r="S28" i="57" s="1"/>
  <c r="R27" i="57"/>
  <c r="U27" i="57" s="1"/>
  <c r="P27" i="57"/>
  <c r="R26" i="57"/>
  <c r="U26" i="57" s="1"/>
  <c r="P26" i="57"/>
  <c r="R25" i="57"/>
  <c r="U25" i="57" s="1"/>
  <c r="P25" i="57"/>
  <c r="R24" i="57"/>
  <c r="U24" i="57" s="1"/>
  <c r="P24" i="57"/>
  <c r="R23" i="57"/>
  <c r="P23" i="57"/>
  <c r="R22" i="57"/>
  <c r="U22" i="57" s="1"/>
  <c r="P22" i="57"/>
  <c r="R21" i="57"/>
  <c r="P21" i="57"/>
  <c r="R20" i="57"/>
  <c r="P20" i="57"/>
  <c r="R19" i="57"/>
  <c r="U19" i="57" s="1"/>
  <c r="P19" i="57"/>
  <c r="R18" i="57"/>
  <c r="U18" i="57" s="1"/>
  <c r="P18" i="57"/>
  <c r="R17" i="57"/>
  <c r="P17" i="57"/>
  <c r="R3" i="57"/>
  <c r="U3" i="57" s="1"/>
  <c r="P3" i="57"/>
  <c r="R12" i="57"/>
  <c r="U12" i="57" s="1"/>
  <c r="P12" i="57"/>
  <c r="R11" i="57"/>
  <c r="U11" i="57" s="1"/>
  <c r="P11" i="57"/>
  <c r="R14" i="57"/>
  <c r="U14" i="57" s="1"/>
  <c r="P14" i="57"/>
  <c r="R16" i="57"/>
  <c r="P16" i="57"/>
  <c r="R10" i="57"/>
  <c r="U10" i="57" s="1"/>
  <c r="P10" i="57"/>
  <c r="R9" i="57"/>
  <c r="P9" i="57"/>
  <c r="R13" i="57"/>
  <c r="P13" i="57"/>
  <c r="R4" i="57"/>
  <c r="P4" i="57"/>
  <c r="R5" i="57"/>
  <c r="P5" i="57"/>
  <c r="R15" i="57"/>
  <c r="U15" i="57" s="1"/>
  <c r="P15" i="57"/>
  <c r="R8" i="57"/>
  <c r="P8" i="57"/>
  <c r="R6" i="57"/>
  <c r="P6" i="57"/>
  <c r="R7" i="57"/>
  <c r="P7" i="57"/>
  <c r="R54" i="36"/>
  <c r="U54" i="36" s="1"/>
  <c r="P54" i="36"/>
  <c r="R53" i="36"/>
  <c r="U53" i="36" s="1"/>
  <c r="P53" i="36"/>
  <c r="R52" i="36"/>
  <c r="U52" i="36" s="1"/>
  <c r="P52" i="36"/>
  <c r="R51" i="36"/>
  <c r="U51" i="36" s="1"/>
  <c r="P51" i="36"/>
  <c r="S51" i="36" s="1"/>
  <c r="R50" i="36"/>
  <c r="U50" i="36" s="1"/>
  <c r="P50" i="36"/>
  <c r="R49" i="36"/>
  <c r="U49" i="36" s="1"/>
  <c r="P49" i="36"/>
  <c r="R48" i="36"/>
  <c r="U48" i="36" s="1"/>
  <c r="P48" i="36"/>
  <c r="S48" i="36" s="1"/>
  <c r="R47" i="36"/>
  <c r="U47" i="36" s="1"/>
  <c r="P47" i="36"/>
  <c r="S47" i="36" s="1"/>
  <c r="R46" i="36"/>
  <c r="U46" i="36" s="1"/>
  <c r="P46" i="36"/>
  <c r="R45" i="36"/>
  <c r="U45" i="36" s="1"/>
  <c r="P45" i="36"/>
  <c r="R44" i="36"/>
  <c r="U44" i="36" s="1"/>
  <c r="P44" i="36"/>
  <c r="R43" i="36"/>
  <c r="U43" i="36" s="1"/>
  <c r="P43" i="36"/>
  <c r="R42" i="36"/>
  <c r="U42" i="36" s="1"/>
  <c r="P42" i="36"/>
  <c r="R41" i="36"/>
  <c r="U41" i="36" s="1"/>
  <c r="P41" i="36"/>
  <c r="R40" i="36"/>
  <c r="U40" i="36" s="1"/>
  <c r="P40" i="36"/>
  <c r="R39" i="36"/>
  <c r="U39" i="36" s="1"/>
  <c r="P39" i="36"/>
  <c r="R38" i="36"/>
  <c r="U38" i="36" s="1"/>
  <c r="P38" i="36"/>
  <c r="S37" i="36"/>
  <c r="R37" i="36"/>
  <c r="U37" i="36" s="1"/>
  <c r="P37" i="36"/>
  <c r="R36" i="36"/>
  <c r="U36" i="36" s="1"/>
  <c r="P36" i="36"/>
  <c r="R35" i="36"/>
  <c r="U35" i="36" s="1"/>
  <c r="P35" i="36"/>
  <c r="R34" i="36"/>
  <c r="U34" i="36" s="1"/>
  <c r="P34" i="36"/>
  <c r="R33" i="36"/>
  <c r="U33" i="36" s="1"/>
  <c r="P33" i="36"/>
  <c r="R32" i="36"/>
  <c r="P32" i="36"/>
  <c r="R30" i="36"/>
  <c r="U30" i="36" s="1"/>
  <c r="P30" i="36"/>
  <c r="R16" i="36"/>
  <c r="U16" i="36" s="1"/>
  <c r="P16" i="36"/>
  <c r="R31" i="36"/>
  <c r="U31" i="36" s="1"/>
  <c r="P31" i="36"/>
  <c r="R29" i="36"/>
  <c r="U29" i="36" s="1"/>
  <c r="P29" i="36"/>
  <c r="R22" i="36"/>
  <c r="U22" i="36" s="1"/>
  <c r="P22" i="36"/>
  <c r="R3" i="36"/>
  <c r="U3" i="36" s="1"/>
  <c r="P3" i="36"/>
  <c r="R19" i="36"/>
  <c r="U19" i="36" s="1"/>
  <c r="P19" i="36"/>
  <c r="R18" i="36"/>
  <c r="U18" i="36" s="1"/>
  <c r="P18" i="36"/>
  <c r="R28" i="36"/>
  <c r="U28" i="36" s="1"/>
  <c r="P28" i="36"/>
  <c r="R27" i="36"/>
  <c r="U27" i="36" s="1"/>
  <c r="P27" i="36"/>
  <c r="R5" i="36"/>
  <c r="U5" i="36" s="1"/>
  <c r="P5" i="36"/>
  <c r="R17" i="36"/>
  <c r="U17" i="36" s="1"/>
  <c r="P17" i="36"/>
  <c r="R4" i="36"/>
  <c r="U4" i="36" s="1"/>
  <c r="P4" i="36"/>
  <c r="R12" i="36"/>
  <c r="U12" i="36" s="1"/>
  <c r="P12" i="36"/>
  <c r="R15" i="36"/>
  <c r="U15" i="36" s="1"/>
  <c r="P15" i="36"/>
  <c r="R26" i="36"/>
  <c r="U26" i="36" s="1"/>
  <c r="P26" i="36"/>
  <c r="R9" i="36"/>
  <c r="U9" i="36" s="1"/>
  <c r="P9" i="36"/>
  <c r="R13" i="36"/>
  <c r="U13" i="36" s="1"/>
  <c r="P13" i="36"/>
  <c r="R25" i="36"/>
  <c r="U25" i="36" s="1"/>
  <c r="P25" i="36"/>
  <c r="R11" i="36"/>
  <c r="U11" i="36" s="1"/>
  <c r="P11" i="36"/>
  <c r="R20" i="36"/>
  <c r="U20" i="36" s="1"/>
  <c r="P20" i="36"/>
  <c r="R21" i="36"/>
  <c r="U21" i="36" s="1"/>
  <c r="P21" i="36"/>
  <c r="R24" i="36"/>
  <c r="U24" i="36" s="1"/>
  <c r="P24" i="36"/>
  <c r="R10" i="36"/>
  <c r="U10" i="36" s="1"/>
  <c r="P10" i="36"/>
  <c r="R23" i="36"/>
  <c r="U23" i="36" s="1"/>
  <c r="P23" i="36"/>
  <c r="R8" i="36"/>
  <c r="U8" i="36" s="1"/>
  <c r="P8" i="36"/>
  <c r="R14" i="36"/>
  <c r="U14" i="36" s="1"/>
  <c r="P14" i="36"/>
  <c r="R6" i="36"/>
  <c r="U6" i="36" s="1"/>
  <c r="P6" i="36"/>
  <c r="R7" i="36"/>
  <c r="U7" i="36" s="1"/>
  <c r="P7" i="36"/>
  <c r="R51" i="22"/>
  <c r="P51" i="22"/>
  <c r="R50" i="22"/>
  <c r="P50" i="22"/>
  <c r="S50" i="22" s="1"/>
  <c r="R49" i="22"/>
  <c r="P49" i="22"/>
  <c r="R48" i="22"/>
  <c r="P48" i="22"/>
  <c r="R47" i="22"/>
  <c r="P47" i="22"/>
  <c r="R46" i="22"/>
  <c r="P46" i="22"/>
  <c r="R45" i="22"/>
  <c r="P45" i="22"/>
  <c r="R44" i="22"/>
  <c r="P44" i="22"/>
  <c r="R43" i="22"/>
  <c r="P43" i="22"/>
  <c r="R42" i="22"/>
  <c r="P42" i="22"/>
  <c r="R41" i="22"/>
  <c r="P41" i="22"/>
  <c r="R40" i="22"/>
  <c r="P40" i="22"/>
  <c r="R39" i="22"/>
  <c r="P39" i="22"/>
  <c r="R38" i="22"/>
  <c r="U38" i="22" s="1"/>
  <c r="P38" i="22"/>
  <c r="R6" i="22"/>
  <c r="U6" i="22" s="1"/>
  <c r="P6" i="22"/>
  <c r="R5" i="22"/>
  <c r="U5" i="22" s="1"/>
  <c r="P5" i="22"/>
  <c r="R37" i="22"/>
  <c r="U37" i="22" s="1"/>
  <c r="P37" i="22"/>
  <c r="R16" i="22"/>
  <c r="U16" i="22" s="1"/>
  <c r="P16" i="22"/>
  <c r="R27" i="22"/>
  <c r="U27" i="22" s="1"/>
  <c r="P27" i="22"/>
  <c r="R36" i="22"/>
  <c r="U36" i="22" s="1"/>
  <c r="P36" i="22"/>
  <c r="R35" i="22"/>
  <c r="U35" i="22" s="1"/>
  <c r="P35" i="22"/>
  <c r="R25" i="22"/>
  <c r="U25" i="22" s="1"/>
  <c r="P25" i="22"/>
  <c r="R26" i="22"/>
  <c r="U26" i="22" s="1"/>
  <c r="P26" i="22"/>
  <c r="R32" i="22"/>
  <c r="U32" i="22" s="1"/>
  <c r="P32" i="22"/>
  <c r="R4" i="22"/>
  <c r="U4" i="22" s="1"/>
  <c r="P4" i="22"/>
  <c r="R3" i="22"/>
  <c r="U3" i="22" s="1"/>
  <c r="P3" i="22"/>
  <c r="R28" i="22"/>
  <c r="U28" i="22" s="1"/>
  <c r="P28" i="22"/>
  <c r="R29" i="22"/>
  <c r="U29" i="22" s="1"/>
  <c r="P29" i="22"/>
  <c r="R24" i="22"/>
  <c r="U24" i="22" s="1"/>
  <c r="P24" i="22"/>
  <c r="R20" i="22"/>
  <c r="U20" i="22" s="1"/>
  <c r="P20" i="22"/>
  <c r="R31" i="22"/>
  <c r="U31" i="22" s="1"/>
  <c r="P31" i="22"/>
  <c r="R30" i="22"/>
  <c r="U30" i="22" s="1"/>
  <c r="P30" i="22"/>
  <c r="R14" i="22"/>
  <c r="U14" i="22" s="1"/>
  <c r="P14" i="22"/>
  <c r="R34" i="22"/>
  <c r="U34" i="22" s="1"/>
  <c r="P34" i="22"/>
  <c r="R18" i="22"/>
  <c r="U18" i="22" s="1"/>
  <c r="P18" i="22"/>
  <c r="R12" i="22"/>
  <c r="U12" i="22" s="1"/>
  <c r="P12" i="22"/>
  <c r="R33" i="22"/>
  <c r="U33" i="22" s="1"/>
  <c r="P33" i="22"/>
  <c r="R23" i="22"/>
  <c r="U23" i="22" s="1"/>
  <c r="P23" i="22"/>
  <c r="R8" i="22"/>
  <c r="U8" i="22" s="1"/>
  <c r="P8" i="22"/>
  <c r="R9" i="22"/>
  <c r="U9" i="22" s="1"/>
  <c r="P9" i="22"/>
  <c r="R7" i="22"/>
  <c r="U7" i="22" s="1"/>
  <c r="P7" i="22"/>
  <c r="R15" i="22"/>
  <c r="U15" i="22" s="1"/>
  <c r="P15" i="22"/>
  <c r="R17" i="22"/>
  <c r="U17" i="22" s="1"/>
  <c r="P17" i="22"/>
  <c r="R19" i="22"/>
  <c r="U19" i="22" s="1"/>
  <c r="P19" i="22"/>
  <c r="R11" i="22"/>
  <c r="U11" i="22" s="1"/>
  <c r="P11" i="22"/>
  <c r="R22" i="22"/>
  <c r="U22" i="22" s="1"/>
  <c r="P22" i="22"/>
  <c r="R13" i="22"/>
  <c r="U13" i="22" s="1"/>
  <c r="P13" i="22"/>
  <c r="R10" i="22"/>
  <c r="U10" i="22" s="1"/>
  <c r="P10" i="22"/>
  <c r="R21" i="22"/>
  <c r="U21" i="22" s="1"/>
  <c r="P21" i="22"/>
  <c r="P35" i="7"/>
  <c r="R35" i="7"/>
  <c r="U35" i="7" s="1"/>
  <c r="P36" i="7"/>
  <c r="R36" i="7"/>
  <c r="U36" i="7" s="1"/>
  <c r="R50" i="24"/>
  <c r="U50" i="24" s="1"/>
  <c r="P50" i="24"/>
  <c r="R9" i="24"/>
  <c r="U9" i="24" s="1"/>
  <c r="P9" i="24"/>
  <c r="R14" i="24"/>
  <c r="U14" i="24" s="1"/>
  <c r="P14" i="24"/>
  <c r="R32" i="24"/>
  <c r="U32" i="24" s="1"/>
  <c r="P32" i="24"/>
  <c r="R52" i="24"/>
  <c r="U52" i="24" s="1"/>
  <c r="P52" i="24"/>
  <c r="R45" i="24"/>
  <c r="U45" i="24" s="1"/>
  <c r="P45" i="24"/>
  <c r="R44" i="24"/>
  <c r="U44" i="24" s="1"/>
  <c r="P44" i="24"/>
  <c r="R8" i="24"/>
  <c r="U8" i="24" s="1"/>
  <c r="P8" i="24"/>
  <c r="R48" i="24"/>
  <c r="U48" i="24" s="1"/>
  <c r="P48" i="24"/>
  <c r="R3" i="24"/>
  <c r="P3" i="24"/>
  <c r="R47" i="24"/>
  <c r="U47" i="24" s="1"/>
  <c r="P47" i="24"/>
  <c r="R4" i="24"/>
  <c r="U4" i="24" s="1"/>
  <c r="P4" i="24"/>
  <c r="R43" i="24"/>
  <c r="U43" i="24" s="1"/>
  <c r="P43" i="24"/>
  <c r="R24" i="24"/>
  <c r="U24" i="24" s="1"/>
  <c r="P24" i="24"/>
  <c r="R39" i="24"/>
  <c r="U39" i="24" s="1"/>
  <c r="P39" i="24"/>
  <c r="R34" i="24"/>
  <c r="U34" i="24" s="1"/>
  <c r="P34" i="24"/>
  <c r="R35" i="24"/>
  <c r="U35" i="24" s="1"/>
  <c r="P35" i="24"/>
  <c r="R42" i="24"/>
  <c r="U42" i="24" s="1"/>
  <c r="P42" i="24"/>
  <c r="R18" i="24"/>
  <c r="U18" i="24" s="1"/>
  <c r="P18" i="24"/>
  <c r="R33" i="24"/>
  <c r="U33" i="24" s="1"/>
  <c r="P33" i="24"/>
  <c r="R7" i="24"/>
  <c r="U7" i="24" s="1"/>
  <c r="P7" i="24"/>
  <c r="R6" i="24"/>
  <c r="U6" i="24" s="1"/>
  <c r="P6" i="24"/>
  <c r="R5" i="24"/>
  <c r="U5" i="24" s="1"/>
  <c r="P5" i="24"/>
  <c r="R28" i="24"/>
  <c r="U28" i="24" s="1"/>
  <c r="P28" i="24"/>
  <c r="R17" i="24"/>
  <c r="U17" i="24" s="1"/>
  <c r="P17" i="24"/>
  <c r="R31" i="24"/>
  <c r="U31" i="24" s="1"/>
  <c r="P31" i="24"/>
  <c r="R10" i="24"/>
  <c r="U10" i="24" s="1"/>
  <c r="P10" i="24"/>
  <c r="R29" i="24"/>
  <c r="U29" i="24" s="1"/>
  <c r="P29" i="24"/>
  <c r="R30" i="24"/>
  <c r="U30" i="24" s="1"/>
  <c r="P30" i="24"/>
  <c r="R20" i="24"/>
  <c r="U20" i="24" s="1"/>
  <c r="P20" i="24"/>
  <c r="R36" i="24"/>
  <c r="U36" i="24" s="1"/>
  <c r="P36" i="24"/>
  <c r="R16" i="24"/>
  <c r="U16" i="24" s="1"/>
  <c r="P16" i="24"/>
  <c r="R40" i="24"/>
  <c r="U40" i="24" s="1"/>
  <c r="P40" i="24"/>
  <c r="R21" i="24"/>
  <c r="U21" i="24" s="1"/>
  <c r="P21" i="24"/>
  <c r="R23" i="24"/>
  <c r="U23" i="24" s="1"/>
  <c r="P23" i="24"/>
  <c r="R38" i="24"/>
  <c r="U38" i="24" s="1"/>
  <c r="P38" i="24"/>
  <c r="R41" i="24"/>
  <c r="U41" i="24" s="1"/>
  <c r="P41" i="24"/>
  <c r="R37" i="24"/>
  <c r="U37" i="24" s="1"/>
  <c r="P37" i="24"/>
  <c r="R26" i="24"/>
  <c r="U26" i="24" s="1"/>
  <c r="P26" i="24"/>
  <c r="R22" i="24"/>
  <c r="U22" i="24" s="1"/>
  <c r="P22" i="24"/>
  <c r="R15" i="24"/>
  <c r="U15" i="24" s="1"/>
  <c r="P15" i="24"/>
  <c r="R13" i="24"/>
  <c r="U13" i="24" s="1"/>
  <c r="P13" i="24"/>
  <c r="R11" i="24"/>
  <c r="U11" i="24" s="1"/>
  <c r="P11" i="24"/>
  <c r="R12" i="24"/>
  <c r="U12" i="24" s="1"/>
  <c r="P12" i="24"/>
  <c r="R25" i="24"/>
  <c r="U25" i="24" s="1"/>
  <c r="P25" i="24"/>
  <c r="R27" i="24"/>
  <c r="U27" i="24" s="1"/>
  <c r="P27" i="24"/>
  <c r="R19" i="24"/>
  <c r="U19" i="24" s="1"/>
  <c r="P19" i="24"/>
  <c r="R46" i="54"/>
  <c r="U46" i="54" s="1"/>
  <c r="P46" i="54"/>
  <c r="R45" i="54"/>
  <c r="U45" i="54" s="1"/>
  <c r="P45" i="54"/>
  <c r="S45" i="54" s="1"/>
  <c r="R44" i="54"/>
  <c r="U44" i="54" s="1"/>
  <c r="P44" i="54"/>
  <c r="R43" i="54"/>
  <c r="U43" i="54" s="1"/>
  <c r="P43" i="54"/>
  <c r="S43" i="54" s="1"/>
  <c r="R42" i="54"/>
  <c r="U42" i="54" s="1"/>
  <c r="P42" i="54"/>
  <c r="S42" i="54" s="1"/>
  <c r="R41" i="54"/>
  <c r="U41" i="54" s="1"/>
  <c r="P41" i="54"/>
  <c r="R40" i="54"/>
  <c r="U40" i="54" s="1"/>
  <c r="P40" i="54"/>
  <c r="R39" i="54"/>
  <c r="U39" i="54" s="1"/>
  <c r="P39" i="54"/>
  <c r="S39" i="54" s="1"/>
  <c r="R38" i="54"/>
  <c r="U38" i="54" s="1"/>
  <c r="P38" i="54"/>
  <c r="R37" i="54"/>
  <c r="U37" i="54" s="1"/>
  <c r="P37" i="54"/>
  <c r="R36" i="54"/>
  <c r="U36" i="54" s="1"/>
  <c r="P36" i="54"/>
  <c r="R35" i="54"/>
  <c r="U35" i="54" s="1"/>
  <c r="P35" i="54"/>
  <c r="R34" i="54"/>
  <c r="U34" i="54" s="1"/>
  <c r="P34" i="54"/>
  <c r="R33" i="54"/>
  <c r="U33" i="54" s="1"/>
  <c r="P33" i="54"/>
  <c r="R32" i="54"/>
  <c r="U32" i="54" s="1"/>
  <c r="P32" i="54"/>
  <c r="R31" i="54"/>
  <c r="U31" i="54" s="1"/>
  <c r="P31" i="54"/>
  <c r="R30" i="54"/>
  <c r="U30" i="54" s="1"/>
  <c r="P30" i="54"/>
  <c r="R29" i="54"/>
  <c r="U29" i="54" s="1"/>
  <c r="P29" i="54"/>
  <c r="R28" i="54"/>
  <c r="U28" i="54" s="1"/>
  <c r="P28" i="54"/>
  <c r="R27" i="54"/>
  <c r="U27" i="54" s="1"/>
  <c r="P27" i="54"/>
  <c r="R26" i="54"/>
  <c r="U26" i="54" s="1"/>
  <c r="P26" i="54"/>
  <c r="R25" i="54"/>
  <c r="U25" i="54" s="1"/>
  <c r="P25" i="54"/>
  <c r="R24" i="54"/>
  <c r="U24" i="54" s="1"/>
  <c r="P24" i="54"/>
  <c r="R23" i="54"/>
  <c r="U23" i="54" s="1"/>
  <c r="P23" i="54"/>
  <c r="R22" i="54"/>
  <c r="U22" i="54" s="1"/>
  <c r="P22" i="54"/>
  <c r="R21" i="54"/>
  <c r="U21" i="54" s="1"/>
  <c r="P21" i="54"/>
  <c r="R20" i="54"/>
  <c r="U20" i="54" s="1"/>
  <c r="P20" i="54"/>
  <c r="R3" i="54"/>
  <c r="U3" i="54" s="1"/>
  <c r="P3" i="54"/>
  <c r="R19" i="54"/>
  <c r="U19" i="54" s="1"/>
  <c r="P19" i="54"/>
  <c r="R14" i="54"/>
  <c r="U14" i="54" s="1"/>
  <c r="P14" i="54"/>
  <c r="R13" i="54"/>
  <c r="U13" i="54" s="1"/>
  <c r="P13" i="54"/>
  <c r="R18" i="54"/>
  <c r="U18" i="54" s="1"/>
  <c r="P18" i="54"/>
  <c r="R12" i="54"/>
  <c r="U12" i="54" s="1"/>
  <c r="P12" i="54"/>
  <c r="R8" i="54"/>
  <c r="U8" i="54" s="1"/>
  <c r="P8" i="54"/>
  <c r="R17" i="54"/>
  <c r="U17" i="54" s="1"/>
  <c r="P17" i="54"/>
  <c r="R16" i="54"/>
  <c r="U16" i="54" s="1"/>
  <c r="P16" i="54"/>
  <c r="R11" i="54"/>
  <c r="U11" i="54" s="1"/>
  <c r="P11" i="54"/>
  <c r="R4" i="54"/>
  <c r="U4" i="54" s="1"/>
  <c r="P4" i="54"/>
  <c r="R15" i="54"/>
  <c r="U15" i="54" s="1"/>
  <c r="P15" i="54"/>
  <c r="R10" i="54"/>
  <c r="U10" i="54" s="1"/>
  <c r="P10" i="54"/>
  <c r="R5" i="54"/>
  <c r="U5" i="54" s="1"/>
  <c r="P5" i="54"/>
  <c r="R9" i="54"/>
  <c r="U9" i="54" s="1"/>
  <c r="P9" i="54"/>
  <c r="R7" i="54"/>
  <c r="U7" i="54" s="1"/>
  <c r="P7" i="54"/>
  <c r="R6" i="54"/>
  <c r="U6" i="54" s="1"/>
  <c r="P6" i="54"/>
  <c r="R35" i="30"/>
  <c r="U35" i="30" s="1"/>
  <c r="P35" i="30"/>
  <c r="R34" i="30"/>
  <c r="U34" i="30" s="1"/>
  <c r="P34" i="30"/>
  <c r="R33" i="30"/>
  <c r="U33" i="30" s="1"/>
  <c r="P33" i="30"/>
  <c r="R32" i="30"/>
  <c r="U32" i="30" s="1"/>
  <c r="P32" i="30"/>
  <c r="R30" i="30"/>
  <c r="U30" i="30" s="1"/>
  <c r="P30" i="30"/>
  <c r="R29" i="30"/>
  <c r="U29" i="30" s="1"/>
  <c r="P29" i="30"/>
  <c r="R25" i="30"/>
  <c r="U25" i="30" s="1"/>
  <c r="P25" i="30"/>
  <c r="R24" i="30"/>
  <c r="P24" i="30"/>
  <c r="R31" i="30"/>
  <c r="U31" i="30" s="1"/>
  <c r="P31" i="30"/>
  <c r="R26" i="30"/>
  <c r="U26" i="30" s="1"/>
  <c r="P26" i="30"/>
  <c r="R23" i="30"/>
  <c r="U23" i="30" s="1"/>
  <c r="P23" i="30"/>
  <c r="R22" i="30"/>
  <c r="U22" i="30" s="1"/>
  <c r="P22" i="30"/>
  <c r="R28" i="30"/>
  <c r="U28" i="30" s="1"/>
  <c r="P28" i="30"/>
  <c r="R27" i="30"/>
  <c r="U27" i="30" s="1"/>
  <c r="P27" i="30"/>
  <c r="R3" i="30"/>
  <c r="U3" i="30" s="1"/>
  <c r="P3" i="30"/>
  <c r="R15" i="30"/>
  <c r="P15" i="30"/>
  <c r="R8" i="30"/>
  <c r="U8" i="30" s="1"/>
  <c r="P8" i="30"/>
  <c r="R18" i="30"/>
  <c r="U18" i="30" s="1"/>
  <c r="P18" i="30"/>
  <c r="R4" i="30"/>
  <c r="U4" i="30" s="1"/>
  <c r="P4" i="30"/>
  <c r="R7" i="30"/>
  <c r="U7" i="30" s="1"/>
  <c r="P7" i="30"/>
  <c r="R17" i="30"/>
  <c r="U17" i="30" s="1"/>
  <c r="P17" i="30"/>
  <c r="R20" i="30"/>
  <c r="U20" i="30" s="1"/>
  <c r="P20" i="30"/>
  <c r="R19" i="30"/>
  <c r="U19" i="30" s="1"/>
  <c r="P19" i="30"/>
  <c r="R6" i="30"/>
  <c r="U6" i="30" s="1"/>
  <c r="P6" i="30"/>
  <c r="R5" i="30"/>
  <c r="U5" i="30" s="1"/>
  <c r="P5" i="30"/>
  <c r="R21" i="30"/>
  <c r="U21" i="30" s="1"/>
  <c r="P21" i="30"/>
  <c r="R11" i="30"/>
  <c r="U11" i="30" s="1"/>
  <c r="P11" i="30"/>
  <c r="R10" i="30"/>
  <c r="U10" i="30" s="1"/>
  <c r="P10" i="30"/>
  <c r="R9" i="30"/>
  <c r="U9" i="30" s="1"/>
  <c r="P9" i="30"/>
  <c r="R13" i="30"/>
  <c r="U13" i="30" s="1"/>
  <c r="P13" i="30"/>
  <c r="R12" i="30"/>
  <c r="P12" i="30"/>
  <c r="R14" i="30"/>
  <c r="P14" i="30"/>
  <c r="R16" i="30"/>
  <c r="P16" i="30"/>
  <c r="R29" i="29"/>
  <c r="U29" i="29" s="1"/>
  <c r="P29" i="29"/>
  <c r="R28" i="29"/>
  <c r="P28" i="29"/>
  <c r="R27" i="29"/>
  <c r="U27" i="29" s="1"/>
  <c r="P27" i="29"/>
  <c r="R26" i="29"/>
  <c r="U26" i="29" s="1"/>
  <c r="P26" i="29"/>
  <c r="S26" i="29" s="1"/>
  <c r="R25" i="29"/>
  <c r="U25" i="29" s="1"/>
  <c r="P25" i="29"/>
  <c r="R24" i="29"/>
  <c r="U24" i="29" s="1"/>
  <c r="P24" i="29"/>
  <c r="R23" i="29"/>
  <c r="P23" i="29"/>
  <c r="R22" i="29"/>
  <c r="P22" i="29"/>
  <c r="R21" i="29"/>
  <c r="U21" i="29" s="1"/>
  <c r="P21" i="29"/>
  <c r="R20" i="29"/>
  <c r="U20" i="29" s="1"/>
  <c r="P20" i="29"/>
  <c r="R19" i="29"/>
  <c r="P19" i="29"/>
  <c r="R18" i="29"/>
  <c r="U18" i="29" s="1"/>
  <c r="P18" i="29"/>
  <c r="R17" i="29"/>
  <c r="U17" i="29" s="1"/>
  <c r="P17" i="29"/>
  <c r="R16" i="29"/>
  <c r="U16" i="29" s="1"/>
  <c r="P16" i="29"/>
  <c r="R15" i="29"/>
  <c r="U15" i="29" s="1"/>
  <c r="P15" i="29"/>
  <c r="R14" i="29"/>
  <c r="U14" i="29" s="1"/>
  <c r="P14" i="29"/>
  <c r="R13" i="29"/>
  <c r="U13" i="29" s="1"/>
  <c r="P13" i="29"/>
  <c r="R12" i="29"/>
  <c r="P12" i="29"/>
  <c r="R3" i="29"/>
  <c r="U3" i="29" s="1"/>
  <c r="P3" i="29"/>
  <c r="R10" i="29"/>
  <c r="U10" i="29" s="1"/>
  <c r="P10" i="29"/>
  <c r="R4" i="29"/>
  <c r="U4" i="29" s="1"/>
  <c r="P4" i="29"/>
  <c r="R7" i="29"/>
  <c r="U7" i="29" s="1"/>
  <c r="P7" i="29"/>
  <c r="R11" i="29"/>
  <c r="P11" i="29"/>
  <c r="R6" i="29"/>
  <c r="U6" i="29" s="1"/>
  <c r="P6" i="29"/>
  <c r="R8" i="29"/>
  <c r="P8" i="29"/>
  <c r="R9" i="29"/>
  <c r="U9" i="29" s="1"/>
  <c r="P9" i="29"/>
  <c r="R5" i="29"/>
  <c r="P5" i="29"/>
  <c r="R36" i="27"/>
  <c r="U36" i="27" s="1"/>
  <c r="P36" i="27"/>
  <c r="R35" i="27"/>
  <c r="U35" i="27" s="1"/>
  <c r="P35" i="27"/>
  <c r="R34" i="27"/>
  <c r="P34" i="27"/>
  <c r="R33" i="27"/>
  <c r="U33" i="27" s="1"/>
  <c r="P33" i="27"/>
  <c r="R32" i="27"/>
  <c r="U32" i="27" s="1"/>
  <c r="P32" i="27"/>
  <c r="R31" i="27"/>
  <c r="U31" i="27" s="1"/>
  <c r="P31" i="27"/>
  <c r="R24" i="27"/>
  <c r="U24" i="27" s="1"/>
  <c r="P24" i="27"/>
  <c r="R30" i="27"/>
  <c r="U30" i="27" s="1"/>
  <c r="P30" i="27"/>
  <c r="R29" i="27"/>
  <c r="P29" i="27"/>
  <c r="R28" i="27"/>
  <c r="P28" i="27"/>
  <c r="R26" i="27"/>
  <c r="U26" i="27" s="1"/>
  <c r="P26" i="27"/>
  <c r="R27" i="27"/>
  <c r="U27" i="27" s="1"/>
  <c r="P27" i="27"/>
  <c r="R25" i="27"/>
  <c r="U25" i="27" s="1"/>
  <c r="P25" i="27"/>
  <c r="R3" i="27"/>
  <c r="P3" i="27"/>
  <c r="R17" i="27"/>
  <c r="U17" i="27" s="1"/>
  <c r="P17" i="27"/>
  <c r="R10" i="27"/>
  <c r="U10" i="27" s="1"/>
  <c r="P10" i="27"/>
  <c r="R22" i="27"/>
  <c r="U22" i="27" s="1"/>
  <c r="P22" i="27"/>
  <c r="R9" i="27"/>
  <c r="U9" i="27" s="1"/>
  <c r="P9" i="27"/>
  <c r="R21" i="27"/>
  <c r="U21" i="27" s="1"/>
  <c r="P21" i="27"/>
  <c r="R5" i="27"/>
  <c r="U5" i="27" s="1"/>
  <c r="P5" i="27"/>
  <c r="R20" i="27"/>
  <c r="P20" i="27"/>
  <c r="R19" i="27"/>
  <c r="U19" i="27" s="1"/>
  <c r="P19" i="27"/>
  <c r="R23" i="27"/>
  <c r="U23" i="27" s="1"/>
  <c r="P23" i="27"/>
  <c r="R18" i="27"/>
  <c r="U18" i="27" s="1"/>
  <c r="P18" i="27"/>
  <c r="R7" i="27"/>
  <c r="P7" i="27"/>
  <c r="R13" i="27"/>
  <c r="U13" i="27" s="1"/>
  <c r="P13" i="27"/>
  <c r="R6" i="27"/>
  <c r="P6" i="27"/>
  <c r="R15" i="27"/>
  <c r="U15" i="27" s="1"/>
  <c r="P15" i="27"/>
  <c r="R4" i="27"/>
  <c r="U4" i="27" s="1"/>
  <c r="P4" i="27"/>
  <c r="R8" i="27"/>
  <c r="U8" i="27" s="1"/>
  <c r="P8" i="27"/>
  <c r="R16" i="27"/>
  <c r="P16" i="27"/>
  <c r="R14" i="27"/>
  <c r="U14" i="27" s="1"/>
  <c r="P14" i="27"/>
  <c r="R12" i="27"/>
  <c r="U12" i="27" s="1"/>
  <c r="P12" i="27"/>
  <c r="R11" i="27"/>
  <c r="U11" i="27" s="1"/>
  <c r="P11" i="27"/>
  <c r="R55" i="23"/>
  <c r="U55" i="23" s="1"/>
  <c r="P55" i="23"/>
  <c r="R54" i="23"/>
  <c r="U54" i="23" s="1"/>
  <c r="P54" i="23"/>
  <c r="R53" i="23"/>
  <c r="U53" i="23" s="1"/>
  <c r="P53" i="23"/>
  <c r="R52" i="23"/>
  <c r="U52" i="23" s="1"/>
  <c r="P52" i="23"/>
  <c r="R51" i="23"/>
  <c r="U51" i="23" s="1"/>
  <c r="P51" i="23"/>
  <c r="R50" i="23"/>
  <c r="U50" i="23" s="1"/>
  <c r="P50" i="23"/>
  <c r="R9" i="23"/>
  <c r="U9" i="23" s="1"/>
  <c r="P9" i="23"/>
  <c r="R39" i="23"/>
  <c r="U39" i="23" s="1"/>
  <c r="P39" i="23"/>
  <c r="R22" i="23"/>
  <c r="U22" i="23" s="1"/>
  <c r="P22" i="23"/>
  <c r="R45" i="23"/>
  <c r="U45" i="23" s="1"/>
  <c r="P45" i="23"/>
  <c r="R41" i="23"/>
  <c r="U41" i="23" s="1"/>
  <c r="P41" i="23"/>
  <c r="R47" i="23"/>
  <c r="U47" i="23" s="1"/>
  <c r="P47" i="23"/>
  <c r="R44" i="23"/>
  <c r="U44" i="23" s="1"/>
  <c r="P44" i="23"/>
  <c r="R49" i="23"/>
  <c r="U49" i="23" s="1"/>
  <c r="P49" i="23"/>
  <c r="R48" i="23"/>
  <c r="U48" i="23" s="1"/>
  <c r="P48" i="23"/>
  <c r="R46" i="23"/>
  <c r="U46" i="23" s="1"/>
  <c r="P46" i="23"/>
  <c r="R3" i="23"/>
  <c r="U3" i="23" s="1"/>
  <c r="P3" i="23"/>
  <c r="R43" i="23"/>
  <c r="U43" i="23" s="1"/>
  <c r="P43" i="23"/>
  <c r="R23" i="23"/>
  <c r="U23" i="23" s="1"/>
  <c r="P23" i="23"/>
  <c r="R8" i="23"/>
  <c r="U8" i="23" s="1"/>
  <c r="P8" i="23"/>
  <c r="R7" i="23"/>
  <c r="U7" i="23" s="1"/>
  <c r="P7" i="23"/>
  <c r="R6" i="23"/>
  <c r="U6" i="23" s="1"/>
  <c r="P6" i="23"/>
  <c r="R42" i="23"/>
  <c r="U42" i="23" s="1"/>
  <c r="P42" i="23"/>
  <c r="R37" i="23"/>
  <c r="U37" i="23" s="1"/>
  <c r="P37" i="23"/>
  <c r="R36" i="23"/>
  <c r="U36" i="23" s="1"/>
  <c r="P36" i="23"/>
  <c r="R38" i="23"/>
  <c r="U38" i="23" s="1"/>
  <c r="P38" i="23"/>
  <c r="R35" i="23"/>
  <c r="U35" i="23" s="1"/>
  <c r="P35" i="23"/>
  <c r="R34" i="23"/>
  <c r="U34" i="23" s="1"/>
  <c r="P34" i="23"/>
  <c r="R21" i="23"/>
  <c r="U21" i="23" s="1"/>
  <c r="P21" i="23"/>
  <c r="R29" i="23"/>
  <c r="U29" i="23" s="1"/>
  <c r="P29" i="23"/>
  <c r="R13" i="23"/>
  <c r="U13" i="23" s="1"/>
  <c r="P13" i="23"/>
  <c r="R27" i="23"/>
  <c r="U27" i="23" s="1"/>
  <c r="P27" i="23"/>
  <c r="R28" i="23"/>
  <c r="U28" i="23" s="1"/>
  <c r="P28" i="23"/>
  <c r="R5" i="23"/>
  <c r="U5" i="23" s="1"/>
  <c r="P5" i="23"/>
  <c r="R31" i="23"/>
  <c r="U31" i="23" s="1"/>
  <c r="P31" i="23"/>
  <c r="R30" i="23"/>
  <c r="U30" i="23" s="1"/>
  <c r="P30" i="23"/>
  <c r="R12" i="23"/>
  <c r="U12" i="23" s="1"/>
  <c r="P12" i="23"/>
  <c r="R16" i="23"/>
  <c r="U16" i="23" s="1"/>
  <c r="P16" i="23"/>
  <c r="R33" i="23"/>
  <c r="U33" i="23" s="1"/>
  <c r="P33" i="23"/>
  <c r="R4" i="23"/>
  <c r="U4" i="23" s="1"/>
  <c r="P4" i="23"/>
  <c r="R32" i="23"/>
  <c r="U32" i="23" s="1"/>
  <c r="P32" i="23"/>
  <c r="R14" i="23"/>
  <c r="U14" i="23" s="1"/>
  <c r="P14" i="23"/>
  <c r="R20" i="23"/>
  <c r="U20" i="23" s="1"/>
  <c r="P20" i="23"/>
  <c r="R19" i="23"/>
  <c r="U19" i="23" s="1"/>
  <c r="P19" i="23"/>
  <c r="R26" i="23"/>
  <c r="U26" i="23" s="1"/>
  <c r="P26" i="23"/>
  <c r="R40" i="23"/>
  <c r="U40" i="23" s="1"/>
  <c r="P40" i="23"/>
  <c r="R15" i="23"/>
  <c r="U15" i="23" s="1"/>
  <c r="P15" i="23"/>
  <c r="R10" i="23"/>
  <c r="U10" i="23" s="1"/>
  <c r="P10" i="23"/>
  <c r="R17" i="23"/>
  <c r="U17" i="23" s="1"/>
  <c r="P17" i="23"/>
  <c r="R11" i="23"/>
  <c r="U11" i="23" s="1"/>
  <c r="P11" i="23"/>
  <c r="R25" i="23"/>
  <c r="U25" i="23" s="1"/>
  <c r="P25" i="23"/>
  <c r="R24" i="23"/>
  <c r="U24" i="23" s="1"/>
  <c r="P24" i="23"/>
  <c r="R18" i="23"/>
  <c r="U18" i="23" s="1"/>
  <c r="P18" i="23"/>
  <c r="R39" i="25"/>
  <c r="U39" i="25" s="1"/>
  <c r="P39" i="25"/>
  <c r="R38" i="25"/>
  <c r="U38" i="25" s="1"/>
  <c r="P38" i="25"/>
  <c r="R37" i="25"/>
  <c r="U37" i="25" s="1"/>
  <c r="P37" i="25"/>
  <c r="R36" i="25"/>
  <c r="U36" i="25" s="1"/>
  <c r="P36" i="25"/>
  <c r="R35" i="25"/>
  <c r="U35" i="25" s="1"/>
  <c r="P35" i="25"/>
  <c r="R29" i="25"/>
  <c r="U29" i="25" s="1"/>
  <c r="P29" i="25"/>
  <c r="R28" i="25"/>
  <c r="U28" i="25" s="1"/>
  <c r="P28" i="25"/>
  <c r="R34" i="25"/>
  <c r="U34" i="25" s="1"/>
  <c r="P34" i="25"/>
  <c r="R26" i="25"/>
  <c r="U26" i="25" s="1"/>
  <c r="P26" i="25"/>
  <c r="R33" i="25"/>
  <c r="U33" i="25" s="1"/>
  <c r="P33" i="25"/>
  <c r="R27" i="25"/>
  <c r="U27" i="25" s="1"/>
  <c r="P27" i="25"/>
  <c r="R32" i="25"/>
  <c r="U32" i="25" s="1"/>
  <c r="P32" i="25"/>
  <c r="R31" i="25"/>
  <c r="U31" i="25" s="1"/>
  <c r="P31" i="25"/>
  <c r="R30" i="25"/>
  <c r="U30" i="25" s="1"/>
  <c r="P30" i="25"/>
  <c r="R3" i="25"/>
  <c r="U3" i="25" s="1"/>
  <c r="P3" i="25"/>
  <c r="R23" i="25"/>
  <c r="U23" i="25" s="1"/>
  <c r="P23" i="25"/>
  <c r="R9" i="25"/>
  <c r="U9" i="25" s="1"/>
  <c r="P9" i="25"/>
  <c r="R4" i="25"/>
  <c r="U4" i="25" s="1"/>
  <c r="P4" i="25"/>
  <c r="R22" i="25"/>
  <c r="U22" i="25" s="1"/>
  <c r="P22" i="25"/>
  <c r="R24" i="25"/>
  <c r="U24" i="25" s="1"/>
  <c r="P24" i="25"/>
  <c r="R15" i="25"/>
  <c r="U15" i="25" s="1"/>
  <c r="P15" i="25"/>
  <c r="R14" i="25"/>
  <c r="U14" i="25" s="1"/>
  <c r="P14" i="25"/>
  <c r="R12" i="25"/>
  <c r="U12" i="25" s="1"/>
  <c r="P12" i="25"/>
  <c r="R8" i="25"/>
  <c r="U8" i="25" s="1"/>
  <c r="P8" i="25"/>
  <c r="R25" i="25"/>
  <c r="U25" i="25" s="1"/>
  <c r="P25" i="25"/>
  <c r="R19" i="25"/>
  <c r="U19" i="25" s="1"/>
  <c r="P19" i="25"/>
  <c r="R7" i="25"/>
  <c r="U7" i="25" s="1"/>
  <c r="P7" i="25"/>
  <c r="R21" i="25"/>
  <c r="U21" i="25" s="1"/>
  <c r="P21" i="25"/>
  <c r="R20" i="25"/>
  <c r="U20" i="25" s="1"/>
  <c r="P20" i="25"/>
  <c r="R18" i="25"/>
  <c r="U18" i="25" s="1"/>
  <c r="P18" i="25"/>
  <c r="R16" i="25"/>
  <c r="U16" i="25" s="1"/>
  <c r="P16" i="25"/>
  <c r="R17" i="25"/>
  <c r="U17" i="25" s="1"/>
  <c r="P17" i="25"/>
  <c r="R10" i="25"/>
  <c r="U10" i="25" s="1"/>
  <c r="P10" i="25"/>
  <c r="R5" i="25"/>
  <c r="U5" i="25" s="1"/>
  <c r="P5" i="25"/>
  <c r="R6" i="25"/>
  <c r="U6" i="25" s="1"/>
  <c r="P6" i="25"/>
  <c r="R11" i="25"/>
  <c r="U11" i="25" s="1"/>
  <c r="P11" i="25"/>
  <c r="R13" i="25"/>
  <c r="U13" i="25" s="1"/>
  <c r="P13" i="25"/>
  <c r="S56" i="21"/>
  <c r="R56" i="21"/>
  <c r="P56" i="21"/>
  <c r="R55" i="21"/>
  <c r="P55" i="21"/>
  <c r="R54" i="21"/>
  <c r="P54" i="21"/>
  <c r="R53" i="21"/>
  <c r="P53" i="21"/>
  <c r="S53" i="21" s="1"/>
  <c r="R52" i="21"/>
  <c r="P52" i="21"/>
  <c r="R51" i="21"/>
  <c r="P51" i="21"/>
  <c r="R50" i="21"/>
  <c r="P50" i="21"/>
  <c r="S50" i="21" s="1"/>
  <c r="R49" i="21"/>
  <c r="P49" i="21"/>
  <c r="S49" i="21" s="1"/>
  <c r="R48" i="21"/>
  <c r="U48" i="21" s="1"/>
  <c r="R47" i="21"/>
  <c r="U47" i="21" s="1"/>
  <c r="R15" i="21"/>
  <c r="U15" i="21" s="1"/>
  <c r="R14" i="21"/>
  <c r="U14" i="21" s="1"/>
  <c r="P14" i="21"/>
  <c r="R46" i="21"/>
  <c r="U46" i="21" s="1"/>
  <c r="P46" i="21"/>
  <c r="R13" i="21"/>
  <c r="U13" i="21" s="1"/>
  <c r="P13" i="21"/>
  <c r="R8" i="21"/>
  <c r="U8" i="21" s="1"/>
  <c r="P8" i="21"/>
  <c r="R41" i="21"/>
  <c r="U41" i="21" s="1"/>
  <c r="P41" i="21"/>
  <c r="R7" i="21"/>
  <c r="U7" i="21" s="1"/>
  <c r="P7" i="21"/>
  <c r="R42" i="21"/>
  <c r="U42" i="21" s="1"/>
  <c r="P42" i="21"/>
  <c r="R27" i="21"/>
  <c r="U27" i="21" s="1"/>
  <c r="P27" i="21"/>
  <c r="R45" i="21"/>
  <c r="U45" i="21" s="1"/>
  <c r="P45" i="21"/>
  <c r="R44" i="21"/>
  <c r="U44" i="21" s="1"/>
  <c r="P44" i="21"/>
  <c r="R43" i="21"/>
  <c r="U43" i="21" s="1"/>
  <c r="P43" i="21"/>
  <c r="R9" i="21"/>
  <c r="U9" i="21" s="1"/>
  <c r="P9" i="21"/>
  <c r="R12" i="21"/>
  <c r="U12" i="21" s="1"/>
  <c r="P12" i="21"/>
  <c r="R11" i="21"/>
  <c r="U11" i="21" s="1"/>
  <c r="P11" i="21"/>
  <c r="R40" i="21"/>
  <c r="U40" i="21" s="1"/>
  <c r="P40" i="21"/>
  <c r="R10" i="21"/>
  <c r="U10" i="21" s="1"/>
  <c r="P10" i="21"/>
  <c r="R17" i="21"/>
  <c r="U17" i="21" s="1"/>
  <c r="P17" i="21"/>
  <c r="R32" i="21"/>
  <c r="U32" i="21" s="1"/>
  <c r="P32" i="21"/>
  <c r="R31" i="21"/>
  <c r="U31" i="21" s="1"/>
  <c r="P31" i="21"/>
  <c r="R20" i="21"/>
  <c r="U20" i="21" s="1"/>
  <c r="P20" i="21"/>
  <c r="R23" i="21"/>
  <c r="U23" i="21" s="1"/>
  <c r="P23" i="21"/>
  <c r="R6" i="21"/>
  <c r="U6" i="21" s="1"/>
  <c r="P6" i="21"/>
  <c r="R5" i="21"/>
  <c r="U5" i="21" s="1"/>
  <c r="P5" i="21"/>
  <c r="R36" i="21"/>
  <c r="U36" i="21" s="1"/>
  <c r="P36" i="21"/>
  <c r="R28" i="21"/>
  <c r="U28" i="21" s="1"/>
  <c r="P28" i="21"/>
  <c r="R39" i="21"/>
  <c r="U39" i="21" s="1"/>
  <c r="P39" i="21"/>
  <c r="R4" i="21"/>
  <c r="U4" i="21" s="1"/>
  <c r="P4" i="21"/>
  <c r="R3" i="21"/>
  <c r="U3" i="21" s="1"/>
  <c r="P3" i="21"/>
  <c r="R33" i="21"/>
  <c r="U33" i="21" s="1"/>
  <c r="P33" i="21"/>
  <c r="R29" i="21"/>
  <c r="U29" i="21" s="1"/>
  <c r="P29" i="21"/>
  <c r="R34" i="21"/>
  <c r="U34" i="21" s="1"/>
  <c r="P34" i="21"/>
  <c r="R37" i="21"/>
  <c r="U37" i="21" s="1"/>
  <c r="P37" i="21"/>
  <c r="R38" i="21"/>
  <c r="U38" i="21" s="1"/>
  <c r="P38" i="21"/>
  <c r="R26" i="21"/>
  <c r="U26" i="21" s="1"/>
  <c r="P26" i="21"/>
  <c r="R30" i="21"/>
  <c r="U30" i="21" s="1"/>
  <c r="P30" i="21"/>
  <c r="R35" i="21"/>
  <c r="U35" i="21" s="1"/>
  <c r="P35" i="21"/>
  <c r="R18" i="21"/>
  <c r="U18" i="21" s="1"/>
  <c r="P18" i="21"/>
  <c r="R21" i="21"/>
  <c r="U21" i="21" s="1"/>
  <c r="P21" i="21"/>
  <c r="R24" i="21"/>
  <c r="U24" i="21" s="1"/>
  <c r="P24" i="21"/>
  <c r="R16" i="21"/>
  <c r="U16" i="21" s="1"/>
  <c r="P16" i="21"/>
  <c r="R22" i="21"/>
  <c r="U22" i="21" s="1"/>
  <c r="P22" i="21"/>
  <c r="R19" i="21"/>
  <c r="U19" i="21" s="1"/>
  <c r="P19" i="21"/>
  <c r="R25" i="21"/>
  <c r="U25" i="21" s="1"/>
  <c r="P25" i="21"/>
  <c r="R55" i="28"/>
  <c r="U55" i="28" s="1"/>
  <c r="P55" i="28"/>
  <c r="R54" i="28"/>
  <c r="U54" i="28" s="1"/>
  <c r="P54" i="28"/>
  <c r="S54" i="28" s="1"/>
  <c r="R53" i="28"/>
  <c r="U53" i="28" s="1"/>
  <c r="P53" i="28"/>
  <c r="R52" i="28"/>
  <c r="U52" i="28" s="1"/>
  <c r="P52" i="28"/>
  <c r="S52" i="28" s="1"/>
  <c r="R51" i="28"/>
  <c r="U51" i="28" s="1"/>
  <c r="P51" i="28"/>
  <c r="S51" i="28" s="1"/>
  <c r="R50" i="28"/>
  <c r="U50" i="28" s="1"/>
  <c r="P50" i="28"/>
  <c r="R49" i="28"/>
  <c r="U49" i="28" s="1"/>
  <c r="P49" i="28"/>
  <c r="R48" i="28"/>
  <c r="U48" i="28" s="1"/>
  <c r="P48" i="28"/>
  <c r="R47" i="28"/>
  <c r="U47" i="28" s="1"/>
  <c r="P47" i="28"/>
  <c r="R46" i="28"/>
  <c r="U46" i="28" s="1"/>
  <c r="P46" i="28"/>
  <c r="S46" i="28" s="1"/>
  <c r="R45" i="28"/>
  <c r="U45" i="28" s="1"/>
  <c r="P45" i="28"/>
  <c r="R44" i="28"/>
  <c r="U44" i="28" s="1"/>
  <c r="P44" i="28"/>
  <c r="R43" i="28"/>
  <c r="U43" i="28" s="1"/>
  <c r="P43" i="28"/>
  <c r="R42" i="28"/>
  <c r="U42" i="28" s="1"/>
  <c r="P42" i="28"/>
  <c r="R41" i="28"/>
  <c r="U41" i="28" s="1"/>
  <c r="P41" i="28"/>
  <c r="R40" i="28"/>
  <c r="U40" i="28" s="1"/>
  <c r="P40" i="28"/>
  <c r="R39" i="28"/>
  <c r="U39" i="28" s="1"/>
  <c r="P39" i="28"/>
  <c r="R38" i="28"/>
  <c r="U38" i="28" s="1"/>
  <c r="P38" i="28"/>
  <c r="R37" i="28"/>
  <c r="U37" i="28" s="1"/>
  <c r="P37" i="28"/>
  <c r="R36" i="28"/>
  <c r="U36" i="28" s="1"/>
  <c r="P36" i="28"/>
  <c r="R35" i="28"/>
  <c r="U35" i="28" s="1"/>
  <c r="P35" i="28"/>
  <c r="R3" i="28"/>
  <c r="U3" i="28" s="1"/>
  <c r="P3" i="28"/>
  <c r="R31" i="28"/>
  <c r="U31" i="28" s="1"/>
  <c r="P31" i="28"/>
  <c r="R34" i="28"/>
  <c r="U34" i="28" s="1"/>
  <c r="P34" i="28"/>
  <c r="R33" i="28"/>
  <c r="U33" i="28" s="1"/>
  <c r="P33" i="28"/>
  <c r="R32" i="28"/>
  <c r="U32" i="28" s="1"/>
  <c r="P32" i="28"/>
  <c r="R30" i="28"/>
  <c r="U30" i="28" s="1"/>
  <c r="P30" i="28"/>
  <c r="R7" i="28"/>
  <c r="U7" i="28" s="1"/>
  <c r="P7" i="28"/>
  <c r="R22" i="28"/>
  <c r="U22" i="28" s="1"/>
  <c r="P22" i="28"/>
  <c r="R6" i="28"/>
  <c r="U6" i="28" s="1"/>
  <c r="P6" i="28"/>
  <c r="R26" i="28"/>
  <c r="U26" i="28" s="1"/>
  <c r="P26" i="28"/>
  <c r="R5" i="28"/>
  <c r="U5" i="28" s="1"/>
  <c r="P5" i="28"/>
  <c r="R19" i="28"/>
  <c r="U19" i="28" s="1"/>
  <c r="P19" i="28"/>
  <c r="R12" i="28"/>
  <c r="U12" i="28" s="1"/>
  <c r="P12" i="28"/>
  <c r="R11" i="28"/>
  <c r="U11" i="28" s="1"/>
  <c r="P11" i="28"/>
  <c r="R25" i="28"/>
  <c r="U25" i="28" s="1"/>
  <c r="P25" i="28"/>
  <c r="R29" i="28"/>
  <c r="U29" i="28" s="1"/>
  <c r="P29" i="28"/>
  <c r="R8" i="28"/>
  <c r="U8" i="28" s="1"/>
  <c r="P8" i="28"/>
  <c r="R4" i="28"/>
  <c r="U4" i="28" s="1"/>
  <c r="P4" i="28"/>
  <c r="R14" i="28"/>
  <c r="U14" i="28" s="1"/>
  <c r="P14" i="28"/>
  <c r="R24" i="28"/>
  <c r="U24" i="28" s="1"/>
  <c r="P24" i="28"/>
  <c r="R28" i="28"/>
  <c r="U28" i="28" s="1"/>
  <c r="P28" i="28"/>
  <c r="R21" i="28"/>
  <c r="U21" i="28" s="1"/>
  <c r="P21" i="28"/>
  <c r="R23" i="28"/>
  <c r="U23" i="28" s="1"/>
  <c r="P23" i="28"/>
  <c r="R15" i="28"/>
  <c r="U15" i="28" s="1"/>
  <c r="P15" i="28"/>
  <c r="R20" i="28"/>
  <c r="U20" i="28" s="1"/>
  <c r="P20" i="28"/>
  <c r="R27" i="28"/>
  <c r="U27" i="28" s="1"/>
  <c r="P27" i="28"/>
  <c r="R9" i="28"/>
  <c r="U9" i="28" s="1"/>
  <c r="P9" i="28"/>
  <c r="R13" i="28"/>
  <c r="U13" i="28" s="1"/>
  <c r="P13" i="28"/>
  <c r="R16" i="28"/>
  <c r="U16" i="28" s="1"/>
  <c r="P16" i="28"/>
  <c r="R10" i="28"/>
  <c r="U10" i="28" s="1"/>
  <c r="P10" i="28"/>
  <c r="R17" i="28"/>
  <c r="U17" i="28" s="1"/>
  <c r="P17" i="28"/>
  <c r="R18" i="28"/>
  <c r="U18" i="28" s="1"/>
  <c r="P18" i="28"/>
  <c r="R45" i="26"/>
  <c r="U45" i="26" s="1"/>
  <c r="P45" i="26"/>
  <c r="R44" i="26"/>
  <c r="U44" i="26" s="1"/>
  <c r="P44" i="26"/>
  <c r="R6" i="26"/>
  <c r="U6" i="26" s="1"/>
  <c r="P6" i="26"/>
  <c r="R9" i="26"/>
  <c r="U9" i="26" s="1"/>
  <c r="P9" i="26"/>
  <c r="R38" i="26"/>
  <c r="U38" i="26" s="1"/>
  <c r="P38" i="26"/>
  <c r="R29" i="26"/>
  <c r="U29" i="26" s="1"/>
  <c r="P29" i="26"/>
  <c r="R43" i="26"/>
  <c r="U43" i="26" s="1"/>
  <c r="P43" i="26"/>
  <c r="R42" i="26"/>
  <c r="U42" i="26" s="1"/>
  <c r="P42" i="26"/>
  <c r="R37" i="26"/>
  <c r="U37" i="26" s="1"/>
  <c r="P37" i="26"/>
  <c r="R41" i="26"/>
  <c r="U41" i="26" s="1"/>
  <c r="P41" i="26"/>
  <c r="R40" i="26"/>
  <c r="U40" i="26" s="1"/>
  <c r="P40" i="26"/>
  <c r="R36" i="26"/>
  <c r="U36" i="26" s="1"/>
  <c r="P36" i="26"/>
  <c r="R35" i="26"/>
  <c r="U35" i="26" s="1"/>
  <c r="P35" i="26"/>
  <c r="R27" i="26"/>
  <c r="U27" i="26" s="1"/>
  <c r="P27" i="26"/>
  <c r="R39" i="26"/>
  <c r="U39" i="26" s="1"/>
  <c r="P39" i="26"/>
  <c r="R3" i="26"/>
  <c r="U3" i="26" s="1"/>
  <c r="P3" i="26"/>
  <c r="R26" i="26"/>
  <c r="U26" i="26" s="1"/>
  <c r="P26" i="26"/>
  <c r="R5" i="26"/>
  <c r="U5" i="26" s="1"/>
  <c r="P5" i="26"/>
  <c r="R32" i="26"/>
  <c r="U32" i="26" s="1"/>
  <c r="P32" i="26"/>
  <c r="R25" i="26"/>
  <c r="U25" i="26" s="1"/>
  <c r="P25" i="26"/>
  <c r="R24" i="26"/>
  <c r="U24" i="26" s="1"/>
  <c r="P24" i="26"/>
  <c r="R34" i="26"/>
  <c r="U34" i="26" s="1"/>
  <c r="P34" i="26"/>
  <c r="R4" i="26"/>
  <c r="U4" i="26" s="1"/>
  <c r="P4" i="26"/>
  <c r="R23" i="26"/>
  <c r="U23" i="26" s="1"/>
  <c r="P23" i="26"/>
  <c r="R31" i="26"/>
  <c r="U31" i="26" s="1"/>
  <c r="P31" i="26"/>
  <c r="R22" i="26"/>
  <c r="U22" i="26" s="1"/>
  <c r="P22" i="26"/>
  <c r="R28" i="26"/>
  <c r="U28" i="26" s="1"/>
  <c r="P28" i="26"/>
  <c r="R14" i="26"/>
  <c r="U14" i="26" s="1"/>
  <c r="P14" i="26"/>
  <c r="R33" i="26"/>
  <c r="U33" i="26" s="1"/>
  <c r="P33" i="26"/>
  <c r="R17" i="26"/>
  <c r="U17" i="26" s="1"/>
  <c r="P17" i="26"/>
  <c r="R21" i="26"/>
  <c r="U21" i="26" s="1"/>
  <c r="P21" i="26"/>
  <c r="R12" i="26"/>
  <c r="U12" i="26" s="1"/>
  <c r="P12" i="26"/>
  <c r="R20" i="26"/>
  <c r="U20" i="26" s="1"/>
  <c r="P20" i="26"/>
  <c r="R30" i="26"/>
  <c r="U30" i="26" s="1"/>
  <c r="P30" i="26"/>
  <c r="R10" i="26"/>
  <c r="U10" i="26" s="1"/>
  <c r="P10" i="26"/>
  <c r="R7" i="26"/>
  <c r="U7" i="26" s="1"/>
  <c r="P7" i="26"/>
  <c r="R15" i="26"/>
  <c r="U15" i="26" s="1"/>
  <c r="P15" i="26"/>
  <c r="R18" i="26"/>
  <c r="U18" i="26" s="1"/>
  <c r="P18" i="26"/>
  <c r="R11" i="26"/>
  <c r="U11" i="26" s="1"/>
  <c r="P11" i="26"/>
  <c r="R13" i="26"/>
  <c r="U13" i="26" s="1"/>
  <c r="P13" i="26"/>
  <c r="R8" i="26"/>
  <c r="U8" i="26" s="1"/>
  <c r="P8" i="26"/>
  <c r="R19" i="26"/>
  <c r="U19" i="26" s="1"/>
  <c r="P19" i="26"/>
  <c r="R16" i="26"/>
  <c r="U16" i="26" s="1"/>
  <c r="P16" i="26"/>
  <c r="R46" i="53"/>
  <c r="U46" i="53" s="1"/>
  <c r="P46" i="53"/>
  <c r="S46" i="53" s="1"/>
  <c r="R45" i="53"/>
  <c r="U45" i="53" s="1"/>
  <c r="P45" i="53"/>
  <c r="R44" i="53"/>
  <c r="U44" i="53" s="1"/>
  <c r="P44" i="53"/>
  <c r="R43" i="53"/>
  <c r="U43" i="53" s="1"/>
  <c r="P43" i="53"/>
  <c r="R42" i="53"/>
  <c r="U42" i="53" s="1"/>
  <c r="P42" i="53"/>
  <c r="R41" i="53"/>
  <c r="U41" i="53" s="1"/>
  <c r="P41" i="53"/>
  <c r="R40" i="53"/>
  <c r="U40" i="53" s="1"/>
  <c r="P40" i="53"/>
  <c r="R39" i="53"/>
  <c r="U39" i="53" s="1"/>
  <c r="P39" i="53"/>
  <c r="R38" i="53"/>
  <c r="U38" i="53" s="1"/>
  <c r="P38" i="53"/>
  <c r="R37" i="53"/>
  <c r="U37" i="53" s="1"/>
  <c r="P37" i="53"/>
  <c r="R36" i="53"/>
  <c r="U36" i="53" s="1"/>
  <c r="P36" i="53"/>
  <c r="R35" i="53"/>
  <c r="U35" i="53" s="1"/>
  <c r="P35" i="53"/>
  <c r="R34" i="53"/>
  <c r="U34" i="53" s="1"/>
  <c r="P34" i="53"/>
  <c r="R33" i="53"/>
  <c r="U33" i="53" s="1"/>
  <c r="P33" i="53"/>
  <c r="S33" i="53" s="1"/>
  <c r="R32" i="53"/>
  <c r="U32" i="53" s="1"/>
  <c r="P32" i="53"/>
  <c r="R31" i="53"/>
  <c r="U31" i="53" s="1"/>
  <c r="P31" i="53"/>
  <c r="S31" i="53" s="1"/>
  <c r="R30" i="53"/>
  <c r="U30" i="53" s="1"/>
  <c r="P30" i="53"/>
  <c r="R29" i="53"/>
  <c r="U29" i="53" s="1"/>
  <c r="P29" i="53"/>
  <c r="R28" i="53"/>
  <c r="U28" i="53" s="1"/>
  <c r="P28" i="53"/>
  <c r="R27" i="53"/>
  <c r="U27" i="53" s="1"/>
  <c r="P27" i="53"/>
  <c r="R26" i="53"/>
  <c r="U26" i="53" s="1"/>
  <c r="P26" i="53"/>
  <c r="R25" i="53"/>
  <c r="U25" i="53" s="1"/>
  <c r="P25" i="53"/>
  <c r="S25" i="53" s="1"/>
  <c r="R24" i="53"/>
  <c r="U24" i="53" s="1"/>
  <c r="P24" i="53"/>
  <c r="R23" i="53"/>
  <c r="U23" i="53" s="1"/>
  <c r="P23" i="53"/>
  <c r="R22" i="53"/>
  <c r="U22" i="53" s="1"/>
  <c r="P22" i="53"/>
  <c r="R21" i="53"/>
  <c r="U21" i="53" s="1"/>
  <c r="P21" i="53"/>
  <c r="R20" i="53"/>
  <c r="U20" i="53" s="1"/>
  <c r="P20" i="53"/>
  <c r="R19" i="53"/>
  <c r="U19" i="53" s="1"/>
  <c r="P19" i="53"/>
  <c r="R18" i="53"/>
  <c r="U18" i="53" s="1"/>
  <c r="P18" i="53"/>
  <c r="R17" i="53"/>
  <c r="U17" i="53" s="1"/>
  <c r="P17" i="53"/>
  <c r="R16" i="53"/>
  <c r="U16" i="53" s="1"/>
  <c r="P16" i="53"/>
  <c r="R15" i="53"/>
  <c r="U15" i="53" s="1"/>
  <c r="P15" i="53"/>
  <c r="R14" i="53"/>
  <c r="U14" i="53" s="1"/>
  <c r="P14" i="53"/>
  <c r="R3" i="53"/>
  <c r="U3" i="53" s="1"/>
  <c r="P3" i="53"/>
  <c r="R13" i="53"/>
  <c r="U13" i="53" s="1"/>
  <c r="P13" i="53"/>
  <c r="R8" i="53"/>
  <c r="U8" i="53" s="1"/>
  <c r="P8" i="53"/>
  <c r="R5" i="53"/>
  <c r="U5" i="53" s="1"/>
  <c r="P5" i="53"/>
  <c r="R7" i="53"/>
  <c r="U7" i="53" s="1"/>
  <c r="P7" i="53"/>
  <c r="R4" i="53"/>
  <c r="U4" i="53" s="1"/>
  <c r="P4" i="53"/>
  <c r="R6" i="53"/>
  <c r="U6" i="53" s="1"/>
  <c r="P6" i="53"/>
  <c r="R11" i="53"/>
  <c r="U11" i="53" s="1"/>
  <c r="P11" i="53"/>
  <c r="R12" i="53"/>
  <c r="U12" i="53" s="1"/>
  <c r="P12" i="53"/>
  <c r="R10" i="53"/>
  <c r="U10" i="53" s="1"/>
  <c r="P10" i="53"/>
  <c r="R9" i="53"/>
  <c r="U9" i="53" s="1"/>
  <c r="P9" i="53"/>
  <c r="R33" i="18"/>
  <c r="U33" i="18" s="1"/>
  <c r="P33" i="18"/>
  <c r="R32" i="18"/>
  <c r="U32" i="18" s="1"/>
  <c r="P32" i="18"/>
  <c r="R31" i="18"/>
  <c r="U31" i="18" s="1"/>
  <c r="P31" i="18"/>
  <c r="R30" i="18"/>
  <c r="U30" i="18" s="1"/>
  <c r="P30" i="18"/>
  <c r="R29" i="18"/>
  <c r="U29" i="18" s="1"/>
  <c r="P29" i="18"/>
  <c r="R28" i="18"/>
  <c r="U28" i="18" s="1"/>
  <c r="P28" i="18"/>
  <c r="R27" i="18"/>
  <c r="U27" i="18" s="1"/>
  <c r="P27" i="18"/>
  <c r="S27" i="18" s="1"/>
  <c r="R26" i="18"/>
  <c r="U26" i="18" s="1"/>
  <c r="P26" i="18"/>
  <c r="S26" i="18" s="1"/>
  <c r="R25" i="18"/>
  <c r="U25" i="18" s="1"/>
  <c r="P25" i="18"/>
  <c r="R24" i="18"/>
  <c r="U24" i="18" s="1"/>
  <c r="P24" i="18"/>
  <c r="S24" i="18" s="1"/>
  <c r="R23" i="18"/>
  <c r="P23" i="18"/>
  <c r="R22" i="18"/>
  <c r="P22" i="18"/>
  <c r="R21" i="18"/>
  <c r="U21" i="18" s="1"/>
  <c r="P21" i="18"/>
  <c r="R20" i="18"/>
  <c r="P20" i="18"/>
  <c r="R19" i="18"/>
  <c r="U19" i="18" s="1"/>
  <c r="P19" i="18"/>
  <c r="R18" i="18"/>
  <c r="P18" i="18"/>
  <c r="R17" i="18"/>
  <c r="U17" i="18" s="1"/>
  <c r="P17" i="18"/>
  <c r="R3" i="18"/>
  <c r="U3" i="18" s="1"/>
  <c r="P3" i="18"/>
  <c r="R16" i="18"/>
  <c r="U16" i="18" s="1"/>
  <c r="P16" i="18"/>
  <c r="R12" i="18"/>
  <c r="P12" i="18"/>
  <c r="R11" i="18"/>
  <c r="P11" i="18"/>
  <c r="R4" i="18"/>
  <c r="U4" i="18" s="1"/>
  <c r="P4" i="18"/>
  <c r="R9" i="18"/>
  <c r="U9" i="18" s="1"/>
  <c r="P9" i="18"/>
  <c r="R15" i="18"/>
  <c r="U15" i="18" s="1"/>
  <c r="P15" i="18"/>
  <c r="R14" i="18"/>
  <c r="U14" i="18" s="1"/>
  <c r="P14" i="18"/>
  <c r="R7" i="18"/>
  <c r="U7" i="18" s="1"/>
  <c r="P7" i="18"/>
  <c r="R13" i="18"/>
  <c r="P13" i="18"/>
  <c r="R8" i="18"/>
  <c r="P8" i="18"/>
  <c r="R6" i="18"/>
  <c r="U6" i="18" s="1"/>
  <c r="P6" i="18"/>
  <c r="R10" i="18"/>
  <c r="U10" i="18" s="1"/>
  <c r="P10" i="18"/>
  <c r="R5" i="18"/>
  <c r="P5" i="18"/>
  <c r="R48" i="17"/>
  <c r="U48" i="17" s="1"/>
  <c r="P48" i="17"/>
  <c r="R47" i="17"/>
  <c r="U47" i="17" s="1"/>
  <c r="P47" i="17"/>
  <c r="R46" i="17"/>
  <c r="U46" i="17" s="1"/>
  <c r="P46" i="17"/>
  <c r="R45" i="17"/>
  <c r="U45" i="17" s="1"/>
  <c r="P45" i="17"/>
  <c r="S45" i="17" s="1"/>
  <c r="R44" i="17"/>
  <c r="U44" i="17" s="1"/>
  <c r="P44" i="17"/>
  <c r="R43" i="17"/>
  <c r="U43" i="17" s="1"/>
  <c r="P43" i="17"/>
  <c r="R42" i="17"/>
  <c r="U42" i="17" s="1"/>
  <c r="P42" i="17"/>
  <c r="S42" i="17" s="1"/>
  <c r="R41" i="17"/>
  <c r="U41" i="17" s="1"/>
  <c r="P41" i="17"/>
  <c r="R40" i="17"/>
  <c r="U40" i="17" s="1"/>
  <c r="P40" i="17"/>
  <c r="R39" i="17"/>
  <c r="U39" i="17" s="1"/>
  <c r="P39" i="17"/>
  <c r="S39" i="17" s="1"/>
  <c r="R38" i="17"/>
  <c r="U38" i="17" s="1"/>
  <c r="P38" i="17"/>
  <c r="R37" i="17"/>
  <c r="U37" i="17" s="1"/>
  <c r="P37" i="17"/>
  <c r="R36" i="17"/>
  <c r="U36" i="17" s="1"/>
  <c r="P36" i="17"/>
  <c r="R35" i="17"/>
  <c r="U35" i="17" s="1"/>
  <c r="P35" i="17"/>
  <c r="R34" i="17"/>
  <c r="U34" i="17" s="1"/>
  <c r="P34" i="17"/>
  <c r="R33" i="17"/>
  <c r="U33" i="17" s="1"/>
  <c r="P33" i="17"/>
  <c r="R32" i="17"/>
  <c r="U32" i="17" s="1"/>
  <c r="P32" i="17"/>
  <c r="R31" i="17"/>
  <c r="U31" i="17" s="1"/>
  <c r="P31" i="17"/>
  <c r="S31" i="17" s="1"/>
  <c r="R30" i="17"/>
  <c r="U30" i="17" s="1"/>
  <c r="P30" i="17"/>
  <c r="R29" i="17"/>
  <c r="U29" i="17" s="1"/>
  <c r="P29" i="17"/>
  <c r="S29" i="17" s="1"/>
  <c r="R28" i="17"/>
  <c r="U28" i="17" s="1"/>
  <c r="P28" i="17"/>
  <c r="R27" i="17"/>
  <c r="U27" i="17" s="1"/>
  <c r="P27" i="17"/>
  <c r="R26" i="17"/>
  <c r="U26" i="17" s="1"/>
  <c r="P26" i="17"/>
  <c r="R25" i="17"/>
  <c r="U25" i="17" s="1"/>
  <c r="P25" i="17"/>
  <c r="R24" i="17"/>
  <c r="U24" i="17" s="1"/>
  <c r="P24" i="17"/>
  <c r="R23" i="17"/>
  <c r="U23" i="17" s="1"/>
  <c r="P23" i="17"/>
  <c r="R22" i="17"/>
  <c r="U22" i="17" s="1"/>
  <c r="P22" i="17"/>
  <c r="R21" i="17"/>
  <c r="U21" i="17" s="1"/>
  <c r="P21" i="17"/>
  <c r="R20" i="17"/>
  <c r="U20" i="17" s="1"/>
  <c r="P20" i="17"/>
  <c r="R19" i="17"/>
  <c r="U19" i="17" s="1"/>
  <c r="P19" i="17"/>
  <c r="R3" i="17"/>
  <c r="U3" i="17" s="1"/>
  <c r="P3" i="17"/>
  <c r="R14" i="17"/>
  <c r="U14" i="17" s="1"/>
  <c r="P14" i="17"/>
  <c r="R4" i="17"/>
  <c r="U4" i="17" s="1"/>
  <c r="P4" i="17"/>
  <c r="R13" i="17"/>
  <c r="U13" i="17" s="1"/>
  <c r="P13" i="17"/>
  <c r="R8" i="17"/>
  <c r="U8" i="17" s="1"/>
  <c r="P8" i="17"/>
  <c r="R5" i="17"/>
  <c r="U5" i="17" s="1"/>
  <c r="P5" i="17"/>
  <c r="R18" i="17"/>
  <c r="U18" i="17" s="1"/>
  <c r="P18" i="17"/>
  <c r="R7" i="17"/>
  <c r="U7" i="17" s="1"/>
  <c r="P7" i="17"/>
  <c r="R6" i="17"/>
  <c r="U6" i="17" s="1"/>
  <c r="P6" i="17"/>
  <c r="R16" i="17"/>
  <c r="U16" i="17" s="1"/>
  <c r="P16" i="17"/>
  <c r="R17" i="17"/>
  <c r="U17" i="17" s="1"/>
  <c r="P17" i="17"/>
  <c r="R10" i="17"/>
  <c r="U10" i="17" s="1"/>
  <c r="P10" i="17"/>
  <c r="R15" i="17"/>
  <c r="U15" i="17" s="1"/>
  <c r="P15" i="17"/>
  <c r="R12" i="17"/>
  <c r="U12" i="17" s="1"/>
  <c r="P12" i="17"/>
  <c r="R11" i="17"/>
  <c r="U11" i="17" s="1"/>
  <c r="P11" i="17"/>
  <c r="R9" i="17"/>
  <c r="U9" i="17" s="1"/>
  <c r="P9" i="17"/>
  <c r="S48" i="20"/>
  <c r="R48" i="20"/>
  <c r="U48" i="20" s="1"/>
  <c r="P48" i="20"/>
  <c r="R47" i="20"/>
  <c r="U47" i="20" s="1"/>
  <c r="P47" i="20"/>
  <c r="R46" i="20"/>
  <c r="U46" i="20" s="1"/>
  <c r="P46" i="20"/>
  <c r="S46" i="20" s="1"/>
  <c r="R45" i="20"/>
  <c r="U45" i="20" s="1"/>
  <c r="P45" i="20"/>
  <c r="R44" i="20"/>
  <c r="U44" i="20" s="1"/>
  <c r="P44" i="20"/>
  <c r="R43" i="20"/>
  <c r="U43" i="20" s="1"/>
  <c r="P43" i="20"/>
  <c r="R42" i="20"/>
  <c r="U42" i="20" s="1"/>
  <c r="P42" i="20"/>
  <c r="R41" i="20"/>
  <c r="U41" i="20" s="1"/>
  <c r="P41" i="20"/>
  <c r="R40" i="20"/>
  <c r="U40" i="20" s="1"/>
  <c r="P40" i="20"/>
  <c r="S39" i="20"/>
  <c r="R39" i="20"/>
  <c r="U39" i="20" s="1"/>
  <c r="P39" i="20"/>
  <c r="R38" i="20"/>
  <c r="U38" i="20" s="1"/>
  <c r="P38" i="20"/>
  <c r="S38" i="20" s="1"/>
  <c r="R37" i="20"/>
  <c r="U37" i="20" s="1"/>
  <c r="P37" i="20"/>
  <c r="R36" i="20"/>
  <c r="P36" i="20"/>
  <c r="R35" i="20"/>
  <c r="U35" i="20" s="1"/>
  <c r="P35" i="20"/>
  <c r="S35" i="20" s="1"/>
  <c r="R34" i="20"/>
  <c r="U34" i="20" s="1"/>
  <c r="P34" i="20"/>
  <c r="R33" i="20"/>
  <c r="U33" i="20" s="1"/>
  <c r="P33" i="20"/>
  <c r="R32" i="20"/>
  <c r="U32" i="20" s="1"/>
  <c r="P32" i="20"/>
  <c r="S32" i="20" s="1"/>
  <c r="R31" i="20"/>
  <c r="U31" i="20" s="1"/>
  <c r="P31" i="20"/>
  <c r="R30" i="20"/>
  <c r="U30" i="20" s="1"/>
  <c r="P30" i="20"/>
  <c r="R29" i="20"/>
  <c r="U29" i="20" s="1"/>
  <c r="P29" i="20"/>
  <c r="R28" i="20"/>
  <c r="U28" i="20" s="1"/>
  <c r="P28" i="20"/>
  <c r="R27" i="20"/>
  <c r="U27" i="20" s="1"/>
  <c r="P27" i="20"/>
  <c r="R26" i="20"/>
  <c r="U26" i="20" s="1"/>
  <c r="P26" i="20"/>
  <c r="R25" i="20"/>
  <c r="U25" i="20" s="1"/>
  <c r="P25" i="20"/>
  <c r="R24" i="20"/>
  <c r="U24" i="20" s="1"/>
  <c r="P24" i="20"/>
  <c r="R20" i="20"/>
  <c r="U20" i="20" s="1"/>
  <c r="P20" i="20"/>
  <c r="R23" i="20"/>
  <c r="U23" i="20" s="1"/>
  <c r="P23" i="20"/>
  <c r="R22" i="20"/>
  <c r="U22" i="20" s="1"/>
  <c r="P22" i="20"/>
  <c r="R19" i="20"/>
  <c r="U19" i="20" s="1"/>
  <c r="P19" i="20"/>
  <c r="R18" i="20"/>
  <c r="U18" i="20" s="1"/>
  <c r="P18" i="20"/>
  <c r="R3" i="20"/>
  <c r="U3" i="20" s="1"/>
  <c r="P3" i="20"/>
  <c r="R21" i="20"/>
  <c r="U21" i="20" s="1"/>
  <c r="P21" i="20"/>
  <c r="R17" i="20"/>
  <c r="U17" i="20" s="1"/>
  <c r="P17" i="20"/>
  <c r="R16" i="20"/>
  <c r="U16" i="20" s="1"/>
  <c r="P16" i="20"/>
  <c r="R4" i="20"/>
  <c r="U4" i="20" s="1"/>
  <c r="P4" i="20"/>
  <c r="R13" i="20"/>
  <c r="U13" i="20" s="1"/>
  <c r="P13" i="20"/>
  <c r="R9" i="20"/>
  <c r="U9" i="20" s="1"/>
  <c r="P9" i="20"/>
  <c r="R5" i="20"/>
  <c r="U5" i="20" s="1"/>
  <c r="P5" i="20"/>
  <c r="R15" i="20"/>
  <c r="U15" i="20" s="1"/>
  <c r="P15" i="20"/>
  <c r="R8" i="20"/>
  <c r="U8" i="20" s="1"/>
  <c r="P8" i="20"/>
  <c r="R6" i="20"/>
  <c r="U6" i="20" s="1"/>
  <c r="P6" i="20"/>
  <c r="R7" i="20"/>
  <c r="U7" i="20" s="1"/>
  <c r="P7" i="20"/>
  <c r="R11" i="20"/>
  <c r="U11" i="20" s="1"/>
  <c r="P11" i="20"/>
  <c r="R12" i="20"/>
  <c r="U12" i="20" s="1"/>
  <c r="P12" i="20"/>
  <c r="R14" i="20"/>
  <c r="U14" i="20" s="1"/>
  <c r="P14" i="20"/>
  <c r="R10" i="20"/>
  <c r="U10" i="20" s="1"/>
  <c r="P10" i="20"/>
  <c r="S47" i="58"/>
  <c r="R47" i="58"/>
  <c r="U47" i="58" s="1"/>
  <c r="P47" i="58"/>
  <c r="R46" i="58"/>
  <c r="U46" i="58" s="1"/>
  <c r="P46" i="58"/>
  <c r="R45" i="58"/>
  <c r="U45" i="58" s="1"/>
  <c r="P45" i="58"/>
  <c r="R44" i="58"/>
  <c r="U44" i="58" s="1"/>
  <c r="P44" i="58"/>
  <c r="S44" i="58" s="1"/>
  <c r="R43" i="58"/>
  <c r="U43" i="58" s="1"/>
  <c r="P43" i="58"/>
  <c r="R42" i="58"/>
  <c r="U42" i="58" s="1"/>
  <c r="P42" i="58"/>
  <c r="R41" i="58"/>
  <c r="U41" i="58" s="1"/>
  <c r="P41" i="58"/>
  <c r="S41" i="58" s="1"/>
  <c r="R40" i="58"/>
  <c r="U40" i="58" s="1"/>
  <c r="P40" i="58"/>
  <c r="R39" i="58"/>
  <c r="U39" i="58" s="1"/>
  <c r="P39" i="58"/>
  <c r="S38" i="58"/>
  <c r="R38" i="58"/>
  <c r="U38" i="58" s="1"/>
  <c r="P38" i="58"/>
  <c r="R37" i="58"/>
  <c r="U37" i="58" s="1"/>
  <c r="P37" i="58"/>
  <c r="S37" i="58" s="1"/>
  <c r="R36" i="58"/>
  <c r="U36" i="58" s="1"/>
  <c r="P36" i="58"/>
  <c r="R35" i="58"/>
  <c r="P35" i="58"/>
  <c r="R34" i="58"/>
  <c r="U34" i="58" s="1"/>
  <c r="P34" i="58"/>
  <c r="S34" i="58" s="1"/>
  <c r="R33" i="58"/>
  <c r="U33" i="58" s="1"/>
  <c r="P33" i="58"/>
  <c r="S32" i="58"/>
  <c r="R32" i="58"/>
  <c r="U32" i="58" s="1"/>
  <c r="P32" i="58"/>
  <c r="R31" i="58"/>
  <c r="U31" i="58" s="1"/>
  <c r="P31" i="58"/>
  <c r="S31" i="58" s="1"/>
  <c r="R30" i="58"/>
  <c r="U30" i="58" s="1"/>
  <c r="P30" i="58"/>
  <c r="R29" i="58"/>
  <c r="U29" i="58" s="1"/>
  <c r="P29" i="58"/>
  <c r="R28" i="58"/>
  <c r="U28" i="58" s="1"/>
  <c r="P28" i="58"/>
  <c r="R27" i="58"/>
  <c r="U27" i="58" s="1"/>
  <c r="P27" i="58"/>
  <c r="R22" i="58"/>
  <c r="U22" i="58" s="1"/>
  <c r="P22" i="58"/>
  <c r="R23" i="58"/>
  <c r="U23" i="58" s="1"/>
  <c r="P23" i="58"/>
  <c r="R24" i="58"/>
  <c r="U24" i="58" s="1"/>
  <c r="P24" i="58"/>
  <c r="R20" i="58"/>
  <c r="U20" i="58" s="1"/>
  <c r="P20" i="58"/>
  <c r="R21" i="58"/>
  <c r="U21" i="58" s="1"/>
  <c r="P21" i="58"/>
  <c r="R25" i="58"/>
  <c r="U25" i="58" s="1"/>
  <c r="P25" i="58"/>
  <c r="R26" i="58"/>
  <c r="U26" i="58" s="1"/>
  <c r="P26" i="58"/>
  <c r="R3" i="58"/>
  <c r="U3" i="58" s="1"/>
  <c r="P3" i="58"/>
  <c r="R9" i="58"/>
  <c r="U9" i="58" s="1"/>
  <c r="P9" i="58"/>
  <c r="R18" i="58"/>
  <c r="U18" i="58" s="1"/>
  <c r="P18" i="58"/>
  <c r="R4" i="58"/>
  <c r="U4" i="58" s="1"/>
  <c r="P4" i="58"/>
  <c r="R17" i="58"/>
  <c r="U17" i="58" s="1"/>
  <c r="P17" i="58"/>
  <c r="R16" i="58"/>
  <c r="U16" i="58" s="1"/>
  <c r="P16" i="58"/>
  <c r="R12" i="58"/>
  <c r="U12" i="58" s="1"/>
  <c r="P12" i="58"/>
  <c r="R5" i="58"/>
  <c r="U5" i="58" s="1"/>
  <c r="P5" i="58"/>
  <c r="R14" i="58"/>
  <c r="U14" i="58" s="1"/>
  <c r="P14" i="58"/>
  <c r="R19" i="58"/>
  <c r="U19" i="58" s="1"/>
  <c r="P19" i="58"/>
  <c r="R10" i="58"/>
  <c r="U10" i="58" s="1"/>
  <c r="P10" i="58"/>
  <c r="R11" i="58"/>
  <c r="U11" i="58" s="1"/>
  <c r="P11" i="58"/>
  <c r="R8" i="58"/>
  <c r="U8" i="58" s="1"/>
  <c r="P8" i="58"/>
  <c r="R7" i="58"/>
  <c r="U7" i="58" s="1"/>
  <c r="P7" i="58"/>
  <c r="R13" i="58"/>
  <c r="U13" i="58" s="1"/>
  <c r="P13" i="58"/>
  <c r="R15" i="58"/>
  <c r="U15" i="58" s="1"/>
  <c r="P15" i="58"/>
  <c r="R6" i="58"/>
  <c r="U6" i="58" s="1"/>
  <c r="P6" i="58"/>
  <c r="R49" i="15"/>
  <c r="U49" i="15" s="1"/>
  <c r="P49" i="15"/>
  <c r="R48" i="15"/>
  <c r="U48" i="15" s="1"/>
  <c r="P48" i="15"/>
  <c r="S48" i="15" s="1"/>
  <c r="R47" i="15"/>
  <c r="U47" i="15" s="1"/>
  <c r="P47" i="15"/>
  <c r="R46" i="15"/>
  <c r="U46" i="15" s="1"/>
  <c r="P46" i="15"/>
  <c r="S46" i="15" s="1"/>
  <c r="R45" i="15"/>
  <c r="U45" i="15" s="1"/>
  <c r="P45" i="15"/>
  <c r="R44" i="15"/>
  <c r="U44" i="15" s="1"/>
  <c r="P44" i="15"/>
  <c r="R43" i="15"/>
  <c r="U43" i="15" s="1"/>
  <c r="P43" i="15"/>
  <c r="S43" i="15" s="1"/>
  <c r="R42" i="15"/>
  <c r="U42" i="15" s="1"/>
  <c r="P42" i="15"/>
  <c r="S42" i="15" s="1"/>
  <c r="R41" i="15"/>
  <c r="U41" i="15" s="1"/>
  <c r="P41" i="15"/>
  <c r="R40" i="15"/>
  <c r="U40" i="15" s="1"/>
  <c r="P40" i="15"/>
  <c r="S40" i="15" s="1"/>
  <c r="R39" i="15"/>
  <c r="U39" i="15" s="1"/>
  <c r="P39" i="15"/>
  <c r="R38" i="15"/>
  <c r="U38" i="15" s="1"/>
  <c r="P38" i="15"/>
  <c r="R37" i="15"/>
  <c r="U37" i="15" s="1"/>
  <c r="P37" i="15"/>
  <c r="R36" i="15"/>
  <c r="U36" i="15" s="1"/>
  <c r="P36" i="15"/>
  <c r="R35" i="15"/>
  <c r="U35" i="15" s="1"/>
  <c r="P35" i="15"/>
  <c r="R34" i="15"/>
  <c r="U34" i="15" s="1"/>
  <c r="P34" i="15"/>
  <c r="R33" i="15"/>
  <c r="U33" i="15" s="1"/>
  <c r="P33" i="15"/>
  <c r="R32" i="15"/>
  <c r="U32" i="15" s="1"/>
  <c r="P32" i="15"/>
  <c r="R31" i="15"/>
  <c r="U31" i="15" s="1"/>
  <c r="P31" i="15"/>
  <c r="R30" i="15"/>
  <c r="U30" i="15" s="1"/>
  <c r="P30" i="15"/>
  <c r="R24" i="15"/>
  <c r="U24" i="15" s="1"/>
  <c r="P24" i="15"/>
  <c r="R25" i="15"/>
  <c r="U25" i="15" s="1"/>
  <c r="P25" i="15"/>
  <c r="R29" i="15"/>
  <c r="U29" i="15" s="1"/>
  <c r="P29" i="15"/>
  <c r="R3" i="15"/>
  <c r="U3" i="15" s="1"/>
  <c r="P3" i="15"/>
  <c r="R28" i="15"/>
  <c r="U28" i="15" s="1"/>
  <c r="P28" i="15"/>
  <c r="R27" i="15"/>
  <c r="U27" i="15" s="1"/>
  <c r="P27" i="15"/>
  <c r="R26" i="15"/>
  <c r="U26" i="15" s="1"/>
  <c r="P26" i="15"/>
  <c r="R5" i="15"/>
  <c r="U5" i="15" s="1"/>
  <c r="P5" i="15"/>
  <c r="R19" i="15"/>
  <c r="U19" i="15" s="1"/>
  <c r="P19" i="15"/>
  <c r="R21" i="15"/>
  <c r="U21" i="15" s="1"/>
  <c r="P21" i="15"/>
  <c r="R23" i="15"/>
  <c r="U23" i="15" s="1"/>
  <c r="P23" i="15"/>
  <c r="R22" i="15"/>
  <c r="U22" i="15" s="1"/>
  <c r="P22" i="15"/>
  <c r="R4" i="15"/>
  <c r="U4" i="15" s="1"/>
  <c r="P4" i="15"/>
  <c r="R13" i="15"/>
  <c r="U13" i="15" s="1"/>
  <c r="P13" i="15"/>
  <c r="R15" i="15"/>
  <c r="U15" i="15" s="1"/>
  <c r="P15" i="15"/>
  <c r="R10" i="15"/>
  <c r="U10" i="15" s="1"/>
  <c r="P10" i="15"/>
  <c r="R20" i="15"/>
  <c r="U20" i="15" s="1"/>
  <c r="P20" i="15"/>
  <c r="R18" i="15"/>
  <c r="U18" i="15" s="1"/>
  <c r="P18" i="15"/>
  <c r="R14" i="15"/>
  <c r="U14" i="15" s="1"/>
  <c r="P14" i="15"/>
  <c r="R7" i="15"/>
  <c r="U7" i="15" s="1"/>
  <c r="P7" i="15"/>
  <c r="R12" i="15"/>
  <c r="U12" i="15" s="1"/>
  <c r="P12" i="15"/>
  <c r="R6" i="15"/>
  <c r="U6" i="15" s="1"/>
  <c r="P6" i="15"/>
  <c r="R16" i="15"/>
  <c r="U16" i="15" s="1"/>
  <c r="P16" i="15"/>
  <c r="R17" i="15"/>
  <c r="U17" i="15" s="1"/>
  <c r="P17" i="15"/>
  <c r="R8" i="15"/>
  <c r="U8" i="15" s="1"/>
  <c r="P8" i="15"/>
  <c r="R9" i="15"/>
  <c r="U9" i="15" s="1"/>
  <c r="P9" i="15"/>
  <c r="R11" i="15"/>
  <c r="U11" i="15" s="1"/>
  <c r="P11" i="15"/>
  <c r="R47" i="13"/>
  <c r="P47" i="13"/>
  <c r="R46" i="13"/>
  <c r="P46" i="13"/>
  <c r="R45" i="13"/>
  <c r="P45" i="13"/>
  <c r="R44" i="13"/>
  <c r="P44" i="13"/>
  <c r="R43" i="13"/>
  <c r="P43" i="13"/>
  <c r="R42" i="13"/>
  <c r="P42" i="13"/>
  <c r="R41" i="13"/>
  <c r="P41" i="13"/>
  <c r="R40" i="13"/>
  <c r="P40" i="13"/>
  <c r="R6" i="13"/>
  <c r="P6" i="13"/>
  <c r="R33" i="13"/>
  <c r="P33" i="13"/>
  <c r="R39" i="13"/>
  <c r="P39" i="13"/>
  <c r="R13" i="13"/>
  <c r="P13" i="13"/>
  <c r="R38" i="13"/>
  <c r="P38" i="13"/>
  <c r="R37" i="13"/>
  <c r="P37" i="13"/>
  <c r="R36" i="13"/>
  <c r="P36" i="13"/>
  <c r="R8" i="13"/>
  <c r="P8" i="13"/>
  <c r="R34" i="13"/>
  <c r="P34" i="13"/>
  <c r="R35" i="13"/>
  <c r="P35" i="13"/>
  <c r="R30" i="13"/>
  <c r="P30" i="13"/>
  <c r="R7" i="13"/>
  <c r="P7" i="13"/>
  <c r="R9" i="13"/>
  <c r="P9" i="13"/>
  <c r="R31" i="13"/>
  <c r="P31" i="13"/>
  <c r="R28" i="13"/>
  <c r="P28" i="13"/>
  <c r="R5" i="13"/>
  <c r="P5" i="13"/>
  <c r="R24" i="13"/>
  <c r="P24" i="13"/>
  <c r="R21" i="13"/>
  <c r="P21" i="13"/>
  <c r="R20" i="13"/>
  <c r="P20" i="13"/>
  <c r="R4" i="13"/>
  <c r="P4" i="13"/>
  <c r="R29" i="13"/>
  <c r="P29" i="13"/>
  <c r="R26" i="13"/>
  <c r="P26" i="13"/>
  <c r="R22" i="13"/>
  <c r="P22" i="13"/>
  <c r="R32" i="13"/>
  <c r="P32" i="13"/>
  <c r="R25" i="13"/>
  <c r="P25" i="13"/>
  <c r="R17" i="13"/>
  <c r="P17" i="13"/>
  <c r="R11" i="13"/>
  <c r="P11" i="13"/>
  <c r="R23" i="13"/>
  <c r="P23" i="13"/>
  <c r="R3" i="13"/>
  <c r="P3" i="13"/>
  <c r="R27" i="13"/>
  <c r="P27" i="13"/>
  <c r="R19" i="13"/>
  <c r="P19" i="13"/>
  <c r="R10" i="13"/>
  <c r="P10" i="13"/>
  <c r="R18" i="13"/>
  <c r="P18" i="13"/>
  <c r="R14" i="13"/>
  <c r="P14" i="13"/>
  <c r="R16" i="13"/>
  <c r="P16" i="13"/>
  <c r="R12" i="13"/>
  <c r="P12" i="13"/>
  <c r="R15" i="13"/>
  <c r="P15" i="13"/>
  <c r="R56" i="11"/>
  <c r="P56" i="11"/>
  <c r="S56" i="11" s="1"/>
  <c r="R55" i="11"/>
  <c r="P55" i="11"/>
  <c r="R54" i="11"/>
  <c r="P54" i="11"/>
  <c r="R53" i="11"/>
  <c r="P53" i="11"/>
  <c r="S53" i="11" s="1"/>
  <c r="R52" i="11"/>
  <c r="P52" i="11"/>
  <c r="R51" i="11"/>
  <c r="P51" i="11"/>
  <c r="S50" i="11"/>
  <c r="R50" i="11"/>
  <c r="P50" i="11"/>
  <c r="R49" i="11"/>
  <c r="P49" i="11"/>
  <c r="R48" i="11"/>
  <c r="P48" i="11"/>
  <c r="S47" i="11"/>
  <c r="R47" i="11"/>
  <c r="P47" i="11"/>
  <c r="R46" i="11"/>
  <c r="P46" i="11"/>
  <c r="R45" i="11"/>
  <c r="P45" i="11"/>
  <c r="R44" i="11"/>
  <c r="P44" i="11"/>
  <c r="S44" i="11" s="1"/>
  <c r="R43" i="11"/>
  <c r="P43" i="11"/>
  <c r="R42" i="11"/>
  <c r="P42" i="11"/>
  <c r="S41" i="11"/>
  <c r="R41" i="11"/>
  <c r="P41" i="11"/>
  <c r="R40" i="11"/>
  <c r="P40" i="11"/>
  <c r="S40" i="11" s="1"/>
  <c r="R7" i="11"/>
  <c r="P7" i="11"/>
  <c r="R6" i="11"/>
  <c r="P6" i="11"/>
  <c r="R29" i="11"/>
  <c r="P29" i="11"/>
  <c r="R28" i="11"/>
  <c r="P28" i="11"/>
  <c r="R27" i="11"/>
  <c r="P27" i="11"/>
  <c r="R31" i="11"/>
  <c r="P31" i="11"/>
  <c r="R39" i="11"/>
  <c r="P39" i="11"/>
  <c r="R18" i="11"/>
  <c r="P18" i="11"/>
  <c r="R38" i="11"/>
  <c r="P38" i="11"/>
  <c r="R35" i="11"/>
  <c r="P35" i="11"/>
  <c r="R37" i="11"/>
  <c r="P37" i="11"/>
  <c r="R36" i="11"/>
  <c r="P36" i="11"/>
  <c r="R32" i="11"/>
  <c r="P32" i="11"/>
  <c r="R34" i="11"/>
  <c r="P34" i="11"/>
  <c r="R11" i="11"/>
  <c r="P11" i="11"/>
  <c r="R5" i="11"/>
  <c r="P5" i="11"/>
  <c r="R4" i="11"/>
  <c r="P4" i="11"/>
  <c r="R33" i="11"/>
  <c r="P33" i="11"/>
  <c r="R25" i="11"/>
  <c r="P25" i="11"/>
  <c r="R13" i="11"/>
  <c r="P13" i="11"/>
  <c r="R3" i="11"/>
  <c r="P3" i="11"/>
  <c r="R17" i="11"/>
  <c r="P17" i="11"/>
  <c r="R9" i="11"/>
  <c r="P9" i="11"/>
  <c r="R23" i="11"/>
  <c r="P23" i="11"/>
  <c r="R20" i="11"/>
  <c r="P20" i="11"/>
  <c r="R26" i="11"/>
  <c r="P26" i="11"/>
  <c r="R21" i="11"/>
  <c r="P21" i="11"/>
  <c r="R30" i="11"/>
  <c r="P30" i="11"/>
  <c r="R10" i="11"/>
  <c r="P10" i="11"/>
  <c r="R8" i="11"/>
  <c r="P8" i="11"/>
  <c r="R22" i="11"/>
  <c r="P22" i="11"/>
  <c r="R16" i="11"/>
  <c r="P16" i="11"/>
  <c r="R12" i="11"/>
  <c r="P12" i="11"/>
  <c r="R24" i="11"/>
  <c r="P24" i="11"/>
  <c r="R15" i="11"/>
  <c r="P15" i="11"/>
  <c r="R19" i="11"/>
  <c r="P19" i="11"/>
  <c r="R14" i="11"/>
  <c r="P14" i="11"/>
  <c r="R35" i="16"/>
  <c r="U35" i="16" s="1"/>
  <c r="P35" i="16"/>
  <c r="R34" i="16"/>
  <c r="U34" i="16" s="1"/>
  <c r="P34" i="16"/>
  <c r="R33" i="16"/>
  <c r="U33" i="16" s="1"/>
  <c r="P33" i="16"/>
  <c r="R32" i="16"/>
  <c r="U32" i="16" s="1"/>
  <c r="P32" i="16"/>
  <c r="S32" i="16" s="1"/>
  <c r="R31" i="16"/>
  <c r="U31" i="16" s="1"/>
  <c r="P31" i="16"/>
  <c r="R30" i="16"/>
  <c r="U30" i="16" s="1"/>
  <c r="P30" i="16"/>
  <c r="R29" i="16"/>
  <c r="U29" i="16" s="1"/>
  <c r="P29" i="16"/>
  <c r="S29" i="16" s="1"/>
  <c r="R28" i="16"/>
  <c r="U28" i="16" s="1"/>
  <c r="P28" i="16"/>
  <c r="R21" i="16"/>
  <c r="U21" i="16" s="1"/>
  <c r="P21" i="16"/>
  <c r="R20" i="16"/>
  <c r="U20" i="16" s="1"/>
  <c r="P20" i="16"/>
  <c r="R27" i="16"/>
  <c r="U27" i="16" s="1"/>
  <c r="P27" i="16"/>
  <c r="R16" i="16"/>
  <c r="U16" i="16" s="1"/>
  <c r="P16" i="16"/>
  <c r="R9" i="16"/>
  <c r="U9" i="16" s="1"/>
  <c r="P9" i="16"/>
  <c r="R26" i="16"/>
  <c r="U26" i="16" s="1"/>
  <c r="P26" i="16"/>
  <c r="R15" i="16"/>
  <c r="U15" i="16" s="1"/>
  <c r="P15" i="16"/>
  <c r="R25" i="16"/>
  <c r="U25" i="16" s="1"/>
  <c r="P25" i="16"/>
  <c r="R11" i="16"/>
  <c r="U11" i="16" s="1"/>
  <c r="P11" i="16"/>
  <c r="R5" i="16"/>
  <c r="U5" i="16" s="1"/>
  <c r="P5" i="16"/>
  <c r="R3" i="16"/>
  <c r="U3" i="16" s="1"/>
  <c r="P3" i="16"/>
  <c r="R14" i="16"/>
  <c r="U14" i="16" s="1"/>
  <c r="P14" i="16"/>
  <c r="R19" i="16"/>
  <c r="U19" i="16" s="1"/>
  <c r="P19" i="16"/>
  <c r="R23" i="16"/>
  <c r="U23" i="16" s="1"/>
  <c r="P23" i="16"/>
  <c r="R4" i="16"/>
  <c r="U4" i="16" s="1"/>
  <c r="P4" i="16"/>
  <c r="R22" i="16"/>
  <c r="U22" i="16" s="1"/>
  <c r="P22" i="16"/>
  <c r="R13" i="16"/>
  <c r="U13" i="16" s="1"/>
  <c r="P13" i="16"/>
  <c r="R8" i="16"/>
  <c r="U8" i="16" s="1"/>
  <c r="P8" i="16"/>
  <c r="R6" i="16"/>
  <c r="U6" i="16" s="1"/>
  <c r="P6" i="16"/>
  <c r="R10" i="16"/>
  <c r="U10" i="16" s="1"/>
  <c r="P10" i="16"/>
  <c r="R24" i="16"/>
  <c r="U24" i="16" s="1"/>
  <c r="P24" i="16"/>
  <c r="R18" i="16"/>
  <c r="U18" i="16" s="1"/>
  <c r="P18" i="16"/>
  <c r="R7" i="16"/>
  <c r="U7" i="16" s="1"/>
  <c r="P7" i="16"/>
  <c r="R12" i="16"/>
  <c r="U12" i="16" s="1"/>
  <c r="P12" i="16"/>
  <c r="R17" i="16"/>
  <c r="U17" i="16" s="1"/>
  <c r="P17" i="16"/>
  <c r="R44" i="14"/>
  <c r="U44" i="14" s="1"/>
  <c r="P44" i="14"/>
  <c r="R43" i="14"/>
  <c r="U43" i="14" s="1"/>
  <c r="P43" i="14"/>
  <c r="R42" i="14"/>
  <c r="U42" i="14" s="1"/>
  <c r="P42" i="14"/>
  <c r="R41" i="14"/>
  <c r="U41" i="14" s="1"/>
  <c r="P41" i="14"/>
  <c r="S41" i="14" s="1"/>
  <c r="R40" i="14"/>
  <c r="U40" i="14" s="1"/>
  <c r="P40" i="14"/>
  <c r="S40" i="14" s="1"/>
  <c r="R39" i="14"/>
  <c r="U39" i="14" s="1"/>
  <c r="P39" i="14"/>
  <c r="R32" i="14"/>
  <c r="U32" i="14" s="1"/>
  <c r="P32" i="14"/>
  <c r="R6" i="14"/>
  <c r="U6" i="14" s="1"/>
  <c r="P6" i="14"/>
  <c r="R38" i="14"/>
  <c r="U38" i="14" s="1"/>
  <c r="P38" i="14"/>
  <c r="R31" i="14"/>
  <c r="U31" i="14" s="1"/>
  <c r="P31" i="14"/>
  <c r="R37" i="14"/>
  <c r="U37" i="14" s="1"/>
  <c r="P37" i="14"/>
  <c r="R26" i="14"/>
  <c r="U26" i="14" s="1"/>
  <c r="P26" i="14"/>
  <c r="R28" i="14"/>
  <c r="U28" i="14" s="1"/>
  <c r="P28" i="14"/>
  <c r="R36" i="14"/>
  <c r="U36" i="14" s="1"/>
  <c r="P36" i="14"/>
  <c r="R35" i="14"/>
  <c r="U35" i="14" s="1"/>
  <c r="P35" i="14"/>
  <c r="R7" i="14"/>
  <c r="U7" i="14" s="1"/>
  <c r="P7" i="14"/>
  <c r="R34" i="14"/>
  <c r="U34" i="14" s="1"/>
  <c r="P34" i="14"/>
  <c r="R33" i="14"/>
  <c r="U33" i="14" s="1"/>
  <c r="P33" i="14"/>
  <c r="R3" i="14"/>
  <c r="U3" i="14" s="1"/>
  <c r="P3" i="14"/>
  <c r="R22" i="14"/>
  <c r="U22" i="14" s="1"/>
  <c r="P22" i="14"/>
  <c r="R30" i="14"/>
  <c r="U30" i="14" s="1"/>
  <c r="P30" i="14"/>
  <c r="R8" i="14"/>
  <c r="U8" i="14" s="1"/>
  <c r="P8" i="14"/>
  <c r="R25" i="14"/>
  <c r="U25" i="14" s="1"/>
  <c r="P25" i="14"/>
  <c r="R5" i="14"/>
  <c r="U5" i="14" s="1"/>
  <c r="P5" i="14"/>
  <c r="R4" i="14"/>
  <c r="U4" i="14" s="1"/>
  <c r="P4" i="14"/>
  <c r="R29" i="14"/>
  <c r="U29" i="14" s="1"/>
  <c r="P29" i="14"/>
  <c r="R11" i="14"/>
  <c r="U11" i="14" s="1"/>
  <c r="P11" i="14"/>
  <c r="R15" i="14"/>
  <c r="U15" i="14" s="1"/>
  <c r="P15" i="14"/>
  <c r="R27" i="14"/>
  <c r="U27" i="14" s="1"/>
  <c r="P27" i="14"/>
  <c r="R23" i="14"/>
  <c r="U23" i="14" s="1"/>
  <c r="P23" i="14"/>
  <c r="R19" i="14"/>
  <c r="U19" i="14" s="1"/>
  <c r="P19" i="14"/>
  <c r="R18" i="14"/>
  <c r="U18" i="14" s="1"/>
  <c r="P18" i="14"/>
  <c r="R12" i="14"/>
  <c r="U12" i="14" s="1"/>
  <c r="P12" i="14"/>
  <c r="R14" i="14"/>
  <c r="U14" i="14" s="1"/>
  <c r="P14" i="14"/>
  <c r="R20" i="14"/>
  <c r="U20" i="14" s="1"/>
  <c r="P20" i="14"/>
  <c r="R13" i="14"/>
  <c r="U13" i="14" s="1"/>
  <c r="P13" i="14"/>
  <c r="R24" i="14"/>
  <c r="U24" i="14" s="1"/>
  <c r="P24" i="14"/>
  <c r="R17" i="14"/>
  <c r="U17" i="14" s="1"/>
  <c r="P17" i="14"/>
  <c r="R21" i="14"/>
  <c r="U21" i="14" s="1"/>
  <c r="P21" i="14"/>
  <c r="R16" i="14"/>
  <c r="U16" i="14" s="1"/>
  <c r="P16" i="14"/>
  <c r="R55" i="19"/>
  <c r="U55" i="19" s="1"/>
  <c r="P55" i="19"/>
  <c r="S55" i="19" s="1"/>
  <c r="R54" i="19"/>
  <c r="U54" i="19" s="1"/>
  <c r="P54" i="19"/>
  <c r="R53" i="19"/>
  <c r="U53" i="19" s="1"/>
  <c r="P53" i="19"/>
  <c r="R52" i="19"/>
  <c r="U52" i="19" s="1"/>
  <c r="P52" i="19"/>
  <c r="S52" i="19" s="1"/>
  <c r="R51" i="19"/>
  <c r="U51" i="19" s="1"/>
  <c r="P51" i="19"/>
  <c r="R50" i="19"/>
  <c r="U50" i="19" s="1"/>
  <c r="P50" i="19"/>
  <c r="R49" i="19"/>
  <c r="U49" i="19" s="1"/>
  <c r="P49" i="19"/>
  <c r="R48" i="19"/>
  <c r="U48" i="19" s="1"/>
  <c r="P48" i="19"/>
  <c r="R47" i="19"/>
  <c r="U47" i="19" s="1"/>
  <c r="P47" i="19"/>
  <c r="R46" i="19"/>
  <c r="U46" i="19" s="1"/>
  <c r="P46" i="19"/>
  <c r="S46" i="19" s="1"/>
  <c r="R45" i="19"/>
  <c r="U45" i="19" s="1"/>
  <c r="P45" i="19"/>
  <c r="R44" i="19"/>
  <c r="U44" i="19" s="1"/>
  <c r="P44" i="19"/>
  <c r="R43" i="19"/>
  <c r="U43" i="19" s="1"/>
  <c r="P43" i="19"/>
  <c r="R42" i="19"/>
  <c r="U42" i="19" s="1"/>
  <c r="P42" i="19"/>
  <c r="R41" i="19"/>
  <c r="U41" i="19" s="1"/>
  <c r="P41" i="19"/>
  <c r="R40" i="19"/>
  <c r="U40" i="19" s="1"/>
  <c r="P40" i="19"/>
  <c r="R39" i="19"/>
  <c r="U39" i="19" s="1"/>
  <c r="P39" i="19"/>
  <c r="S39" i="19" s="1"/>
  <c r="R38" i="19"/>
  <c r="U38" i="19" s="1"/>
  <c r="P38" i="19"/>
  <c r="S38" i="19" s="1"/>
  <c r="R37" i="19"/>
  <c r="U37" i="19" s="1"/>
  <c r="P37" i="19"/>
  <c r="R36" i="19"/>
  <c r="U36" i="19" s="1"/>
  <c r="P36" i="19"/>
  <c r="S36" i="19" s="1"/>
  <c r="R35" i="19"/>
  <c r="U35" i="19" s="1"/>
  <c r="P35" i="19"/>
  <c r="R34" i="19"/>
  <c r="U34" i="19" s="1"/>
  <c r="P34" i="19"/>
  <c r="S34" i="19" s="1"/>
  <c r="R33" i="19"/>
  <c r="U33" i="19" s="1"/>
  <c r="P33" i="19"/>
  <c r="R32" i="19"/>
  <c r="U32" i="19" s="1"/>
  <c r="P32" i="19"/>
  <c r="R31" i="19"/>
  <c r="U31" i="19" s="1"/>
  <c r="P31" i="19"/>
  <c r="R3" i="19"/>
  <c r="U3" i="19" s="1"/>
  <c r="P3" i="19"/>
  <c r="R30" i="19"/>
  <c r="U30" i="19" s="1"/>
  <c r="P30" i="19"/>
  <c r="R27" i="19"/>
  <c r="U27" i="19" s="1"/>
  <c r="P27" i="19"/>
  <c r="R29" i="19"/>
  <c r="U29" i="19" s="1"/>
  <c r="P29" i="19"/>
  <c r="R28" i="19"/>
  <c r="U28" i="19" s="1"/>
  <c r="P28" i="19"/>
  <c r="R23" i="19"/>
  <c r="U23" i="19" s="1"/>
  <c r="P23" i="19"/>
  <c r="R5" i="19"/>
  <c r="U5" i="19" s="1"/>
  <c r="P5" i="19"/>
  <c r="R22" i="19"/>
  <c r="U22" i="19" s="1"/>
  <c r="P22" i="19"/>
  <c r="R26" i="19"/>
  <c r="U26" i="19" s="1"/>
  <c r="P26" i="19"/>
  <c r="R4" i="19"/>
  <c r="U4" i="19" s="1"/>
  <c r="P4" i="19"/>
  <c r="R14" i="19"/>
  <c r="U14" i="19" s="1"/>
  <c r="P14" i="19"/>
  <c r="R13" i="19"/>
  <c r="U13" i="19" s="1"/>
  <c r="P13" i="19"/>
  <c r="R12" i="19"/>
  <c r="U12" i="19" s="1"/>
  <c r="P12" i="19"/>
  <c r="R11" i="19"/>
  <c r="U11" i="19" s="1"/>
  <c r="P11" i="19"/>
  <c r="R10" i="19"/>
  <c r="U10" i="19" s="1"/>
  <c r="P10" i="19"/>
  <c r="R15" i="19"/>
  <c r="U15" i="19" s="1"/>
  <c r="P15" i="19"/>
  <c r="R9" i="19"/>
  <c r="U9" i="19" s="1"/>
  <c r="P9" i="19"/>
  <c r="R7" i="19"/>
  <c r="U7" i="19" s="1"/>
  <c r="P7" i="19"/>
  <c r="R25" i="19"/>
  <c r="U25" i="19" s="1"/>
  <c r="P25" i="19"/>
  <c r="R6" i="19"/>
  <c r="U6" i="19" s="1"/>
  <c r="P6" i="19"/>
  <c r="R24" i="19"/>
  <c r="U24" i="19" s="1"/>
  <c r="P24" i="19"/>
  <c r="R19" i="19"/>
  <c r="U19" i="19" s="1"/>
  <c r="P19" i="19"/>
  <c r="R21" i="19"/>
  <c r="U21" i="19" s="1"/>
  <c r="P21" i="19"/>
  <c r="R16" i="19"/>
  <c r="U16" i="19" s="1"/>
  <c r="P16" i="19"/>
  <c r="R8" i="19"/>
  <c r="U8" i="19" s="1"/>
  <c r="P8" i="19"/>
  <c r="R20" i="19"/>
  <c r="U20" i="19" s="1"/>
  <c r="P20" i="19"/>
  <c r="R18" i="19"/>
  <c r="U18" i="19" s="1"/>
  <c r="P18" i="19"/>
  <c r="R17" i="19"/>
  <c r="U17" i="19" s="1"/>
  <c r="P17" i="19"/>
  <c r="R56" i="12"/>
  <c r="P56" i="12"/>
  <c r="R55" i="12"/>
  <c r="P55" i="12"/>
  <c r="S55" i="12" s="1"/>
  <c r="R54" i="12"/>
  <c r="P54" i="12"/>
  <c r="R53" i="12"/>
  <c r="P53" i="12"/>
  <c r="S53" i="12" s="1"/>
  <c r="R52" i="12"/>
  <c r="P52" i="12"/>
  <c r="S52" i="12" s="1"/>
  <c r="R51" i="12"/>
  <c r="P51" i="12"/>
  <c r="R50" i="12"/>
  <c r="P50" i="12"/>
  <c r="S50" i="12" s="1"/>
  <c r="S49" i="12"/>
  <c r="R49" i="12"/>
  <c r="P49" i="12"/>
  <c r="R48" i="12"/>
  <c r="P48" i="12"/>
  <c r="S47" i="12"/>
  <c r="R47" i="12"/>
  <c r="P47" i="12"/>
  <c r="R46" i="12"/>
  <c r="P46" i="12"/>
  <c r="R45" i="12"/>
  <c r="P45" i="12"/>
  <c r="R3" i="12"/>
  <c r="R30" i="12"/>
  <c r="P30" i="12"/>
  <c r="R24" i="12"/>
  <c r="P24" i="12"/>
  <c r="R22" i="12"/>
  <c r="P22" i="12"/>
  <c r="R44" i="12"/>
  <c r="P44" i="12"/>
  <c r="R41" i="12"/>
  <c r="P41" i="12"/>
  <c r="R42" i="12"/>
  <c r="P42" i="12"/>
  <c r="R43" i="12"/>
  <c r="P43" i="12"/>
  <c r="R12" i="12"/>
  <c r="P12" i="12"/>
  <c r="R11" i="12"/>
  <c r="P11" i="12"/>
  <c r="R39" i="12"/>
  <c r="P39" i="12"/>
  <c r="R10" i="12"/>
  <c r="P10" i="12"/>
  <c r="R9" i="12"/>
  <c r="P9" i="12"/>
  <c r="R28" i="12"/>
  <c r="P28" i="12"/>
  <c r="R29" i="12"/>
  <c r="P29" i="12"/>
  <c r="R6" i="12"/>
  <c r="P6" i="12"/>
  <c r="R8" i="12"/>
  <c r="P8" i="12"/>
  <c r="R7" i="12"/>
  <c r="P7" i="12"/>
  <c r="R19" i="12"/>
  <c r="P19" i="12"/>
  <c r="R18" i="12"/>
  <c r="P18" i="12"/>
  <c r="R5" i="12"/>
  <c r="P5" i="12"/>
  <c r="R14" i="12"/>
  <c r="P14" i="12"/>
  <c r="R40" i="12"/>
  <c r="P40" i="12"/>
  <c r="R15" i="12"/>
  <c r="P15" i="12"/>
  <c r="R32" i="12"/>
  <c r="P32" i="12"/>
  <c r="R36" i="12"/>
  <c r="P36" i="12"/>
  <c r="R33" i="12"/>
  <c r="P33" i="12"/>
  <c r="R23" i="12"/>
  <c r="P23" i="12"/>
  <c r="R4" i="12"/>
  <c r="P4" i="12"/>
  <c r="R25" i="12"/>
  <c r="P25" i="12"/>
  <c r="R38" i="12"/>
  <c r="P38" i="12"/>
  <c r="R16" i="12"/>
  <c r="P16" i="12"/>
  <c r="R31" i="12"/>
  <c r="P31" i="12"/>
  <c r="R37" i="12"/>
  <c r="P37" i="12"/>
  <c r="R27" i="12"/>
  <c r="P27" i="12"/>
  <c r="R20" i="12"/>
  <c r="P20" i="12"/>
  <c r="R21" i="12"/>
  <c r="P21" i="12"/>
  <c r="R34" i="12"/>
  <c r="P34" i="12"/>
  <c r="R13" i="12"/>
  <c r="P13" i="12"/>
  <c r="R26" i="12"/>
  <c r="P26" i="12"/>
  <c r="R35" i="12"/>
  <c r="P35" i="12"/>
  <c r="R17" i="12"/>
  <c r="P17" i="12"/>
  <c r="R6" i="1"/>
  <c r="U6" i="1" s="1"/>
  <c r="P6" i="1"/>
  <c r="R5" i="1"/>
  <c r="U5" i="1" s="1"/>
  <c r="P5" i="1"/>
  <c r="R4" i="1"/>
  <c r="U4" i="1" s="1"/>
  <c r="P4" i="1"/>
  <c r="R3" i="1"/>
  <c r="U3" i="1" s="1"/>
  <c r="P3" i="1"/>
  <c r="S3" i="1" s="1"/>
  <c r="R45" i="1"/>
  <c r="U45" i="1" s="1"/>
  <c r="P45" i="1"/>
  <c r="R55" i="1"/>
  <c r="U55" i="1" s="1"/>
  <c r="R37" i="1"/>
  <c r="U37" i="1" s="1"/>
  <c r="R39" i="1"/>
  <c r="U39" i="1" s="1"/>
  <c r="P39" i="1"/>
  <c r="R54" i="1"/>
  <c r="U54" i="1" s="1"/>
  <c r="P54" i="1"/>
  <c r="R15" i="1"/>
  <c r="U15" i="1" s="1"/>
  <c r="P15" i="1"/>
  <c r="R35" i="1"/>
  <c r="U35" i="1" s="1"/>
  <c r="P35" i="1"/>
  <c r="R41" i="1"/>
  <c r="U41" i="1" s="1"/>
  <c r="P41" i="1"/>
  <c r="R46" i="1"/>
  <c r="U46" i="1" s="1"/>
  <c r="P46" i="1"/>
  <c r="R7" i="1"/>
  <c r="U7" i="1" s="1"/>
  <c r="P7" i="1"/>
  <c r="R25" i="1"/>
  <c r="U25" i="1" s="1"/>
  <c r="P25" i="1"/>
  <c r="R49" i="1"/>
  <c r="U49" i="1" s="1"/>
  <c r="P49" i="1"/>
  <c r="R14" i="1"/>
  <c r="U14" i="1" s="1"/>
  <c r="P14" i="1"/>
  <c r="R48" i="1"/>
  <c r="U48" i="1" s="1"/>
  <c r="P48" i="1"/>
  <c r="R32" i="1"/>
  <c r="U32" i="1" s="1"/>
  <c r="P32" i="1"/>
  <c r="R17" i="1"/>
  <c r="U17" i="1" s="1"/>
  <c r="P17" i="1"/>
  <c r="R53" i="1"/>
  <c r="U53" i="1" s="1"/>
  <c r="P53" i="1"/>
  <c r="R12" i="1"/>
  <c r="U12" i="1" s="1"/>
  <c r="P12" i="1"/>
  <c r="R52" i="1"/>
  <c r="U52" i="1" s="1"/>
  <c r="P52" i="1"/>
  <c r="R47" i="1"/>
  <c r="U47" i="1" s="1"/>
  <c r="P47" i="1"/>
  <c r="R24" i="1"/>
  <c r="U24" i="1" s="1"/>
  <c r="P24" i="1"/>
  <c r="R50" i="1"/>
  <c r="U50" i="1" s="1"/>
  <c r="P50" i="1"/>
  <c r="R33" i="1"/>
  <c r="U33" i="1" s="1"/>
  <c r="P33" i="1"/>
  <c r="R20" i="1"/>
  <c r="U20" i="1" s="1"/>
  <c r="P20" i="1"/>
  <c r="R8" i="1"/>
  <c r="U8" i="1" s="1"/>
  <c r="P8" i="1"/>
  <c r="R31" i="1"/>
  <c r="U31" i="1" s="1"/>
  <c r="P31" i="1"/>
  <c r="R21" i="1"/>
  <c r="U21" i="1" s="1"/>
  <c r="P21" i="1"/>
  <c r="R13" i="1"/>
  <c r="U13" i="1" s="1"/>
  <c r="P13" i="1"/>
  <c r="R51" i="1"/>
  <c r="U51" i="1" s="1"/>
  <c r="P51" i="1"/>
  <c r="R10" i="1"/>
  <c r="U10" i="1" s="1"/>
  <c r="P10" i="1"/>
  <c r="R38" i="1"/>
  <c r="U38" i="1" s="1"/>
  <c r="P38" i="1"/>
  <c r="R16" i="1"/>
  <c r="U16" i="1" s="1"/>
  <c r="P16" i="1"/>
  <c r="R44" i="1"/>
  <c r="U44" i="1" s="1"/>
  <c r="P44" i="1"/>
  <c r="R30" i="1"/>
  <c r="U30" i="1" s="1"/>
  <c r="P30" i="1"/>
  <c r="R29" i="1"/>
  <c r="U29" i="1" s="1"/>
  <c r="P29" i="1"/>
  <c r="R42" i="1"/>
  <c r="U42" i="1" s="1"/>
  <c r="P42" i="1"/>
  <c r="R19" i="1"/>
  <c r="U19" i="1" s="1"/>
  <c r="P19" i="1"/>
  <c r="R40" i="1"/>
  <c r="U40" i="1" s="1"/>
  <c r="P40" i="1"/>
  <c r="R9" i="1"/>
  <c r="U9" i="1" s="1"/>
  <c r="P9" i="1"/>
  <c r="R34" i="1"/>
  <c r="U34" i="1" s="1"/>
  <c r="P34" i="1"/>
  <c r="R23" i="1"/>
  <c r="U23" i="1" s="1"/>
  <c r="P23" i="1"/>
  <c r="R28" i="1"/>
  <c r="U28" i="1" s="1"/>
  <c r="P28" i="1"/>
  <c r="R26" i="1"/>
  <c r="U26" i="1" s="1"/>
  <c r="P26" i="1"/>
  <c r="R22" i="1"/>
  <c r="U22" i="1" s="1"/>
  <c r="P22" i="1"/>
  <c r="R43" i="1"/>
  <c r="U43" i="1" s="1"/>
  <c r="P43" i="1"/>
  <c r="R27" i="1"/>
  <c r="U27" i="1" s="1"/>
  <c r="P27" i="1"/>
  <c r="R34" i="7"/>
  <c r="U34" i="7" s="1"/>
  <c r="P34" i="7"/>
  <c r="R33" i="7"/>
  <c r="U33" i="7" s="1"/>
  <c r="P33" i="7"/>
  <c r="R31" i="7"/>
  <c r="U31" i="7" s="1"/>
  <c r="P31" i="7"/>
  <c r="R28" i="7"/>
  <c r="U28" i="7" s="1"/>
  <c r="P28" i="7"/>
  <c r="R32" i="7"/>
  <c r="U32" i="7" s="1"/>
  <c r="P32" i="7"/>
  <c r="R26" i="7"/>
  <c r="U26" i="7" s="1"/>
  <c r="P26" i="7"/>
  <c r="R30" i="7"/>
  <c r="U30" i="7" s="1"/>
  <c r="P30" i="7"/>
  <c r="R27" i="7"/>
  <c r="U27" i="7" s="1"/>
  <c r="P27" i="7"/>
  <c r="R29" i="7"/>
  <c r="U29" i="7" s="1"/>
  <c r="P29" i="7"/>
  <c r="R3" i="7"/>
  <c r="U3" i="7" s="1"/>
  <c r="P3" i="7"/>
  <c r="R25" i="7"/>
  <c r="U25" i="7" s="1"/>
  <c r="P25" i="7"/>
  <c r="R11" i="7"/>
  <c r="U11" i="7" s="1"/>
  <c r="P11" i="7"/>
  <c r="R5" i="7"/>
  <c r="U5" i="7" s="1"/>
  <c r="P5" i="7"/>
  <c r="R4" i="7"/>
  <c r="U4" i="7" s="1"/>
  <c r="P4" i="7"/>
  <c r="R10" i="7"/>
  <c r="U10" i="7" s="1"/>
  <c r="P10" i="7"/>
  <c r="R9" i="7"/>
  <c r="U9" i="7" s="1"/>
  <c r="P9" i="7"/>
  <c r="R24" i="7"/>
  <c r="U24" i="7" s="1"/>
  <c r="P24" i="7"/>
  <c r="R16" i="7"/>
  <c r="U16" i="7" s="1"/>
  <c r="P16" i="7"/>
  <c r="R12" i="7"/>
  <c r="U12" i="7" s="1"/>
  <c r="P12" i="7"/>
  <c r="R23" i="7"/>
  <c r="U23" i="7" s="1"/>
  <c r="P23" i="7"/>
  <c r="R6" i="7"/>
  <c r="U6" i="7" s="1"/>
  <c r="P6" i="7"/>
  <c r="R14" i="7"/>
  <c r="U14" i="7" s="1"/>
  <c r="P14" i="7"/>
  <c r="R13" i="7"/>
  <c r="U13" i="7" s="1"/>
  <c r="P13" i="7"/>
  <c r="R8" i="7"/>
  <c r="U8" i="7" s="1"/>
  <c r="P8" i="7"/>
  <c r="R18" i="7"/>
  <c r="U18" i="7" s="1"/>
  <c r="P18" i="7"/>
  <c r="R17" i="7"/>
  <c r="U17" i="7" s="1"/>
  <c r="P17" i="7"/>
  <c r="R22" i="7"/>
  <c r="U22" i="7" s="1"/>
  <c r="P22" i="7"/>
  <c r="R20" i="7"/>
  <c r="U20" i="7" s="1"/>
  <c r="P20" i="7"/>
  <c r="R7" i="7"/>
  <c r="U7" i="7" s="1"/>
  <c r="P7" i="7"/>
  <c r="R21" i="7"/>
  <c r="U21" i="7" s="1"/>
  <c r="P21" i="7"/>
  <c r="R15" i="7"/>
  <c r="U15" i="7" s="1"/>
  <c r="P15" i="7"/>
  <c r="R19" i="7"/>
  <c r="U19" i="7" s="1"/>
  <c r="P19" i="7"/>
  <c r="R34" i="51"/>
  <c r="U34" i="51" s="1"/>
  <c r="P34" i="51"/>
  <c r="S34" i="51" s="1"/>
  <c r="R33" i="51"/>
  <c r="U33" i="51" s="1"/>
  <c r="P33" i="51"/>
  <c r="R32" i="51"/>
  <c r="U32" i="51" s="1"/>
  <c r="P32" i="51"/>
  <c r="R31" i="51"/>
  <c r="U31" i="51" s="1"/>
  <c r="P31" i="51"/>
  <c r="R30" i="51"/>
  <c r="U30" i="51" s="1"/>
  <c r="P30" i="51"/>
  <c r="R29" i="51"/>
  <c r="U29" i="51" s="1"/>
  <c r="P29" i="51"/>
  <c r="R28" i="51"/>
  <c r="U28" i="51" s="1"/>
  <c r="P28" i="51"/>
  <c r="R27" i="51"/>
  <c r="U27" i="51" s="1"/>
  <c r="P27" i="51"/>
  <c r="R26" i="51"/>
  <c r="U26" i="51" s="1"/>
  <c r="P26" i="51"/>
  <c r="R25" i="51"/>
  <c r="U25" i="51" s="1"/>
  <c r="P25" i="51"/>
  <c r="R4" i="51"/>
  <c r="U4" i="51" s="1"/>
  <c r="P4" i="51"/>
  <c r="R17" i="51"/>
  <c r="U17" i="51" s="1"/>
  <c r="P17" i="51"/>
  <c r="R9" i="51"/>
  <c r="U9" i="51" s="1"/>
  <c r="P9" i="51"/>
  <c r="R6" i="51"/>
  <c r="U6" i="51" s="1"/>
  <c r="P6" i="51"/>
  <c r="R22" i="51"/>
  <c r="P22" i="51"/>
  <c r="R19" i="51"/>
  <c r="U19" i="51" s="1"/>
  <c r="P19" i="51"/>
  <c r="R7" i="51"/>
  <c r="U7" i="51" s="1"/>
  <c r="P7" i="51"/>
  <c r="R21" i="51"/>
  <c r="U21" i="51" s="1"/>
  <c r="P21" i="51"/>
  <c r="R24" i="51"/>
  <c r="U24" i="51" s="1"/>
  <c r="P24" i="51"/>
  <c r="R23" i="51"/>
  <c r="U23" i="51" s="1"/>
  <c r="P23" i="51"/>
  <c r="R11" i="51"/>
  <c r="U11" i="51" s="1"/>
  <c r="P11" i="51"/>
  <c r="R16" i="51"/>
  <c r="U16" i="51" s="1"/>
  <c r="P16" i="51"/>
  <c r="R18" i="51"/>
  <c r="U18" i="51" s="1"/>
  <c r="P18" i="51"/>
  <c r="R3" i="51"/>
  <c r="U3" i="51" s="1"/>
  <c r="P3" i="51"/>
  <c r="R5" i="51"/>
  <c r="U5" i="51" s="1"/>
  <c r="P5" i="51"/>
  <c r="R12" i="51"/>
  <c r="U12" i="51" s="1"/>
  <c r="P12" i="51"/>
  <c r="R15" i="51"/>
  <c r="U15" i="51" s="1"/>
  <c r="P15" i="51"/>
  <c r="R14" i="51"/>
  <c r="U14" i="51" s="1"/>
  <c r="P14" i="51"/>
  <c r="R8" i="51"/>
  <c r="U8" i="51" s="1"/>
  <c r="P8" i="51"/>
  <c r="R13" i="51"/>
  <c r="U13" i="51" s="1"/>
  <c r="P13" i="51"/>
  <c r="R56" i="9"/>
  <c r="U56" i="9" s="1"/>
  <c r="R55" i="9"/>
  <c r="U55" i="9" s="1"/>
  <c r="R54" i="9"/>
  <c r="U54" i="9" s="1"/>
  <c r="R53" i="9"/>
  <c r="U53" i="9" s="1"/>
  <c r="R52" i="9"/>
  <c r="U52" i="9" s="1"/>
  <c r="R51" i="9"/>
  <c r="U51" i="9" s="1"/>
  <c r="R50" i="9"/>
  <c r="U50" i="9" s="1"/>
  <c r="R49" i="9"/>
  <c r="U49" i="9" s="1"/>
  <c r="R48" i="9"/>
  <c r="S48" i="9" s="1"/>
  <c r="R47" i="9"/>
  <c r="S47" i="9" s="1"/>
  <c r="R46" i="9"/>
  <c r="U46" i="9" s="1"/>
  <c r="R45" i="9"/>
  <c r="U45" i="9" s="1"/>
  <c r="R44" i="9"/>
  <c r="R43" i="9"/>
  <c r="U43" i="9" s="1"/>
  <c r="R42" i="9"/>
  <c r="R41" i="9"/>
  <c r="U41" i="9" s="1"/>
  <c r="R40" i="9"/>
  <c r="U40" i="9" s="1"/>
  <c r="R39" i="9"/>
  <c r="U39" i="9" s="1"/>
  <c r="R38" i="9"/>
  <c r="U38" i="9" s="1"/>
  <c r="R37" i="9"/>
  <c r="U37" i="9" s="1"/>
  <c r="R36" i="9"/>
  <c r="U36" i="9" s="1"/>
  <c r="R33" i="9"/>
  <c r="U33" i="9" s="1"/>
  <c r="P33" i="9"/>
  <c r="R27" i="9"/>
  <c r="U27" i="9" s="1"/>
  <c r="P27" i="9"/>
  <c r="R35" i="9"/>
  <c r="U35" i="9" s="1"/>
  <c r="P35" i="9"/>
  <c r="R34" i="9"/>
  <c r="U34" i="9" s="1"/>
  <c r="P34" i="9"/>
  <c r="R26" i="9"/>
  <c r="U26" i="9" s="1"/>
  <c r="P26" i="9"/>
  <c r="R32" i="9"/>
  <c r="U32" i="9" s="1"/>
  <c r="P32" i="9"/>
  <c r="R31" i="9"/>
  <c r="U31" i="9" s="1"/>
  <c r="P31" i="9"/>
  <c r="R25" i="9"/>
  <c r="U25" i="9" s="1"/>
  <c r="P25" i="9"/>
  <c r="R30" i="9"/>
  <c r="U30" i="9" s="1"/>
  <c r="P30" i="9"/>
  <c r="R29" i="9"/>
  <c r="U29" i="9" s="1"/>
  <c r="P29" i="9"/>
  <c r="R28" i="9"/>
  <c r="U28" i="9" s="1"/>
  <c r="P28" i="9"/>
  <c r="R13" i="9"/>
  <c r="U13" i="9" s="1"/>
  <c r="P13" i="9"/>
  <c r="R19" i="9"/>
  <c r="U19" i="9" s="1"/>
  <c r="P19" i="9"/>
  <c r="R5" i="9"/>
  <c r="U5" i="9" s="1"/>
  <c r="P5" i="9"/>
  <c r="R21" i="9"/>
  <c r="U21" i="9" s="1"/>
  <c r="P21" i="9"/>
  <c r="R23" i="9"/>
  <c r="U23" i="9" s="1"/>
  <c r="P23" i="9"/>
  <c r="R3" i="9"/>
  <c r="U3" i="9" s="1"/>
  <c r="P3" i="9"/>
  <c r="R20" i="9"/>
  <c r="U20" i="9" s="1"/>
  <c r="P20" i="9"/>
  <c r="R22" i="9"/>
  <c r="U22" i="9" s="1"/>
  <c r="P22" i="9"/>
  <c r="R17" i="9"/>
  <c r="U17" i="9" s="1"/>
  <c r="P17" i="9"/>
  <c r="R4" i="9"/>
  <c r="U4" i="9" s="1"/>
  <c r="P4" i="9"/>
  <c r="R24" i="9"/>
  <c r="U24" i="9" s="1"/>
  <c r="P24" i="9"/>
  <c r="R6" i="9"/>
  <c r="U6" i="9" s="1"/>
  <c r="P6" i="9"/>
  <c r="R9" i="9"/>
  <c r="U9" i="9" s="1"/>
  <c r="P9" i="9"/>
  <c r="R16" i="9"/>
  <c r="U16" i="9" s="1"/>
  <c r="P16" i="9"/>
  <c r="R15" i="9"/>
  <c r="U15" i="9" s="1"/>
  <c r="P15" i="9"/>
  <c r="R14" i="9"/>
  <c r="U14" i="9" s="1"/>
  <c r="P14" i="9"/>
  <c r="R8" i="9"/>
  <c r="U8" i="9" s="1"/>
  <c r="P8" i="9"/>
  <c r="R10" i="9"/>
  <c r="U10" i="9" s="1"/>
  <c r="P10" i="9"/>
  <c r="R18" i="9"/>
  <c r="U18" i="9" s="1"/>
  <c r="P18" i="9"/>
  <c r="R11" i="9"/>
  <c r="U11" i="9" s="1"/>
  <c r="P11" i="9"/>
  <c r="R12" i="9"/>
  <c r="U12" i="9" s="1"/>
  <c r="P12" i="9"/>
  <c r="R7" i="9"/>
  <c r="U7" i="9" s="1"/>
  <c r="P7" i="9"/>
  <c r="R46" i="6"/>
  <c r="U46" i="6" s="1"/>
  <c r="P46" i="6"/>
  <c r="R42" i="6"/>
  <c r="U42" i="6" s="1"/>
  <c r="P42" i="6"/>
  <c r="R41" i="6"/>
  <c r="U41" i="6" s="1"/>
  <c r="P41" i="6"/>
  <c r="R37" i="6"/>
  <c r="U37" i="6" s="1"/>
  <c r="P37" i="6"/>
  <c r="R47" i="6"/>
  <c r="U47" i="6" s="1"/>
  <c r="P47" i="6"/>
  <c r="R45" i="6"/>
  <c r="U45" i="6" s="1"/>
  <c r="P45" i="6"/>
  <c r="R40" i="6"/>
  <c r="U40" i="6" s="1"/>
  <c r="P40" i="6"/>
  <c r="R36" i="6"/>
  <c r="U36" i="6" s="1"/>
  <c r="P36" i="6"/>
  <c r="R39" i="6"/>
  <c r="U39" i="6" s="1"/>
  <c r="P39" i="6"/>
  <c r="R33" i="6"/>
  <c r="U33" i="6" s="1"/>
  <c r="P33" i="6"/>
  <c r="R32" i="6"/>
  <c r="U32" i="6" s="1"/>
  <c r="P32" i="6"/>
  <c r="R35" i="6"/>
  <c r="U35" i="6" s="1"/>
  <c r="P35" i="6"/>
  <c r="R10" i="6"/>
  <c r="U10" i="6" s="1"/>
  <c r="P10" i="6"/>
  <c r="R24" i="6"/>
  <c r="U24" i="6" s="1"/>
  <c r="P24" i="6"/>
  <c r="R9" i="6"/>
  <c r="U9" i="6" s="1"/>
  <c r="P9" i="6"/>
  <c r="R8" i="6"/>
  <c r="U8" i="6" s="1"/>
  <c r="P8" i="6"/>
  <c r="R23" i="6"/>
  <c r="U23" i="6" s="1"/>
  <c r="P23" i="6"/>
  <c r="R6" i="6"/>
  <c r="U6" i="6" s="1"/>
  <c r="P6" i="6"/>
  <c r="R5" i="6"/>
  <c r="U5" i="6" s="1"/>
  <c r="P5" i="6"/>
  <c r="R29" i="6"/>
  <c r="U29" i="6" s="1"/>
  <c r="P29" i="6"/>
  <c r="R12" i="6"/>
  <c r="U12" i="6" s="1"/>
  <c r="P12" i="6"/>
  <c r="R21" i="6"/>
  <c r="U21" i="6" s="1"/>
  <c r="P21" i="6"/>
  <c r="R22" i="6"/>
  <c r="U22" i="6" s="1"/>
  <c r="P22" i="6"/>
  <c r="R4" i="6"/>
  <c r="U4" i="6" s="1"/>
  <c r="P4" i="6"/>
  <c r="R3" i="6"/>
  <c r="U3" i="6" s="1"/>
  <c r="P3" i="6"/>
  <c r="R34" i="6"/>
  <c r="U34" i="6" s="1"/>
  <c r="P34" i="6"/>
  <c r="R31" i="6"/>
  <c r="U31" i="6" s="1"/>
  <c r="P31" i="6"/>
  <c r="R28" i="6"/>
  <c r="U28" i="6" s="1"/>
  <c r="P28" i="6"/>
  <c r="R18" i="6"/>
  <c r="U18" i="6" s="1"/>
  <c r="P18" i="6"/>
  <c r="R19" i="6"/>
  <c r="U19" i="6" s="1"/>
  <c r="P19" i="6"/>
  <c r="R13" i="6"/>
  <c r="U13" i="6" s="1"/>
  <c r="P13" i="6"/>
  <c r="R26" i="6"/>
  <c r="U26" i="6" s="1"/>
  <c r="P26" i="6"/>
  <c r="R17" i="6"/>
  <c r="U17" i="6" s="1"/>
  <c r="P17" i="6"/>
  <c r="R30" i="6"/>
  <c r="U30" i="6" s="1"/>
  <c r="P30" i="6"/>
  <c r="R20" i="6"/>
  <c r="U20" i="6" s="1"/>
  <c r="P20" i="6"/>
  <c r="R14" i="6"/>
  <c r="U14" i="6" s="1"/>
  <c r="P14" i="6"/>
  <c r="R15" i="6"/>
  <c r="U15" i="6" s="1"/>
  <c r="P15" i="6"/>
  <c r="R16" i="6"/>
  <c r="U16" i="6" s="1"/>
  <c r="P16" i="6"/>
  <c r="R55" i="3"/>
  <c r="U55" i="3" s="1"/>
  <c r="R54" i="3"/>
  <c r="U54" i="3" s="1"/>
  <c r="R53" i="3"/>
  <c r="U53" i="3" s="1"/>
  <c r="R52" i="3"/>
  <c r="U52" i="3" s="1"/>
  <c r="R5" i="3"/>
  <c r="U5" i="3" s="1"/>
  <c r="R11" i="3"/>
  <c r="U11" i="3" s="1"/>
  <c r="R9" i="3"/>
  <c r="U9" i="3" s="1"/>
  <c r="R8" i="3"/>
  <c r="U8" i="3" s="1"/>
  <c r="R39" i="3"/>
  <c r="R3" i="3"/>
  <c r="U3" i="3" s="1"/>
  <c r="R51" i="3"/>
  <c r="U51" i="3" s="1"/>
  <c r="P51" i="3"/>
  <c r="R48" i="3"/>
  <c r="U48" i="3" s="1"/>
  <c r="P48" i="3"/>
  <c r="R35" i="3"/>
  <c r="U35" i="3" s="1"/>
  <c r="P35" i="3"/>
  <c r="R47" i="3"/>
  <c r="U47" i="3" s="1"/>
  <c r="P47" i="3"/>
  <c r="R50" i="3"/>
  <c r="U50" i="3" s="1"/>
  <c r="P50" i="3"/>
  <c r="R49" i="3"/>
  <c r="U49" i="3" s="1"/>
  <c r="P49" i="3"/>
  <c r="R16" i="3"/>
  <c r="U16" i="3" s="1"/>
  <c r="P16" i="3"/>
  <c r="R46" i="3"/>
  <c r="U46" i="3" s="1"/>
  <c r="P46" i="3"/>
  <c r="R15" i="3"/>
  <c r="U15" i="3" s="1"/>
  <c r="P15" i="3"/>
  <c r="R14" i="3"/>
  <c r="U14" i="3" s="1"/>
  <c r="P14" i="3"/>
  <c r="R42" i="3"/>
  <c r="U42" i="3" s="1"/>
  <c r="P42" i="3"/>
  <c r="R13" i="3"/>
  <c r="U13" i="3" s="1"/>
  <c r="P13" i="3"/>
  <c r="R12" i="3"/>
  <c r="U12" i="3" s="1"/>
  <c r="P12" i="3"/>
  <c r="R10" i="3"/>
  <c r="U10" i="3" s="1"/>
  <c r="P10" i="3"/>
  <c r="R32" i="3"/>
  <c r="U32" i="3" s="1"/>
  <c r="P32" i="3"/>
  <c r="R40" i="3"/>
  <c r="U40" i="3" s="1"/>
  <c r="P40" i="3"/>
  <c r="R37" i="3"/>
  <c r="U37" i="3" s="1"/>
  <c r="P37" i="3"/>
  <c r="R7" i="3"/>
  <c r="U7" i="3" s="1"/>
  <c r="P7" i="3"/>
  <c r="R6" i="3"/>
  <c r="U6" i="3" s="1"/>
  <c r="P6" i="3"/>
  <c r="R25" i="3"/>
  <c r="U25" i="3" s="1"/>
  <c r="P25" i="3"/>
  <c r="R45" i="3"/>
  <c r="U45" i="3" s="1"/>
  <c r="P45" i="3"/>
  <c r="R31" i="3"/>
  <c r="U31" i="3" s="1"/>
  <c r="P31" i="3"/>
  <c r="R4" i="3"/>
  <c r="U4" i="3" s="1"/>
  <c r="P4" i="3"/>
  <c r="R20" i="3"/>
  <c r="U20" i="3" s="1"/>
  <c r="P20" i="3"/>
  <c r="R34" i="3"/>
  <c r="U34" i="3" s="1"/>
  <c r="P34" i="3"/>
  <c r="R38" i="3"/>
  <c r="U38" i="3" s="1"/>
  <c r="P38" i="3"/>
  <c r="R22" i="3"/>
  <c r="U22" i="3" s="1"/>
  <c r="P22" i="3"/>
  <c r="R27" i="3"/>
  <c r="U27" i="3" s="1"/>
  <c r="P27" i="3"/>
  <c r="R36" i="3"/>
  <c r="U36" i="3" s="1"/>
  <c r="P36" i="3"/>
  <c r="R41" i="3"/>
  <c r="U41" i="3" s="1"/>
  <c r="P41" i="3"/>
  <c r="R19" i="3"/>
  <c r="U19" i="3" s="1"/>
  <c r="P19" i="3"/>
  <c r="R29" i="3"/>
  <c r="U29" i="3" s="1"/>
  <c r="P29" i="3"/>
  <c r="R44" i="3"/>
  <c r="U44" i="3" s="1"/>
  <c r="P44" i="3"/>
  <c r="R18" i="3"/>
  <c r="U18" i="3" s="1"/>
  <c r="P18" i="3"/>
  <c r="R23" i="3"/>
  <c r="U23" i="3" s="1"/>
  <c r="P23" i="3"/>
  <c r="R17" i="3"/>
  <c r="U17" i="3" s="1"/>
  <c r="P17" i="3"/>
  <c r="R21" i="3"/>
  <c r="U21" i="3" s="1"/>
  <c r="P21" i="3"/>
  <c r="R24" i="3"/>
  <c r="U24" i="3" s="1"/>
  <c r="P24" i="3"/>
  <c r="R33" i="3"/>
  <c r="U33" i="3" s="1"/>
  <c r="P33" i="3"/>
  <c r="R43" i="3"/>
  <c r="U43" i="3" s="1"/>
  <c r="P43" i="3"/>
  <c r="R30" i="3"/>
  <c r="U30" i="3" s="1"/>
  <c r="P30" i="3"/>
  <c r="R28" i="3"/>
  <c r="U28" i="3" s="1"/>
  <c r="P28" i="3"/>
  <c r="R26" i="3"/>
  <c r="U26" i="3" s="1"/>
  <c r="P26" i="3"/>
  <c r="R10" i="5"/>
  <c r="U10" i="5" s="1"/>
  <c r="R12" i="5"/>
  <c r="U12" i="5" s="1"/>
  <c r="R18" i="5"/>
  <c r="U18" i="5" s="1"/>
  <c r="R14" i="5"/>
  <c r="U14" i="5" s="1"/>
  <c r="R25" i="5"/>
  <c r="U25" i="5" s="1"/>
  <c r="R19" i="5"/>
  <c r="U19" i="5" s="1"/>
  <c r="R9" i="5"/>
  <c r="U9" i="5" s="1"/>
  <c r="R11" i="5"/>
  <c r="U11" i="5" s="1"/>
  <c r="R22" i="5"/>
  <c r="U22" i="5" s="1"/>
  <c r="R23" i="5"/>
  <c r="U23" i="5" s="1"/>
  <c r="R17" i="5"/>
  <c r="U17" i="5" s="1"/>
  <c r="R21" i="5"/>
  <c r="U21" i="5" s="1"/>
  <c r="R13" i="5"/>
  <c r="U13" i="5" s="1"/>
  <c r="R6" i="5"/>
  <c r="U6" i="5" s="1"/>
  <c r="R7" i="5"/>
  <c r="U7" i="5" s="1"/>
  <c r="R16" i="5"/>
  <c r="U16" i="5" s="1"/>
  <c r="R3" i="5"/>
  <c r="U3" i="5" s="1"/>
  <c r="R20" i="5"/>
  <c r="U20" i="5" s="1"/>
  <c r="R4" i="5"/>
  <c r="U4" i="5" s="1"/>
  <c r="R24" i="5"/>
  <c r="U24" i="5" s="1"/>
  <c r="R27" i="5"/>
  <c r="U27" i="5" s="1"/>
  <c r="R30" i="5"/>
  <c r="U30" i="5" s="1"/>
  <c r="R31" i="5"/>
  <c r="U31" i="5" s="1"/>
  <c r="R15" i="5"/>
  <c r="U15" i="5" s="1"/>
  <c r="R32" i="5"/>
  <c r="U32" i="5" s="1"/>
  <c r="R33" i="5"/>
  <c r="U33" i="5" s="1"/>
  <c r="R34" i="5"/>
  <c r="U34" i="5" s="1"/>
  <c r="R26" i="5"/>
  <c r="U26" i="5" s="1"/>
  <c r="R35" i="5"/>
  <c r="U35" i="5" s="1"/>
  <c r="R36" i="5"/>
  <c r="U36" i="5" s="1"/>
  <c r="R37" i="5"/>
  <c r="U37" i="5" s="1"/>
  <c r="R28" i="5"/>
  <c r="U28" i="5" s="1"/>
  <c r="R8" i="5"/>
  <c r="U8" i="5" s="1"/>
  <c r="R29" i="5"/>
  <c r="U29" i="5" s="1"/>
  <c r="R56" i="2"/>
  <c r="U56" i="2" s="1"/>
  <c r="R55" i="2"/>
  <c r="U55" i="2" s="1"/>
  <c r="R54" i="2"/>
  <c r="U54" i="2" s="1"/>
  <c r="R53" i="2"/>
  <c r="U53" i="2" s="1"/>
  <c r="R52" i="2"/>
  <c r="U52" i="2" s="1"/>
  <c r="R51" i="2"/>
  <c r="U51" i="2" s="1"/>
  <c r="R50" i="2"/>
  <c r="U50" i="2" s="1"/>
  <c r="R49" i="2"/>
  <c r="U49" i="2" s="1"/>
  <c r="R48" i="2"/>
  <c r="U48" i="2" s="1"/>
  <c r="R47" i="2"/>
  <c r="U47" i="2" s="1"/>
  <c r="R46" i="2"/>
  <c r="U46" i="2" s="1"/>
  <c r="R45" i="2"/>
  <c r="U45" i="2" s="1"/>
  <c r="R44" i="2"/>
  <c r="U44" i="2" s="1"/>
  <c r="R7" i="2"/>
  <c r="U7" i="2" s="1"/>
  <c r="R43" i="2"/>
  <c r="P43" i="2"/>
  <c r="R40" i="2"/>
  <c r="U40" i="2" s="1"/>
  <c r="P40" i="2"/>
  <c r="R42" i="2"/>
  <c r="U42" i="2" s="1"/>
  <c r="P42" i="2"/>
  <c r="R41" i="2"/>
  <c r="U41" i="2" s="1"/>
  <c r="P41" i="2"/>
  <c r="R11" i="2"/>
  <c r="U11" i="2" s="1"/>
  <c r="P11" i="2"/>
  <c r="R38" i="2"/>
  <c r="U38" i="2" s="1"/>
  <c r="P38" i="2"/>
  <c r="R8" i="2"/>
  <c r="P8" i="2"/>
  <c r="R10" i="2"/>
  <c r="U10" i="2" s="1"/>
  <c r="P10" i="2"/>
  <c r="R39" i="2"/>
  <c r="U39" i="2" s="1"/>
  <c r="P39" i="2"/>
  <c r="R6" i="2"/>
  <c r="U6" i="2" s="1"/>
  <c r="P6" i="2"/>
  <c r="R36" i="2"/>
  <c r="U36" i="2" s="1"/>
  <c r="P36" i="2"/>
  <c r="R35" i="2"/>
  <c r="U35" i="2" s="1"/>
  <c r="P35" i="2"/>
  <c r="R34" i="2"/>
  <c r="P34" i="2"/>
  <c r="R26" i="2"/>
  <c r="U26" i="2" s="1"/>
  <c r="P26" i="2"/>
  <c r="R37" i="2"/>
  <c r="U37" i="2" s="1"/>
  <c r="P37" i="2"/>
  <c r="R17" i="2"/>
  <c r="P17" i="2"/>
  <c r="R4" i="2"/>
  <c r="U4" i="2" s="1"/>
  <c r="P4" i="2"/>
  <c r="R3" i="2"/>
  <c r="U3" i="2" s="1"/>
  <c r="P3" i="2"/>
  <c r="R28" i="2"/>
  <c r="U28" i="2" s="1"/>
  <c r="P28" i="2"/>
  <c r="R13" i="2"/>
  <c r="U13" i="2" s="1"/>
  <c r="P13" i="2"/>
  <c r="R25" i="2"/>
  <c r="U25" i="2" s="1"/>
  <c r="P25" i="2"/>
  <c r="R24" i="2"/>
  <c r="U24" i="2" s="1"/>
  <c r="P24" i="2"/>
  <c r="R14" i="2"/>
  <c r="U14" i="2" s="1"/>
  <c r="P14" i="2"/>
  <c r="R31" i="2"/>
  <c r="U31" i="2" s="1"/>
  <c r="P31" i="2"/>
  <c r="R18" i="2"/>
  <c r="U18" i="2" s="1"/>
  <c r="P18" i="2"/>
  <c r="R16" i="2"/>
  <c r="U16" i="2" s="1"/>
  <c r="P16" i="2"/>
  <c r="R30" i="2"/>
  <c r="U30" i="2" s="1"/>
  <c r="P30" i="2"/>
  <c r="R19" i="2"/>
  <c r="U19" i="2" s="1"/>
  <c r="P19" i="2"/>
  <c r="R15" i="2"/>
  <c r="U15" i="2" s="1"/>
  <c r="P15" i="2"/>
  <c r="R12" i="2"/>
  <c r="U12" i="2" s="1"/>
  <c r="P12" i="2"/>
  <c r="R27" i="2"/>
  <c r="P27" i="2"/>
  <c r="R29" i="2"/>
  <c r="U29" i="2" s="1"/>
  <c r="P29" i="2"/>
  <c r="R23" i="2"/>
  <c r="U23" i="2" s="1"/>
  <c r="P23" i="2"/>
  <c r="R20" i="2"/>
  <c r="U20" i="2" s="1"/>
  <c r="P20" i="2"/>
  <c r="R21" i="2"/>
  <c r="U21" i="2" s="1"/>
  <c r="P21" i="2"/>
  <c r="R22" i="2"/>
  <c r="P22" i="2"/>
  <c r="R28" i="10"/>
  <c r="U28" i="10" s="1"/>
  <c r="P28" i="10"/>
  <c r="R27" i="10"/>
  <c r="P27" i="10"/>
  <c r="R26" i="10"/>
  <c r="U26" i="10" s="1"/>
  <c r="P26" i="10"/>
  <c r="R25" i="10"/>
  <c r="U25" i="10" s="1"/>
  <c r="P25" i="10"/>
  <c r="R24" i="10"/>
  <c r="P24" i="10"/>
  <c r="R23" i="10"/>
  <c r="P23" i="10"/>
  <c r="R22" i="10"/>
  <c r="U22" i="10" s="1"/>
  <c r="P22" i="10"/>
  <c r="R21" i="10"/>
  <c r="U21" i="10" s="1"/>
  <c r="P21" i="10"/>
  <c r="R20" i="10"/>
  <c r="U20" i="10" s="1"/>
  <c r="P20" i="10"/>
  <c r="R19" i="10"/>
  <c r="U19" i="10" s="1"/>
  <c r="P19" i="10"/>
  <c r="R18" i="10"/>
  <c r="U18" i="10" s="1"/>
  <c r="P18" i="10"/>
  <c r="R17" i="10"/>
  <c r="U17" i="10" s="1"/>
  <c r="P17" i="10"/>
  <c r="R16" i="10"/>
  <c r="U16" i="10" s="1"/>
  <c r="P16" i="10"/>
  <c r="R15" i="10"/>
  <c r="U15" i="10" s="1"/>
  <c r="P15" i="10"/>
  <c r="R3" i="10"/>
  <c r="P3" i="10"/>
  <c r="R14" i="10"/>
  <c r="P14" i="10"/>
  <c r="R4" i="10"/>
  <c r="U4" i="10" s="1"/>
  <c r="P4" i="10"/>
  <c r="R7" i="10"/>
  <c r="U7" i="10" s="1"/>
  <c r="P7" i="10"/>
  <c r="R13" i="10"/>
  <c r="U13" i="10" s="1"/>
  <c r="P13" i="10"/>
  <c r="R12" i="10"/>
  <c r="U12" i="10" s="1"/>
  <c r="P12" i="10"/>
  <c r="R6" i="10"/>
  <c r="P6" i="10"/>
  <c r="R9" i="10"/>
  <c r="U9" i="10" s="1"/>
  <c r="P9" i="10"/>
  <c r="R5" i="10"/>
  <c r="U5" i="10" s="1"/>
  <c r="P5" i="10"/>
  <c r="R10" i="10"/>
  <c r="U10" i="10" s="1"/>
  <c r="P10" i="10"/>
  <c r="R11" i="10"/>
  <c r="U11" i="10" s="1"/>
  <c r="P11" i="10"/>
  <c r="R8" i="10"/>
  <c r="U8" i="10" s="1"/>
  <c r="P8" i="10"/>
  <c r="R35" i="52"/>
  <c r="U35" i="52" s="1"/>
  <c r="R34" i="52"/>
  <c r="U34" i="52" s="1"/>
  <c r="R33" i="52"/>
  <c r="U33" i="52" s="1"/>
  <c r="R32" i="52"/>
  <c r="U32" i="52" s="1"/>
  <c r="R31" i="52"/>
  <c r="U31" i="52" s="1"/>
  <c r="R30" i="52"/>
  <c r="U30" i="52" s="1"/>
  <c r="R29" i="52"/>
  <c r="U29" i="52" s="1"/>
  <c r="R28" i="52"/>
  <c r="U28" i="52" s="1"/>
  <c r="R27" i="52"/>
  <c r="U27" i="52" s="1"/>
  <c r="R4" i="52"/>
  <c r="R5" i="52"/>
  <c r="U5" i="52" s="1"/>
  <c r="R9" i="52"/>
  <c r="U9" i="52" s="1"/>
  <c r="R20" i="52"/>
  <c r="U20" i="52" s="1"/>
  <c r="R25" i="52"/>
  <c r="U25" i="52" s="1"/>
  <c r="P25" i="52"/>
  <c r="R26" i="52"/>
  <c r="U26" i="52" s="1"/>
  <c r="P26" i="52"/>
  <c r="R22" i="52"/>
  <c r="U22" i="52" s="1"/>
  <c r="P22" i="52"/>
  <c r="R7" i="52"/>
  <c r="U7" i="52" s="1"/>
  <c r="P7" i="52"/>
  <c r="R24" i="52"/>
  <c r="U24" i="52" s="1"/>
  <c r="P24" i="52"/>
  <c r="R23" i="52"/>
  <c r="U23" i="52" s="1"/>
  <c r="P23" i="52"/>
  <c r="R16" i="52"/>
  <c r="U16" i="52" s="1"/>
  <c r="P16" i="52"/>
  <c r="R3" i="52"/>
  <c r="U3" i="52" s="1"/>
  <c r="P3" i="52"/>
  <c r="R21" i="52"/>
  <c r="U21" i="52" s="1"/>
  <c r="P21" i="52"/>
  <c r="R17" i="52"/>
  <c r="U17" i="52" s="1"/>
  <c r="P17" i="52"/>
  <c r="R18" i="52"/>
  <c r="U18" i="52" s="1"/>
  <c r="P18" i="52"/>
  <c r="R19" i="52"/>
  <c r="U19" i="52" s="1"/>
  <c r="P19" i="52"/>
  <c r="R8" i="52"/>
  <c r="U8" i="52" s="1"/>
  <c r="P8" i="52"/>
  <c r="R15" i="52"/>
  <c r="U15" i="52" s="1"/>
  <c r="P15" i="52"/>
  <c r="R14" i="52"/>
  <c r="U14" i="52" s="1"/>
  <c r="P14" i="52"/>
  <c r="R13" i="52"/>
  <c r="U13" i="52" s="1"/>
  <c r="P13" i="52"/>
  <c r="R6" i="52"/>
  <c r="U6" i="52" s="1"/>
  <c r="P6" i="52"/>
  <c r="R10" i="52"/>
  <c r="U10" i="52" s="1"/>
  <c r="P10" i="52"/>
  <c r="R11" i="52"/>
  <c r="U11" i="52" s="1"/>
  <c r="P11" i="52"/>
  <c r="R12" i="52"/>
  <c r="U12" i="52" s="1"/>
  <c r="P12" i="52"/>
  <c r="R36" i="4"/>
  <c r="U36" i="4" s="1"/>
  <c r="R35" i="4"/>
  <c r="U35" i="4" s="1"/>
  <c r="R34" i="4"/>
  <c r="U34" i="4" s="1"/>
  <c r="R33" i="4"/>
  <c r="U33" i="4" s="1"/>
  <c r="R32" i="4"/>
  <c r="U32" i="4" s="1"/>
  <c r="R31" i="4"/>
  <c r="U31" i="4" s="1"/>
  <c r="R30" i="4"/>
  <c r="U30" i="4" s="1"/>
  <c r="R29" i="4"/>
  <c r="U29" i="4" s="1"/>
  <c r="R21" i="4"/>
  <c r="U21" i="4" s="1"/>
  <c r="P21" i="4"/>
  <c r="R25" i="4"/>
  <c r="U25" i="4" s="1"/>
  <c r="P25" i="4"/>
  <c r="R28" i="4"/>
  <c r="P28" i="4"/>
  <c r="R27" i="4"/>
  <c r="U27" i="4" s="1"/>
  <c r="P27" i="4"/>
  <c r="R26" i="4"/>
  <c r="U26" i="4" s="1"/>
  <c r="P26" i="4"/>
  <c r="R10" i="4"/>
  <c r="U10" i="4" s="1"/>
  <c r="P10" i="4"/>
  <c r="R19" i="4"/>
  <c r="U19" i="4" s="1"/>
  <c r="P19" i="4"/>
  <c r="R4" i="4"/>
  <c r="P4" i="4"/>
  <c r="R7" i="4"/>
  <c r="U7" i="4" s="1"/>
  <c r="P7" i="4"/>
  <c r="R24" i="4"/>
  <c r="U24" i="4" s="1"/>
  <c r="P24" i="4"/>
  <c r="R6" i="4"/>
  <c r="U6" i="4" s="1"/>
  <c r="P6" i="4"/>
  <c r="R23" i="4"/>
  <c r="U23" i="4" s="1"/>
  <c r="P23" i="4"/>
  <c r="R17" i="4"/>
  <c r="U17" i="4" s="1"/>
  <c r="P17" i="4"/>
  <c r="R14" i="4"/>
  <c r="U14" i="4" s="1"/>
  <c r="P14" i="4"/>
  <c r="R16" i="4"/>
  <c r="U16" i="4" s="1"/>
  <c r="P16" i="4"/>
  <c r="R18" i="4"/>
  <c r="U18" i="4" s="1"/>
  <c r="P18" i="4"/>
  <c r="R5" i="4"/>
  <c r="U5" i="4" s="1"/>
  <c r="P5" i="4"/>
  <c r="R20" i="4"/>
  <c r="U20" i="4" s="1"/>
  <c r="P20" i="4"/>
  <c r="R11" i="4"/>
  <c r="U11" i="4" s="1"/>
  <c r="P11" i="4"/>
  <c r="R13" i="4"/>
  <c r="U13" i="4" s="1"/>
  <c r="P13" i="4"/>
  <c r="R12" i="4"/>
  <c r="U12" i="4" s="1"/>
  <c r="P12" i="4"/>
  <c r="R15" i="4"/>
  <c r="U15" i="4" s="1"/>
  <c r="P15" i="4"/>
  <c r="R22" i="4"/>
  <c r="U22" i="4" s="1"/>
  <c r="P22" i="4"/>
  <c r="R8" i="4"/>
  <c r="U8" i="4" s="1"/>
  <c r="P8" i="4"/>
  <c r="R9" i="4"/>
  <c r="U9" i="4" s="1"/>
  <c r="P9" i="4"/>
  <c r="P29" i="5"/>
  <c r="P8" i="5"/>
  <c r="P28" i="5"/>
  <c r="P37" i="5"/>
  <c r="P36" i="5"/>
  <c r="P35" i="5"/>
  <c r="P26" i="5"/>
  <c r="P34" i="5"/>
  <c r="P33" i="5"/>
  <c r="P32" i="5"/>
  <c r="P15" i="5"/>
  <c r="P31" i="5"/>
  <c r="P30" i="5"/>
  <c r="P27" i="5"/>
  <c r="P24" i="5"/>
  <c r="P4" i="5"/>
  <c r="P20" i="5"/>
  <c r="P3" i="5"/>
  <c r="P16" i="5"/>
  <c r="P7" i="5"/>
  <c r="P6" i="5"/>
  <c r="P13" i="5"/>
  <c r="P21" i="5"/>
  <c r="P17" i="5"/>
  <c r="P23" i="5"/>
  <c r="P22" i="5"/>
  <c r="P11" i="5"/>
  <c r="P9" i="5"/>
  <c r="P19" i="5"/>
  <c r="P25" i="5"/>
  <c r="P14" i="5"/>
  <c r="P18" i="5"/>
  <c r="P12" i="5"/>
  <c r="P10" i="5"/>
  <c r="R4" i="8"/>
  <c r="U4" i="8" s="1"/>
  <c r="R5" i="8"/>
  <c r="U5" i="8" s="1"/>
  <c r="R6" i="8"/>
  <c r="U6" i="8" s="1"/>
  <c r="R7" i="8"/>
  <c r="U7" i="8" s="1"/>
  <c r="R9" i="8"/>
  <c r="U9" i="8" s="1"/>
  <c r="R8" i="8"/>
  <c r="R10" i="8"/>
  <c r="U10" i="8" s="1"/>
  <c r="R12" i="8"/>
  <c r="R11" i="8"/>
  <c r="U11" i="8" s="1"/>
  <c r="R13" i="8"/>
  <c r="U13" i="8" s="1"/>
  <c r="R14" i="8"/>
  <c r="U14" i="8" s="1"/>
  <c r="R16" i="8"/>
  <c r="U16" i="8" s="1"/>
  <c r="R17" i="8"/>
  <c r="U17" i="8" s="1"/>
  <c r="R15" i="8"/>
  <c r="U15" i="8" s="1"/>
  <c r="R21" i="8"/>
  <c r="U21" i="8" s="1"/>
  <c r="R19" i="8"/>
  <c r="U19" i="8" s="1"/>
  <c r="R18" i="8"/>
  <c r="U18" i="8" s="1"/>
  <c r="R22" i="8"/>
  <c r="U22" i="8" s="1"/>
  <c r="R20" i="8"/>
  <c r="U20" i="8" s="1"/>
  <c r="R3" i="8"/>
  <c r="P20" i="8"/>
  <c r="P22" i="8"/>
  <c r="P18" i="8"/>
  <c r="P19" i="8"/>
  <c r="P21" i="8"/>
  <c r="P15" i="8"/>
  <c r="P17" i="8"/>
  <c r="P16" i="8"/>
  <c r="P14" i="8"/>
  <c r="P13" i="8"/>
  <c r="P11" i="8"/>
  <c r="P12" i="8"/>
  <c r="P10" i="8"/>
  <c r="P8" i="8"/>
  <c r="P9" i="8"/>
  <c r="P7" i="8"/>
  <c r="P6" i="8"/>
  <c r="P5" i="8"/>
  <c r="P4" i="8"/>
  <c r="P3" i="8"/>
  <c r="F1" i="61"/>
  <c r="M28" i="60"/>
  <c r="J28" i="60"/>
  <c r="G28" i="60"/>
  <c r="D28" i="60"/>
  <c r="M27" i="60"/>
  <c r="J27" i="60"/>
  <c r="G27" i="60"/>
  <c r="D27" i="60"/>
  <c r="M26" i="60"/>
  <c r="J26" i="60"/>
  <c r="G26" i="60"/>
  <c r="D26" i="60"/>
  <c r="M25" i="60"/>
  <c r="J25" i="60"/>
  <c r="G25" i="60"/>
  <c r="D25" i="60"/>
  <c r="M5" i="60"/>
  <c r="J5" i="60"/>
  <c r="G5" i="60"/>
  <c r="D5" i="60"/>
  <c r="M24" i="60"/>
  <c r="J24" i="60"/>
  <c r="G24" i="60"/>
  <c r="D24" i="60"/>
  <c r="M14" i="60"/>
  <c r="J14" i="60"/>
  <c r="G14" i="60"/>
  <c r="D14" i="60"/>
  <c r="M6" i="60"/>
  <c r="J6" i="60"/>
  <c r="G6" i="60"/>
  <c r="D6" i="60"/>
  <c r="M22" i="60"/>
  <c r="J22" i="60"/>
  <c r="G22" i="60"/>
  <c r="D22" i="60"/>
  <c r="M13" i="60"/>
  <c r="J13" i="60"/>
  <c r="G13" i="60"/>
  <c r="D13" i="60"/>
  <c r="M20" i="60"/>
  <c r="J20" i="60"/>
  <c r="G20" i="60"/>
  <c r="D20" i="60"/>
  <c r="M19" i="60"/>
  <c r="J19" i="60"/>
  <c r="G19" i="60"/>
  <c r="D19" i="60"/>
  <c r="M18" i="60"/>
  <c r="J18" i="60"/>
  <c r="G18" i="60"/>
  <c r="D18" i="60"/>
  <c r="M10" i="60"/>
  <c r="J10" i="60"/>
  <c r="G10" i="60"/>
  <c r="D10" i="60"/>
  <c r="M4" i="60"/>
  <c r="J4" i="60"/>
  <c r="G4" i="60"/>
  <c r="D4" i="60"/>
  <c r="M16" i="60"/>
  <c r="J16" i="60"/>
  <c r="G16" i="60"/>
  <c r="D16" i="60"/>
  <c r="M7" i="60"/>
  <c r="J7" i="60"/>
  <c r="G7" i="60"/>
  <c r="D7" i="60"/>
  <c r="M21" i="60"/>
  <c r="J21" i="60"/>
  <c r="G21" i="60"/>
  <c r="D21" i="60"/>
  <c r="M8" i="60"/>
  <c r="J8" i="60"/>
  <c r="G8" i="60"/>
  <c r="D8" i="60"/>
  <c r="M11" i="60"/>
  <c r="J11" i="60"/>
  <c r="G11" i="60"/>
  <c r="D11" i="60"/>
  <c r="M17" i="60"/>
  <c r="J17" i="60"/>
  <c r="G17" i="60"/>
  <c r="D17" i="60"/>
  <c r="M23" i="60"/>
  <c r="J23" i="60"/>
  <c r="G23" i="60"/>
  <c r="D23" i="60"/>
  <c r="M15" i="60"/>
  <c r="J15" i="60"/>
  <c r="G15" i="60"/>
  <c r="D15" i="60"/>
  <c r="M12" i="60"/>
  <c r="J12" i="60"/>
  <c r="G12" i="60"/>
  <c r="D12" i="60"/>
  <c r="M9" i="60"/>
  <c r="J9" i="60"/>
  <c r="G9" i="60"/>
  <c r="D9" i="60"/>
  <c r="M22" i="59"/>
  <c r="J22" i="59"/>
  <c r="G22" i="59"/>
  <c r="D22" i="59"/>
  <c r="M21" i="59"/>
  <c r="J21" i="59"/>
  <c r="G21" i="59"/>
  <c r="D21" i="59"/>
  <c r="M20" i="59"/>
  <c r="J20" i="59"/>
  <c r="G20" i="59"/>
  <c r="D20" i="59"/>
  <c r="M19" i="59"/>
  <c r="J19" i="59"/>
  <c r="G19" i="59"/>
  <c r="D19" i="59"/>
  <c r="M4" i="59"/>
  <c r="J4" i="59"/>
  <c r="G4" i="59"/>
  <c r="D4" i="59"/>
  <c r="M6" i="59"/>
  <c r="J6" i="59"/>
  <c r="G6" i="59"/>
  <c r="D6" i="59"/>
  <c r="M12" i="59"/>
  <c r="J12" i="59"/>
  <c r="G12" i="59"/>
  <c r="D12" i="59"/>
  <c r="M8" i="59"/>
  <c r="J8" i="59"/>
  <c r="G8" i="59"/>
  <c r="D8" i="59"/>
  <c r="M7" i="59"/>
  <c r="J7" i="59"/>
  <c r="G7" i="59"/>
  <c r="D7" i="59"/>
  <c r="M13" i="59"/>
  <c r="J13" i="59"/>
  <c r="G13" i="59"/>
  <c r="D13" i="59"/>
  <c r="M5" i="59"/>
  <c r="J5" i="59"/>
  <c r="G5" i="59"/>
  <c r="D5" i="59"/>
  <c r="M9" i="59"/>
  <c r="J9" i="59"/>
  <c r="G9" i="59"/>
  <c r="D9" i="59"/>
  <c r="M17" i="59"/>
  <c r="J17" i="59"/>
  <c r="G17" i="59"/>
  <c r="D17" i="59"/>
  <c r="M16" i="59"/>
  <c r="J16" i="59"/>
  <c r="G16" i="59"/>
  <c r="D16" i="59"/>
  <c r="M11" i="59"/>
  <c r="J11" i="59"/>
  <c r="G11" i="59"/>
  <c r="D11" i="59"/>
  <c r="M14" i="59"/>
  <c r="J14" i="59"/>
  <c r="G14" i="59"/>
  <c r="D14" i="59"/>
  <c r="M3" i="59"/>
  <c r="J3" i="59"/>
  <c r="G3" i="59"/>
  <c r="D3" i="59"/>
  <c r="M10" i="59"/>
  <c r="J10" i="59"/>
  <c r="G10" i="59"/>
  <c r="D10" i="59"/>
  <c r="M18" i="59"/>
  <c r="J18" i="59"/>
  <c r="G18" i="59"/>
  <c r="D18" i="59"/>
  <c r="M15" i="59"/>
  <c r="J15" i="59"/>
  <c r="G15" i="59"/>
  <c r="D15" i="59"/>
  <c r="D32" i="19"/>
  <c r="G32" i="19"/>
  <c r="J32" i="19"/>
  <c r="M32" i="19"/>
  <c r="D9" i="19"/>
  <c r="G9" i="19"/>
  <c r="J9" i="19"/>
  <c r="M9" i="19"/>
  <c r="D6" i="19"/>
  <c r="G6" i="19"/>
  <c r="J6" i="19"/>
  <c r="M6" i="19"/>
  <c r="D33" i="9"/>
  <c r="G33" i="9"/>
  <c r="J33" i="9"/>
  <c r="M33" i="9"/>
  <c r="D19" i="9"/>
  <c r="G19" i="9"/>
  <c r="J19" i="9"/>
  <c r="M19" i="9"/>
  <c r="D9" i="9"/>
  <c r="G9" i="9"/>
  <c r="J9" i="9"/>
  <c r="M9" i="9"/>
  <c r="D24" i="9"/>
  <c r="G24" i="9"/>
  <c r="J24" i="9"/>
  <c r="M24" i="9"/>
  <c r="D17" i="55"/>
  <c r="G17" i="55"/>
  <c r="J17" i="55"/>
  <c r="M17" i="55"/>
  <c r="M21" i="58"/>
  <c r="D27" i="58"/>
  <c r="G27" i="58"/>
  <c r="J27" i="58"/>
  <c r="M27" i="58"/>
  <c r="D28" i="58"/>
  <c r="G28" i="58"/>
  <c r="J28" i="58"/>
  <c r="M28" i="58"/>
  <c r="D29" i="58"/>
  <c r="G29" i="58"/>
  <c r="J29" i="58"/>
  <c r="M29" i="58"/>
  <c r="M10" i="58"/>
  <c r="J10" i="58"/>
  <c r="G10" i="58"/>
  <c r="D10" i="58"/>
  <c r="M14" i="58"/>
  <c r="J14" i="58"/>
  <c r="G14" i="58"/>
  <c r="D14" i="58"/>
  <c r="M9" i="58"/>
  <c r="J9" i="58"/>
  <c r="G9" i="58"/>
  <c r="D9" i="58"/>
  <c r="M18" i="58"/>
  <c r="J18" i="58"/>
  <c r="G18" i="58"/>
  <c r="D18" i="58"/>
  <c r="M6" i="58"/>
  <c r="J6" i="58"/>
  <c r="G6" i="58"/>
  <c r="D6" i="58"/>
  <c r="M22" i="58"/>
  <c r="J22" i="58"/>
  <c r="G22" i="58"/>
  <c r="D22" i="58"/>
  <c r="M5" i="58"/>
  <c r="J5" i="58"/>
  <c r="G5" i="58"/>
  <c r="D5" i="58"/>
  <c r="M23" i="58"/>
  <c r="J23" i="58"/>
  <c r="G23" i="58"/>
  <c r="D23" i="58"/>
  <c r="M13" i="58"/>
  <c r="J13" i="58"/>
  <c r="G13" i="58"/>
  <c r="D13" i="58"/>
  <c r="M8" i="58"/>
  <c r="J8" i="58"/>
  <c r="G8" i="58"/>
  <c r="D8" i="58"/>
  <c r="M17" i="58"/>
  <c r="J17" i="58"/>
  <c r="G17" i="58"/>
  <c r="D17" i="58"/>
  <c r="M25" i="58"/>
  <c r="J25" i="58"/>
  <c r="G25" i="58"/>
  <c r="D25" i="58"/>
  <c r="M3" i="58"/>
  <c r="J3" i="58"/>
  <c r="G3" i="58"/>
  <c r="D3" i="58"/>
  <c r="M24" i="58"/>
  <c r="J24" i="58"/>
  <c r="G24" i="58"/>
  <c r="D24" i="58"/>
  <c r="M4" i="58"/>
  <c r="J4" i="58"/>
  <c r="G4" i="58"/>
  <c r="D4" i="58"/>
  <c r="M26" i="58"/>
  <c r="J26" i="58"/>
  <c r="G26" i="58"/>
  <c r="D26" i="58"/>
  <c r="M12" i="58"/>
  <c r="J12" i="58"/>
  <c r="G12" i="58"/>
  <c r="D12" i="58"/>
  <c r="M7" i="58"/>
  <c r="J7" i="58"/>
  <c r="G7" i="58"/>
  <c r="D7" i="58"/>
  <c r="J21" i="58"/>
  <c r="G21" i="58"/>
  <c r="D21" i="58"/>
  <c r="M16" i="58"/>
  <c r="J16" i="58"/>
  <c r="G16" i="58"/>
  <c r="D16" i="58"/>
  <c r="M20" i="58"/>
  <c r="J20" i="58"/>
  <c r="G20" i="58"/>
  <c r="D20" i="58"/>
  <c r="S20" i="58" s="1"/>
  <c r="M15" i="58"/>
  <c r="J15" i="58"/>
  <c r="G15" i="58"/>
  <c r="D15" i="58"/>
  <c r="M19" i="58"/>
  <c r="J19" i="58"/>
  <c r="G19" i="58"/>
  <c r="D19" i="58"/>
  <c r="M11" i="58"/>
  <c r="J11" i="58"/>
  <c r="G11" i="58"/>
  <c r="D11" i="58"/>
  <c r="D32" i="46"/>
  <c r="G32" i="46"/>
  <c r="J32" i="46"/>
  <c r="M32" i="46"/>
  <c r="M28" i="57"/>
  <c r="J28" i="57"/>
  <c r="G28" i="57"/>
  <c r="D28" i="57"/>
  <c r="M27" i="57"/>
  <c r="J27" i="57"/>
  <c r="G27" i="57"/>
  <c r="D27" i="57"/>
  <c r="M26" i="57"/>
  <c r="J26" i="57"/>
  <c r="G26" i="57"/>
  <c r="D26" i="57"/>
  <c r="M25" i="57"/>
  <c r="J25" i="57"/>
  <c r="G25" i="57"/>
  <c r="D25" i="57"/>
  <c r="M24" i="57"/>
  <c r="J24" i="57"/>
  <c r="G24" i="57"/>
  <c r="D24" i="57"/>
  <c r="M4" i="57"/>
  <c r="J4" i="57"/>
  <c r="G4" i="57"/>
  <c r="D4" i="57"/>
  <c r="M19" i="57"/>
  <c r="J19" i="57"/>
  <c r="G19" i="57"/>
  <c r="D19" i="57"/>
  <c r="M3" i="57"/>
  <c r="J3" i="57"/>
  <c r="G3" i="57"/>
  <c r="D3" i="57"/>
  <c r="M13" i="57"/>
  <c r="J13" i="57"/>
  <c r="G13" i="57"/>
  <c r="D13" i="57"/>
  <c r="M5" i="57"/>
  <c r="J5" i="57"/>
  <c r="G5" i="57"/>
  <c r="D5" i="57"/>
  <c r="M8" i="57"/>
  <c r="J8" i="57"/>
  <c r="G8" i="57"/>
  <c r="D8" i="57"/>
  <c r="M10" i="57"/>
  <c r="J10" i="57"/>
  <c r="G10" i="57"/>
  <c r="D10" i="57"/>
  <c r="M23" i="57"/>
  <c r="J23" i="57"/>
  <c r="G23" i="57"/>
  <c r="D23" i="57"/>
  <c r="M17" i="57"/>
  <c r="J17" i="57"/>
  <c r="G17" i="57"/>
  <c r="D17" i="57"/>
  <c r="M21" i="57"/>
  <c r="J21" i="57"/>
  <c r="G21" i="57"/>
  <c r="D21" i="57"/>
  <c r="M20" i="57"/>
  <c r="J20" i="57"/>
  <c r="G20" i="57"/>
  <c r="D20" i="57"/>
  <c r="M11" i="57"/>
  <c r="J11" i="57"/>
  <c r="G11" i="57"/>
  <c r="D11" i="57"/>
  <c r="M16" i="57"/>
  <c r="J16" i="57"/>
  <c r="G16" i="57"/>
  <c r="D16" i="57"/>
  <c r="M9" i="57"/>
  <c r="J9" i="57"/>
  <c r="G9" i="57"/>
  <c r="D9" i="57"/>
  <c r="M12" i="57"/>
  <c r="J12" i="57"/>
  <c r="G12" i="57"/>
  <c r="D12" i="57"/>
  <c r="S12" i="57" s="1"/>
  <c r="M6" i="57"/>
  <c r="J6" i="57"/>
  <c r="G6" i="57"/>
  <c r="D6" i="57"/>
  <c r="M15" i="57"/>
  <c r="J15" i="57"/>
  <c r="G15" i="57"/>
  <c r="D15" i="57"/>
  <c r="M18" i="57"/>
  <c r="J18" i="57"/>
  <c r="G18" i="57"/>
  <c r="D18" i="57"/>
  <c r="M7" i="57"/>
  <c r="J7" i="57"/>
  <c r="G7" i="57"/>
  <c r="D7" i="57"/>
  <c r="M14" i="57"/>
  <c r="J14" i="57"/>
  <c r="G14" i="57"/>
  <c r="D14" i="57"/>
  <c r="M22" i="57"/>
  <c r="J22" i="57"/>
  <c r="G22" i="57"/>
  <c r="D22" i="57"/>
  <c r="S22" i="57" s="1"/>
  <c r="D26" i="5"/>
  <c r="G26" i="5"/>
  <c r="J26" i="5"/>
  <c r="M26" i="5"/>
  <c r="D29" i="5"/>
  <c r="G29" i="5"/>
  <c r="J29" i="5"/>
  <c r="M29" i="5"/>
  <c r="D8" i="5"/>
  <c r="G8" i="5"/>
  <c r="J8" i="5"/>
  <c r="M8" i="5"/>
  <c r="D28" i="5"/>
  <c r="G28" i="5"/>
  <c r="J28" i="5"/>
  <c r="M28" i="5"/>
  <c r="D22" i="5"/>
  <c r="G22" i="5"/>
  <c r="J22" i="5"/>
  <c r="M22" i="5"/>
  <c r="D49" i="1"/>
  <c r="G49" i="1"/>
  <c r="J49" i="1"/>
  <c r="M49" i="1"/>
  <c r="D25" i="1"/>
  <c r="G25" i="1"/>
  <c r="J25" i="1"/>
  <c r="M25" i="1"/>
  <c r="D39" i="1"/>
  <c r="G39" i="1"/>
  <c r="J39" i="1"/>
  <c r="M39" i="1"/>
  <c r="D18" i="56"/>
  <c r="G18" i="56"/>
  <c r="J18" i="56"/>
  <c r="M18" i="56"/>
  <c r="D17" i="56"/>
  <c r="G17" i="56"/>
  <c r="J17" i="56"/>
  <c r="M17" i="56"/>
  <c r="D27" i="56"/>
  <c r="G27" i="56"/>
  <c r="J27" i="56"/>
  <c r="M27" i="56"/>
  <c r="D28" i="56"/>
  <c r="G28" i="56"/>
  <c r="J28" i="56"/>
  <c r="M28" i="56"/>
  <c r="D29" i="56"/>
  <c r="G29" i="56"/>
  <c r="J29" i="56"/>
  <c r="M29" i="56"/>
  <c r="D30" i="56"/>
  <c r="S30" i="56" s="1"/>
  <c r="G30" i="56"/>
  <c r="J30" i="56"/>
  <c r="M30" i="56"/>
  <c r="M6" i="56"/>
  <c r="J6" i="56"/>
  <c r="G6" i="56"/>
  <c r="D6" i="56"/>
  <c r="M26" i="56"/>
  <c r="J26" i="56"/>
  <c r="G26" i="56"/>
  <c r="D26" i="56"/>
  <c r="M25" i="56"/>
  <c r="J25" i="56"/>
  <c r="G25" i="56"/>
  <c r="D25" i="56"/>
  <c r="M23" i="56"/>
  <c r="J23" i="56"/>
  <c r="G23" i="56"/>
  <c r="D23" i="56"/>
  <c r="M22" i="56"/>
  <c r="J22" i="56"/>
  <c r="G22" i="56"/>
  <c r="D22" i="56"/>
  <c r="M21" i="56"/>
  <c r="J21" i="56"/>
  <c r="G21" i="56"/>
  <c r="D21" i="56"/>
  <c r="M5" i="56"/>
  <c r="J5" i="56"/>
  <c r="G5" i="56"/>
  <c r="D5" i="56"/>
  <c r="M16" i="56"/>
  <c r="J16" i="56"/>
  <c r="G16" i="56"/>
  <c r="D16" i="56"/>
  <c r="M4" i="56"/>
  <c r="J4" i="56"/>
  <c r="G4" i="56"/>
  <c r="D4" i="56"/>
  <c r="M15" i="56"/>
  <c r="J15" i="56"/>
  <c r="G15" i="56"/>
  <c r="D15" i="56"/>
  <c r="M3" i="56"/>
  <c r="J3" i="56"/>
  <c r="G3" i="56"/>
  <c r="D3" i="56"/>
  <c r="M7" i="56"/>
  <c r="J7" i="56"/>
  <c r="G7" i="56"/>
  <c r="D7" i="56"/>
  <c r="M24" i="56"/>
  <c r="J24" i="56"/>
  <c r="G24" i="56"/>
  <c r="D24" i="56"/>
  <c r="M11" i="56"/>
  <c r="J11" i="56"/>
  <c r="G11" i="56"/>
  <c r="D11" i="56"/>
  <c r="M14" i="56"/>
  <c r="J14" i="56"/>
  <c r="G14" i="56"/>
  <c r="D14" i="56"/>
  <c r="M20" i="56"/>
  <c r="J20" i="56"/>
  <c r="G20" i="56"/>
  <c r="D20" i="56"/>
  <c r="M13" i="56"/>
  <c r="J13" i="56"/>
  <c r="G13" i="56"/>
  <c r="D13" i="56"/>
  <c r="M12" i="56"/>
  <c r="J12" i="56"/>
  <c r="G12" i="56"/>
  <c r="D12" i="56"/>
  <c r="M9" i="56"/>
  <c r="J9" i="56"/>
  <c r="G9" i="56"/>
  <c r="D9" i="56"/>
  <c r="M19" i="56"/>
  <c r="J19" i="56"/>
  <c r="G19" i="56"/>
  <c r="D19" i="56"/>
  <c r="M8" i="56"/>
  <c r="J8" i="56"/>
  <c r="G8" i="56"/>
  <c r="D8" i="56"/>
  <c r="M10" i="56"/>
  <c r="J10" i="56"/>
  <c r="G10" i="56"/>
  <c r="D10" i="56"/>
  <c r="M25" i="55"/>
  <c r="J25" i="55"/>
  <c r="G25" i="55"/>
  <c r="D25" i="55"/>
  <c r="M12" i="55"/>
  <c r="J12" i="55"/>
  <c r="G12" i="55"/>
  <c r="D12" i="55"/>
  <c r="M21" i="55"/>
  <c r="J21" i="55"/>
  <c r="G21" i="55"/>
  <c r="D21" i="55"/>
  <c r="M11" i="55"/>
  <c r="J11" i="55"/>
  <c r="G11" i="55"/>
  <c r="D11" i="55"/>
  <c r="M27" i="55"/>
  <c r="J27" i="55"/>
  <c r="G27" i="55"/>
  <c r="D27" i="55"/>
  <c r="M26" i="55"/>
  <c r="J26" i="55"/>
  <c r="G26" i="55"/>
  <c r="D26" i="55"/>
  <c r="M9" i="55"/>
  <c r="J9" i="55"/>
  <c r="G9" i="55"/>
  <c r="D9" i="55"/>
  <c r="M24" i="55"/>
  <c r="J24" i="55"/>
  <c r="G24" i="55"/>
  <c r="D24" i="55"/>
  <c r="M20" i="55"/>
  <c r="J20" i="55"/>
  <c r="G20" i="55"/>
  <c r="D20" i="55"/>
  <c r="M23" i="55"/>
  <c r="J23" i="55"/>
  <c r="G23" i="55"/>
  <c r="D23" i="55"/>
  <c r="M18" i="55"/>
  <c r="J18" i="55"/>
  <c r="G18" i="55"/>
  <c r="D18" i="55"/>
  <c r="M19" i="55"/>
  <c r="J19" i="55"/>
  <c r="G19" i="55"/>
  <c r="D19" i="55"/>
  <c r="S19" i="55" s="1"/>
  <c r="M22" i="55"/>
  <c r="J22" i="55"/>
  <c r="G22" i="55"/>
  <c r="D22" i="55"/>
  <c r="M13" i="55"/>
  <c r="J13" i="55"/>
  <c r="G13" i="55"/>
  <c r="D13" i="55"/>
  <c r="M6" i="55"/>
  <c r="J6" i="55"/>
  <c r="G6" i="55"/>
  <c r="D6" i="55"/>
  <c r="M7" i="55"/>
  <c r="J7" i="55"/>
  <c r="G7" i="55"/>
  <c r="D7" i="55"/>
  <c r="M28" i="55"/>
  <c r="J28" i="55"/>
  <c r="G28" i="55"/>
  <c r="D28" i="55"/>
  <c r="M10" i="55"/>
  <c r="J10" i="55"/>
  <c r="G10" i="55"/>
  <c r="D10" i="55"/>
  <c r="M15" i="55"/>
  <c r="J15" i="55"/>
  <c r="G15" i="55"/>
  <c r="D15" i="55"/>
  <c r="M16" i="55"/>
  <c r="J16" i="55"/>
  <c r="G16" i="55"/>
  <c r="D16" i="55"/>
  <c r="M3" i="55"/>
  <c r="J3" i="55"/>
  <c r="G3" i="55"/>
  <c r="D3" i="55"/>
  <c r="M4" i="55"/>
  <c r="J4" i="55"/>
  <c r="G4" i="55"/>
  <c r="D4" i="55"/>
  <c r="M14" i="55"/>
  <c r="J14" i="55"/>
  <c r="G14" i="55"/>
  <c r="D14" i="55"/>
  <c r="S14" i="55" s="1"/>
  <c r="M5" i="55"/>
  <c r="J5" i="55"/>
  <c r="G5" i="55"/>
  <c r="D5" i="55"/>
  <c r="M8" i="55"/>
  <c r="J8" i="55"/>
  <c r="G8" i="55"/>
  <c r="D8" i="55"/>
  <c r="M31" i="54"/>
  <c r="J31" i="54"/>
  <c r="G31" i="54"/>
  <c r="D31" i="54"/>
  <c r="M30" i="54"/>
  <c r="J30" i="54"/>
  <c r="G30" i="54"/>
  <c r="D30" i="54"/>
  <c r="M29" i="54"/>
  <c r="J29" i="54"/>
  <c r="G29" i="54"/>
  <c r="D29" i="54"/>
  <c r="M28" i="54"/>
  <c r="J28" i="54"/>
  <c r="G28" i="54"/>
  <c r="D28" i="54"/>
  <c r="M27" i="54"/>
  <c r="J27" i="54"/>
  <c r="G27" i="54"/>
  <c r="D27" i="54"/>
  <c r="M26" i="54"/>
  <c r="J26" i="54"/>
  <c r="G26" i="54"/>
  <c r="D26" i="54"/>
  <c r="M25" i="54"/>
  <c r="J25" i="54"/>
  <c r="G25" i="54"/>
  <c r="D25" i="54"/>
  <c r="M9" i="54"/>
  <c r="J9" i="54"/>
  <c r="G9" i="54"/>
  <c r="D9" i="54"/>
  <c r="M8" i="54"/>
  <c r="J8" i="54"/>
  <c r="G8" i="54"/>
  <c r="D8" i="54"/>
  <c r="M19" i="54"/>
  <c r="J19" i="54"/>
  <c r="G19" i="54"/>
  <c r="D19" i="54"/>
  <c r="M4" i="54"/>
  <c r="J4" i="54"/>
  <c r="G4" i="54"/>
  <c r="D4" i="54"/>
  <c r="M20" i="54"/>
  <c r="J20" i="54"/>
  <c r="G20" i="54"/>
  <c r="D20" i="54"/>
  <c r="M3" i="54"/>
  <c r="J3" i="54"/>
  <c r="G3" i="54"/>
  <c r="D3" i="54"/>
  <c r="M12" i="54"/>
  <c r="J12" i="54"/>
  <c r="G12" i="54"/>
  <c r="D12" i="54"/>
  <c r="M5" i="54"/>
  <c r="J5" i="54"/>
  <c r="G5" i="54"/>
  <c r="D5" i="54"/>
  <c r="M23" i="54"/>
  <c r="J23" i="54"/>
  <c r="G23" i="54"/>
  <c r="D23" i="54"/>
  <c r="M11" i="54"/>
  <c r="J11" i="54"/>
  <c r="G11" i="54"/>
  <c r="D11" i="54"/>
  <c r="M22" i="54"/>
  <c r="J22" i="54"/>
  <c r="G22" i="54"/>
  <c r="D22" i="54"/>
  <c r="M21" i="54"/>
  <c r="J21" i="54"/>
  <c r="G21" i="54"/>
  <c r="D21" i="54"/>
  <c r="M10" i="54"/>
  <c r="J10" i="54"/>
  <c r="G10" i="54"/>
  <c r="D10" i="54"/>
  <c r="M18" i="54"/>
  <c r="J18" i="54"/>
  <c r="G18" i="54"/>
  <c r="D18" i="54"/>
  <c r="M14" i="54"/>
  <c r="J14" i="54"/>
  <c r="G14" i="54"/>
  <c r="D14" i="54"/>
  <c r="S14" i="54" s="1"/>
  <c r="M13" i="54"/>
  <c r="J13" i="54"/>
  <c r="G13" i="54"/>
  <c r="D13" i="54"/>
  <c r="M7" i="54"/>
  <c r="J7" i="54"/>
  <c r="G7" i="54"/>
  <c r="D7" i="54"/>
  <c r="M24" i="54"/>
  <c r="J24" i="54"/>
  <c r="G24" i="54"/>
  <c r="D24" i="54"/>
  <c r="M17" i="54"/>
  <c r="J17" i="54"/>
  <c r="G17" i="54"/>
  <c r="D17" i="54"/>
  <c r="M6" i="54"/>
  <c r="J6" i="54"/>
  <c r="G6" i="54"/>
  <c r="D6" i="54"/>
  <c r="M15" i="54"/>
  <c r="J15" i="54"/>
  <c r="G15" i="54"/>
  <c r="D15" i="54"/>
  <c r="M16" i="54"/>
  <c r="J16" i="54"/>
  <c r="G16" i="54"/>
  <c r="D16" i="54"/>
  <c r="D32" i="30"/>
  <c r="G32" i="30"/>
  <c r="J32" i="30"/>
  <c r="M32" i="30"/>
  <c r="D33" i="30"/>
  <c r="G33" i="30"/>
  <c r="J33" i="30"/>
  <c r="M33" i="30"/>
  <c r="D34" i="30"/>
  <c r="G34" i="30"/>
  <c r="J34" i="30"/>
  <c r="M34" i="30"/>
  <c r="D35" i="30"/>
  <c r="G35" i="30"/>
  <c r="J35" i="30"/>
  <c r="M35" i="30"/>
  <c r="D22" i="28"/>
  <c r="G22" i="28"/>
  <c r="J22" i="28"/>
  <c r="M22" i="28"/>
  <c r="D15" i="28"/>
  <c r="G15" i="28"/>
  <c r="J15" i="28"/>
  <c r="M15" i="28"/>
  <c r="D8" i="28"/>
  <c r="G8" i="28"/>
  <c r="J8" i="28"/>
  <c r="M8" i="28"/>
  <c r="D7" i="28"/>
  <c r="G7" i="28"/>
  <c r="J7" i="28"/>
  <c r="M7" i="28"/>
  <c r="D36" i="28"/>
  <c r="G36" i="28"/>
  <c r="J36" i="28"/>
  <c r="M36" i="28"/>
  <c r="D37" i="28"/>
  <c r="G37" i="28"/>
  <c r="J37" i="28"/>
  <c r="M37" i="28"/>
  <c r="D38" i="28"/>
  <c r="G38" i="28"/>
  <c r="J38" i="28"/>
  <c r="M38" i="28"/>
  <c r="D39" i="28"/>
  <c r="G39" i="28"/>
  <c r="J39" i="28"/>
  <c r="M39" i="28"/>
  <c r="D40" i="28"/>
  <c r="G40" i="28"/>
  <c r="J40" i="28"/>
  <c r="M40" i="28"/>
  <c r="D41" i="28"/>
  <c r="G41" i="28"/>
  <c r="J41" i="28"/>
  <c r="M41" i="28"/>
  <c r="D31" i="27"/>
  <c r="G31" i="27"/>
  <c r="J31" i="27"/>
  <c r="M31" i="27"/>
  <c r="D32" i="27"/>
  <c r="G32" i="27"/>
  <c r="J32" i="27"/>
  <c r="M32" i="27"/>
  <c r="D33" i="27"/>
  <c r="G33" i="27"/>
  <c r="J33" i="27"/>
  <c r="M33" i="27"/>
  <c r="D34" i="27"/>
  <c r="G34" i="27"/>
  <c r="J34" i="27"/>
  <c r="M34" i="27"/>
  <c r="D35" i="27"/>
  <c r="G35" i="27"/>
  <c r="J35" i="27"/>
  <c r="M35" i="27"/>
  <c r="D36" i="27"/>
  <c r="G36" i="27"/>
  <c r="J36" i="27"/>
  <c r="M36" i="27"/>
  <c r="D29" i="25"/>
  <c r="G29" i="25"/>
  <c r="J29" i="25"/>
  <c r="M29" i="25"/>
  <c r="D25" i="25"/>
  <c r="G25" i="25"/>
  <c r="J25" i="25"/>
  <c r="M25" i="25"/>
  <c r="D35" i="25"/>
  <c r="G35" i="25"/>
  <c r="J35" i="25"/>
  <c r="M35" i="25"/>
  <c r="D36" i="25"/>
  <c r="G36" i="25"/>
  <c r="J36" i="25"/>
  <c r="M36" i="25"/>
  <c r="D37" i="25"/>
  <c r="G37" i="25"/>
  <c r="J37" i="25"/>
  <c r="M37" i="25"/>
  <c r="D38" i="25"/>
  <c r="G38" i="25"/>
  <c r="J38" i="25"/>
  <c r="M38" i="25"/>
  <c r="D39" i="25"/>
  <c r="G39" i="25"/>
  <c r="J39" i="25"/>
  <c r="M39" i="25"/>
  <c r="D31" i="26"/>
  <c r="G31" i="26"/>
  <c r="J31" i="26"/>
  <c r="M31" i="26"/>
  <c r="D23" i="26"/>
  <c r="G23" i="26"/>
  <c r="J23" i="26"/>
  <c r="M23" i="26"/>
  <c r="D38" i="26"/>
  <c r="G38" i="26"/>
  <c r="J38" i="26"/>
  <c r="M38" i="26"/>
  <c r="D9" i="26"/>
  <c r="G9" i="26"/>
  <c r="J9" i="26"/>
  <c r="M9" i="26"/>
  <c r="D6" i="26"/>
  <c r="G6" i="26"/>
  <c r="J6" i="26"/>
  <c r="M6" i="26"/>
  <c r="D44" i="26"/>
  <c r="G44" i="26"/>
  <c r="J44" i="26"/>
  <c r="M44" i="26"/>
  <c r="D45" i="26"/>
  <c r="G45" i="26"/>
  <c r="J45" i="26"/>
  <c r="M45" i="26"/>
  <c r="D43" i="24"/>
  <c r="G43" i="24"/>
  <c r="J43" i="24"/>
  <c r="M43" i="24"/>
  <c r="D35" i="24"/>
  <c r="G35" i="24"/>
  <c r="J35" i="24"/>
  <c r="M35" i="24"/>
  <c r="D34" i="24"/>
  <c r="G34" i="24"/>
  <c r="J34" i="24"/>
  <c r="M34" i="24"/>
  <c r="D52" i="24"/>
  <c r="G52" i="24"/>
  <c r="J52" i="24"/>
  <c r="M52" i="24"/>
  <c r="D32" i="24"/>
  <c r="G32" i="24"/>
  <c r="J32" i="24"/>
  <c r="M32" i="24"/>
  <c r="D14" i="24"/>
  <c r="G14" i="24"/>
  <c r="J14" i="24"/>
  <c r="M14" i="24"/>
  <c r="D9" i="24"/>
  <c r="G9" i="24"/>
  <c r="J9" i="24"/>
  <c r="M9" i="24"/>
  <c r="D50" i="24"/>
  <c r="G50" i="24"/>
  <c r="J50" i="24"/>
  <c r="M50" i="24"/>
  <c r="D23" i="23"/>
  <c r="G23" i="23"/>
  <c r="J23" i="23"/>
  <c r="M23" i="23"/>
  <c r="D44" i="23"/>
  <c r="G44" i="23"/>
  <c r="J44" i="23"/>
  <c r="M44" i="23"/>
  <c r="D47" i="23"/>
  <c r="G47" i="23"/>
  <c r="J47" i="23"/>
  <c r="M47" i="23"/>
  <c r="D41" i="23"/>
  <c r="G41" i="23"/>
  <c r="J41" i="23"/>
  <c r="M41" i="23"/>
  <c r="D45" i="23"/>
  <c r="G45" i="23"/>
  <c r="J45" i="23"/>
  <c r="M45" i="23"/>
  <c r="D22" i="23"/>
  <c r="G22" i="23"/>
  <c r="J22" i="23"/>
  <c r="M22" i="23"/>
  <c r="D39" i="23"/>
  <c r="G39" i="23"/>
  <c r="J39" i="23"/>
  <c r="M39" i="23"/>
  <c r="D9" i="23"/>
  <c r="G9" i="23"/>
  <c r="J9" i="23"/>
  <c r="M9" i="23"/>
  <c r="D50" i="23"/>
  <c r="G50" i="23"/>
  <c r="J50" i="23"/>
  <c r="M50" i="23"/>
  <c r="D51" i="23"/>
  <c r="G51" i="23"/>
  <c r="J51" i="23"/>
  <c r="M51" i="23"/>
  <c r="D25" i="22"/>
  <c r="G25" i="22"/>
  <c r="J25" i="22"/>
  <c r="M25" i="22"/>
  <c r="D16" i="22"/>
  <c r="G16" i="22"/>
  <c r="J16" i="22"/>
  <c r="M16" i="22"/>
  <c r="D37" i="22"/>
  <c r="G37" i="22"/>
  <c r="J37" i="22"/>
  <c r="M37" i="22"/>
  <c r="D5" i="22"/>
  <c r="G5" i="22"/>
  <c r="J5" i="22"/>
  <c r="M5" i="22"/>
  <c r="D6" i="22"/>
  <c r="G6" i="22"/>
  <c r="J6" i="22"/>
  <c r="M6" i="22"/>
  <c r="D38" i="22"/>
  <c r="G38" i="22"/>
  <c r="J38" i="22"/>
  <c r="M38" i="22"/>
  <c r="D39" i="22"/>
  <c r="G39" i="22"/>
  <c r="J39" i="22"/>
  <c r="M39" i="22"/>
  <c r="D40" i="22"/>
  <c r="S40" i="22" s="1"/>
  <c r="G40" i="22"/>
  <c r="J40" i="22"/>
  <c r="M40" i="22"/>
  <c r="D27" i="21"/>
  <c r="G27" i="21"/>
  <c r="J27" i="21"/>
  <c r="M27" i="21"/>
  <c r="D42" i="21"/>
  <c r="G42" i="21"/>
  <c r="J42" i="21"/>
  <c r="M42" i="21"/>
  <c r="D7" i="21"/>
  <c r="G7" i="21"/>
  <c r="J7" i="21"/>
  <c r="M7" i="21"/>
  <c r="D41" i="21"/>
  <c r="G41" i="21"/>
  <c r="J41" i="21"/>
  <c r="M41" i="21"/>
  <c r="D8" i="21"/>
  <c r="G8" i="21"/>
  <c r="J8" i="21"/>
  <c r="M8" i="21"/>
  <c r="D13" i="21"/>
  <c r="G13" i="21"/>
  <c r="J13" i="21"/>
  <c r="M13" i="21"/>
  <c r="D46" i="21"/>
  <c r="G46" i="21"/>
  <c r="J46" i="21"/>
  <c r="M46" i="21"/>
  <c r="D14" i="21"/>
  <c r="G14" i="21"/>
  <c r="J14" i="21"/>
  <c r="M14" i="21"/>
  <c r="M24" i="53"/>
  <c r="J24" i="53"/>
  <c r="G24" i="53"/>
  <c r="D24" i="53"/>
  <c r="M23" i="53"/>
  <c r="J23" i="53"/>
  <c r="G23" i="53"/>
  <c r="D23" i="53"/>
  <c r="M22" i="53"/>
  <c r="J22" i="53"/>
  <c r="G22" i="53"/>
  <c r="D22" i="53"/>
  <c r="M21" i="53"/>
  <c r="J21" i="53"/>
  <c r="G21" i="53"/>
  <c r="D21" i="53"/>
  <c r="S21" i="53" s="1"/>
  <c r="M7" i="53"/>
  <c r="J7" i="53"/>
  <c r="G7" i="53"/>
  <c r="D7" i="53"/>
  <c r="M4" i="53"/>
  <c r="J4" i="53"/>
  <c r="G4" i="53"/>
  <c r="S4" i="53" s="1"/>
  <c r="D4" i="53"/>
  <c r="M8" i="53"/>
  <c r="J8" i="53"/>
  <c r="G8" i="53"/>
  <c r="D8" i="53"/>
  <c r="M13" i="53"/>
  <c r="J13" i="53"/>
  <c r="G13" i="53"/>
  <c r="D13" i="53"/>
  <c r="M18" i="53"/>
  <c r="J18" i="53"/>
  <c r="G18" i="53"/>
  <c r="D18" i="53"/>
  <c r="M15" i="53"/>
  <c r="J15" i="53"/>
  <c r="G15" i="53"/>
  <c r="D15" i="53"/>
  <c r="M3" i="53"/>
  <c r="J3" i="53"/>
  <c r="G3" i="53"/>
  <c r="D3" i="53"/>
  <c r="M20" i="53"/>
  <c r="J20" i="53"/>
  <c r="G20" i="53"/>
  <c r="D20" i="53"/>
  <c r="M14" i="53"/>
  <c r="J14" i="53"/>
  <c r="G14" i="53"/>
  <c r="D14" i="53"/>
  <c r="M17" i="53"/>
  <c r="J17" i="53"/>
  <c r="G17" i="53"/>
  <c r="D17" i="53"/>
  <c r="M10" i="53"/>
  <c r="J10" i="53"/>
  <c r="G10" i="53"/>
  <c r="D10" i="53"/>
  <c r="M6" i="53"/>
  <c r="J6" i="53"/>
  <c r="G6" i="53"/>
  <c r="D6" i="53"/>
  <c r="M16" i="53"/>
  <c r="J16" i="53"/>
  <c r="G16" i="53"/>
  <c r="D16" i="53"/>
  <c r="M19" i="53"/>
  <c r="J19" i="53"/>
  <c r="G19" i="53"/>
  <c r="D19" i="53"/>
  <c r="M12" i="53"/>
  <c r="J12" i="53"/>
  <c r="G12" i="53"/>
  <c r="D12" i="53"/>
  <c r="M9" i="53"/>
  <c r="J9" i="53"/>
  <c r="G9" i="53"/>
  <c r="D9" i="53"/>
  <c r="S9" i="53" s="1"/>
  <c r="M5" i="53"/>
  <c r="J5" i="53"/>
  <c r="G5" i="53"/>
  <c r="D5" i="53"/>
  <c r="M11" i="53"/>
  <c r="J11" i="53"/>
  <c r="G11" i="53"/>
  <c r="D11" i="53"/>
  <c r="D26" i="20"/>
  <c r="G26" i="20"/>
  <c r="J26" i="20"/>
  <c r="M26" i="20"/>
  <c r="D27" i="20"/>
  <c r="G27" i="20"/>
  <c r="J27" i="20"/>
  <c r="M27" i="20"/>
  <c r="D28" i="20"/>
  <c r="G28" i="20"/>
  <c r="J28" i="20"/>
  <c r="M28" i="20"/>
  <c r="D29" i="20"/>
  <c r="G29" i="20"/>
  <c r="J29" i="20"/>
  <c r="M29" i="20"/>
  <c r="D27" i="16"/>
  <c r="G27" i="16"/>
  <c r="J27" i="16"/>
  <c r="M27" i="16"/>
  <c r="D20" i="16"/>
  <c r="G20" i="16"/>
  <c r="J20" i="16"/>
  <c r="M20" i="16"/>
  <c r="D21" i="16"/>
  <c r="G21" i="16"/>
  <c r="J21" i="16"/>
  <c r="M21" i="16"/>
  <c r="D28" i="16"/>
  <c r="S28" i="16" s="1"/>
  <c r="G28" i="16"/>
  <c r="J28" i="16"/>
  <c r="M28" i="16"/>
  <c r="D25" i="15"/>
  <c r="G25" i="15"/>
  <c r="J25" i="15"/>
  <c r="M25" i="15"/>
  <c r="D24" i="15"/>
  <c r="G24" i="15"/>
  <c r="J24" i="15"/>
  <c r="M24" i="15"/>
  <c r="D30" i="15"/>
  <c r="G30" i="15"/>
  <c r="J30" i="15"/>
  <c r="M30" i="15"/>
  <c r="D31" i="15"/>
  <c r="G31" i="15"/>
  <c r="J31" i="15"/>
  <c r="M31" i="15"/>
  <c r="D25" i="14"/>
  <c r="G25" i="14"/>
  <c r="J25" i="14"/>
  <c r="M25" i="14"/>
  <c r="D38" i="14"/>
  <c r="G38" i="14"/>
  <c r="J38" i="14"/>
  <c r="M38" i="14"/>
  <c r="D6" i="14"/>
  <c r="G6" i="14"/>
  <c r="J6" i="14"/>
  <c r="M6" i="14"/>
  <c r="D32" i="14"/>
  <c r="G32" i="14"/>
  <c r="J32" i="14"/>
  <c r="M32" i="14"/>
  <c r="D32" i="13"/>
  <c r="G32" i="13"/>
  <c r="J32" i="13"/>
  <c r="M32" i="13"/>
  <c r="D30" i="13"/>
  <c r="G30" i="13"/>
  <c r="J30" i="13"/>
  <c r="M30" i="13"/>
  <c r="D33" i="13"/>
  <c r="G33" i="13"/>
  <c r="J33" i="13"/>
  <c r="M33" i="13"/>
  <c r="D6" i="13"/>
  <c r="G6" i="13"/>
  <c r="J6" i="13"/>
  <c r="M6" i="13"/>
  <c r="D16" i="12"/>
  <c r="G16" i="12"/>
  <c r="J16" i="12"/>
  <c r="M16" i="12"/>
  <c r="D31" i="12"/>
  <c r="G31" i="12"/>
  <c r="J31" i="12"/>
  <c r="M31" i="12"/>
  <c r="D22" i="12"/>
  <c r="G22" i="12"/>
  <c r="J22" i="12"/>
  <c r="M22" i="12"/>
  <c r="D24" i="12"/>
  <c r="G24" i="12"/>
  <c r="J24" i="12"/>
  <c r="M24" i="12"/>
  <c r="D30" i="12"/>
  <c r="G30" i="12"/>
  <c r="J30" i="12"/>
  <c r="M30" i="12"/>
  <c r="D25" i="52"/>
  <c r="G25" i="52"/>
  <c r="J25" i="52"/>
  <c r="M25" i="52"/>
  <c r="M26" i="52"/>
  <c r="J26" i="52"/>
  <c r="G26" i="52"/>
  <c r="D26" i="52"/>
  <c r="M7" i="52"/>
  <c r="J7" i="52"/>
  <c r="G7" i="52"/>
  <c r="D7" i="52"/>
  <c r="M24" i="52"/>
  <c r="J24" i="52"/>
  <c r="G24" i="52"/>
  <c r="D24" i="52"/>
  <c r="M23" i="52"/>
  <c r="J23" i="52"/>
  <c r="G23" i="52"/>
  <c r="D23" i="52"/>
  <c r="M6" i="52"/>
  <c r="J6" i="52"/>
  <c r="G6" i="52"/>
  <c r="D6" i="52"/>
  <c r="M16" i="52"/>
  <c r="J16" i="52"/>
  <c r="G16" i="52"/>
  <c r="D16" i="52"/>
  <c r="M3" i="52"/>
  <c r="J3" i="52"/>
  <c r="G3" i="52"/>
  <c r="D3" i="52"/>
  <c r="M17" i="52"/>
  <c r="J17" i="52"/>
  <c r="G17" i="52"/>
  <c r="D17" i="52"/>
  <c r="M21" i="52"/>
  <c r="J21" i="52"/>
  <c r="G21" i="52"/>
  <c r="D21" i="52"/>
  <c r="M15" i="52"/>
  <c r="J15" i="52"/>
  <c r="G15" i="52"/>
  <c r="D15" i="52"/>
  <c r="M18" i="52"/>
  <c r="J18" i="52"/>
  <c r="G18" i="52"/>
  <c r="D18" i="52"/>
  <c r="M8" i="52"/>
  <c r="J8" i="52"/>
  <c r="G8" i="52"/>
  <c r="D8" i="52"/>
  <c r="M10" i="52"/>
  <c r="J10" i="52"/>
  <c r="G10" i="52"/>
  <c r="D10" i="52"/>
  <c r="M22" i="52"/>
  <c r="J22" i="52"/>
  <c r="G22" i="52"/>
  <c r="D22" i="52"/>
  <c r="M19" i="52"/>
  <c r="J19" i="52"/>
  <c r="G19" i="52"/>
  <c r="D19" i="52"/>
  <c r="M11" i="52"/>
  <c r="J11" i="52"/>
  <c r="G11" i="52"/>
  <c r="D11" i="52"/>
  <c r="M13" i="52"/>
  <c r="J13" i="52"/>
  <c r="G13" i="52"/>
  <c r="D13" i="52"/>
  <c r="M14" i="52"/>
  <c r="J14" i="52"/>
  <c r="G14" i="52"/>
  <c r="D14" i="52"/>
  <c r="M12" i="52"/>
  <c r="J12" i="52"/>
  <c r="G12" i="52"/>
  <c r="D12" i="52"/>
  <c r="M12" i="51"/>
  <c r="J12" i="51"/>
  <c r="G12" i="51"/>
  <c r="D12" i="51"/>
  <c r="M9" i="51"/>
  <c r="J9" i="51"/>
  <c r="G9" i="51"/>
  <c r="D9" i="51"/>
  <c r="M22" i="51"/>
  <c r="J22" i="51"/>
  <c r="G22" i="51"/>
  <c r="D22" i="51"/>
  <c r="M24" i="51"/>
  <c r="J24" i="51"/>
  <c r="G24" i="51"/>
  <c r="D24" i="51"/>
  <c r="M5" i="51"/>
  <c r="J5" i="51"/>
  <c r="G5" i="51"/>
  <c r="D5" i="51"/>
  <c r="M14" i="51"/>
  <c r="J14" i="51"/>
  <c r="G14" i="51"/>
  <c r="D14" i="51"/>
  <c r="M16" i="51"/>
  <c r="J16" i="51"/>
  <c r="G16" i="51"/>
  <c r="D16" i="51"/>
  <c r="M17" i="51"/>
  <c r="J17" i="51"/>
  <c r="G17" i="51"/>
  <c r="D17" i="51"/>
  <c r="M18" i="51"/>
  <c r="J18" i="51"/>
  <c r="G18" i="51"/>
  <c r="D18" i="51"/>
  <c r="M6" i="51"/>
  <c r="J6" i="51"/>
  <c r="G6" i="51"/>
  <c r="D6" i="51"/>
  <c r="J8" i="51"/>
  <c r="G8" i="51"/>
  <c r="D8" i="51"/>
  <c r="M19" i="51"/>
  <c r="J19" i="51"/>
  <c r="G19" i="51"/>
  <c r="D19" i="51"/>
  <c r="M21" i="51"/>
  <c r="J21" i="51"/>
  <c r="G21" i="51"/>
  <c r="D21" i="51"/>
  <c r="M11" i="51"/>
  <c r="J11" i="51"/>
  <c r="G11" i="51"/>
  <c r="D11" i="51"/>
  <c r="M3" i="51"/>
  <c r="J3" i="51"/>
  <c r="G3" i="51"/>
  <c r="D3" i="51"/>
  <c r="M23" i="51"/>
  <c r="J23" i="51"/>
  <c r="G23" i="51"/>
  <c r="D23" i="51"/>
  <c r="M13" i="51"/>
  <c r="J13" i="51"/>
  <c r="G13" i="51"/>
  <c r="D13" i="51"/>
  <c r="M7" i="51"/>
  <c r="J7" i="51"/>
  <c r="G7" i="51"/>
  <c r="D7" i="51"/>
  <c r="M15" i="51"/>
  <c r="J15" i="51"/>
  <c r="G15" i="51"/>
  <c r="D15" i="51"/>
  <c r="D6" i="10"/>
  <c r="G6" i="10"/>
  <c r="J6" i="10"/>
  <c r="M6" i="10"/>
  <c r="D32" i="9"/>
  <c r="G32" i="9"/>
  <c r="J32" i="9"/>
  <c r="M32" i="9"/>
  <c r="D21" i="9"/>
  <c r="G21" i="9"/>
  <c r="J21" i="9"/>
  <c r="M21" i="9"/>
  <c r="D34" i="7"/>
  <c r="G34" i="7"/>
  <c r="J34" i="7"/>
  <c r="M34" i="7"/>
  <c r="D35" i="7"/>
  <c r="G35" i="7"/>
  <c r="J35" i="7"/>
  <c r="M35" i="7"/>
  <c r="D36" i="7"/>
  <c r="G36" i="7"/>
  <c r="J36" i="7"/>
  <c r="M36" i="7"/>
  <c r="D6" i="5"/>
  <c r="G6" i="5"/>
  <c r="J6" i="5"/>
  <c r="M6" i="5"/>
  <c r="S5" i="1" l="1"/>
  <c r="S4" i="51"/>
  <c r="S26" i="51"/>
  <c r="S31" i="51"/>
  <c r="S25" i="51"/>
  <c r="S22" i="5"/>
  <c r="U34" i="41"/>
  <c r="V3" i="41"/>
  <c r="T30" i="41" s="1"/>
  <c r="S32" i="46"/>
  <c r="U21" i="46"/>
  <c r="U28" i="46"/>
  <c r="U25" i="46"/>
  <c r="V3" i="46"/>
  <c r="T51" i="46" s="1"/>
  <c r="T35" i="46"/>
  <c r="T54" i="46"/>
  <c r="U4" i="46"/>
  <c r="T6" i="46"/>
  <c r="U19" i="46"/>
  <c r="U10" i="55"/>
  <c r="U17" i="55"/>
  <c r="U6" i="55"/>
  <c r="U15" i="55"/>
  <c r="U23" i="55"/>
  <c r="U13" i="55"/>
  <c r="U7" i="55"/>
  <c r="S9" i="55"/>
  <c r="U24" i="55"/>
  <c r="U9" i="55"/>
  <c r="S25" i="55"/>
  <c r="S20" i="55"/>
  <c r="S21" i="55"/>
  <c r="T33" i="55"/>
  <c r="T48" i="55"/>
  <c r="U4" i="55"/>
  <c r="U11" i="55"/>
  <c r="T21" i="55"/>
  <c r="U21" i="55"/>
  <c r="U3" i="55"/>
  <c r="V3" i="55"/>
  <c r="T30" i="55" s="1"/>
  <c r="U12" i="55"/>
  <c r="U22" i="55"/>
  <c r="S8" i="55"/>
  <c r="S18" i="55"/>
  <c r="U8" i="55"/>
  <c r="U16" i="55"/>
  <c r="T28" i="55"/>
  <c r="U28" i="55"/>
  <c r="S5" i="55"/>
  <c r="S17" i="55"/>
  <c r="S38" i="60"/>
  <c r="S25" i="60"/>
  <c r="U4" i="60"/>
  <c r="V3" i="60"/>
  <c r="S31" i="60"/>
  <c r="W3" i="60"/>
  <c r="S5" i="60"/>
  <c r="S28" i="60"/>
  <c r="S34" i="60"/>
  <c r="S22" i="60"/>
  <c r="S35" i="60"/>
  <c r="S19" i="60"/>
  <c r="S20" i="60"/>
  <c r="S18" i="60"/>
  <c r="S11" i="60"/>
  <c r="S13" i="60"/>
  <c r="U29" i="56"/>
  <c r="S28" i="56"/>
  <c r="U30" i="56"/>
  <c r="S13" i="56"/>
  <c r="S17" i="56"/>
  <c r="V3" i="49"/>
  <c r="U4" i="49"/>
  <c r="T10" i="49"/>
  <c r="U10" i="49"/>
  <c r="S36" i="33"/>
  <c r="S44" i="33"/>
  <c r="S41" i="38"/>
  <c r="S35" i="38"/>
  <c r="U35" i="38"/>
  <c r="S30" i="38"/>
  <c r="S38" i="38"/>
  <c r="S48" i="37"/>
  <c r="S50" i="37"/>
  <c r="U29" i="37"/>
  <c r="S44" i="37"/>
  <c r="S45" i="37"/>
  <c r="S29" i="59"/>
  <c r="U29" i="59"/>
  <c r="S4" i="59"/>
  <c r="S17" i="59"/>
  <c r="S32" i="59"/>
  <c r="S8" i="59"/>
  <c r="S12" i="59"/>
  <c r="S7" i="59"/>
  <c r="S11" i="59"/>
  <c r="S35" i="40"/>
  <c r="S45" i="40"/>
  <c r="S35" i="39"/>
  <c r="S41" i="65"/>
  <c r="U41" i="65"/>
  <c r="S48" i="65"/>
  <c r="U48" i="65"/>
  <c r="S49" i="65"/>
  <c r="S44" i="65"/>
  <c r="S37" i="57"/>
  <c r="S44" i="57"/>
  <c r="S38" i="57"/>
  <c r="S24" i="57"/>
  <c r="S25" i="57"/>
  <c r="S23" i="57"/>
  <c r="S40" i="57"/>
  <c r="S10" i="57"/>
  <c r="S3" i="57"/>
  <c r="U13" i="57"/>
  <c r="T29" i="57"/>
  <c r="T21" i="57"/>
  <c r="U21" i="57"/>
  <c r="T9" i="57"/>
  <c r="U9" i="57"/>
  <c r="S17" i="57"/>
  <c r="U17" i="57"/>
  <c r="U23" i="57"/>
  <c r="V3" i="57"/>
  <c r="W3" i="57" s="1"/>
  <c r="U7" i="57"/>
  <c r="S18" i="57"/>
  <c r="T31" i="57"/>
  <c r="T6" i="57"/>
  <c r="U6" i="57"/>
  <c r="T24" i="57"/>
  <c r="T39" i="57"/>
  <c r="S8" i="57"/>
  <c r="T16" i="57"/>
  <c r="U16" i="57"/>
  <c r="U8" i="57"/>
  <c r="U4" i="57"/>
  <c r="S11" i="57"/>
  <c r="S20" i="57"/>
  <c r="T20" i="57"/>
  <c r="U20" i="57"/>
  <c r="T36" i="57"/>
  <c r="T5" i="57"/>
  <c r="U5" i="57"/>
  <c r="S45" i="36"/>
  <c r="S53" i="36"/>
  <c r="U32" i="36"/>
  <c r="S50" i="36"/>
  <c r="S29" i="54"/>
  <c r="S37" i="54"/>
  <c r="S40" i="54"/>
  <c r="S26" i="54"/>
  <c r="S27" i="54"/>
  <c r="S18" i="54"/>
  <c r="S19" i="54"/>
  <c r="S7" i="54"/>
  <c r="S9" i="54"/>
  <c r="S20" i="54"/>
  <c r="S34" i="30"/>
  <c r="S52" i="23"/>
  <c r="S54" i="23"/>
  <c r="S51" i="23"/>
  <c r="S39" i="25"/>
  <c r="S38" i="28"/>
  <c r="S48" i="28"/>
  <c r="S49" i="28"/>
  <c r="S36" i="28"/>
  <c r="S44" i="26"/>
  <c r="S41" i="53"/>
  <c r="S18" i="53"/>
  <c r="S36" i="53"/>
  <c r="S27" i="53"/>
  <c r="S7" i="53"/>
  <c r="S43" i="53"/>
  <c r="S24" i="53"/>
  <c r="S30" i="53"/>
  <c r="S37" i="53"/>
  <c r="S12" i="53"/>
  <c r="S40" i="53"/>
  <c r="S29" i="18"/>
  <c r="S30" i="18"/>
  <c r="S32" i="18"/>
  <c r="U11" i="18"/>
  <c r="V3" i="18"/>
  <c r="T23" i="18" s="1"/>
  <c r="U5" i="18"/>
  <c r="U8" i="18"/>
  <c r="U12" i="18"/>
  <c r="T18" i="18"/>
  <c r="U18" i="18"/>
  <c r="T28" i="18"/>
  <c r="T13" i="18"/>
  <c r="U13" i="18"/>
  <c r="U22" i="18"/>
  <c r="U20" i="18"/>
  <c r="U23" i="18"/>
  <c r="S34" i="17"/>
  <c r="S41" i="17"/>
  <c r="S47" i="17"/>
  <c r="S27" i="20"/>
  <c r="S42" i="20"/>
  <c r="S36" i="20"/>
  <c r="U36" i="20"/>
  <c r="S33" i="20"/>
  <c r="S28" i="58"/>
  <c r="S35" i="58"/>
  <c r="U35" i="58"/>
  <c r="S14" i="58"/>
  <c r="S30" i="15"/>
  <c r="S45" i="15"/>
  <c r="S32" i="15"/>
  <c r="S31" i="16"/>
  <c r="S34" i="16"/>
  <c r="S42" i="14"/>
  <c r="S43" i="14"/>
  <c r="S50" i="19"/>
  <c r="S45" i="19"/>
  <c r="S33" i="19"/>
  <c r="S49" i="19"/>
  <c r="S28" i="51"/>
  <c r="S41" i="9"/>
  <c r="S37" i="9"/>
  <c r="S44" i="9"/>
  <c r="U44" i="9"/>
  <c r="S45" i="9"/>
  <c r="S50" i="9"/>
  <c r="S51" i="9"/>
  <c r="S42" i="9"/>
  <c r="U42" i="9"/>
  <c r="S43" i="9"/>
  <c r="S53" i="9"/>
  <c r="S52" i="3"/>
  <c r="S54" i="3"/>
  <c r="S49" i="2"/>
  <c r="S50" i="2"/>
  <c r="S52" i="2"/>
  <c r="S53" i="2"/>
  <c r="S55" i="2"/>
  <c r="S47" i="2"/>
  <c r="U23" i="10"/>
  <c r="U14" i="10"/>
  <c r="U27" i="10"/>
  <c r="U24" i="10"/>
  <c r="U6" i="10"/>
  <c r="U3" i="10"/>
  <c r="S31" i="52"/>
  <c r="S32" i="52"/>
  <c r="S4" i="52"/>
  <c r="U4" i="52"/>
  <c r="S30" i="4"/>
  <c r="U4" i="4"/>
  <c r="V3" i="4"/>
  <c r="T27" i="60"/>
  <c r="U7" i="60"/>
  <c r="S19" i="56"/>
  <c r="S11" i="56"/>
  <c r="S14" i="56"/>
  <c r="U18" i="56"/>
  <c r="S26" i="56"/>
  <c r="S18" i="56"/>
  <c r="S15" i="56"/>
  <c r="S10" i="56"/>
  <c r="U28" i="56"/>
  <c r="S16" i="56"/>
  <c r="S7" i="56"/>
  <c r="S27" i="56"/>
  <c r="U17" i="56"/>
  <c r="S22" i="56"/>
  <c r="V3" i="50"/>
  <c r="U10" i="50"/>
  <c r="U19" i="50"/>
  <c r="U12" i="50"/>
  <c r="U29" i="41"/>
  <c r="U54" i="41"/>
  <c r="U37" i="41"/>
  <c r="U31" i="41"/>
  <c r="U42" i="41"/>
  <c r="U15" i="41"/>
  <c r="U3" i="41"/>
  <c r="U21" i="41"/>
  <c r="U18" i="41"/>
  <c r="U40" i="41"/>
  <c r="U43" i="41"/>
  <c r="U17" i="41"/>
  <c r="U33" i="41"/>
  <c r="U44" i="41"/>
  <c r="U35" i="41"/>
  <c r="U49" i="41"/>
  <c r="U47" i="41"/>
  <c r="U7" i="41"/>
  <c r="U50" i="41"/>
  <c r="T29" i="41"/>
  <c r="U24" i="41"/>
  <c r="U27" i="41"/>
  <c r="U16" i="38"/>
  <c r="U7" i="38"/>
  <c r="U13" i="38"/>
  <c r="U20" i="38"/>
  <c r="V3" i="38"/>
  <c r="T7" i="38" s="1"/>
  <c r="U3" i="38"/>
  <c r="U12" i="38"/>
  <c r="U11" i="32"/>
  <c r="U15" i="32"/>
  <c r="V3" i="32"/>
  <c r="U12" i="32"/>
  <c r="U8" i="40"/>
  <c r="U3" i="40"/>
  <c r="U4" i="40"/>
  <c r="U12" i="40"/>
  <c r="U21" i="40"/>
  <c r="V3" i="40"/>
  <c r="T43" i="40" s="1"/>
  <c r="U5" i="40"/>
  <c r="U17" i="40"/>
  <c r="U16" i="40"/>
  <c r="U10" i="40"/>
  <c r="U18" i="40"/>
  <c r="U19" i="40"/>
  <c r="U18" i="34"/>
  <c r="U7" i="34"/>
  <c r="V3" i="34"/>
  <c r="T24" i="34" s="1"/>
  <c r="U14" i="34"/>
  <c r="U24" i="34"/>
  <c r="T51" i="34"/>
  <c r="T45" i="34"/>
  <c r="T38" i="34"/>
  <c r="S9" i="59"/>
  <c r="S16" i="59"/>
  <c r="S10" i="59"/>
  <c r="V3" i="59"/>
  <c r="T18" i="59" s="1"/>
  <c r="U10" i="59"/>
  <c r="U17" i="35"/>
  <c r="U7" i="35"/>
  <c r="V3" i="35"/>
  <c r="T7" i="35" s="1"/>
  <c r="U9" i="35"/>
  <c r="S22" i="65"/>
  <c r="U22" i="65"/>
  <c r="S24" i="65"/>
  <c r="S11" i="65"/>
  <c r="U11" i="65"/>
  <c r="V3" i="39"/>
  <c r="T27" i="39" s="1"/>
  <c r="U6" i="39"/>
  <c r="S39" i="23"/>
  <c r="S47" i="23"/>
  <c r="S29" i="25"/>
  <c r="S7" i="21"/>
  <c r="V3" i="30"/>
  <c r="U16" i="30"/>
  <c r="U14" i="30"/>
  <c r="T12" i="30"/>
  <c r="U12" i="30"/>
  <c r="U15" i="30"/>
  <c r="U24" i="30"/>
  <c r="S32" i="30"/>
  <c r="S25" i="29"/>
  <c r="S28" i="29"/>
  <c r="U12" i="29"/>
  <c r="U8" i="29"/>
  <c r="U22" i="29"/>
  <c r="U11" i="29"/>
  <c r="U23" i="29"/>
  <c r="U19" i="29"/>
  <c r="V3" i="29"/>
  <c r="U5" i="29"/>
  <c r="U28" i="29"/>
  <c r="U20" i="27"/>
  <c r="U3" i="27"/>
  <c r="S32" i="27"/>
  <c r="U6" i="27"/>
  <c r="S33" i="27"/>
  <c r="U28" i="27"/>
  <c r="U34" i="27"/>
  <c r="U7" i="27"/>
  <c r="V3" i="27"/>
  <c r="U16" i="27"/>
  <c r="U29" i="27"/>
  <c r="S36" i="25"/>
  <c r="S47" i="21"/>
  <c r="S48" i="21"/>
  <c r="V3" i="28"/>
  <c r="S8" i="28"/>
  <c r="V3" i="54"/>
  <c r="T35" i="54" s="1"/>
  <c r="T5" i="54"/>
  <c r="S10" i="54"/>
  <c r="T43" i="54"/>
  <c r="S9" i="23"/>
  <c r="S23" i="23"/>
  <c r="V3" i="23"/>
  <c r="S45" i="23"/>
  <c r="S25" i="25"/>
  <c r="V3" i="25"/>
  <c r="S9" i="26"/>
  <c r="S38" i="26"/>
  <c r="S31" i="26"/>
  <c r="V3" i="26"/>
  <c r="S13" i="53"/>
  <c r="S14" i="53"/>
  <c r="V3" i="53"/>
  <c r="T29" i="53" s="1"/>
  <c r="S15" i="53"/>
  <c r="S8" i="53"/>
  <c r="T36" i="53"/>
  <c r="T19" i="53"/>
  <c r="T31" i="53"/>
  <c r="V3" i="17"/>
  <c r="S26" i="20"/>
  <c r="S21" i="58"/>
  <c r="S9" i="58"/>
  <c r="S10" i="58"/>
  <c r="S24" i="58"/>
  <c r="S5" i="58"/>
  <c r="S11" i="58"/>
  <c r="S16" i="58"/>
  <c r="S25" i="58"/>
  <c r="S17" i="58"/>
  <c r="S6" i="58"/>
  <c r="S13" i="58"/>
  <c r="V3" i="15"/>
  <c r="T20" i="15" s="1"/>
  <c r="S24" i="15"/>
  <c r="T35" i="15"/>
  <c r="T17" i="15"/>
  <c r="T23" i="15"/>
  <c r="T31" i="15"/>
  <c r="T38" i="15"/>
  <c r="T44" i="15"/>
  <c r="T3" i="15"/>
  <c r="T10" i="15"/>
  <c r="T32" i="15"/>
  <c r="T39" i="15"/>
  <c r="V3" i="11"/>
  <c r="T45" i="11" s="1"/>
  <c r="S20" i="16"/>
  <c r="S38" i="14"/>
  <c r="S6" i="14"/>
  <c r="S25" i="14"/>
  <c r="V3" i="14"/>
  <c r="V3" i="19"/>
  <c r="T22" i="19" s="1"/>
  <c r="T3" i="19"/>
  <c r="T47" i="19"/>
  <c r="T13" i="19"/>
  <c r="T23" i="19"/>
  <c r="T16" i="19"/>
  <c r="S9" i="19"/>
  <c r="T9" i="19"/>
  <c r="T31" i="19"/>
  <c r="S26" i="5"/>
  <c r="S5" i="51"/>
  <c r="S19" i="51"/>
  <c r="S24" i="51"/>
  <c r="S17" i="51"/>
  <c r="S14" i="51"/>
  <c r="S22" i="51"/>
  <c r="S6" i="51"/>
  <c r="S21" i="51"/>
  <c r="S3" i="51"/>
  <c r="S9" i="51"/>
  <c r="V3" i="51"/>
  <c r="U22" i="51"/>
  <c r="S16" i="51"/>
  <c r="U27" i="2"/>
  <c r="U43" i="2"/>
  <c r="V3" i="2"/>
  <c r="T9" i="2" s="1"/>
  <c r="U17" i="2"/>
  <c r="U22" i="2"/>
  <c r="U34" i="2"/>
  <c r="U8" i="2"/>
  <c r="S39" i="3"/>
  <c r="U39" i="3"/>
  <c r="V3" i="9"/>
  <c r="T31" i="9" s="1"/>
  <c r="S9" i="9"/>
  <c r="S21" i="9"/>
  <c r="S35" i="7"/>
  <c r="S36" i="7"/>
  <c r="S28" i="5"/>
  <c r="S6" i="5"/>
  <c r="V3" i="5"/>
  <c r="T34" i="5" s="1"/>
  <c r="S8" i="5"/>
  <c r="S29" i="5"/>
  <c r="S20" i="52"/>
  <c r="S25" i="66"/>
  <c r="S8" i="66"/>
  <c r="S23" i="66"/>
  <c r="S14" i="66"/>
  <c r="S3" i="66"/>
  <c r="S13" i="66"/>
  <c r="S21" i="66"/>
  <c r="S12" i="66"/>
  <c r="S4" i="66"/>
  <c r="S16" i="66"/>
  <c r="S24" i="66"/>
  <c r="S20" i="66"/>
  <c r="S18" i="66"/>
  <c r="S9" i="66"/>
  <c r="S6" i="66"/>
  <c r="S15" i="66"/>
  <c r="S19" i="66"/>
  <c r="S22" i="66"/>
  <c r="V3" i="66"/>
  <c r="T15" i="66" s="1"/>
  <c r="S5" i="66"/>
  <c r="S17" i="66"/>
  <c r="S11" i="66"/>
  <c r="S26" i="66"/>
  <c r="S10" i="66"/>
  <c r="S7" i="66"/>
  <c r="S28" i="42"/>
  <c r="V3" i="42"/>
  <c r="S18" i="43"/>
  <c r="V3" i="43"/>
  <c r="V3" i="47"/>
  <c r="S34" i="44"/>
  <c r="V3" i="44"/>
  <c r="T10" i="44" s="1"/>
  <c r="S4" i="45"/>
  <c r="S44" i="45"/>
  <c r="S5" i="45"/>
  <c r="S47" i="45"/>
  <c r="V3" i="45"/>
  <c r="T4" i="45" s="1"/>
  <c r="S29" i="65"/>
  <c r="S14" i="65"/>
  <c r="S27" i="65"/>
  <c r="S18" i="65"/>
  <c r="S5" i="65"/>
  <c r="S10" i="65"/>
  <c r="S12" i="65"/>
  <c r="S7" i="65"/>
  <c r="S20" i="65"/>
  <c r="S17" i="65"/>
  <c r="S9" i="65"/>
  <c r="S16" i="65"/>
  <c r="S23" i="65"/>
  <c r="S13" i="65"/>
  <c r="V3" i="65"/>
  <c r="T50" i="65" s="1"/>
  <c r="S45" i="65"/>
  <c r="S21" i="65"/>
  <c r="S30" i="65"/>
  <c r="S42" i="65"/>
  <c r="S19" i="65"/>
  <c r="S28" i="65"/>
  <c r="S15" i="65"/>
  <c r="S32" i="65"/>
  <c r="S4" i="65"/>
  <c r="S3" i="65"/>
  <c r="S6" i="65"/>
  <c r="S25" i="65"/>
  <c r="S34" i="65"/>
  <c r="S8" i="65"/>
  <c r="S26" i="65"/>
  <c r="S40" i="65"/>
  <c r="S37" i="65"/>
  <c r="S53" i="65"/>
  <c r="S47" i="65"/>
  <c r="V3" i="33"/>
  <c r="T8" i="33" s="1"/>
  <c r="V3" i="31"/>
  <c r="T13" i="31" s="1"/>
  <c r="V3" i="37"/>
  <c r="T31" i="37" s="1"/>
  <c r="T26" i="39"/>
  <c r="T14" i="39"/>
  <c r="V3" i="36"/>
  <c r="T3" i="36" s="1"/>
  <c r="S13" i="64"/>
  <c r="S19" i="64"/>
  <c r="S23" i="64"/>
  <c r="S9" i="64"/>
  <c r="S4" i="64"/>
  <c r="S10" i="64"/>
  <c r="S7" i="64"/>
  <c r="S17" i="64"/>
  <c r="S21" i="64"/>
  <c r="S20" i="64"/>
  <c r="S3" i="64"/>
  <c r="S15" i="64"/>
  <c r="V3" i="64"/>
  <c r="W3" i="64" s="1"/>
  <c r="S24" i="64"/>
  <c r="S12" i="64"/>
  <c r="S6" i="64"/>
  <c r="S11" i="64"/>
  <c r="S14" i="64"/>
  <c r="S8" i="64"/>
  <c r="S16" i="64"/>
  <c r="S18" i="64"/>
  <c r="S22" i="64"/>
  <c r="S5" i="64"/>
  <c r="S48" i="22"/>
  <c r="S42" i="22"/>
  <c r="S47" i="22"/>
  <c r="S44" i="22"/>
  <c r="S45" i="22"/>
  <c r="S6" i="22"/>
  <c r="S16" i="22"/>
  <c r="V3" i="22"/>
  <c r="T44" i="22" s="1"/>
  <c r="S51" i="24"/>
  <c r="S35" i="24"/>
  <c r="S49" i="24"/>
  <c r="S46" i="24"/>
  <c r="S9" i="24"/>
  <c r="V3" i="24"/>
  <c r="S32" i="24"/>
  <c r="S43" i="24"/>
  <c r="S52" i="24"/>
  <c r="S34" i="24"/>
  <c r="S15" i="21"/>
  <c r="S13" i="21"/>
  <c r="S41" i="21"/>
  <c r="V3" i="21"/>
  <c r="T42" i="21" s="1"/>
  <c r="S31" i="63"/>
  <c r="S32" i="63"/>
  <c r="S34" i="63"/>
  <c r="S17" i="63"/>
  <c r="S19" i="63"/>
  <c r="S12" i="63"/>
  <c r="S8" i="63"/>
  <c r="S25" i="63"/>
  <c r="S21" i="63"/>
  <c r="S3" i="63"/>
  <c r="S28" i="63"/>
  <c r="V3" i="63"/>
  <c r="S4" i="63"/>
  <c r="S15" i="63"/>
  <c r="S18" i="63"/>
  <c r="S22" i="63"/>
  <c r="S14" i="63"/>
  <c r="S5" i="63"/>
  <c r="S6" i="63"/>
  <c r="S11" i="63"/>
  <c r="S23" i="63"/>
  <c r="S7" i="63"/>
  <c r="S13" i="63"/>
  <c r="S24" i="63"/>
  <c r="S33" i="63"/>
  <c r="S20" i="63"/>
  <c r="S27" i="63"/>
  <c r="S30" i="63"/>
  <c r="S10" i="63"/>
  <c r="S9" i="63"/>
  <c r="S26" i="63"/>
  <c r="S16" i="63"/>
  <c r="S29" i="63"/>
  <c r="S35" i="63"/>
  <c r="S22" i="62"/>
  <c r="S8" i="62"/>
  <c r="S3" i="62"/>
  <c r="S5" i="62"/>
  <c r="S11" i="62"/>
  <c r="S15" i="62"/>
  <c r="S18" i="62"/>
  <c r="S7" i="62"/>
  <c r="V3" i="62"/>
  <c r="S6" i="62"/>
  <c r="S9" i="62"/>
  <c r="S19" i="62"/>
  <c r="S12" i="62"/>
  <c r="S29" i="62"/>
  <c r="S14" i="62"/>
  <c r="S17" i="62"/>
  <c r="S4" i="62"/>
  <c r="S30" i="62"/>
  <c r="S21" i="62"/>
  <c r="S23" i="62"/>
  <c r="S27" i="62"/>
  <c r="S10" i="62"/>
  <c r="S24" i="62"/>
  <c r="S16" i="62"/>
  <c r="S13" i="62"/>
  <c r="S20" i="62"/>
  <c r="S31" i="62"/>
  <c r="S40" i="13"/>
  <c r="S42" i="13"/>
  <c r="S43" i="13"/>
  <c r="S44" i="13"/>
  <c r="S46" i="13"/>
  <c r="S41" i="13"/>
  <c r="S33" i="13"/>
  <c r="V3" i="13"/>
  <c r="T31" i="13" s="1"/>
  <c r="V3" i="16"/>
  <c r="V3" i="12"/>
  <c r="T15" i="12" s="1"/>
  <c r="S55" i="1"/>
  <c r="S36" i="1"/>
  <c r="S18" i="1"/>
  <c r="S11" i="1"/>
  <c r="V3" i="1"/>
  <c r="T37" i="1" s="1"/>
  <c r="S37" i="1"/>
  <c r="S49" i="1"/>
  <c r="S45" i="1"/>
  <c r="S44" i="6"/>
  <c r="S43" i="6"/>
  <c r="S11" i="6"/>
  <c r="S38" i="6"/>
  <c r="S27" i="6"/>
  <c r="S25" i="6"/>
  <c r="V3" i="6"/>
  <c r="T7" i="6" s="1"/>
  <c r="S11" i="3"/>
  <c r="V3" i="3"/>
  <c r="T16" i="3" s="1"/>
  <c r="S29" i="52"/>
  <c r="S12" i="52"/>
  <c r="S26" i="52"/>
  <c r="S5" i="52"/>
  <c r="S28" i="52"/>
  <c r="S11" i="52"/>
  <c r="S24" i="52"/>
  <c r="S3" i="52"/>
  <c r="S21" i="52"/>
  <c r="S15" i="52"/>
  <c r="S10" i="52"/>
  <c r="S22" i="52"/>
  <c r="S18" i="52"/>
  <c r="S7" i="52"/>
  <c r="V3" i="52"/>
  <c r="S35" i="4"/>
  <c r="S33" i="4"/>
  <c r="S29" i="4"/>
  <c r="S32" i="4"/>
  <c r="T3" i="49"/>
  <c r="T6" i="49"/>
  <c r="T5" i="49"/>
  <c r="T22" i="49"/>
  <c r="T7" i="49"/>
  <c r="T21" i="49"/>
  <c r="T46" i="41"/>
  <c r="T39" i="41"/>
  <c r="U27" i="56"/>
  <c r="V3" i="56"/>
  <c r="T27" i="56" s="1"/>
  <c r="T25" i="60"/>
  <c r="S8" i="60"/>
  <c r="S32" i="60"/>
  <c r="S7" i="60"/>
  <c r="S15" i="60"/>
  <c r="S23" i="60"/>
  <c r="S29" i="60"/>
  <c r="T7" i="60"/>
  <c r="S6" i="60"/>
  <c r="S26" i="60"/>
  <c r="S42" i="60"/>
  <c r="S16" i="60"/>
  <c r="S36" i="60"/>
  <c r="S4" i="60"/>
  <c r="S33" i="60"/>
  <c r="S14" i="60"/>
  <c r="S30" i="60"/>
  <c r="S10" i="60"/>
  <c r="S21" i="60"/>
  <c r="S27" i="60"/>
  <c r="S43" i="60"/>
  <c r="S9" i="60"/>
  <c r="S40" i="60"/>
  <c r="S17" i="60"/>
  <c r="S24" i="60"/>
  <c r="S37" i="60"/>
  <c r="S12" i="60"/>
  <c r="S41" i="60"/>
  <c r="S6" i="56"/>
  <c r="S25" i="56"/>
  <c r="S8" i="56"/>
  <c r="S12" i="56"/>
  <c r="S24" i="56"/>
  <c r="S20" i="56"/>
  <c r="S3" i="56"/>
  <c r="S21" i="56"/>
  <c r="S5" i="56"/>
  <c r="S9" i="56"/>
  <c r="S4" i="56"/>
  <c r="S23" i="56"/>
  <c r="T52" i="46"/>
  <c r="T24" i="46"/>
  <c r="T46" i="46"/>
  <c r="T29" i="46"/>
  <c r="T12" i="46"/>
  <c r="T49" i="46"/>
  <c r="T36" i="46"/>
  <c r="T26" i="46"/>
  <c r="T41" i="46"/>
  <c r="T5" i="46"/>
  <c r="T15" i="46"/>
  <c r="T14" i="46"/>
  <c r="T47" i="46"/>
  <c r="T34" i="46"/>
  <c r="T16" i="46"/>
  <c r="T50" i="46"/>
  <c r="T30" i="46"/>
  <c r="T10" i="46"/>
  <c r="T18" i="46"/>
  <c r="T40" i="46"/>
  <c r="T22" i="46"/>
  <c r="T11" i="46"/>
  <c r="T8" i="46"/>
  <c r="T23" i="46"/>
  <c r="T33" i="46"/>
  <c r="T53" i="46"/>
  <c r="T3" i="46"/>
  <c r="T31" i="46"/>
  <c r="T42" i="46"/>
  <c r="T55" i="46"/>
  <c r="T20" i="46"/>
  <c r="T9" i="46"/>
  <c r="T37" i="46"/>
  <c r="T44" i="46"/>
  <c r="T56" i="46"/>
  <c r="S44" i="46"/>
  <c r="S41" i="46"/>
  <c r="S38" i="46"/>
  <c r="S54" i="46"/>
  <c r="S51" i="46"/>
  <c r="S48" i="46"/>
  <c r="S45" i="46"/>
  <c r="S42" i="46"/>
  <c r="S39" i="46"/>
  <c r="S55" i="46"/>
  <c r="S40" i="46"/>
  <c r="S56" i="46"/>
  <c r="T23" i="49"/>
  <c r="T19" i="49"/>
  <c r="T25" i="49"/>
  <c r="T18" i="49"/>
  <c r="T27" i="49"/>
  <c r="T20" i="49"/>
  <c r="T9" i="49"/>
  <c r="T16" i="49"/>
  <c r="T17" i="49"/>
  <c r="T4" i="49"/>
  <c r="T26" i="49"/>
  <c r="T14" i="49"/>
  <c r="T15" i="49"/>
  <c r="T13" i="49"/>
  <c r="T11" i="49"/>
  <c r="T12" i="49"/>
  <c r="T24" i="49"/>
  <c r="T8" i="49"/>
  <c r="T51" i="55"/>
  <c r="T35" i="55"/>
  <c r="T20" i="55"/>
  <c r="T5" i="55"/>
  <c r="T31" i="55"/>
  <c r="T19" i="55"/>
  <c r="T34" i="55"/>
  <c r="T25" i="55"/>
  <c r="T26" i="55"/>
  <c r="T55" i="55"/>
  <c r="T27" i="55"/>
  <c r="T56" i="55"/>
  <c r="S12" i="55"/>
  <c r="S28" i="55"/>
  <c r="S44" i="55"/>
  <c r="S4" i="55"/>
  <c r="S13" i="55"/>
  <c r="T12" i="55"/>
  <c r="S27" i="55"/>
  <c r="S41" i="55"/>
  <c r="S23" i="55"/>
  <c r="S48" i="55"/>
  <c r="S7" i="55"/>
  <c r="S15" i="55"/>
  <c r="S39" i="55"/>
  <c r="S55" i="55"/>
  <c r="S3" i="55"/>
  <c r="S16" i="55"/>
  <c r="S36" i="55"/>
  <c r="S52" i="55"/>
  <c r="S24" i="55"/>
  <c r="S33" i="55"/>
  <c r="S49" i="55"/>
  <c r="S10" i="55"/>
  <c r="S30" i="55"/>
  <c r="S46" i="55"/>
  <c r="S11" i="55"/>
  <c r="S22" i="55"/>
  <c r="S43" i="55"/>
  <c r="S6" i="55"/>
  <c r="S26" i="55"/>
  <c r="S40" i="55"/>
  <c r="S56" i="55"/>
  <c r="S41" i="33"/>
  <c r="S38" i="33"/>
  <c r="S35" i="33"/>
  <c r="S51" i="33"/>
  <c r="S48" i="33"/>
  <c r="S45" i="33"/>
  <c r="S42" i="33"/>
  <c r="S39" i="33"/>
  <c r="S43" i="33"/>
  <c r="S40" i="33"/>
  <c r="S37" i="33"/>
  <c r="S53" i="33"/>
  <c r="T10" i="38"/>
  <c r="T30" i="38"/>
  <c r="T37" i="38"/>
  <c r="T8" i="38"/>
  <c r="T38" i="38"/>
  <c r="T19" i="38"/>
  <c r="T25" i="38"/>
  <c r="T40" i="38"/>
  <c r="T24" i="38"/>
  <c r="T14" i="38"/>
  <c r="T43" i="38"/>
  <c r="T27" i="38"/>
  <c r="T17" i="38"/>
  <c r="T4" i="38"/>
  <c r="T18" i="38"/>
  <c r="T45" i="38"/>
  <c r="T29" i="38"/>
  <c r="T5" i="38"/>
  <c r="T41" i="38"/>
  <c r="T6" i="38"/>
  <c r="T15" i="38"/>
  <c r="T31" i="38"/>
  <c r="T44" i="38"/>
  <c r="T11" i="38"/>
  <c r="T26" i="38"/>
  <c r="T32" i="38"/>
  <c r="T22" i="38"/>
  <c r="T39" i="38"/>
  <c r="T33" i="38"/>
  <c r="T46" i="38"/>
  <c r="T23" i="38"/>
  <c r="T34" i="38"/>
  <c r="T9" i="38"/>
  <c r="T21" i="38"/>
  <c r="T28" i="38"/>
  <c r="T47" i="38"/>
  <c r="T12" i="38"/>
  <c r="S32" i="38"/>
  <c r="T35" i="38"/>
  <c r="T3" i="38"/>
  <c r="S29" i="38"/>
  <c r="S45" i="38"/>
  <c r="S42" i="38"/>
  <c r="S39" i="38"/>
  <c r="S36" i="38"/>
  <c r="S33" i="38"/>
  <c r="S37" i="38"/>
  <c r="S34" i="38"/>
  <c r="S31" i="38"/>
  <c r="S47" i="38"/>
  <c r="S28" i="31"/>
  <c r="S44" i="31"/>
  <c r="S41" i="31"/>
  <c r="S38" i="31"/>
  <c r="S54" i="31"/>
  <c r="S35" i="31"/>
  <c r="S51" i="31"/>
  <c r="S32" i="31"/>
  <c r="S48" i="31"/>
  <c r="S29" i="31"/>
  <c r="S45" i="31"/>
  <c r="S42" i="31"/>
  <c r="S30" i="31"/>
  <c r="S46" i="31"/>
  <c r="S27" i="31"/>
  <c r="S43" i="31"/>
  <c r="S40" i="31"/>
  <c r="S56" i="31"/>
  <c r="T45" i="32"/>
  <c r="T51" i="32"/>
  <c r="T6" i="32"/>
  <c r="T20" i="32"/>
  <c r="T22" i="32"/>
  <c r="T28" i="32"/>
  <c r="T52" i="32"/>
  <c r="T14" i="32"/>
  <c r="T7" i="32"/>
  <c r="T29" i="32"/>
  <c r="T35" i="32"/>
  <c r="T53" i="32"/>
  <c r="T17" i="32"/>
  <c r="T36" i="32"/>
  <c r="T42" i="32"/>
  <c r="T56" i="32"/>
  <c r="T40" i="32"/>
  <c r="T25" i="32"/>
  <c r="T16" i="32"/>
  <c r="T43" i="32"/>
  <c r="T27" i="32"/>
  <c r="T11" i="32"/>
  <c r="T46" i="32"/>
  <c r="T30" i="32"/>
  <c r="T33" i="32"/>
  <c r="T4" i="32"/>
  <c r="T55" i="32"/>
  <c r="T39" i="32"/>
  <c r="T8" i="32"/>
  <c r="T10" i="32"/>
  <c r="T41" i="32"/>
  <c r="T9" i="32"/>
  <c r="T19" i="32"/>
  <c r="T13" i="32"/>
  <c r="T47" i="32"/>
  <c r="T31" i="32"/>
  <c r="T23" i="32"/>
  <c r="T50" i="32"/>
  <c r="T34" i="32"/>
  <c r="T21" i="32"/>
  <c r="T54" i="32"/>
  <c r="T26" i="32"/>
  <c r="T48" i="32"/>
  <c r="T5" i="32"/>
  <c r="T18" i="32"/>
  <c r="T37" i="32"/>
  <c r="T49" i="32"/>
  <c r="T24" i="32"/>
  <c r="T3" i="32"/>
  <c r="T44" i="32"/>
  <c r="S28" i="32"/>
  <c r="S44" i="32"/>
  <c r="S38" i="32"/>
  <c r="S54" i="32"/>
  <c r="T12" i="32"/>
  <c r="S35" i="32"/>
  <c r="S51" i="32"/>
  <c r="S32" i="32"/>
  <c r="S48" i="32"/>
  <c r="S29" i="32"/>
  <c r="S45" i="32"/>
  <c r="S42" i="32"/>
  <c r="S39" i="32"/>
  <c r="S55" i="32"/>
  <c r="S49" i="32"/>
  <c r="S37" i="32"/>
  <c r="S53" i="32"/>
  <c r="T55" i="41"/>
  <c r="T11" i="41"/>
  <c r="T4" i="41"/>
  <c r="T23" i="41"/>
  <c r="T21" i="41"/>
  <c r="T53" i="41"/>
  <c r="T6" i="41"/>
  <c r="T19" i="41"/>
  <c r="T20" i="41"/>
  <c r="T17" i="41"/>
  <c r="T25" i="41"/>
  <c r="T45" i="41"/>
  <c r="T34" i="41"/>
  <c r="T12" i="41"/>
  <c r="T16" i="41"/>
  <c r="T5" i="41"/>
  <c r="T37" i="41"/>
  <c r="T40" i="41"/>
  <c r="T49" i="41"/>
  <c r="S39" i="37"/>
  <c r="S36" i="37"/>
  <c r="S33" i="37"/>
  <c r="S49" i="37"/>
  <c r="S46" i="37"/>
  <c r="S43" i="37"/>
  <c r="S40" i="37"/>
  <c r="S41" i="37"/>
  <c r="S38" i="37"/>
  <c r="S35" i="37"/>
  <c r="S51" i="37"/>
  <c r="T17" i="59"/>
  <c r="T24" i="59"/>
  <c r="T30" i="59"/>
  <c r="T41" i="59"/>
  <c r="T25" i="59"/>
  <c r="T8" i="59"/>
  <c r="T28" i="59"/>
  <c r="T16" i="59"/>
  <c r="T27" i="59"/>
  <c r="T15" i="59"/>
  <c r="T35" i="59"/>
  <c r="T4" i="59"/>
  <c r="T19" i="59"/>
  <c r="T36" i="59"/>
  <c r="T20" i="59"/>
  <c r="T32" i="59"/>
  <c r="T9" i="59"/>
  <c r="T31" i="59"/>
  <c r="T37" i="59"/>
  <c r="T6" i="59"/>
  <c r="T38" i="59"/>
  <c r="T11" i="59"/>
  <c r="T3" i="59"/>
  <c r="T26" i="59"/>
  <c r="T21" i="59"/>
  <c r="T39" i="59"/>
  <c r="T5" i="59"/>
  <c r="T13" i="59"/>
  <c r="T33" i="59"/>
  <c r="T22" i="59"/>
  <c r="T40" i="59"/>
  <c r="T12" i="59"/>
  <c r="T34" i="59"/>
  <c r="T14" i="59"/>
  <c r="T7" i="59"/>
  <c r="T23" i="59"/>
  <c r="T10" i="59"/>
  <c r="S5" i="59"/>
  <c r="S23" i="59"/>
  <c r="S39" i="59"/>
  <c r="S20" i="59"/>
  <c r="S36" i="59"/>
  <c r="S3" i="59"/>
  <c r="S18" i="59"/>
  <c r="S33" i="59"/>
  <c r="T29" i="59"/>
  <c r="S14" i="59"/>
  <c r="S30" i="59"/>
  <c r="S15" i="59"/>
  <c r="S27" i="59"/>
  <c r="S6" i="59"/>
  <c r="S21" i="59"/>
  <c r="S37" i="59"/>
  <c r="S34" i="59"/>
  <c r="S13" i="59"/>
  <c r="T42" i="40"/>
  <c r="T26" i="40"/>
  <c r="T20" i="40"/>
  <c r="T13" i="40"/>
  <c r="S37" i="40"/>
  <c r="S34" i="40"/>
  <c r="S31" i="40"/>
  <c r="S47" i="40"/>
  <c r="S44" i="40"/>
  <c r="S41" i="40"/>
  <c r="S42" i="40"/>
  <c r="S36" i="40"/>
  <c r="S33" i="40"/>
  <c r="S49" i="40"/>
  <c r="T45" i="35"/>
  <c r="T26" i="35"/>
  <c r="T5" i="35"/>
  <c r="T28" i="35"/>
  <c r="T40" i="35"/>
  <c r="T51" i="35"/>
  <c r="T19" i="35"/>
  <c r="T18" i="35"/>
  <c r="T41" i="35"/>
  <c r="T52" i="35"/>
  <c r="T35" i="35"/>
  <c r="T16" i="35"/>
  <c r="T29" i="35"/>
  <c r="T36" i="35"/>
  <c r="T14" i="35"/>
  <c r="T6" i="35"/>
  <c r="T43" i="35"/>
  <c r="T48" i="35"/>
  <c r="T54" i="35"/>
  <c r="T55" i="35"/>
  <c r="T39" i="35"/>
  <c r="T22" i="35"/>
  <c r="T13" i="35"/>
  <c r="T42" i="35"/>
  <c r="T30" i="35"/>
  <c r="T20" i="35"/>
  <c r="T34" i="35"/>
  <c r="T24" i="35"/>
  <c r="T50" i="35"/>
  <c r="T33" i="35"/>
  <c r="T47" i="35"/>
  <c r="T27" i="35"/>
  <c r="T12" i="35"/>
  <c r="T49" i="35"/>
  <c r="T15" i="35"/>
  <c r="T53" i="35"/>
  <c r="T37" i="35"/>
  <c r="T4" i="35"/>
  <c r="T10" i="35"/>
  <c r="T25" i="35"/>
  <c r="T46" i="35"/>
  <c r="T21" i="35"/>
  <c r="T11" i="35"/>
  <c r="T23" i="35"/>
  <c r="T8" i="35"/>
  <c r="T32" i="35"/>
  <c r="T38" i="35"/>
  <c r="T44" i="35"/>
  <c r="S43" i="35"/>
  <c r="T17" i="35"/>
  <c r="S40" i="35"/>
  <c r="T9" i="35"/>
  <c r="S37" i="35"/>
  <c r="S53" i="35"/>
  <c r="S44" i="35"/>
  <c r="S41" i="35"/>
  <c r="S38" i="35"/>
  <c r="S54" i="35"/>
  <c r="S51" i="35"/>
  <c r="S48" i="35"/>
  <c r="S52" i="35"/>
  <c r="T34" i="39"/>
  <c r="T37" i="39"/>
  <c r="T21" i="39"/>
  <c r="T40" i="39"/>
  <c r="T24" i="39"/>
  <c r="T5" i="39"/>
  <c r="T22" i="39"/>
  <c r="T33" i="39"/>
  <c r="T9" i="39"/>
  <c r="T29" i="39"/>
  <c r="T20" i="39"/>
  <c r="T16" i="39"/>
  <c r="T6" i="39"/>
  <c r="T38" i="39"/>
  <c r="T35" i="39"/>
  <c r="T12" i="39"/>
  <c r="T11" i="39"/>
  <c r="T28" i="39"/>
  <c r="T3" i="39"/>
  <c r="T17" i="39"/>
  <c r="T41" i="39"/>
  <c r="T8" i="39"/>
  <c r="T23" i="39"/>
  <c r="T10" i="39"/>
  <c r="T18" i="39"/>
  <c r="T30" i="39"/>
  <c r="T4" i="39"/>
  <c r="T36" i="39"/>
  <c r="T42" i="39"/>
  <c r="T7" i="39"/>
  <c r="T19" i="39"/>
  <c r="T31" i="39"/>
  <c r="T43" i="39"/>
  <c r="T25" i="39"/>
  <c r="T13" i="39"/>
  <c r="T32" i="39"/>
  <c r="T15" i="39"/>
  <c r="T44" i="39"/>
  <c r="S32" i="39"/>
  <c r="S29" i="39"/>
  <c r="S26" i="39"/>
  <c r="S42" i="39"/>
  <c r="S39" i="39"/>
  <c r="S36" i="39"/>
  <c r="S33" i="39"/>
  <c r="S34" i="39"/>
  <c r="S31" i="39"/>
  <c r="S28" i="39"/>
  <c r="S44" i="39"/>
  <c r="T20" i="34"/>
  <c r="T28" i="34"/>
  <c r="T46" i="34"/>
  <c r="T4" i="34"/>
  <c r="T3" i="34"/>
  <c r="T10" i="34"/>
  <c r="T40" i="34"/>
  <c r="T8" i="34"/>
  <c r="T27" i="34"/>
  <c r="T53" i="34"/>
  <c r="T29" i="34"/>
  <c r="T35" i="34"/>
  <c r="T17" i="34"/>
  <c r="T48" i="34"/>
  <c r="T12" i="34"/>
  <c r="T30" i="34"/>
  <c r="T42" i="34"/>
  <c r="T54" i="34"/>
  <c r="T9" i="34"/>
  <c r="T43" i="34"/>
  <c r="T18" i="34"/>
  <c r="T49" i="34"/>
  <c r="T33" i="34"/>
  <c r="T25" i="34"/>
  <c r="T52" i="34"/>
  <c r="T36" i="34"/>
  <c r="T13" i="34"/>
  <c r="T11" i="34"/>
  <c r="T55" i="34"/>
  <c r="T39" i="34"/>
  <c r="T5" i="34"/>
  <c r="T19" i="34"/>
  <c r="T34" i="34"/>
  <c r="T50" i="34"/>
  <c r="T41" i="34"/>
  <c r="T6" i="34"/>
  <c r="T22" i="34"/>
  <c r="T23" i="34"/>
  <c r="T47" i="34"/>
  <c r="T31" i="34"/>
  <c r="T15" i="34"/>
  <c r="T21" i="34"/>
  <c r="T16" i="34"/>
  <c r="T26" i="34"/>
  <c r="T37" i="34"/>
  <c r="T44" i="34"/>
  <c r="T56" i="34"/>
  <c r="S44" i="34"/>
  <c r="S41" i="34"/>
  <c r="S38" i="34"/>
  <c r="S54" i="34"/>
  <c r="T14" i="34"/>
  <c r="S35" i="34"/>
  <c r="S51" i="34"/>
  <c r="S32" i="34"/>
  <c r="S48" i="34"/>
  <c r="S29" i="34"/>
  <c r="S45" i="34"/>
  <c r="S42" i="34"/>
  <c r="S30" i="34"/>
  <c r="S46" i="34"/>
  <c r="S43" i="34"/>
  <c r="S40" i="34"/>
  <c r="S56" i="34"/>
  <c r="T43" i="57"/>
  <c r="T38" i="57"/>
  <c r="T34" i="57"/>
  <c r="T10" i="57"/>
  <c r="T37" i="57"/>
  <c r="T11" i="57"/>
  <c r="T22" i="57"/>
  <c r="T25" i="57"/>
  <c r="T12" i="57"/>
  <c r="T41" i="57"/>
  <c r="T18" i="57"/>
  <c r="T42" i="57"/>
  <c r="T26" i="57"/>
  <c r="T19" i="57"/>
  <c r="T3" i="57"/>
  <c r="T32" i="57"/>
  <c r="T44" i="57"/>
  <c r="T33" i="57"/>
  <c r="T27" i="57"/>
  <c r="T46" i="57"/>
  <c r="T15" i="57"/>
  <c r="T14" i="57"/>
  <c r="T28" i="57"/>
  <c r="T40" i="57"/>
  <c r="T35" i="57"/>
  <c r="T47" i="57"/>
  <c r="T7" i="57"/>
  <c r="S15" i="57"/>
  <c r="S29" i="57"/>
  <c r="S45" i="57"/>
  <c r="S16" i="57"/>
  <c r="S7" i="57"/>
  <c r="S13" i="57"/>
  <c r="S19" i="57"/>
  <c r="S26" i="57"/>
  <c r="S42" i="57"/>
  <c r="S14" i="57"/>
  <c r="S36" i="57"/>
  <c r="S9" i="57"/>
  <c r="S33" i="57"/>
  <c r="S35" i="57"/>
  <c r="S5" i="57"/>
  <c r="S30" i="57"/>
  <c r="S46" i="57"/>
  <c r="S6" i="57"/>
  <c r="S27" i="57"/>
  <c r="S43" i="57"/>
  <c r="S4" i="57"/>
  <c r="S21" i="57"/>
  <c r="S31" i="57"/>
  <c r="S47" i="57"/>
  <c r="T6" i="36"/>
  <c r="S42" i="36"/>
  <c r="S39" i="36"/>
  <c r="S36" i="36"/>
  <c r="S52" i="36"/>
  <c r="S49" i="36"/>
  <c r="S46" i="36"/>
  <c r="S43" i="36"/>
  <c r="S40" i="36"/>
  <c r="S44" i="36"/>
  <c r="S41" i="36"/>
  <c r="S38" i="36"/>
  <c r="S54" i="36"/>
  <c r="S39" i="22"/>
  <c r="S5" i="22"/>
  <c r="S49" i="22"/>
  <c r="S46" i="22"/>
  <c r="S43" i="22"/>
  <c r="S25" i="22"/>
  <c r="S41" i="22"/>
  <c r="S38" i="22"/>
  <c r="S37" i="22"/>
  <c r="S51" i="22"/>
  <c r="T6" i="30"/>
  <c r="T26" i="30"/>
  <c r="T20" i="30"/>
  <c r="T29" i="30"/>
  <c r="T10" i="30"/>
  <c r="T3" i="30"/>
  <c r="T12" i="27"/>
  <c r="T10" i="27"/>
  <c r="T30" i="27"/>
  <c r="T13" i="27"/>
  <c r="T17" i="27"/>
  <c r="T14" i="27"/>
  <c r="T25" i="27"/>
  <c r="T32" i="27"/>
  <c r="T18" i="27"/>
  <c r="T11" i="26"/>
  <c r="T25" i="26"/>
  <c r="T27" i="26"/>
  <c r="T41" i="26"/>
  <c r="T18" i="26"/>
  <c r="T32" i="26"/>
  <c r="T31" i="26"/>
  <c r="T5" i="26"/>
  <c r="T4" i="26"/>
  <c r="T42" i="26"/>
  <c r="T6" i="26"/>
  <c r="T10" i="26"/>
  <c r="T3" i="26"/>
  <c r="T19" i="11"/>
  <c r="T23" i="11"/>
  <c r="T47" i="11"/>
  <c r="T5" i="11"/>
  <c r="T35" i="11"/>
  <c r="T28" i="11"/>
  <c r="T48" i="11"/>
  <c r="T18" i="11"/>
  <c r="T34" i="11"/>
  <c r="S14" i="24"/>
  <c r="S50" i="24"/>
  <c r="T21" i="54"/>
  <c r="T4" i="54"/>
  <c r="T33" i="54"/>
  <c r="T9" i="54"/>
  <c r="S17" i="54"/>
  <c r="S23" i="54"/>
  <c r="S34" i="54"/>
  <c r="S6" i="54"/>
  <c r="S4" i="54"/>
  <c r="S21" i="54"/>
  <c r="S31" i="54"/>
  <c r="S5" i="54"/>
  <c r="S28" i="54"/>
  <c r="S44" i="54"/>
  <c r="S3" i="54"/>
  <c r="S25" i="54"/>
  <c r="S41" i="54"/>
  <c r="S13" i="54"/>
  <c r="S38" i="54"/>
  <c r="S8" i="54"/>
  <c r="S24" i="54"/>
  <c r="S35" i="54"/>
  <c r="S11" i="54"/>
  <c r="S32" i="54"/>
  <c r="S12" i="54"/>
  <c r="S36" i="54"/>
  <c r="S16" i="54"/>
  <c r="S22" i="54"/>
  <c r="S33" i="54"/>
  <c r="S15" i="54"/>
  <c r="S30" i="54"/>
  <c r="S46" i="54"/>
  <c r="T4" i="30"/>
  <c r="T24" i="30"/>
  <c r="T15" i="30"/>
  <c r="T14" i="30"/>
  <c r="T34" i="30"/>
  <c r="T9" i="30"/>
  <c r="T18" i="30"/>
  <c r="T21" i="30"/>
  <c r="T31" i="30"/>
  <c r="T11" i="30"/>
  <c r="T16" i="30"/>
  <c r="T30" i="30"/>
  <c r="T23" i="30"/>
  <c r="T17" i="30"/>
  <c r="T32" i="30"/>
  <c r="T7" i="30"/>
  <c r="T27" i="30"/>
  <c r="T33" i="30"/>
  <c r="T5" i="30"/>
  <c r="T22" i="30"/>
  <c r="T28" i="30"/>
  <c r="T13" i="30"/>
  <c r="T25" i="30"/>
  <c r="T19" i="30"/>
  <c r="T8" i="30"/>
  <c r="T35" i="30"/>
  <c r="S33" i="30"/>
  <c r="S35" i="30"/>
  <c r="T15" i="29"/>
  <c r="S27" i="29"/>
  <c r="S29" i="29"/>
  <c r="T24" i="27"/>
  <c r="T23" i="27"/>
  <c r="T5" i="27"/>
  <c r="T28" i="27"/>
  <c r="T3" i="27"/>
  <c r="T8" i="27"/>
  <c r="T29" i="27"/>
  <c r="T31" i="27"/>
  <c r="T9" i="27"/>
  <c r="T15" i="27"/>
  <c r="T11" i="27"/>
  <c r="T19" i="27"/>
  <c r="T7" i="27"/>
  <c r="T21" i="27"/>
  <c r="T33" i="27"/>
  <c r="T26" i="27"/>
  <c r="T4" i="27"/>
  <c r="T22" i="27"/>
  <c r="T27" i="27"/>
  <c r="T35" i="27"/>
  <c r="T36" i="27"/>
  <c r="S34" i="27"/>
  <c r="T16" i="27"/>
  <c r="S31" i="27"/>
  <c r="S35" i="27"/>
  <c r="S36" i="27"/>
  <c r="T41" i="23"/>
  <c r="T46" i="23"/>
  <c r="T16" i="23"/>
  <c r="T39" i="23"/>
  <c r="T42" i="23"/>
  <c r="T33" i="23"/>
  <c r="T51" i="23"/>
  <c r="T8" i="23"/>
  <c r="T30" i="23"/>
  <c r="T24" i="23"/>
  <c r="T6" i="23"/>
  <c r="T22" i="23"/>
  <c r="T37" i="23"/>
  <c r="T4" i="23"/>
  <c r="T9" i="23"/>
  <c r="T48" i="23"/>
  <c r="T13" i="23"/>
  <c r="T15" i="23"/>
  <c r="T18" i="23"/>
  <c r="T45" i="23"/>
  <c r="T36" i="23"/>
  <c r="T32" i="23"/>
  <c r="T52" i="23"/>
  <c r="T40" i="23"/>
  <c r="T5" i="23"/>
  <c r="T35" i="23"/>
  <c r="T7" i="23"/>
  <c r="T25" i="23"/>
  <c r="T19" i="23"/>
  <c r="T49" i="23"/>
  <c r="T54" i="23"/>
  <c r="T27" i="23"/>
  <c r="T23" i="23"/>
  <c r="T44" i="23"/>
  <c r="T11" i="23"/>
  <c r="T20" i="23"/>
  <c r="T55" i="23"/>
  <c r="S44" i="23"/>
  <c r="S53" i="23"/>
  <c r="S50" i="23"/>
  <c r="S22" i="23"/>
  <c r="S41" i="23"/>
  <c r="S55" i="23"/>
  <c r="T16" i="25"/>
  <c r="T27" i="25"/>
  <c r="T36" i="25"/>
  <c r="T22" i="25"/>
  <c r="T6" i="25"/>
  <c r="T20" i="25"/>
  <c r="T38" i="25"/>
  <c r="T9" i="25"/>
  <c r="T10" i="25"/>
  <c r="T32" i="25"/>
  <c r="T8" i="25"/>
  <c r="T33" i="25"/>
  <c r="T15" i="25"/>
  <c r="T14" i="25"/>
  <c r="T29" i="25"/>
  <c r="T28" i="25"/>
  <c r="T25" i="25"/>
  <c r="T30" i="25"/>
  <c r="T18" i="25"/>
  <c r="T11" i="25"/>
  <c r="T4" i="25"/>
  <c r="T31" i="25"/>
  <c r="T35" i="25"/>
  <c r="T12" i="25"/>
  <c r="T21" i="25"/>
  <c r="T34" i="25"/>
  <c r="T23" i="25"/>
  <c r="T5" i="25"/>
  <c r="T7" i="25"/>
  <c r="T26" i="25"/>
  <c r="T37" i="25"/>
  <c r="T3" i="25"/>
  <c r="T17" i="25"/>
  <c r="T19" i="25"/>
  <c r="T39" i="25"/>
  <c r="T24" i="25"/>
  <c r="T13" i="25"/>
  <c r="S37" i="25"/>
  <c r="S38" i="25"/>
  <c r="S35" i="25"/>
  <c r="S27" i="21"/>
  <c r="S54" i="21"/>
  <c r="S51" i="21"/>
  <c r="S46" i="21"/>
  <c r="S14" i="21"/>
  <c r="S8" i="21"/>
  <c r="S42" i="21"/>
  <c r="S55" i="21"/>
  <c r="S52" i="21"/>
  <c r="T16" i="28"/>
  <c r="T29" i="28"/>
  <c r="T34" i="28"/>
  <c r="T37" i="28"/>
  <c r="T50" i="28"/>
  <c r="T13" i="28"/>
  <c r="T28" i="28"/>
  <c r="T38" i="28"/>
  <c r="T45" i="28"/>
  <c r="T22" i="28"/>
  <c r="T9" i="28"/>
  <c r="T11" i="28"/>
  <c r="T7" i="28"/>
  <c r="T39" i="28"/>
  <c r="T52" i="28"/>
  <c r="T48" i="28"/>
  <c r="T31" i="28"/>
  <c r="T4" i="28"/>
  <c r="T51" i="28"/>
  <c r="T35" i="28"/>
  <c r="T25" i="28"/>
  <c r="T17" i="28"/>
  <c r="T44" i="28"/>
  <c r="T30" i="28"/>
  <c r="T21" i="28"/>
  <c r="T40" i="28"/>
  <c r="T26" i="28"/>
  <c r="T27" i="28"/>
  <c r="T18" i="28"/>
  <c r="T46" i="28"/>
  <c r="T33" i="28"/>
  <c r="T24" i="28"/>
  <c r="T49" i="28"/>
  <c r="T3" i="28"/>
  <c r="T8" i="28"/>
  <c r="T14" i="28"/>
  <c r="T12" i="28"/>
  <c r="T47" i="28"/>
  <c r="T53" i="28"/>
  <c r="T20" i="28"/>
  <c r="T19" i="28"/>
  <c r="T32" i="28"/>
  <c r="T54" i="28"/>
  <c r="T15" i="28"/>
  <c r="T42" i="28"/>
  <c r="T10" i="28"/>
  <c r="T23" i="28"/>
  <c r="T5" i="28"/>
  <c r="T36" i="28"/>
  <c r="T43" i="28"/>
  <c r="T55" i="28"/>
  <c r="S7" i="28"/>
  <c r="S43" i="28"/>
  <c r="S40" i="28"/>
  <c r="S37" i="28"/>
  <c r="S53" i="28"/>
  <c r="S50" i="28"/>
  <c r="S47" i="28"/>
  <c r="S44" i="28"/>
  <c r="S41" i="28"/>
  <c r="S45" i="28"/>
  <c r="S15" i="28"/>
  <c r="S22" i="28"/>
  <c r="S42" i="28"/>
  <c r="S39" i="28"/>
  <c r="S55" i="28"/>
  <c r="T37" i="26"/>
  <c r="T33" i="26"/>
  <c r="T38" i="26"/>
  <c r="T36" i="26"/>
  <c r="T22" i="26"/>
  <c r="T19" i="26"/>
  <c r="T14" i="26"/>
  <c r="T26" i="26"/>
  <c r="T20" i="26"/>
  <c r="T24" i="26"/>
  <c r="T15" i="26"/>
  <c r="T16" i="26"/>
  <c r="T43" i="26"/>
  <c r="T39" i="26"/>
  <c r="T21" i="26"/>
  <c r="T9" i="26"/>
  <c r="T7" i="26"/>
  <c r="T17" i="26"/>
  <c r="T23" i="26"/>
  <c r="T35" i="26"/>
  <c r="T8" i="26"/>
  <c r="T44" i="26"/>
  <c r="T30" i="26"/>
  <c r="T34" i="26"/>
  <c r="T40" i="26"/>
  <c r="T13" i="26"/>
  <c r="T45" i="26"/>
  <c r="S23" i="26"/>
  <c r="S6" i="26"/>
  <c r="S45" i="26"/>
  <c r="T14" i="53"/>
  <c r="T39" i="53"/>
  <c r="T45" i="53"/>
  <c r="T20" i="53"/>
  <c r="T18" i="53"/>
  <c r="T22" i="53"/>
  <c r="T34" i="53"/>
  <c r="T46" i="53"/>
  <c r="T30" i="53"/>
  <c r="T4" i="53"/>
  <c r="T28" i="53"/>
  <c r="T33" i="53"/>
  <c r="T8" i="53"/>
  <c r="T41" i="53"/>
  <c r="T25" i="53"/>
  <c r="T17" i="53"/>
  <c r="T13" i="53"/>
  <c r="T37" i="53"/>
  <c r="T21" i="53"/>
  <c r="T15" i="53"/>
  <c r="T40" i="53"/>
  <c r="T24" i="53"/>
  <c r="T7" i="53"/>
  <c r="S34" i="53"/>
  <c r="T9" i="53"/>
  <c r="S11" i="53"/>
  <c r="S28" i="53"/>
  <c r="S44" i="53"/>
  <c r="S17" i="53"/>
  <c r="S22" i="53"/>
  <c r="S38" i="53"/>
  <c r="S3" i="53"/>
  <c r="S35" i="53"/>
  <c r="S5" i="53"/>
  <c r="S20" i="53"/>
  <c r="S32" i="53"/>
  <c r="S6" i="53"/>
  <c r="S19" i="53"/>
  <c r="S29" i="53"/>
  <c r="S45" i="53"/>
  <c r="S10" i="53"/>
  <c r="S26" i="53"/>
  <c r="S42" i="53"/>
  <c r="S16" i="53"/>
  <c r="S23" i="53"/>
  <c r="S39" i="53"/>
  <c r="T21" i="18"/>
  <c r="T7" i="18"/>
  <c r="T26" i="18"/>
  <c r="T29" i="18"/>
  <c r="T17" i="18"/>
  <c r="T10" i="18"/>
  <c r="T27" i="18"/>
  <c r="T24" i="18"/>
  <c r="T16" i="18"/>
  <c r="T3" i="18"/>
  <c r="T25" i="18"/>
  <c r="T31" i="18"/>
  <c r="T15" i="18"/>
  <c r="T9" i="18"/>
  <c r="T33" i="18"/>
  <c r="S31" i="18"/>
  <c r="S28" i="18"/>
  <c r="S25" i="18"/>
  <c r="S33" i="18"/>
  <c r="T22" i="17"/>
  <c r="T30" i="17"/>
  <c r="T25" i="17"/>
  <c r="T43" i="17"/>
  <c r="T10" i="17"/>
  <c r="T31" i="17"/>
  <c r="T8" i="17"/>
  <c r="T38" i="17"/>
  <c r="T17" i="17"/>
  <c r="T19" i="17"/>
  <c r="T32" i="17"/>
  <c r="T45" i="17"/>
  <c r="T23" i="17"/>
  <c r="T16" i="17"/>
  <c r="T33" i="17"/>
  <c r="T46" i="17"/>
  <c r="T26" i="17"/>
  <c r="T44" i="17"/>
  <c r="T28" i="17"/>
  <c r="T11" i="17"/>
  <c r="T37" i="17"/>
  <c r="T5" i="17"/>
  <c r="T3" i="17"/>
  <c r="T42" i="17"/>
  <c r="T39" i="17"/>
  <c r="T24" i="17"/>
  <c r="T13" i="17"/>
  <c r="T6" i="17"/>
  <c r="T4" i="17"/>
  <c r="T20" i="17"/>
  <c r="T47" i="17"/>
  <c r="T14" i="17"/>
  <c r="T41" i="17"/>
  <c r="T7" i="17"/>
  <c r="T35" i="17"/>
  <c r="T12" i="17"/>
  <c r="T21" i="17"/>
  <c r="T29" i="17"/>
  <c r="T48" i="17"/>
  <c r="S36" i="17"/>
  <c r="S33" i="17"/>
  <c r="T9" i="17"/>
  <c r="S30" i="17"/>
  <c r="S46" i="17"/>
  <c r="S27" i="17"/>
  <c r="S43" i="17"/>
  <c r="S40" i="17"/>
  <c r="S37" i="17"/>
  <c r="S28" i="17"/>
  <c r="S44" i="17"/>
  <c r="S38" i="17"/>
  <c r="S35" i="17"/>
  <c r="S32" i="17"/>
  <c r="S48" i="17"/>
  <c r="S30" i="20"/>
  <c r="V3" i="20"/>
  <c r="S40" i="20"/>
  <c r="S43" i="20"/>
  <c r="S37" i="20"/>
  <c r="S34" i="20"/>
  <c r="S31" i="20"/>
  <c r="S47" i="20"/>
  <c r="S28" i="20"/>
  <c r="S44" i="20"/>
  <c r="S41" i="20"/>
  <c r="S29" i="20"/>
  <c r="S45" i="20"/>
  <c r="S7" i="58"/>
  <c r="S29" i="58"/>
  <c r="S45" i="58"/>
  <c r="S3" i="58"/>
  <c r="S42" i="58"/>
  <c r="V3" i="58"/>
  <c r="S4" i="58"/>
  <c r="S23" i="58"/>
  <c r="S39" i="58"/>
  <c r="S12" i="58"/>
  <c r="S36" i="58"/>
  <c r="S19" i="58"/>
  <c r="S33" i="58"/>
  <c r="S8" i="58"/>
  <c r="S30" i="58"/>
  <c r="S46" i="58"/>
  <c r="S15" i="58"/>
  <c r="S26" i="58"/>
  <c r="S27" i="58"/>
  <c r="S43" i="58"/>
  <c r="S18" i="58"/>
  <c r="S22" i="58"/>
  <c r="S40" i="58"/>
  <c r="T22" i="15"/>
  <c r="T42" i="15"/>
  <c r="T4" i="15"/>
  <c r="T45" i="15"/>
  <c r="T24" i="15"/>
  <c r="T21" i="15"/>
  <c r="T9" i="15"/>
  <c r="T43" i="15"/>
  <c r="T29" i="15"/>
  <c r="T34" i="15"/>
  <c r="T28" i="15"/>
  <c r="T12" i="15"/>
  <c r="T11" i="15"/>
  <c r="T40" i="15"/>
  <c r="T15" i="15"/>
  <c r="T13" i="15"/>
  <c r="T5" i="15"/>
  <c r="T25" i="15"/>
  <c r="T41" i="15"/>
  <c r="T47" i="15"/>
  <c r="T26" i="15"/>
  <c r="T48" i="15"/>
  <c r="T14" i="15"/>
  <c r="T36" i="15"/>
  <c r="T8" i="15"/>
  <c r="T18" i="15"/>
  <c r="T27" i="15"/>
  <c r="T30" i="15"/>
  <c r="T37" i="15"/>
  <c r="T49" i="15"/>
  <c r="S37" i="15"/>
  <c r="S34" i="15"/>
  <c r="S31" i="15"/>
  <c r="S47" i="15"/>
  <c r="S25" i="15"/>
  <c r="S44" i="15"/>
  <c r="S41" i="15"/>
  <c r="S38" i="15"/>
  <c r="S35" i="15"/>
  <c r="S39" i="15"/>
  <c r="S36" i="15"/>
  <c r="S33" i="15"/>
  <c r="S49" i="15"/>
  <c r="S45" i="13"/>
  <c r="S32" i="13"/>
  <c r="S6" i="13"/>
  <c r="S30" i="13"/>
  <c r="S47" i="13"/>
  <c r="T9" i="11"/>
  <c r="T4" i="11"/>
  <c r="T37" i="11"/>
  <c r="T27" i="11"/>
  <c r="T10" i="11"/>
  <c r="T54" i="11"/>
  <c r="T53" i="11"/>
  <c r="T29" i="11"/>
  <c r="T25" i="11"/>
  <c r="T15" i="11"/>
  <c r="T44" i="11"/>
  <c r="T30" i="11"/>
  <c r="T41" i="11"/>
  <c r="T11" i="11"/>
  <c r="T22" i="11"/>
  <c r="T14" i="11"/>
  <c r="T50" i="11"/>
  <c r="T31" i="11"/>
  <c r="T17" i="11"/>
  <c r="T36" i="11"/>
  <c r="T42" i="11"/>
  <c r="T38" i="11"/>
  <c r="T49" i="11"/>
  <c r="T55" i="11"/>
  <c r="T43" i="11"/>
  <c r="T12" i="11"/>
  <c r="T21" i="11"/>
  <c r="T3" i="11"/>
  <c r="T56" i="11"/>
  <c r="T6" i="11"/>
  <c r="S54" i="11"/>
  <c r="T24" i="11"/>
  <c r="S51" i="11"/>
  <c r="S45" i="11"/>
  <c r="S48" i="11"/>
  <c r="S42" i="11"/>
  <c r="S55" i="11"/>
  <c r="S52" i="11"/>
  <c r="S49" i="11"/>
  <c r="S46" i="11"/>
  <c r="S43" i="11"/>
  <c r="S33" i="16"/>
  <c r="S30" i="16"/>
  <c r="S21" i="16"/>
  <c r="S27" i="16"/>
  <c r="S35" i="16"/>
  <c r="T7" i="14"/>
  <c r="T39" i="14"/>
  <c r="T20" i="14"/>
  <c r="T8" i="14"/>
  <c r="T26" i="14"/>
  <c r="T38" i="14"/>
  <c r="T29" i="14"/>
  <c r="T4" i="14"/>
  <c r="T40" i="14"/>
  <c r="T25" i="14"/>
  <c r="T21" i="14"/>
  <c r="T31" i="14"/>
  <c r="T33" i="14"/>
  <c r="T14" i="14"/>
  <c r="T16" i="14"/>
  <c r="T6" i="14"/>
  <c r="T36" i="14"/>
  <c r="T15" i="14"/>
  <c r="T11" i="14"/>
  <c r="T30" i="14"/>
  <c r="T12" i="14"/>
  <c r="T41" i="14"/>
  <c r="T28" i="14"/>
  <c r="T18" i="14"/>
  <c r="T22" i="14"/>
  <c r="T35" i="14"/>
  <c r="T37" i="14"/>
  <c r="T17" i="14"/>
  <c r="T32" i="14"/>
  <c r="T42" i="14"/>
  <c r="T19" i="14"/>
  <c r="T3" i="14"/>
  <c r="T24" i="14"/>
  <c r="T43" i="14"/>
  <c r="T23" i="14"/>
  <c r="T5" i="14"/>
  <c r="T13" i="14"/>
  <c r="T27" i="14"/>
  <c r="T34" i="14"/>
  <c r="T44" i="14"/>
  <c r="S39" i="14"/>
  <c r="S32" i="14"/>
  <c r="S44" i="14"/>
  <c r="T21" i="19"/>
  <c r="T32" i="19"/>
  <c r="T45" i="19"/>
  <c r="T4" i="19"/>
  <c r="T51" i="19"/>
  <c r="T27" i="19"/>
  <c r="T39" i="19"/>
  <c r="T19" i="19"/>
  <c r="T52" i="19"/>
  <c r="T49" i="19"/>
  <c r="T42" i="19"/>
  <c r="T29" i="19"/>
  <c r="T6" i="19"/>
  <c r="T33" i="19"/>
  <c r="T12" i="19"/>
  <c r="T41" i="19"/>
  <c r="T28" i="19"/>
  <c r="T24" i="19"/>
  <c r="T53" i="19"/>
  <c r="T37" i="19"/>
  <c r="T26" i="19"/>
  <c r="T8" i="19"/>
  <c r="T46" i="19"/>
  <c r="T15" i="19"/>
  <c r="T10" i="19"/>
  <c r="T30" i="19"/>
  <c r="T34" i="19"/>
  <c r="T40" i="19"/>
  <c r="T20" i="19"/>
  <c r="T35" i="19"/>
  <c r="T54" i="19"/>
  <c r="T25" i="19"/>
  <c r="T5" i="19"/>
  <c r="T48" i="19"/>
  <c r="T36" i="19"/>
  <c r="T55" i="19"/>
  <c r="T43" i="19"/>
  <c r="S43" i="19"/>
  <c r="S40" i="19"/>
  <c r="T17" i="19"/>
  <c r="S37" i="19"/>
  <c r="S53" i="19"/>
  <c r="S47" i="19"/>
  <c r="S44" i="19"/>
  <c r="S41" i="19"/>
  <c r="S54" i="19"/>
  <c r="S35" i="19"/>
  <c r="S51" i="19"/>
  <c r="S32" i="19"/>
  <c r="S48" i="19"/>
  <c r="S6" i="19"/>
  <c r="S42" i="19"/>
  <c r="S31" i="12"/>
  <c r="S3" i="12"/>
  <c r="S22" i="12"/>
  <c r="S54" i="12"/>
  <c r="S51" i="12"/>
  <c r="S48" i="12"/>
  <c r="S16" i="12"/>
  <c r="S45" i="12"/>
  <c r="S24" i="12"/>
  <c r="S46" i="12"/>
  <c r="S30" i="12"/>
  <c r="S56" i="12"/>
  <c r="S25" i="1"/>
  <c r="S4" i="1"/>
  <c r="S39" i="1"/>
  <c r="S6" i="1"/>
  <c r="V3" i="7"/>
  <c r="S34" i="7"/>
  <c r="S15" i="51"/>
  <c r="S7" i="51"/>
  <c r="S32" i="51"/>
  <c r="S11" i="51"/>
  <c r="S13" i="51"/>
  <c r="S29" i="51"/>
  <c r="S23" i="51"/>
  <c r="S18" i="51"/>
  <c r="S12" i="51"/>
  <c r="S33" i="51"/>
  <c r="S8" i="51"/>
  <c r="S30" i="51"/>
  <c r="S27" i="51"/>
  <c r="T45" i="9"/>
  <c r="T36" i="9"/>
  <c r="S38" i="9"/>
  <c r="S54" i="9"/>
  <c r="S33" i="9"/>
  <c r="S19" i="9"/>
  <c r="S39" i="9"/>
  <c r="S55" i="9"/>
  <c r="S36" i="9"/>
  <c r="S52" i="9"/>
  <c r="S49" i="9"/>
  <c r="S24" i="9"/>
  <c r="S32" i="9"/>
  <c r="S46" i="9"/>
  <c r="S40" i="9"/>
  <c r="S56" i="9"/>
  <c r="S53" i="3"/>
  <c r="S8" i="3"/>
  <c r="S5" i="3"/>
  <c r="S9" i="3"/>
  <c r="S3" i="3"/>
  <c r="S55" i="3"/>
  <c r="T4" i="5"/>
  <c r="T7" i="5"/>
  <c r="T17" i="5"/>
  <c r="T9" i="5"/>
  <c r="T18" i="5"/>
  <c r="T29" i="5"/>
  <c r="T36" i="5"/>
  <c r="T33" i="5"/>
  <c r="T30" i="5"/>
  <c r="T20" i="5"/>
  <c r="T6" i="5"/>
  <c r="T23" i="5"/>
  <c r="T19" i="5"/>
  <c r="T12" i="5"/>
  <c r="T21" i="2"/>
  <c r="T26" i="2"/>
  <c r="T12" i="2"/>
  <c r="T30" i="2"/>
  <c r="T7" i="2"/>
  <c r="T37" i="2"/>
  <c r="S44" i="2"/>
  <c r="S54" i="2"/>
  <c r="S51" i="2"/>
  <c r="S48" i="2"/>
  <c r="S45" i="2"/>
  <c r="S46" i="2"/>
  <c r="S7" i="2"/>
  <c r="S56" i="2"/>
  <c r="S6" i="10"/>
  <c r="T9" i="52"/>
  <c r="T5" i="52"/>
  <c r="T3" i="52"/>
  <c r="T20" i="52"/>
  <c r="T13" i="52"/>
  <c r="T15" i="52"/>
  <c r="T16" i="52"/>
  <c r="T23" i="52"/>
  <c r="T19" i="52"/>
  <c r="T32" i="52"/>
  <c r="T6" i="52"/>
  <c r="S6" i="52"/>
  <c r="S16" i="52"/>
  <c r="S33" i="52"/>
  <c r="S30" i="52"/>
  <c r="S27" i="52"/>
  <c r="S17" i="52"/>
  <c r="S23" i="52"/>
  <c r="S9" i="52"/>
  <c r="S8" i="52"/>
  <c r="S13" i="52"/>
  <c r="S34" i="52"/>
  <c r="S19" i="52"/>
  <c r="S25" i="52"/>
  <c r="S14" i="52"/>
  <c r="S35" i="52"/>
  <c r="S34" i="4"/>
  <c r="S31" i="4"/>
  <c r="S21" i="4"/>
  <c r="S36" i="4"/>
  <c r="T19" i="1" l="1"/>
  <c r="T22" i="1"/>
  <c r="T15" i="5"/>
  <c r="T5" i="5"/>
  <c r="T10" i="5"/>
  <c r="T32" i="5"/>
  <c r="T25" i="5"/>
  <c r="T18" i="3"/>
  <c r="T39" i="46"/>
  <c r="T32" i="46"/>
  <c r="T25" i="46"/>
  <c r="T48" i="46"/>
  <c r="T7" i="46"/>
  <c r="T17" i="46"/>
  <c r="T19" i="46"/>
  <c r="T38" i="46"/>
  <c r="T21" i="46"/>
  <c r="T4" i="46"/>
  <c r="T45" i="46"/>
  <c r="T43" i="46"/>
  <c r="T13" i="46"/>
  <c r="T27" i="46"/>
  <c r="T28" i="46"/>
  <c r="T13" i="55"/>
  <c r="T42" i="55"/>
  <c r="T23" i="55"/>
  <c r="T47" i="55"/>
  <c r="T22" i="55"/>
  <c r="T40" i="55"/>
  <c r="T53" i="55"/>
  <c r="T50" i="55"/>
  <c r="T46" i="55"/>
  <c r="T9" i="55"/>
  <c r="T15" i="55"/>
  <c r="T18" i="55"/>
  <c r="T38" i="55"/>
  <c r="T3" i="55"/>
  <c r="W3" i="55"/>
  <c r="T44" i="55"/>
  <c r="T54" i="55"/>
  <c r="T52" i="55"/>
  <c r="T41" i="55"/>
  <c r="T6" i="55"/>
  <c r="T37" i="55"/>
  <c r="T14" i="55"/>
  <c r="T24" i="55"/>
  <c r="T29" i="55"/>
  <c r="T45" i="55"/>
  <c r="T17" i="55"/>
  <c r="T49" i="55"/>
  <c r="T32" i="55"/>
  <c r="T16" i="55"/>
  <c r="T11" i="55"/>
  <c r="T43" i="55"/>
  <c r="T7" i="55"/>
  <c r="T10" i="55"/>
  <c r="T36" i="55"/>
  <c r="T8" i="55"/>
  <c r="T4" i="55"/>
  <c r="T39" i="55"/>
  <c r="T3" i="60"/>
  <c r="T43" i="60"/>
  <c r="T19" i="60"/>
  <c r="T12" i="60"/>
  <c r="T6" i="60"/>
  <c r="T39" i="60"/>
  <c r="T29" i="60"/>
  <c r="T21" i="60"/>
  <c r="T26" i="60"/>
  <c r="T33" i="60"/>
  <c r="T41" i="60"/>
  <c r="T17" i="60"/>
  <c r="T15" i="60"/>
  <c r="T18" i="60"/>
  <c r="T34" i="60"/>
  <c r="T9" i="60"/>
  <c r="T13" i="60"/>
  <c r="T16" i="60"/>
  <c r="T32" i="60"/>
  <c r="T40" i="60"/>
  <c r="T14" i="60"/>
  <c r="T31" i="60"/>
  <c r="T30" i="60"/>
  <c r="T5" i="60"/>
  <c r="T11" i="60"/>
  <c r="T10" i="60"/>
  <c r="T22" i="60"/>
  <c r="T20" i="60"/>
  <c r="T37" i="60"/>
  <c r="T35" i="60"/>
  <c r="T28" i="60"/>
  <c r="T23" i="60"/>
  <c r="T38" i="60"/>
  <c r="T44" i="60"/>
  <c r="T36" i="60"/>
  <c r="T4" i="60"/>
  <c r="T42" i="60"/>
  <c r="T8" i="60"/>
  <c r="W3" i="59"/>
  <c r="T39" i="39"/>
  <c r="T45" i="57"/>
  <c r="T4" i="57"/>
  <c r="T23" i="57"/>
  <c r="T8" i="57"/>
  <c r="T17" i="57"/>
  <c r="T30" i="57"/>
  <c r="T13" i="57"/>
  <c r="T22" i="24"/>
  <c r="T17" i="54"/>
  <c r="T6" i="54"/>
  <c r="T3" i="54"/>
  <c r="T45" i="54"/>
  <c r="T15" i="54"/>
  <c r="T7" i="54"/>
  <c r="T22" i="54"/>
  <c r="T36" i="54"/>
  <c r="T31" i="54"/>
  <c r="T44" i="54"/>
  <c r="T26" i="54"/>
  <c r="T29" i="54"/>
  <c r="T38" i="54"/>
  <c r="T42" i="54"/>
  <c r="T12" i="54"/>
  <c r="T25" i="54"/>
  <c r="T14" i="54"/>
  <c r="T10" i="54"/>
  <c r="T16" i="54"/>
  <c r="T24" i="54"/>
  <c r="T39" i="54"/>
  <c r="T46" i="54"/>
  <c r="T13" i="54"/>
  <c r="T40" i="54"/>
  <c r="T41" i="54"/>
  <c r="T34" i="54"/>
  <c r="T18" i="54"/>
  <c r="T19" i="54"/>
  <c r="T11" i="54"/>
  <c r="W3" i="54"/>
  <c r="T27" i="54"/>
  <c r="T28" i="54"/>
  <c r="T30" i="54"/>
  <c r="T23" i="54"/>
  <c r="T37" i="54"/>
  <c r="T12" i="29"/>
  <c r="T20" i="27"/>
  <c r="T21" i="23"/>
  <c r="T6" i="28"/>
  <c r="T28" i="26"/>
  <c r="T5" i="53"/>
  <c r="T23" i="53"/>
  <c r="T3" i="53"/>
  <c r="T6" i="53"/>
  <c r="T32" i="53"/>
  <c r="T26" i="53"/>
  <c r="T10" i="53"/>
  <c r="T35" i="53"/>
  <c r="T43" i="53"/>
  <c r="W3" i="53"/>
  <c r="T44" i="53"/>
  <c r="T16" i="53"/>
  <c r="T38" i="53"/>
  <c r="T42" i="53"/>
  <c r="T27" i="53"/>
  <c r="T12" i="18"/>
  <c r="T20" i="18"/>
  <c r="T11" i="18"/>
  <c r="T30" i="18"/>
  <c r="T22" i="18"/>
  <c r="T5" i="18"/>
  <c r="T32" i="18"/>
  <c r="T4" i="18"/>
  <c r="T14" i="18"/>
  <c r="T8" i="18"/>
  <c r="T6" i="18"/>
  <c r="T19" i="18"/>
  <c r="T18" i="17"/>
  <c r="T14" i="20"/>
  <c r="T22" i="58"/>
  <c r="W3" i="58"/>
  <c r="T16" i="15"/>
  <c r="T46" i="15"/>
  <c r="T33" i="15"/>
  <c r="T6" i="15"/>
  <c r="T25" i="16"/>
  <c r="T17" i="62"/>
  <c r="W3" i="62"/>
  <c r="T7" i="19"/>
  <c r="T11" i="19"/>
  <c r="T18" i="19"/>
  <c r="T38" i="19"/>
  <c r="T14" i="19"/>
  <c r="T50" i="19"/>
  <c r="T44" i="19"/>
  <c r="T20" i="9"/>
  <c r="T34" i="9"/>
  <c r="T33" i="9"/>
  <c r="T24" i="9"/>
  <c r="T18" i="9"/>
  <c r="T17" i="9"/>
  <c r="T32" i="9"/>
  <c r="T48" i="9"/>
  <c r="T46" i="9"/>
  <c r="T15" i="9"/>
  <c r="T6" i="9"/>
  <c r="T44" i="9"/>
  <c r="T27" i="9"/>
  <c r="T4" i="9"/>
  <c r="T8" i="9"/>
  <c r="T50" i="9"/>
  <c r="T26" i="9"/>
  <c r="T13" i="9"/>
  <c r="T38" i="9"/>
  <c r="T29" i="9"/>
  <c r="T25" i="9"/>
  <c r="T56" i="9"/>
  <c r="T47" i="9"/>
  <c r="T21" i="9"/>
  <c r="T7" i="9"/>
  <c r="T53" i="9"/>
  <c r="T55" i="9"/>
  <c r="T14" i="9"/>
  <c r="T40" i="9"/>
  <c r="T49" i="9"/>
  <c r="T28" i="9"/>
  <c r="T23" i="9"/>
  <c r="T41" i="9"/>
  <c r="T54" i="9"/>
  <c r="T9" i="9"/>
  <c r="T42" i="9"/>
  <c r="T10" i="9"/>
  <c r="T40" i="2"/>
  <c r="T22" i="2"/>
  <c r="T20" i="2"/>
  <c r="T55" i="2"/>
  <c r="T42" i="2"/>
  <c r="T52" i="2"/>
  <c r="T15" i="2"/>
  <c r="T24" i="2"/>
  <c r="T4" i="2"/>
  <c r="T49" i="2"/>
  <c r="T38" i="2"/>
  <c r="T25" i="2"/>
  <c r="T11" i="2"/>
  <c r="T6" i="2"/>
  <c r="T50" i="2"/>
  <c r="T31" i="2"/>
  <c r="T14" i="2"/>
  <c r="T56" i="2"/>
  <c r="T10" i="2"/>
  <c r="T28" i="2"/>
  <c r="T44" i="2"/>
  <c r="T47" i="2"/>
  <c r="T3" i="4"/>
  <c r="T24" i="60"/>
  <c r="T11" i="56"/>
  <c r="T5" i="56"/>
  <c r="T8" i="56"/>
  <c r="T12" i="56"/>
  <c r="T20" i="56"/>
  <c r="W3" i="56"/>
  <c r="T6" i="56"/>
  <c r="T3" i="50"/>
  <c r="T18" i="50"/>
  <c r="T8" i="50"/>
  <c r="T5" i="50"/>
  <c r="T9" i="50"/>
  <c r="T11" i="50"/>
  <c r="T16" i="50"/>
  <c r="T7" i="50"/>
  <c r="T20" i="50"/>
  <c r="T17" i="50"/>
  <c r="T25" i="50"/>
  <c r="T10" i="50"/>
  <c r="T26" i="50"/>
  <c r="T24" i="50"/>
  <c r="T13" i="50"/>
  <c r="T22" i="50"/>
  <c r="T23" i="50"/>
  <c r="T6" i="50"/>
  <c r="T4" i="50"/>
  <c r="T27" i="50"/>
  <c r="T12" i="50"/>
  <c r="T21" i="50"/>
  <c r="T15" i="50"/>
  <c r="T19" i="50"/>
  <c r="T14" i="50"/>
  <c r="T9" i="41"/>
  <c r="T33" i="41"/>
  <c r="T10" i="41"/>
  <c r="T44" i="41"/>
  <c r="T48" i="41"/>
  <c r="T24" i="41"/>
  <c r="T47" i="41"/>
  <c r="T56" i="41"/>
  <c r="T50" i="41"/>
  <c r="T26" i="41"/>
  <c r="T13" i="41"/>
  <c r="T41" i="41"/>
  <c r="T42" i="41"/>
  <c r="T22" i="41"/>
  <c r="T36" i="41"/>
  <c r="T51" i="41"/>
  <c r="T18" i="41"/>
  <c r="T57" i="41"/>
  <c r="T14" i="41"/>
  <c r="T8" i="41"/>
  <c r="T38" i="41"/>
  <c r="T52" i="41"/>
  <c r="T32" i="41"/>
  <c r="T27" i="41"/>
  <c r="T3" i="41"/>
  <c r="T7" i="41"/>
  <c r="T15" i="41"/>
  <c r="T28" i="41"/>
  <c r="T31" i="41"/>
  <c r="T43" i="41"/>
  <c r="T35" i="41"/>
  <c r="T54" i="41"/>
  <c r="W3" i="66"/>
  <c r="T20" i="38"/>
  <c r="T36" i="38"/>
  <c r="T42" i="38"/>
  <c r="T13" i="38"/>
  <c r="T16" i="38"/>
  <c r="T15" i="32"/>
  <c r="T32" i="32"/>
  <c r="T38" i="32"/>
  <c r="T31" i="40"/>
  <c r="T14" i="40"/>
  <c r="T27" i="40"/>
  <c r="T19" i="40"/>
  <c r="T44" i="40"/>
  <c r="T40" i="40"/>
  <c r="T47" i="40"/>
  <c r="T7" i="40"/>
  <c r="T33" i="40"/>
  <c r="T25" i="40"/>
  <c r="T41" i="40"/>
  <c r="T18" i="40"/>
  <c r="T5" i="40"/>
  <c r="T6" i="40"/>
  <c r="T10" i="40"/>
  <c r="T38" i="40"/>
  <c r="T12" i="40"/>
  <c r="T49" i="40"/>
  <c r="T15" i="40"/>
  <c r="T28" i="40"/>
  <c r="T32" i="40"/>
  <c r="T9" i="40"/>
  <c r="T11" i="40"/>
  <c r="T24" i="40"/>
  <c r="T17" i="40"/>
  <c r="T23" i="40"/>
  <c r="T35" i="40"/>
  <c r="T45" i="40"/>
  <c r="T22" i="40"/>
  <c r="T16" i="40"/>
  <c r="T37" i="40"/>
  <c r="T4" i="40"/>
  <c r="T46" i="40"/>
  <c r="T30" i="40"/>
  <c r="T48" i="40"/>
  <c r="T39" i="40"/>
  <c r="T34" i="40"/>
  <c r="T3" i="40"/>
  <c r="T21" i="40"/>
  <c r="T36" i="40"/>
  <c r="T29" i="40"/>
  <c r="T8" i="40"/>
  <c r="T32" i="34"/>
  <c r="T7" i="34"/>
  <c r="T31" i="35"/>
  <c r="T3" i="35"/>
  <c r="W3" i="65"/>
  <c r="T34" i="27"/>
  <c r="T6" i="27"/>
  <c r="T10" i="29"/>
  <c r="T25" i="29"/>
  <c r="T14" i="29"/>
  <c r="T13" i="29"/>
  <c r="T18" i="29"/>
  <c r="T7" i="29"/>
  <c r="T6" i="29"/>
  <c r="T21" i="29"/>
  <c r="T29" i="29"/>
  <c r="T5" i="29"/>
  <c r="T27" i="29"/>
  <c r="T4" i="29"/>
  <c r="T16" i="29"/>
  <c r="T20" i="29"/>
  <c r="T17" i="29"/>
  <c r="T26" i="29"/>
  <c r="T3" i="29"/>
  <c r="T24" i="29"/>
  <c r="T9" i="29"/>
  <c r="T22" i="29"/>
  <c r="T19" i="29"/>
  <c r="T23" i="29"/>
  <c r="T8" i="29"/>
  <c r="T11" i="29"/>
  <c r="T28" i="29"/>
  <c r="T41" i="28"/>
  <c r="T8" i="54"/>
  <c r="T20" i="54"/>
  <c r="T32" i="54"/>
  <c r="T12" i="23"/>
  <c r="T50" i="23"/>
  <c r="T14" i="23"/>
  <c r="T47" i="23"/>
  <c r="T38" i="23"/>
  <c r="T34" i="23"/>
  <c r="T43" i="23"/>
  <c r="T31" i="23"/>
  <c r="T29" i="23"/>
  <c r="T53" i="23"/>
  <c r="T10" i="23"/>
  <c r="T17" i="23"/>
  <c r="T28" i="23"/>
  <c r="T3" i="23"/>
  <c r="T26" i="23"/>
  <c r="T29" i="26"/>
  <c r="T12" i="26"/>
  <c r="T11" i="53"/>
  <c r="T12" i="53"/>
  <c r="T40" i="17"/>
  <c r="T34" i="17"/>
  <c r="T27" i="17"/>
  <c r="T15" i="17"/>
  <c r="T36" i="17"/>
  <c r="T46" i="20"/>
  <c r="T13" i="20"/>
  <c r="T10" i="20"/>
  <c r="T44" i="20"/>
  <c r="T38" i="20"/>
  <c r="T37" i="20"/>
  <c r="T29" i="20"/>
  <c r="T22" i="20"/>
  <c r="T21" i="20"/>
  <c r="T34" i="20"/>
  <c r="T47" i="20"/>
  <c r="T40" i="20"/>
  <c r="T18" i="20"/>
  <c r="T45" i="20"/>
  <c r="T28" i="20"/>
  <c r="T20" i="20"/>
  <c r="T44" i="58"/>
  <c r="T19" i="58"/>
  <c r="T15" i="58"/>
  <c r="T31" i="58"/>
  <c r="T40" i="58"/>
  <c r="T26" i="58"/>
  <c r="T47" i="58"/>
  <c r="T28" i="58"/>
  <c r="T19" i="15"/>
  <c r="T7" i="15"/>
  <c r="T8" i="11"/>
  <c r="T33" i="11"/>
  <c r="T52" i="11"/>
  <c r="T46" i="11"/>
  <c r="T40" i="11"/>
  <c r="T32" i="11"/>
  <c r="T51" i="11"/>
  <c r="T7" i="11"/>
  <c r="T39" i="11"/>
  <c r="T20" i="11"/>
  <c r="T13" i="11"/>
  <c r="T26" i="11"/>
  <c r="T16" i="11"/>
  <c r="T9" i="14"/>
  <c r="T10" i="14"/>
  <c r="T21" i="5"/>
  <c r="T11" i="5"/>
  <c r="T28" i="5"/>
  <c r="T14" i="5"/>
  <c r="T26" i="5"/>
  <c r="T31" i="5"/>
  <c r="T24" i="5"/>
  <c r="T16" i="5"/>
  <c r="T22" i="5"/>
  <c r="T13" i="5"/>
  <c r="T35" i="5"/>
  <c r="T37" i="5"/>
  <c r="T3" i="5"/>
  <c r="T8" i="5"/>
  <c r="T27" i="5"/>
  <c r="T28" i="52"/>
  <c r="W3" i="52"/>
  <c r="T12" i="4"/>
  <c r="T23" i="51"/>
  <c r="T10" i="51"/>
  <c r="T6" i="51"/>
  <c r="W3" i="51"/>
  <c r="T20" i="51"/>
  <c r="T4" i="51"/>
  <c r="T13" i="51"/>
  <c r="T3" i="51"/>
  <c r="T14" i="51"/>
  <c r="T31" i="51"/>
  <c r="T16" i="51"/>
  <c r="T7" i="51"/>
  <c r="T17" i="51"/>
  <c r="T12" i="51"/>
  <c r="T8" i="51"/>
  <c r="T19" i="51"/>
  <c r="T11" i="51"/>
  <c r="T26" i="51"/>
  <c r="T5" i="51"/>
  <c r="T27" i="51"/>
  <c r="T30" i="51"/>
  <c r="T34" i="51"/>
  <c r="T32" i="51"/>
  <c r="T29" i="51"/>
  <c r="T28" i="51"/>
  <c r="T9" i="51"/>
  <c r="T21" i="51"/>
  <c r="T18" i="51"/>
  <c r="T33" i="51"/>
  <c r="T15" i="51"/>
  <c r="T24" i="51"/>
  <c r="T22" i="51"/>
  <c r="T25" i="51"/>
  <c r="T36" i="1"/>
  <c r="T3" i="9"/>
  <c r="T29" i="6"/>
  <c r="T38" i="3"/>
  <c r="T33" i="2"/>
  <c r="T5" i="2"/>
  <c r="T35" i="2"/>
  <c r="T29" i="2"/>
  <c r="T48" i="2"/>
  <c r="T39" i="2"/>
  <c r="T32" i="2"/>
  <c r="T34" i="2"/>
  <c r="T41" i="2"/>
  <c r="T54" i="2"/>
  <c r="T3" i="2"/>
  <c r="T18" i="2"/>
  <c r="T23" i="2"/>
  <c r="T53" i="2"/>
  <c r="T46" i="2"/>
  <c r="T43" i="2"/>
  <c r="T36" i="2"/>
  <c r="T17" i="2"/>
  <c r="T45" i="2"/>
  <c r="T13" i="2"/>
  <c r="T27" i="2"/>
  <c r="T19" i="2"/>
  <c r="T51" i="2"/>
  <c r="T8" i="2"/>
  <c r="T16" i="2"/>
  <c r="T30" i="9"/>
  <c r="T12" i="9"/>
  <c r="T16" i="9"/>
  <c r="T5" i="9"/>
  <c r="T43" i="9"/>
  <c r="T19" i="9"/>
  <c r="T11" i="9"/>
  <c r="T22" i="9"/>
  <c r="T51" i="9"/>
  <c r="T52" i="9"/>
  <c r="T39" i="9"/>
  <c r="T35" i="9"/>
  <c r="T37" i="9"/>
  <c r="T3" i="7"/>
  <c r="T15" i="7"/>
  <c r="T36" i="7"/>
  <c r="T31" i="7"/>
  <c r="T43" i="3"/>
  <c r="T52" i="3"/>
  <c r="T12" i="3"/>
  <c r="T40" i="3"/>
  <c r="T23" i="3"/>
  <c r="T53" i="3"/>
  <c r="T50" i="3"/>
  <c r="T37" i="3"/>
  <c r="T42" i="3"/>
  <c r="T35" i="3"/>
  <c r="T27" i="3"/>
  <c r="T39" i="3"/>
  <c r="T17" i="3"/>
  <c r="T13" i="3"/>
  <c r="T25" i="3"/>
  <c r="T46" i="3"/>
  <c r="T26" i="3"/>
  <c r="T31" i="3"/>
  <c r="T25" i="66"/>
  <c r="T19" i="66"/>
  <c r="T9" i="66"/>
  <c r="T3" i="66"/>
  <c r="T20" i="66"/>
  <c r="T26" i="66"/>
  <c r="T12" i="66"/>
  <c r="T11" i="66"/>
  <c r="T16" i="66"/>
  <c r="T7" i="66"/>
  <c r="T24" i="66"/>
  <c r="T5" i="66"/>
  <c r="T14" i="66"/>
  <c r="T18" i="66"/>
  <c r="T8" i="66"/>
  <c r="T6" i="66"/>
  <c r="T23" i="66"/>
  <c r="T10" i="66"/>
  <c r="T17" i="66"/>
  <c r="T21" i="66"/>
  <c r="T4" i="66"/>
  <c r="T22" i="66"/>
  <c r="T13" i="66"/>
  <c r="T24" i="42"/>
  <c r="T9" i="42"/>
  <c r="T11" i="42"/>
  <c r="T14" i="42"/>
  <c r="T28" i="42"/>
  <c r="T8" i="42"/>
  <c r="T26" i="42"/>
  <c r="T19" i="42"/>
  <c r="T10" i="42"/>
  <c r="T37" i="42"/>
  <c r="T39" i="42"/>
  <c r="T22" i="42"/>
  <c r="T29" i="42"/>
  <c r="T31" i="42"/>
  <c r="T12" i="42"/>
  <c r="T36" i="42"/>
  <c r="T34" i="42"/>
  <c r="T33" i="42"/>
  <c r="T27" i="42"/>
  <c r="T38" i="42"/>
  <c r="T32" i="42"/>
  <c r="T21" i="42"/>
  <c r="T23" i="42"/>
  <c r="T17" i="42"/>
  <c r="T5" i="42"/>
  <c r="T35" i="42"/>
  <c r="T20" i="42"/>
  <c r="T30" i="42"/>
  <c r="T13" i="42"/>
  <c r="T15" i="42"/>
  <c r="T16" i="42"/>
  <c r="T6" i="42"/>
  <c r="T18" i="42"/>
  <c r="T3" i="42"/>
  <c r="T25" i="42"/>
  <c r="T4" i="42"/>
  <c r="T7" i="42"/>
  <c r="T18" i="43"/>
  <c r="T13" i="43"/>
  <c r="T3" i="43"/>
  <c r="T20" i="43"/>
  <c r="T5" i="43"/>
  <c r="T9" i="43"/>
  <c r="T29" i="43"/>
  <c r="T19" i="43"/>
  <c r="T28" i="43"/>
  <c r="T17" i="43"/>
  <c r="T8" i="43"/>
  <c r="T14" i="43"/>
  <c r="T23" i="43"/>
  <c r="T33" i="43"/>
  <c r="T11" i="43"/>
  <c r="T21" i="43"/>
  <c r="T26" i="43"/>
  <c r="T4" i="43"/>
  <c r="T24" i="43"/>
  <c r="T10" i="43"/>
  <c r="T31" i="43"/>
  <c r="T6" i="43"/>
  <c r="T12" i="43"/>
  <c r="T7" i="43"/>
  <c r="T32" i="43"/>
  <c r="T15" i="43"/>
  <c r="T22" i="43"/>
  <c r="T30" i="43"/>
  <c r="T34" i="43"/>
  <c r="T16" i="43"/>
  <c r="T25" i="43"/>
  <c r="T27" i="43"/>
  <c r="T24" i="47"/>
  <c r="T9" i="47"/>
  <c r="T8" i="47"/>
  <c r="T30" i="47"/>
  <c r="T3" i="47"/>
  <c r="T4" i="47"/>
  <c r="T11" i="47"/>
  <c r="T14" i="47"/>
  <c r="T17" i="47"/>
  <c r="T27" i="47"/>
  <c r="T20" i="47"/>
  <c r="T6" i="47"/>
  <c r="T19" i="47"/>
  <c r="T22" i="47"/>
  <c r="T12" i="47"/>
  <c r="T32" i="47"/>
  <c r="T29" i="47"/>
  <c r="T26" i="47"/>
  <c r="T21" i="47"/>
  <c r="T16" i="47"/>
  <c r="T31" i="47"/>
  <c r="T25" i="47"/>
  <c r="T23" i="47"/>
  <c r="T10" i="47"/>
  <c r="T5" i="47"/>
  <c r="T13" i="47"/>
  <c r="T28" i="47"/>
  <c r="T7" i="47"/>
  <c r="T18" i="47"/>
  <c r="T15" i="47"/>
  <c r="T33" i="47"/>
  <c r="T18" i="44"/>
  <c r="T34" i="44"/>
  <c r="T4" i="44"/>
  <c r="T33" i="44"/>
  <c r="T11" i="44"/>
  <c r="T12" i="44"/>
  <c r="T3" i="44"/>
  <c r="T8" i="44"/>
  <c r="T29" i="44"/>
  <c r="T35" i="44"/>
  <c r="T22" i="44"/>
  <c r="T23" i="44"/>
  <c r="T36" i="44"/>
  <c r="T27" i="44"/>
  <c r="T32" i="44"/>
  <c r="T13" i="44"/>
  <c r="T20" i="44"/>
  <c r="T17" i="44"/>
  <c r="T19" i="44"/>
  <c r="T15" i="44"/>
  <c r="T26" i="44"/>
  <c r="T16" i="44"/>
  <c r="T37" i="44"/>
  <c r="T21" i="44"/>
  <c r="T30" i="44"/>
  <c r="T7" i="44"/>
  <c r="T5" i="44"/>
  <c r="T14" i="44"/>
  <c r="T31" i="44"/>
  <c r="T25" i="44"/>
  <c r="T28" i="44"/>
  <c r="T6" i="44"/>
  <c r="T24" i="44"/>
  <c r="T9" i="44"/>
  <c r="T20" i="45"/>
  <c r="T44" i="45"/>
  <c r="T5" i="45"/>
  <c r="T43" i="45"/>
  <c r="T47" i="45"/>
  <c r="T11" i="45"/>
  <c r="T3" i="45"/>
  <c r="T14" i="45"/>
  <c r="T41" i="45"/>
  <c r="T34" i="45"/>
  <c r="T49" i="45"/>
  <c r="T13" i="45"/>
  <c r="T26" i="45"/>
  <c r="T29" i="45"/>
  <c r="T15" i="45"/>
  <c r="T30" i="45"/>
  <c r="T12" i="45"/>
  <c r="T37" i="45"/>
  <c r="T24" i="45"/>
  <c r="T23" i="45"/>
  <c r="T6" i="45"/>
  <c r="T36" i="45"/>
  <c r="T32" i="45"/>
  <c r="T8" i="45"/>
  <c r="T25" i="45"/>
  <c r="T31" i="45"/>
  <c r="T19" i="45"/>
  <c r="T10" i="45"/>
  <c r="T40" i="45"/>
  <c r="T46" i="45"/>
  <c r="T22" i="45"/>
  <c r="T9" i="45"/>
  <c r="T21" i="45"/>
  <c r="T27" i="45"/>
  <c r="T48" i="45"/>
  <c r="T18" i="45"/>
  <c r="T45" i="45"/>
  <c r="T42" i="45"/>
  <c r="T17" i="45"/>
  <c r="T7" i="45"/>
  <c r="T16" i="45"/>
  <c r="T35" i="45"/>
  <c r="T38" i="45"/>
  <c r="T33" i="45"/>
  <c r="T28" i="45"/>
  <c r="T39" i="45"/>
  <c r="T14" i="65"/>
  <c r="T9" i="65"/>
  <c r="T8" i="65"/>
  <c r="T32" i="65"/>
  <c r="T21" i="65"/>
  <c r="T3" i="65"/>
  <c r="T30" i="65"/>
  <c r="T24" i="65"/>
  <c r="T28" i="65"/>
  <c r="T26" i="65"/>
  <c r="T42" i="65"/>
  <c r="T37" i="65"/>
  <c r="T40" i="65"/>
  <c r="T13" i="65"/>
  <c r="T54" i="65"/>
  <c r="T53" i="65"/>
  <c r="T16" i="65"/>
  <c r="T4" i="65"/>
  <c r="T38" i="65"/>
  <c r="T10" i="65"/>
  <c r="T39" i="65"/>
  <c r="T49" i="65"/>
  <c r="T17" i="65"/>
  <c r="T12" i="65"/>
  <c r="T6" i="65"/>
  <c r="T19" i="65"/>
  <c r="T48" i="65"/>
  <c r="T25" i="65"/>
  <c r="T44" i="65"/>
  <c r="T31" i="65"/>
  <c r="T34" i="65"/>
  <c r="T23" i="65"/>
  <c r="T11" i="65"/>
  <c r="T46" i="65"/>
  <c r="T33" i="65"/>
  <c r="T47" i="65"/>
  <c r="T18" i="65"/>
  <c r="T7" i="65"/>
  <c r="T41" i="65"/>
  <c r="T5" i="65"/>
  <c r="T27" i="65"/>
  <c r="T51" i="65"/>
  <c r="T29" i="65"/>
  <c r="T52" i="65"/>
  <c r="T20" i="65"/>
  <c r="T43" i="65"/>
  <c r="T36" i="65"/>
  <c r="T22" i="65"/>
  <c r="T35" i="65"/>
  <c r="T15" i="65"/>
  <c r="T45" i="65"/>
  <c r="T7" i="33"/>
  <c r="T6" i="33"/>
  <c r="T30" i="33"/>
  <c r="T46" i="33"/>
  <c r="T21" i="33"/>
  <c r="T11" i="33"/>
  <c r="T37" i="33"/>
  <c r="T47" i="33"/>
  <c r="T38" i="33"/>
  <c r="T53" i="33"/>
  <c r="T5" i="33"/>
  <c r="T41" i="33"/>
  <c r="T23" i="33"/>
  <c r="T9" i="33"/>
  <c r="T33" i="33"/>
  <c r="T45" i="33"/>
  <c r="T32" i="33"/>
  <c r="T3" i="33"/>
  <c r="T31" i="33"/>
  <c r="T12" i="33"/>
  <c r="T20" i="33"/>
  <c r="T42" i="33"/>
  <c r="T29" i="33"/>
  <c r="T26" i="33"/>
  <c r="T19" i="33"/>
  <c r="T49" i="33"/>
  <c r="T16" i="33"/>
  <c r="T24" i="33"/>
  <c r="T28" i="33"/>
  <c r="T13" i="33"/>
  <c r="T36" i="33"/>
  <c r="T18" i="33"/>
  <c r="T48" i="33"/>
  <c r="T35" i="33"/>
  <c r="T22" i="33"/>
  <c r="T52" i="33"/>
  <c r="T4" i="33"/>
  <c r="T44" i="33"/>
  <c r="T50" i="33"/>
  <c r="T39" i="33"/>
  <c r="T10" i="33"/>
  <c r="T27" i="33"/>
  <c r="T34" i="33"/>
  <c r="T14" i="33"/>
  <c r="T43" i="33"/>
  <c r="T15" i="33"/>
  <c r="T40" i="33"/>
  <c r="T25" i="33"/>
  <c r="T17" i="33"/>
  <c r="T51" i="33"/>
  <c r="T33" i="31"/>
  <c r="T49" i="31"/>
  <c r="T47" i="31"/>
  <c r="T43" i="31"/>
  <c r="T19" i="31"/>
  <c r="T34" i="31"/>
  <c r="T44" i="31"/>
  <c r="T16" i="31"/>
  <c r="T14" i="31"/>
  <c r="T41" i="31"/>
  <c r="T21" i="31"/>
  <c r="T22" i="31"/>
  <c r="T31" i="31"/>
  <c r="T24" i="31"/>
  <c r="T11" i="31"/>
  <c r="T6" i="31"/>
  <c r="T56" i="31"/>
  <c r="T52" i="31"/>
  <c r="T7" i="31"/>
  <c r="T29" i="31"/>
  <c r="T27" i="31"/>
  <c r="T37" i="31"/>
  <c r="T25" i="31"/>
  <c r="T3" i="31"/>
  <c r="T8" i="31"/>
  <c r="T50" i="31"/>
  <c r="T12" i="31"/>
  <c r="T53" i="31"/>
  <c r="T17" i="31"/>
  <c r="T46" i="31"/>
  <c r="T40" i="31"/>
  <c r="T23" i="31"/>
  <c r="T55" i="31"/>
  <c r="T28" i="31"/>
  <c r="T4" i="31"/>
  <c r="T9" i="31"/>
  <c r="T5" i="31"/>
  <c r="T42" i="31"/>
  <c r="T18" i="31"/>
  <c r="T30" i="31"/>
  <c r="T39" i="31"/>
  <c r="T10" i="31"/>
  <c r="T51" i="31"/>
  <c r="T20" i="31"/>
  <c r="T45" i="31"/>
  <c r="T38" i="31"/>
  <c r="T54" i="31"/>
  <c r="T26" i="31"/>
  <c r="T32" i="31"/>
  <c r="T48" i="31"/>
  <c r="T15" i="31"/>
  <c r="T36" i="31"/>
  <c r="T35" i="31"/>
  <c r="T50" i="37"/>
  <c r="T4" i="37"/>
  <c r="T5" i="37"/>
  <c r="T45" i="37"/>
  <c r="T44" i="37"/>
  <c r="T26" i="37"/>
  <c r="T41" i="37"/>
  <c r="T14" i="37"/>
  <c r="T7" i="37"/>
  <c r="T16" i="37"/>
  <c r="T48" i="37"/>
  <c r="T28" i="37"/>
  <c r="T35" i="37"/>
  <c r="T51" i="37"/>
  <c r="T9" i="37"/>
  <c r="T27" i="37"/>
  <c r="T21" i="37"/>
  <c r="T23" i="37"/>
  <c r="T3" i="37"/>
  <c r="T34" i="37"/>
  <c r="T15" i="37"/>
  <c r="T11" i="37"/>
  <c r="T12" i="37"/>
  <c r="T46" i="37"/>
  <c r="T37" i="37"/>
  <c r="T42" i="37"/>
  <c r="T47" i="37"/>
  <c r="T20" i="37"/>
  <c r="T30" i="37"/>
  <c r="T36" i="37"/>
  <c r="T40" i="37"/>
  <c r="T39" i="37"/>
  <c r="T22" i="37"/>
  <c r="T13" i="37"/>
  <c r="T32" i="37"/>
  <c r="T29" i="37"/>
  <c r="T19" i="37"/>
  <c r="T18" i="37"/>
  <c r="T17" i="37"/>
  <c r="T38" i="37"/>
  <c r="T8" i="37"/>
  <c r="T6" i="37"/>
  <c r="T49" i="37"/>
  <c r="T24" i="37"/>
  <c r="T10" i="37"/>
  <c r="T33" i="37"/>
  <c r="T43" i="37"/>
  <c r="T25" i="37"/>
  <c r="T29" i="36"/>
  <c r="T4" i="36"/>
  <c r="T49" i="36"/>
  <c r="T35" i="36"/>
  <c r="T44" i="36"/>
  <c r="T40" i="36"/>
  <c r="T52" i="36"/>
  <c r="T37" i="36"/>
  <c r="T34" i="36"/>
  <c r="T46" i="36"/>
  <c r="T9" i="36"/>
  <c r="T50" i="36"/>
  <c r="T11" i="36"/>
  <c r="T45" i="36"/>
  <c r="T15" i="36"/>
  <c r="T36" i="36"/>
  <c r="T31" i="36"/>
  <c r="T51" i="36"/>
  <c r="T48" i="36"/>
  <c r="T30" i="36"/>
  <c r="T33" i="36"/>
  <c r="T7" i="36"/>
  <c r="T47" i="36"/>
  <c r="T25" i="36"/>
  <c r="T12" i="36"/>
  <c r="T54" i="36"/>
  <c r="T28" i="36"/>
  <c r="T24" i="36"/>
  <c r="T10" i="36"/>
  <c r="T16" i="36"/>
  <c r="T20" i="36"/>
  <c r="T19" i="36"/>
  <c r="T18" i="36"/>
  <c r="T42" i="36"/>
  <c r="T14" i="36"/>
  <c r="T39" i="36"/>
  <c r="T43" i="36"/>
  <c r="T13" i="36"/>
  <c r="T38" i="36"/>
  <c r="T32" i="36"/>
  <c r="T22" i="36"/>
  <c r="T17" i="36"/>
  <c r="T53" i="36"/>
  <c r="T27" i="36"/>
  <c r="T21" i="36"/>
  <c r="T23" i="36"/>
  <c r="T5" i="36"/>
  <c r="T8" i="36"/>
  <c r="T41" i="36"/>
  <c r="T26" i="36"/>
  <c r="T15" i="64"/>
  <c r="T23" i="64"/>
  <c r="T21" i="64"/>
  <c r="T7" i="64"/>
  <c r="T8" i="64"/>
  <c r="T16" i="64"/>
  <c r="T19" i="64"/>
  <c r="T5" i="64"/>
  <c r="T4" i="64"/>
  <c r="T6" i="64"/>
  <c r="T11" i="64"/>
  <c r="T24" i="64"/>
  <c r="T22" i="64"/>
  <c r="T12" i="64"/>
  <c r="T17" i="64"/>
  <c r="T20" i="64"/>
  <c r="T3" i="64"/>
  <c r="T14" i="64"/>
  <c r="T13" i="64"/>
  <c r="T18" i="64"/>
  <c r="T9" i="64"/>
  <c r="T10" i="64"/>
  <c r="T22" i="22"/>
  <c r="T45" i="22"/>
  <c r="T12" i="22"/>
  <c r="T13" i="22"/>
  <c r="T24" i="22"/>
  <c r="T34" i="22"/>
  <c r="T19" i="22"/>
  <c r="T6" i="22"/>
  <c r="T32" i="22"/>
  <c r="T23" i="22"/>
  <c r="T4" i="22"/>
  <c r="T47" i="22"/>
  <c r="T15" i="22"/>
  <c r="T7" i="22"/>
  <c r="T37" i="22"/>
  <c r="T9" i="22"/>
  <c r="T31" i="22"/>
  <c r="T51" i="22"/>
  <c r="T21" i="22"/>
  <c r="T40" i="22"/>
  <c r="T35" i="22"/>
  <c r="T39" i="22"/>
  <c r="T11" i="22"/>
  <c r="T14" i="22"/>
  <c r="T3" i="22"/>
  <c r="T26" i="22"/>
  <c r="T43" i="22"/>
  <c r="T46" i="22"/>
  <c r="T38" i="22"/>
  <c r="T20" i="22"/>
  <c r="T16" i="22"/>
  <c r="T49" i="22"/>
  <c r="T33" i="22"/>
  <c r="T10" i="22"/>
  <c r="T8" i="22"/>
  <c r="T30" i="22"/>
  <c r="T41" i="22"/>
  <c r="T50" i="22"/>
  <c r="T29" i="22"/>
  <c r="T42" i="22"/>
  <c r="T25" i="22"/>
  <c r="T17" i="22"/>
  <c r="T18" i="22"/>
  <c r="T28" i="22"/>
  <c r="T36" i="22"/>
  <c r="T27" i="22"/>
  <c r="T48" i="22"/>
  <c r="T5" i="22"/>
  <c r="T46" i="24"/>
  <c r="T49" i="24"/>
  <c r="T51" i="24"/>
  <c r="T50" i="24"/>
  <c r="T19" i="24"/>
  <c r="T25" i="24"/>
  <c r="T35" i="24"/>
  <c r="T30" i="24"/>
  <c r="T20" i="24"/>
  <c r="T16" i="24"/>
  <c r="T39" i="24"/>
  <c r="T24" i="24"/>
  <c r="T7" i="24"/>
  <c r="T52" i="24"/>
  <c r="T6" i="24"/>
  <c r="T40" i="24"/>
  <c r="T43" i="24"/>
  <c r="T23" i="24"/>
  <c r="T5" i="24"/>
  <c r="T36" i="24"/>
  <c r="T18" i="24"/>
  <c r="T13" i="24"/>
  <c r="T41" i="24"/>
  <c r="T45" i="24"/>
  <c r="T31" i="24"/>
  <c r="T15" i="24"/>
  <c r="T28" i="24"/>
  <c r="T9" i="24"/>
  <c r="T17" i="24"/>
  <c r="T48" i="24"/>
  <c r="T37" i="24"/>
  <c r="T11" i="24"/>
  <c r="T14" i="24"/>
  <c r="T47" i="24"/>
  <c r="T42" i="24"/>
  <c r="T8" i="24"/>
  <c r="T27" i="24"/>
  <c r="T12" i="24"/>
  <c r="T44" i="24"/>
  <c r="T33" i="24"/>
  <c r="T34" i="24"/>
  <c r="T4" i="24"/>
  <c r="T26" i="24"/>
  <c r="T10" i="24"/>
  <c r="T38" i="24"/>
  <c r="T3" i="24"/>
  <c r="T32" i="24"/>
  <c r="T21" i="24"/>
  <c r="T29" i="24"/>
  <c r="T38" i="21"/>
  <c r="T5" i="21"/>
  <c r="T21" i="21"/>
  <c r="T56" i="21"/>
  <c r="T54" i="21"/>
  <c r="T35" i="21"/>
  <c r="T3" i="21"/>
  <c r="T30" i="21"/>
  <c r="T43" i="21"/>
  <c r="T23" i="21"/>
  <c r="T53" i="21"/>
  <c r="T15" i="21"/>
  <c r="T16" i="21"/>
  <c r="T51" i="21"/>
  <c r="T55" i="21"/>
  <c r="T29" i="21"/>
  <c r="T44" i="21"/>
  <c r="T50" i="21"/>
  <c r="T6" i="21"/>
  <c r="T34" i="21"/>
  <c r="T8" i="21"/>
  <c r="T40" i="21"/>
  <c r="T33" i="21"/>
  <c r="T37" i="21"/>
  <c r="T27" i="21"/>
  <c r="T22" i="21"/>
  <c r="T10" i="21"/>
  <c r="T46" i="21"/>
  <c r="T41" i="21"/>
  <c r="T31" i="21"/>
  <c r="T20" i="21"/>
  <c r="T17" i="21"/>
  <c r="T13" i="21"/>
  <c r="T49" i="21"/>
  <c r="T52" i="21"/>
  <c r="T7" i="21"/>
  <c r="T24" i="21"/>
  <c r="T36" i="21"/>
  <c r="T45" i="21"/>
  <c r="T19" i="21"/>
  <c r="T9" i="21"/>
  <c r="T25" i="21"/>
  <c r="T48" i="21"/>
  <c r="T4" i="21"/>
  <c r="T32" i="21"/>
  <c r="T11" i="21"/>
  <c r="T26" i="21"/>
  <c r="T47" i="21"/>
  <c r="T12" i="21"/>
  <c r="T14" i="21"/>
  <c r="T18" i="21"/>
  <c r="T28" i="21"/>
  <c r="T39" i="21"/>
  <c r="T5" i="63"/>
  <c r="T9" i="63"/>
  <c r="T6" i="63"/>
  <c r="T17" i="63"/>
  <c r="T12" i="63"/>
  <c r="T27" i="63"/>
  <c r="T22" i="63"/>
  <c r="T13" i="63"/>
  <c r="T33" i="63"/>
  <c r="T11" i="63"/>
  <c r="T31" i="63"/>
  <c r="T10" i="63"/>
  <c r="T18" i="63"/>
  <c r="T25" i="63"/>
  <c r="T23" i="63"/>
  <c r="T35" i="63"/>
  <c r="T32" i="63"/>
  <c r="T14" i="63"/>
  <c r="T28" i="63"/>
  <c r="T4" i="63"/>
  <c r="T20" i="63"/>
  <c r="T34" i="63"/>
  <c r="T3" i="63"/>
  <c r="T8" i="63"/>
  <c r="T30" i="63"/>
  <c r="T15" i="63"/>
  <c r="T7" i="63"/>
  <c r="T21" i="63"/>
  <c r="T19" i="63"/>
  <c r="T16" i="63"/>
  <c r="T29" i="63"/>
  <c r="T26" i="63"/>
  <c r="T24" i="63"/>
  <c r="T14" i="62"/>
  <c r="T24" i="62"/>
  <c r="T5" i="62"/>
  <c r="T16" i="62"/>
  <c r="T7" i="62"/>
  <c r="T15" i="62"/>
  <c r="T25" i="62"/>
  <c r="T6" i="62"/>
  <c r="T11" i="62"/>
  <c r="T27" i="62"/>
  <c r="T23" i="62"/>
  <c r="T13" i="62"/>
  <c r="T4" i="62"/>
  <c r="T8" i="62"/>
  <c r="T20" i="62"/>
  <c r="T12" i="62"/>
  <c r="T31" i="62"/>
  <c r="T22" i="62"/>
  <c r="T10" i="62"/>
  <c r="T30" i="62"/>
  <c r="T18" i="62"/>
  <c r="T26" i="62"/>
  <c r="T28" i="62"/>
  <c r="T21" i="62"/>
  <c r="T9" i="62"/>
  <c r="T29" i="62"/>
  <c r="T3" i="62"/>
  <c r="T19" i="62"/>
  <c r="T37" i="13"/>
  <c r="T9" i="13"/>
  <c r="T23" i="13"/>
  <c r="T12" i="13"/>
  <c r="T45" i="13"/>
  <c r="T22" i="13"/>
  <c r="T26" i="13"/>
  <c r="T14" i="13"/>
  <c r="T21" i="13"/>
  <c r="T36" i="13"/>
  <c r="T25" i="13"/>
  <c r="T39" i="13"/>
  <c r="T7" i="13"/>
  <c r="T24" i="13"/>
  <c r="T40" i="13"/>
  <c r="T47" i="13"/>
  <c r="T34" i="13"/>
  <c r="T41" i="13"/>
  <c r="T46" i="13"/>
  <c r="T33" i="13"/>
  <c r="T15" i="13"/>
  <c r="T18" i="13"/>
  <c r="T8" i="13"/>
  <c r="T3" i="13"/>
  <c r="T4" i="13"/>
  <c r="T32" i="13"/>
  <c r="T42" i="13"/>
  <c r="T19" i="13"/>
  <c r="T43" i="13"/>
  <c r="T10" i="13"/>
  <c r="T29" i="13"/>
  <c r="T13" i="13"/>
  <c r="T11" i="13"/>
  <c r="T38" i="13"/>
  <c r="T35" i="13"/>
  <c r="T6" i="13"/>
  <c r="T5" i="13"/>
  <c r="T30" i="13"/>
  <c r="T44" i="13"/>
  <c r="T20" i="13"/>
  <c r="T16" i="13"/>
  <c r="T27" i="13"/>
  <c r="T28" i="13"/>
  <c r="T17" i="13"/>
  <c r="T18" i="16"/>
  <c r="T32" i="16"/>
  <c r="T27" i="16"/>
  <c r="T19" i="16"/>
  <c r="T17" i="16"/>
  <c r="T28" i="16"/>
  <c r="T26" i="16"/>
  <c r="T16" i="16"/>
  <c r="T3" i="16"/>
  <c r="T15" i="16"/>
  <c r="T9" i="16"/>
  <c r="T21" i="16"/>
  <c r="T22" i="16"/>
  <c r="T31" i="16"/>
  <c r="T13" i="16"/>
  <c r="T10" i="16"/>
  <c r="T24" i="16"/>
  <c r="T29" i="16"/>
  <c r="T33" i="16"/>
  <c r="T5" i="16"/>
  <c r="T7" i="16"/>
  <c r="T12" i="16"/>
  <c r="T23" i="16"/>
  <c r="T35" i="16"/>
  <c r="T6" i="16"/>
  <c r="T34" i="16"/>
  <c r="T11" i="16"/>
  <c r="T14" i="16"/>
  <c r="T30" i="16"/>
  <c r="T4" i="16"/>
  <c r="T8" i="16"/>
  <c r="T20" i="16"/>
  <c r="T21" i="12"/>
  <c r="T48" i="12"/>
  <c r="T22" i="12"/>
  <c r="T40" i="12"/>
  <c r="T19" i="12"/>
  <c r="T20" i="12"/>
  <c r="T49" i="12"/>
  <c r="T33" i="12"/>
  <c r="T14" i="12"/>
  <c r="T30" i="12"/>
  <c r="T50" i="12"/>
  <c r="T55" i="12"/>
  <c r="T43" i="12"/>
  <c r="T51" i="12"/>
  <c r="T32" i="12"/>
  <c r="T53" i="12"/>
  <c r="T3" i="12"/>
  <c r="T37" i="12"/>
  <c r="T25" i="12"/>
  <c r="T44" i="12"/>
  <c r="T35" i="12"/>
  <c r="T13" i="12"/>
  <c r="T10" i="12"/>
  <c r="T38" i="12"/>
  <c r="T26" i="12"/>
  <c r="T9" i="12"/>
  <c r="T39" i="12"/>
  <c r="T27" i="12"/>
  <c r="T5" i="12"/>
  <c r="T16" i="12"/>
  <c r="T28" i="12"/>
  <c r="T31" i="12"/>
  <c r="T47" i="12"/>
  <c r="T29" i="12"/>
  <c r="T45" i="12"/>
  <c r="T42" i="12"/>
  <c r="T52" i="12"/>
  <c r="T4" i="12"/>
  <c r="T17" i="12"/>
  <c r="T54" i="12"/>
  <c r="T7" i="12"/>
  <c r="T56" i="12"/>
  <c r="T18" i="12"/>
  <c r="T24" i="12"/>
  <c r="T34" i="12"/>
  <c r="T12" i="12"/>
  <c r="T11" i="12"/>
  <c r="T8" i="12"/>
  <c r="T36" i="12"/>
  <c r="T23" i="12"/>
  <c r="T6" i="12"/>
  <c r="T46" i="12"/>
  <c r="T41" i="12"/>
  <c r="T5" i="1"/>
  <c r="T7" i="1"/>
  <c r="T18" i="1"/>
  <c r="T54" i="1"/>
  <c r="T27" i="1"/>
  <c r="T20" i="1"/>
  <c r="T17" i="1"/>
  <c r="T30" i="1"/>
  <c r="T12" i="1"/>
  <c r="T55" i="1"/>
  <c r="T43" i="1"/>
  <c r="T51" i="1"/>
  <c r="T14" i="1"/>
  <c r="T3" i="1"/>
  <c r="T49" i="1"/>
  <c r="T8" i="1"/>
  <c r="T13" i="1"/>
  <c r="T38" i="1"/>
  <c r="T11" i="1"/>
  <c r="T32" i="1"/>
  <c r="T40" i="1"/>
  <c r="T31" i="1"/>
  <c r="T46" i="1"/>
  <c r="T24" i="1"/>
  <c r="T41" i="1"/>
  <c r="T15" i="1"/>
  <c r="T16" i="1"/>
  <c r="T29" i="1"/>
  <c r="T33" i="1"/>
  <c r="T28" i="1"/>
  <c r="T42" i="1"/>
  <c r="T4" i="1"/>
  <c r="T50" i="1"/>
  <c r="T52" i="1"/>
  <c r="T45" i="1"/>
  <c r="T35" i="1"/>
  <c r="T48" i="1"/>
  <c r="T47" i="1"/>
  <c r="T39" i="1"/>
  <c r="T21" i="1"/>
  <c r="T25" i="1"/>
  <c r="T44" i="1"/>
  <c r="T53" i="1"/>
  <c r="T9" i="1"/>
  <c r="T6" i="1"/>
  <c r="T34" i="1"/>
  <c r="T10" i="1"/>
  <c r="T23" i="1"/>
  <c r="T26" i="1"/>
  <c r="T43" i="6"/>
  <c r="T44" i="6"/>
  <c r="T11" i="6"/>
  <c r="T38" i="6"/>
  <c r="T42" i="6"/>
  <c r="T37" i="6"/>
  <c r="T13" i="6"/>
  <c r="T5" i="6"/>
  <c r="T36" i="6"/>
  <c r="T35" i="6"/>
  <c r="T26" i="6"/>
  <c r="T27" i="6"/>
  <c r="T4" i="6"/>
  <c r="T32" i="6"/>
  <c r="T30" i="6"/>
  <c r="T20" i="6"/>
  <c r="T14" i="6"/>
  <c r="T46" i="6"/>
  <c r="T21" i="6"/>
  <c r="T40" i="6"/>
  <c r="T22" i="6"/>
  <c r="T16" i="6"/>
  <c r="T19" i="6"/>
  <c r="T45" i="6"/>
  <c r="T6" i="6"/>
  <c r="T8" i="6"/>
  <c r="T31" i="6"/>
  <c r="T18" i="6"/>
  <c r="T10" i="6"/>
  <c r="T25" i="6"/>
  <c r="T28" i="6"/>
  <c r="T33" i="6"/>
  <c r="T3" i="6"/>
  <c r="T17" i="6"/>
  <c r="T12" i="6"/>
  <c r="T15" i="6"/>
  <c r="T23" i="6"/>
  <c r="T39" i="6"/>
  <c r="T41" i="6"/>
  <c r="T9" i="6"/>
  <c r="T34" i="6"/>
  <c r="T47" i="6"/>
  <c r="T24" i="6"/>
  <c r="T41" i="3"/>
  <c r="T47" i="3"/>
  <c r="T20" i="3"/>
  <c r="T15" i="3"/>
  <c r="T24" i="3"/>
  <c r="T45" i="3"/>
  <c r="T32" i="3"/>
  <c r="T4" i="3"/>
  <c r="T49" i="3"/>
  <c r="T10" i="3"/>
  <c r="T48" i="3"/>
  <c r="T44" i="3"/>
  <c r="T28" i="3"/>
  <c r="T6" i="3"/>
  <c r="T5" i="3"/>
  <c r="T33" i="3"/>
  <c r="T34" i="3"/>
  <c r="T22" i="3"/>
  <c r="T9" i="3"/>
  <c r="T21" i="3"/>
  <c r="T55" i="3"/>
  <c r="T7" i="3"/>
  <c r="T54" i="3"/>
  <c r="T11" i="3"/>
  <c r="T3" i="3"/>
  <c r="T14" i="3"/>
  <c r="T8" i="3"/>
  <c r="T19" i="3"/>
  <c r="T51" i="3"/>
  <c r="T36" i="3"/>
  <c r="T30" i="3"/>
  <c r="T29" i="3"/>
  <c r="T12" i="52"/>
  <c r="T10" i="52"/>
  <c r="T14" i="52"/>
  <c r="T30" i="52"/>
  <c r="T21" i="52"/>
  <c r="T33" i="52"/>
  <c r="T35" i="52"/>
  <c r="T4" i="52"/>
  <c r="T24" i="52"/>
  <c r="T27" i="52"/>
  <c r="T26" i="52"/>
  <c r="T8" i="52"/>
  <c r="T25" i="52"/>
  <c r="T31" i="52"/>
  <c r="T34" i="52"/>
  <c r="T11" i="52"/>
  <c r="T17" i="52"/>
  <c r="T18" i="52"/>
  <c r="T22" i="52"/>
  <c r="T7" i="52"/>
  <c r="T29" i="52"/>
  <c r="T25" i="4"/>
  <c r="T35" i="4"/>
  <c r="T10" i="4"/>
  <c r="T28" i="4"/>
  <c r="T11" i="4"/>
  <c r="T26" i="4"/>
  <c r="T23" i="4"/>
  <c r="T19" i="4"/>
  <c r="T9" i="4"/>
  <c r="T8" i="4"/>
  <c r="T18" i="4"/>
  <c r="T13" i="4"/>
  <c r="T21" i="4"/>
  <c r="T31" i="4"/>
  <c r="T36" i="4"/>
  <c r="T4" i="4"/>
  <c r="T15" i="4"/>
  <c r="T32" i="4"/>
  <c r="T22" i="4"/>
  <c r="T34" i="4"/>
  <c r="T20" i="4"/>
  <c r="T27" i="4"/>
  <c r="T5" i="4"/>
  <c r="T16" i="4"/>
  <c r="T24" i="4"/>
  <c r="T14" i="4"/>
  <c r="T7" i="4"/>
  <c r="T29" i="4"/>
  <c r="T6" i="4"/>
  <c r="T30" i="4"/>
  <c r="T17" i="4"/>
  <c r="T33" i="4"/>
  <c r="T19" i="56"/>
  <c r="T4" i="56"/>
  <c r="T9" i="56"/>
  <c r="T24" i="56"/>
  <c r="T25" i="56"/>
  <c r="T13" i="56"/>
  <c r="T16" i="56"/>
  <c r="T22" i="56"/>
  <c r="T17" i="56"/>
  <c r="T3" i="56"/>
  <c r="T21" i="56"/>
  <c r="T15" i="56"/>
  <c r="T10" i="56"/>
  <c r="T30" i="56"/>
  <c r="T7" i="56"/>
  <c r="T14" i="56"/>
  <c r="T23" i="56"/>
  <c r="T28" i="56"/>
  <c r="T18" i="56"/>
  <c r="T29" i="56"/>
  <c r="T26" i="56"/>
  <c r="T10" i="7"/>
  <c r="T18" i="7"/>
  <c r="T7" i="7"/>
  <c r="T16" i="7"/>
  <c r="T35" i="7"/>
  <c r="T48" i="20"/>
  <c r="T32" i="20"/>
  <c r="T6" i="20"/>
  <c r="T26" i="20"/>
  <c r="T35" i="20"/>
  <c r="T5" i="20"/>
  <c r="T39" i="20"/>
  <c r="T16" i="20"/>
  <c r="T42" i="20"/>
  <c r="T3" i="20"/>
  <c r="T31" i="20"/>
  <c r="T7" i="20"/>
  <c r="T24" i="20"/>
  <c r="T19" i="20"/>
  <c r="T17" i="20"/>
  <c r="T4" i="20"/>
  <c r="T36" i="20"/>
  <c r="T23" i="20"/>
  <c r="T25" i="20"/>
  <c r="T15" i="20"/>
  <c r="T43" i="20"/>
  <c r="T12" i="20"/>
  <c r="T30" i="20"/>
  <c r="T27" i="20"/>
  <c r="T33" i="20"/>
  <c r="T11" i="20"/>
  <c r="T41" i="20"/>
  <c r="T8" i="20"/>
  <c r="T9" i="20"/>
  <c r="T39" i="58"/>
  <c r="T34" i="58"/>
  <c r="T14" i="58"/>
  <c r="T37" i="58"/>
  <c r="T24" i="58"/>
  <c r="T16" i="58"/>
  <c r="T46" i="58"/>
  <c r="T30" i="58"/>
  <c r="T8" i="58"/>
  <c r="T35" i="58"/>
  <c r="T5" i="58"/>
  <c r="T32" i="58"/>
  <c r="T20" i="58"/>
  <c r="T10" i="58"/>
  <c r="T6" i="58"/>
  <c r="T38" i="58"/>
  <c r="T17" i="58"/>
  <c r="T41" i="58"/>
  <c r="T9" i="58"/>
  <c r="T33" i="58"/>
  <c r="T43" i="58"/>
  <c r="T27" i="58"/>
  <c r="T36" i="58"/>
  <c r="T21" i="58"/>
  <c r="T23" i="58"/>
  <c r="T18" i="58"/>
  <c r="T25" i="58"/>
  <c r="T7" i="58"/>
  <c r="T42" i="58"/>
  <c r="T45" i="58"/>
  <c r="T29" i="58"/>
  <c r="T12" i="58"/>
  <c r="T4" i="58"/>
  <c r="T11" i="58"/>
  <c r="T13" i="58"/>
  <c r="T3" i="58"/>
  <c r="T25" i="7"/>
  <c r="T29" i="7"/>
  <c r="T8" i="7"/>
  <c r="T6" i="7"/>
  <c r="T24" i="7"/>
  <c r="T33" i="7"/>
  <c r="T11" i="7"/>
  <c r="T20" i="7"/>
  <c r="T26" i="7"/>
  <c r="T30" i="7"/>
  <c r="T12" i="7"/>
  <c r="T23" i="7"/>
  <c r="T28" i="7"/>
  <c r="T13" i="7"/>
  <c r="T32" i="7"/>
  <c r="T21" i="7"/>
  <c r="T4" i="7"/>
  <c r="T14" i="7"/>
  <c r="T17" i="7"/>
  <c r="T22" i="7"/>
  <c r="T27" i="7"/>
  <c r="T5" i="7"/>
  <c r="T9" i="7"/>
  <c r="T34" i="7"/>
  <c r="T19" i="7"/>
  <c r="D42" i="6" l="1"/>
  <c r="G42" i="6"/>
  <c r="J42" i="6"/>
  <c r="M42" i="6"/>
  <c r="D46" i="6"/>
  <c r="G46" i="6"/>
  <c r="J46" i="6"/>
  <c r="M46" i="6"/>
  <c r="D29" i="6"/>
  <c r="G29" i="6"/>
  <c r="J29" i="6"/>
  <c r="M29" i="6"/>
  <c r="D12" i="6"/>
  <c r="G12" i="6"/>
  <c r="J12" i="6"/>
  <c r="M12" i="6"/>
  <c r="D12" i="1"/>
  <c r="G12" i="1"/>
  <c r="J12" i="1"/>
  <c r="M12" i="1"/>
  <c r="D33" i="1"/>
  <c r="G33" i="1"/>
  <c r="J33" i="1"/>
  <c r="M33" i="1"/>
  <c r="D21" i="1"/>
  <c r="G21" i="1"/>
  <c r="J21" i="1"/>
  <c r="M21" i="1"/>
  <c r="D8" i="1"/>
  <c r="G8" i="1"/>
  <c r="J8" i="1"/>
  <c r="M8" i="1"/>
  <c r="D31" i="1"/>
  <c r="G31" i="1"/>
  <c r="J31" i="1"/>
  <c r="M31" i="1"/>
  <c r="D8" i="2"/>
  <c r="G8" i="2"/>
  <c r="J8" i="2"/>
  <c r="M8" i="2"/>
  <c r="D38" i="2"/>
  <c r="G38" i="2"/>
  <c r="J38" i="2"/>
  <c r="M38" i="2"/>
  <c r="D11" i="2"/>
  <c r="G11" i="2"/>
  <c r="J11" i="2"/>
  <c r="M11" i="2"/>
  <c r="D25" i="2"/>
  <c r="G25" i="2"/>
  <c r="J25" i="2"/>
  <c r="M25" i="2"/>
  <c r="D12" i="3"/>
  <c r="G12" i="3"/>
  <c r="J12" i="3"/>
  <c r="M12" i="3"/>
  <c r="D10" i="3"/>
  <c r="G10" i="3"/>
  <c r="J10" i="3"/>
  <c r="M10" i="3"/>
  <c r="D20" i="3"/>
  <c r="G20" i="3"/>
  <c r="J20" i="3"/>
  <c r="M20" i="3"/>
  <c r="D13" i="3"/>
  <c r="G13" i="3"/>
  <c r="J13" i="3"/>
  <c r="M13" i="3"/>
  <c r="D42" i="3"/>
  <c r="G42" i="3"/>
  <c r="J42" i="3"/>
  <c r="M42" i="3"/>
  <c r="D7" i="3"/>
  <c r="G7" i="3"/>
  <c r="J7" i="3"/>
  <c r="M7" i="3"/>
  <c r="D19" i="3"/>
  <c r="G19" i="3"/>
  <c r="J19" i="3"/>
  <c r="M19" i="3"/>
  <c r="M12" i="50"/>
  <c r="J12" i="50"/>
  <c r="G12" i="50"/>
  <c r="D12" i="50"/>
  <c r="S12" i="50" s="1"/>
  <c r="M27" i="50"/>
  <c r="J27" i="50"/>
  <c r="G27" i="50"/>
  <c r="D27" i="50"/>
  <c r="M17" i="50"/>
  <c r="J17" i="50"/>
  <c r="G17" i="50"/>
  <c r="D17" i="50"/>
  <c r="S17" i="50" s="1"/>
  <c r="M9" i="50"/>
  <c r="J9" i="50"/>
  <c r="G9" i="50"/>
  <c r="D9" i="50"/>
  <c r="M5" i="50"/>
  <c r="J5" i="50"/>
  <c r="G5" i="50"/>
  <c r="D5" i="50"/>
  <c r="M26" i="50"/>
  <c r="J26" i="50"/>
  <c r="G26" i="50"/>
  <c r="D26" i="50"/>
  <c r="S26" i="50" s="1"/>
  <c r="M25" i="50"/>
  <c r="J25" i="50"/>
  <c r="G25" i="50"/>
  <c r="D25" i="50"/>
  <c r="S25" i="50" s="1"/>
  <c r="M23" i="50"/>
  <c r="J23" i="50"/>
  <c r="G23" i="50"/>
  <c r="D23" i="50"/>
  <c r="M22" i="50"/>
  <c r="J22" i="50"/>
  <c r="G22" i="50"/>
  <c r="D22" i="50"/>
  <c r="M3" i="50"/>
  <c r="J3" i="50"/>
  <c r="G3" i="50"/>
  <c r="D3" i="50"/>
  <c r="S3" i="50" s="1"/>
  <c r="M13" i="50"/>
  <c r="J13" i="50"/>
  <c r="G13" i="50"/>
  <c r="D13" i="50"/>
  <c r="S13" i="50" s="1"/>
  <c r="M20" i="50"/>
  <c r="J20" i="50"/>
  <c r="G20" i="50"/>
  <c r="D20" i="50"/>
  <c r="M4" i="50"/>
  <c r="J4" i="50"/>
  <c r="G4" i="50"/>
  <c r="D4" i="50"/>
  <c r="S4" i="50" s="1"/>
  <c r="M15" i="50"/>
  <c r="J15" i="50"/>
  <c r="G15" i="50"/>
  <c r="D15" i="50"/>
  <c r="M24" i="50"/>
  <c r="J24" i="50"/>
  <c r="G24" i="50"/>
  <c r="D24" i="50"/>
  <c r="S24" i="50" s="1"/>
  <c r="M7" i="50"/>
  <c r="J7" i="50"/>
  <c r="G7" i="50"/>
  <c r="D7" i="50"/>
  <c r="M6" i="50"/>
  <c r="J6" i="50"/>
  <c r="G6" i="50"/>
  <c r="D6" i="50"/>
  <c r="M8" i="50"/>
  <c r="J8" i="50"/>
  <c r="G8" i="50"/>
  <c r="D8" i="50"/>
  <c r="S8" i="50" s="1"/>
  <c r="M11" i="50"/>
  <c r="J11" i="50"/>
  <c r="G11" i="50"/>
  <c r="D11" i="50"/>
  <c r="S11" i="50" s="1"/>
  <c r="M21" i="50"/>
  <c r="J21" i="50"/>
  <c r="G21" i="50"/>
  <c r="D21" i="50"/>
  <c r="M16" i="50"/>
  <c r="J16" i="50"/>
  <c r="G16" i="50"/>
  <c r="D16" i="50"/>
  <c r="S16" i="50" s="1"/>
  <c r="M14" i="50"/>
  <c r="J14" i="50"/>
  <c r="G14" i="50"/>
  <c r="D14" i="50"/>
  <c r="M19" i="50"/>
  <c r="J19" i="50"/>
  <c r="G19" i="50"/>
  <c r="D19" i="50"/>
  <c r="S19" i="50" s="1"/>
  <c r="M10" i="50"/>
  <c r="J10" i="50"/>
  <c r="G10" i="50"/>
  <c r="D10" i="50"/>
  <c r="M13" i="49"/>
  <c r="J13" i="49"/>
  <c r="G13" i="49"/>
  <c r="D13" i="49"/>
  <c r="S13" i="49" s="1"/>
  <c r="M27" i="49"/>
  <c r="J27" i="49"/>
  <c r="G27" i="49"/>
  <c r="D27" i="49"/>
  <c r="M26" i="49"/>
  <c r="J26" i="49"/>
  <c r="G26" i="49"/>
  <c r="D26" i="49"/>
  <c r="S26" i="49" s="1"/>
  <c r="M25" i="49"/>
  <c r="J25" i="49"/>
  <c r="G25" i="49"/>
  <c r="D25" i="49"/>
  <c r="M24" i="49"/>
  <c r="J24" i="49"/>
  <c r="G24" i="49"/>
  <c r="D24" i="49"/>
  <c r="S24" i="49" s="1"/>
  <c r="M23" i="49"/>
  <c r="J23" i="49"/>
  <c r="G23" i="49"/>
  <c r="D23" i="49"/>
  <c r="M22" i="49"/>
  <c r="J22" i="49"/>
  <c r="G22" i="49"/>
  <c r="D22" i="49"/>
  <c r="S22" i="49" s="1"/>
  <c r="M6" i="49"/>
  <c r="J6" i="49"/>
  <c r="G6" i="49"/>
  <c r="D6" i="49"/>
  <c r="S6" i="49" s="1"/>
  <c r="M7" i="49"/>
  <c r="J7" i="49"/>
  <c r="G7" i="49"/>
  <c r="D7" i="49"/>
  <c r="M16" i="49"/>
  <c r="J16" i="49"/>
  <c r="G16" i="49"/>
  <c r="D16" i="49"/>
  <c r="S16" i="49" s="1"/>
  <c r="M12" i="49"/>
  <c r="J12" i="49"/>
  <c r="G12" i="49"/>
  <c r="D12" i="49"/>
  <c r="M10" i="49"/>
  <c r="J10" i="49"/>
  <c r="G10" i="49"/>
  <c r="D10" i="49"/>
  <c r="S10" i="49" s="1"/>
  <c r="M21" i="49"/>
  <c r="J21" i="49"/>
  <c r="G21" i="49"/>
  <c r="D21" i="49"/>
  <c r="S21" i="49" s="1"/>
  <c r="M20" i="49"/>
  <c r="J20" i="49"/>
  <c r="G20" i="49"/>
  <c r="D20" i="49"/>
  <c r="M19" i="49"/>
  <c r="J19" i="49"/>
  <c r="G19" i="49"/>
  <c r="D19" i="49"/>
  <c r="S19" i="49" s="1"/>
  <c r="M18" i="49"/>
  <c r="J18" i="49"/>
  <c r="G18" i="49"/>
  <c r="D18" i="49"/>
  <c r="S18" i="49" s="1"/>
  <c r="M17" i="49"/>
  <c r="J17" i="49"/>
  <c r="G17" i="49"/>
  <c r="D17" i="49"/>
  <c r="S17" i="49" s="1"/>
  <c r="M5" i="49"/>
  <c r="J5" i="49"/>
  <c r="G5" i="49"/>
  <c r="D5" i="49"/>
  <c r="M9" i="49"/>
  <c r="J9" i="49"/>
  <c r="G9" i="49"/>
  <c r="D9" i="49"/>
  <c r="S9" i="49" s="1"/>
  <c r="M8" i="49"/>
  <c r="J8" i="49"/>
  <c r="G8" i="49"/>
  <c r="D8" i="49"/>
  <c r="S8" i="49" s="1"/>
  <c r="M3" i="49"/>
  <c r="J3" i="49"/>
  <c r="G3" i="49"/>
  <c r="D3" i="49"/>
  <c r="M15" i="49"/>
  <c r="J15" i="49"/>
  <c r="G15" i="49"/>
  <c r="D15" i="49"/>
  <c r="S15" i="49" s="1"/>
  <c r="M14" i="49"/>
  <c r="J14" i="49"/>
  <c r="G14" i="49"/>
  <c r="D14" i="49"/>
  <c r="S14" i="49" s="1"/>
  <c r="M11" i="49"/>
  <c r="J11" i="49"/>
  <c r="G11" i="49"/>
  <c r="D11" i="49"/>
  <c r="S11" i="49" s="1"/>
  <c r="M4" i="49"/>
  <c r="J4" i="49"/>
  <c r="G4" i="49"/>
  <c r="D4" i="49"/>
  <c r="M33" i="47"/>
  <c r="J33" i="47"/>
  <c r="G33" i="47"/>
  <c r="D33" i="47"/>
  <c r="M15" i="47"/>
  <c r="J15" i="47"/>
  <c r="G15" i="47"/>
  <c r="D15" i="47"/>
  <c r="M6" i="47"/>
  <c r="J6" i="47"/>
  <c r="G6" i="47"/>
  <c r="D6" i="47"/>
  <c r="M32" i="47"/>
  <c r="J32" i="47"/>
  <c r="G32" i="47"/>
  <c r="D32" i="47"/>
  <c r="M10" i="47"/>
  <c r="J10" i="47"/>
  <c r="G10" i="47"/>
  <c r="D10" i="47"/>
  <c r="M7" i="47"/>
  <c r="J7" i="47"/>
  <c r="G7" i="47"/>
  <c r="D7" i="47"/>
  <c r="M31" i="47"/>
  <c r="J31" i="47"/>
  <c r="G31" i="47"/>
  <c r="D31" i="47"/>
  <c r="M3" i="47"/>
  <c r="J3" i="47"/>
  <c r="G3" i="47"/>
  <c r="D3" i="47"/>
  <c r="M19" i="47"/>
  <c r="J19" i="47"/>
  <c r="G19" i="47"/>
  <c r="D19" i="47"/>
  <c r="M8" i="47"/>
  <c r="J8" i="47"/>
  <c r="G8" i="47"/>
  <c r="D8" i="47"/>
  <c r="M14" i="47"/>
  <c r="J14" i="47"/>
  <c r="G14" i="47"/>
  <c r="D14" i="47"/>
  <c r="M4" i="47"/>
  <c r="J4" i="47"/>
  <c r="G4" i="47"/>
  <c r="D4" i="47"/>
  <c r="M5" i="47"/>
  <c r="J5" i="47"/>
  <c r="G5" i="47"/>
  <c r="D5" i="47"/>
  <c r="M30" i="47"/>
  <c r="J30" i="47"/>
  <c r="G30" i="47"/>
  <c r="D30" i="47"/>
  <c r="M23" i="47"/>
  <c r="J23" i="47"/>
  <c r="G23" i="47"/>
  <c r="D23" i="47"/>
  <c r="M29" i="47"/>
  <c r="J29" i="47"/>
  <c r="G29" i="47"/>
  <c r="D29" i="47"/>
  <c r="M17" i="47"/>
  <c r="J17" i="47"/>
  <c r="G17" i="47"/>
  <c r="D17" i="47"/>
  <c r="M20" i="47"/>
  <c r="J20" i="47"/>
  <c r="G20" i="47"/>
  <c r="D20" i="47"/>
  <c r="M27" i="47"/>
  <c r="J27" i="47"/>
  <c r="G27" i="47"/>
  <c r="D27" i="47"/>
  <c r="M25" i="47"/>
  <c r="J25" i="47"/>
  <c r="G25" i="47"/>
  <c r="D25" i="47"/>
  <c r="M18" i="47"/>
  <c r="J18" i="47"/>
  <c r="G18" i="47"/>
  <c r="D18" i="47"/>
  <c r="M11" i="47"/>
  <c r="J11" i="47"/>
  <c r="G11" i="47"/>
  <c r="D11" i="47"/>
  <c r="M9" i="47"/>
  <c r="J9" i="47"/>
  <c r="G9" i="47"/>
  <c r="D9" i="47"/>
  <c r="M16" i="47"/>
  <c r="J16" i="47"/>
  <c r="G16" i="47"/>
  <c r="D16" i="47"/>
  <c r="M26" i="47"/>
  <c r="J26" i="47"/>
  <c r="G26" i="47"/>
  <c r="D26" i="47"/>
  <c r="M22" i="47"/>
  <c r="J22" i="47"/>
  <c r="G22" i="47"/>
  <c r="D22" i="47"/>
  <c r="M21" i="47"/>
  <c r="J21" i="47"/>
  <c r="G21" i="47"/>
  <c r="D21" i="47"/>
  <c r="M24" i="47"/>
  <c r="J24" i="47"/>
  <c r="G24" i="47"/>
  <c r="D24" i="47"/>
  <c r="M12" i="47"/>
  <c r="J12" i="47"/>
  <c r="G12" i="47"/>
  <c r="D12" i="47"/>
  <c r="M13" i="47"/>
  <c r="J13" i="47"/>
  <c r="G13" i="47"/>
  <c r="D13" i="47"/>
  <c r="M28" i="47"/>
  <c r="J28" i="47"/>
  <c r="G28" i="47"/>
  <c r="D28" i="47"/>
  <c r="M30" i="46"/>
  <c r="J30" i="46"/>
  <c r="G30" i="46"/>
  <c r="D30" i="46"/>
  <c r="S30" i="46" s="1"/>
  <c r="M36" i="46"/>
  <c r="J36" i="46"/>
  <c r="G36" i="46"/>
  <c r="D36" i="46"/>
  <c r="M12" i="46"/>
  <c r="J12" i="46"/>
  <c r="G12" i="46"/>
  <c r="D12" i="46"/>
  <c r="S12" i="46" s="1"/>
  <c r="M35" i="46"/>
  <c r="J35" i="46"/>
  <c r="G35" i="46"/>
  <c r="D35" i="46"/>
  <c r="M34" i="46"/>
  <c r="J34" i="46"/>
  <c r="G34" i="46"/>
  <c r="D34" i="46"/>
  <c r="S34" i="46" s="1"/>
  <c r="M3" i="46"/>
  <c r="J3" i="46"/>
  <c r="G3" i="46"/>
  <c r="D3" i="46"/>
  <c r="M17" i="46"/>
  <c r="J17" i="46"/>
  <c r="G17" i="46"/>
  <c r="D17" i="46"/>
  <c r="S17" i="46" s="1"/>
  <c r="M29" i="46"/>
  <c r="J29" i="46"/>
  <c r="G29" i="46"/>
  <c r="D29" i="46"/>
  <c r="M31" i="46"/>
  <c r="J31" i="46"/>
  <c r="G31" i="46"/>
  <c r="D31" i="46"/>
  <c r="S31" i="46" s="1"/>
  <c r="M7" i="46"/>
  <c r="J7" i="46"/>
  <c r="G7" i="46"/>
  <c r="D7" i="46"/>
  <c r="S7" i="46" s="1"/>
  <c r="M24" i="46"/>
  <c r="J24" i="46"/>
  <c r="G24" i="46"/>
  <c r="D24" i="46"/>
  <c r="S24" i="46" s="1"/>
  <c r="M9" i="46"/>
  <c r="J9" i="46"/>
  <c r="G9" i="46"/>
  <c r="D9" i="46"/>
  <c r="M33" i="46"/>
  <c r="J33" i="46"/>
  <c r="G33" i="46"/>
  <c r="D33" i="46"/>
  <c r="S33" i="46" s="1"/>
  <c r="M8" i="46"/>
  <c r="J8" i="46"/>
  <c r="G8" i="46"/>
  <c r="D8" i="46"/>
  <c r="S8" i="46" s="1"/>
  <c r="M6" i="46"/>
  <c r="J6" i="46"/>
  <c r="G6" i="46"/>
  <c r="D6" i="46"/>
  <c r="S6" i="46" s="1"/>
  <c r="M5" i="46"/>
  <c r="J5" i="46"/>
  <c r="G5" i="46"/>
  <c r="D5" i="46"/>
  <c r="M10" i="46"/>
  <c r="J10" i="46"/>
  <c r="G10" i="46"/>
  <c r="D10" i="46"/>
  <c r="S10" i="46" s="1"/>
  <c r="M21" i="46"/>
  <c r="J21" i="46"/>
  <c r="G21" i="46"/>
  <c r="D21" i="46"/>
  <c r="S21" i="46" s="1"/>
  <c r="M13" i="46"/>
  <c r="J13" i="46"/>
  <c r="G13" i="46"/>
  <c r="D13" i="46"/>
  <c r="S13" i="46" s="1"/>
  <c r="M4" i="46"/>
  <c r="J4" i="46"/>
  <c r="G4" i="46"/>
  <c r="D4" i="46"/>
  <c r="M28" i="46"/>
  <c r="J28" i="46"/>
  <c r="G28" i="46"/>
  <c r="D28" i="46"/>
  <c r="S28" i="46" s="1"/>
  <c r="M23" i="46"/>
  <c r="J23" i="46"/>
  <c r="G23" i="46"/>
  <c r="D23" i="46"/>
  <c r="S23" i="46" s="1"/>
  <c r="M15" i="46"/>
  <c r="J15" i="46"/>
  <c r="G15" i="46"/>
  <c r="D15" i="46"/>
  <c r="S15" i="46" s="1"/>
  <c r="M26" i="46"/>
  <c r="J26" i="46"/>
  <c r="G26" i="46"/>
  <c r="D26" i="46"/>
  <c r="M22" i="46"/>
  <c r="J22" i="46"/>
  <c r="G22" i="46"/>
  <c r="D22" i="46"/>
  <c r="S22" i="46" s="1"/>
  <c r="M16" i="46"/>
  <c r="J16" i="46"/>
  <c r="G16" i="46"/>
  <c r="D16" i="46"/>
  <c r="S16" i="46" s="1"/>
  <c r="M27" i="46"/>
  <c r="J27" i="46"/>
  <c r="G27" i="46"/>
  <c r="D27" i="46"/>
  <c r="S27" i="46" s="1"/>
  <c r="M11" i="46"/>
  <c r="J11" i="46"/>
  <c r="G11" i="46"/>
  <c r="D11" i="46"/>
  <c r="M14" i="46"/>
  <c r="J14" i="46"/>
  <c r="G14" i="46"/>
  <c r="D14" i="46"/>
  <c r="S14" i="46" s="1"/>
  <c r="M18" i="46"/>
  <c r="J18" i="46"/>
  <c r="G18" i="46"/>
  <c r="D18" i="46"/>
  <c r="S18" i="46" s="1"/>
  <c r="M25" i="46"/>
  <c r="J25" i="46"/>
  <c r="G25" i="46"/>
  <c r="D25" i="46"/>
  <c r="S25" i="46" s="1"/>
  <c r="M20" i="46"/>
  <c r="J20" i="46"/>
  <c r="G20" i="46"/>
  <c r="D20" i="46"/>
  <c r="M19" i="46"/>
  <c r="J19" i="46"/>
  <c r="G19" i="46"/>
  <c r="D19" i="46"/>
  <c r="S19" i="46" s="1"/>
  <c r="M10" i="45"/>
  <c r="J10" i="45"/>
  <c r="G10" i="45"/>
  <c r="D10" i="45"/>
  <c r="M37" i="45"/>
  <c r="J37" i="45"/>
  <c r="G37" i="45"/>
  <c r="D37" i="45"/>
  <c r="M49" i="45"/>
  <c r="J49" i="45"/>
  <c r="G49" i="45"/>
  <c r="D49" i="45"/>
  <c r="M9" i="45"/>
  <c r="J9" i="45"/>
  <c r="G9" i="45"/>
  <c r="D9" i="45"/>
  <c r="M32" i="45"/>
  <c r="J32" i="45"/>
  <c r="G32" i="45"/>
  <c r="D32" i="45"/>
  <c r="M48" i="45"/>
  <c r="J48" i="45"/>
  <c r="G48" i="45"/>
  <c r="D48" i="45"/>
  <c r="M41" i="45"/>
  <c r="J41" i="45"/>
  <c r="G41" i="45"/>
  <c r="D41" i="45"/>
  <c r="M40" i="45"/>
  <c r="J40" i="45"/>
  <c r="G40" i="45"/>
  <c r="D40" i="45"/>
  <c r="M27" i="45"/>
  <c r="J27" i="45"/>
  <c r="G27" i="45"/>
  <c r="D27" i="45"/>
  <c r="M8" i="45"/>
  <c r="J8" i="45"/>
  <c r="G8" i="45"/>
  <c r="D8" i="45"/>
  <c r="M46" i="45"/>
  <c r="J46" i="45"/>
  <c r="G46" i="45"/>
  <c r="D46" i="45"/>
  <c r="M18" i="45"/>
  <c r="J18" i="45"/>
  <c r="G18" i="45"/>
  <c r="D18" i="45"/>
  <c r="M45" i="45"/>
  <c r="J45" i="45"/>
  <c r="G45" i="45"/>
  <c r="D45" i="45"/>
  <c r="M11" i="45"/>
  <c r="J11" i="45"/>
  <c r="G11" i="45"/>
  <c r="D11" i="45"/>
  <c r="M24" i="45"/>
  <c r="J24" i="45"/>
  <c r="G24" i="45"/>
  <c r="D24" i="45"/>
  <c r="M26" i="45"/>
  <c r="J26" i="45"/>
  <c r="G26" i="45"/>
  <c r="D26" i="45"/>
  <c r="M12" i="45"/>
  <c r="J12" i="45"/>
  <c r="G12" i="45"/>
  <c r="D12" i="45"/>
  <c r="M6" i="45"/>
  <c r="J6" i="45"/>
  <c r="G6" i="45"/>
  <c r="D6" i="45"/>
  <c r="M43" i="45"/>
  <c r="J43" i="45"/>
  <c r="G43" i="45"/>
  <c r="D43" i="45"/>
  <c r="M13" i="45"/>
  <c r="J13" i="45"/>
  <c r="G13" i="45"/>
  <c r="D13" i="45"/>
  <c r="M21" i="45"/>
  <c r="J21" i="45"/>
  <c r="G21" i="45"/>
  <c r="D21" i="45"/>
  <c r="M7" i="45"/>
  <c r="J7" i="45"/>
  <c r="G7" i="45"/>
  <c r="D7" i="45"/>
  <c r="M20" i="45"/>
  <c r="J20" i="45"/>
  <c r="G20" i="45"/>
  <c r="D20" i="45"/>
  <c r="M42" i="45"/>
  <c r="J42" i="45"/>
  <c r="G42" i="45"/>
  <c r="D42" i="45"/>
  <c r="M19" i="45"/>
  <c r="J19" i="45"/>
  <c r="G19" i="45"/>
  <c r="D19" i="45"/>
  <c r="M35" i="45"/>
  <c r="J35" i="45"/>
  <c r="G35" i="45"/>
  <c r="D35" i="45"/>
  <c r="M15" i="45"/>
  <c r="J15" i="45"/>
  <c r="G15" i="45"/>
  <c r="D15" i="45"/>
  <c r="M25" i="45"/>
  <c r="J25" i="45"/>
  <c r="G25" i="45"/>
  <c r="D25" i="45"/>
  <c r="M14" i="45"/>
  <c r="J14" i="45"/>
  <c r="G14" i="45"/>
  <c r="D14" i="45"/>
  <c r="M30" i="45"/>
  <c r="J30" i="45"/>
  <c r="G30" i="45"/>
  <c r="D30" i="45"/>
  <c r="M16" i="45"/>
  <c r="J16" i="45"/>
  <c r="G16" i="45"/>
  <c r="D16" i="45"/>
  <c r="M3" i="45"/>
  <c r="J3" i="45"/>
  <c r="G3" i="45"/>
  <c r="D3" i="45"/>
  <c r="M29" i="45"/>
  <c r="J29" i="45"/>
  <c r="G29" i="45"/>
  <c r="D29" i="45"/>
  <c r="M39" i="45"/>
  <c r="J39" i="45"/>
  <c r="G39" i="45"/>
  <c r="D39" i="45"/>
  <c r="M36" i="45"/>
  <c r="J36" i="45"/>
  <c r="G36" i="45"/>
  <c r="D36" i="45"/>
  <c r="M38" i="45"/>
  <c r="J38" i="45"/>
  <c r="G38" i="45"/>
  <c r="D38" i="45"/>
  <c r="M22" i="45"/>
  <c r="J22" i="45"/>
  <c r="G22" i="45"/>
  <c r="D22" i="45"/>
  <c r="M33" i="45"/>
  <c r="J33" i="45"/>
  <c r="G33" i="45"/>
  <c r="D33" i="45"/>
  <c r="M17" i="45"/>
  <c r="J17" i="45"/>
  <c r="G17" i="45"/>
  <c r="D17" i="45"/>
  <c r="M23" i="45"/>
  <c r="J23" i="45"/>
  <c r="G23" i="45"/>
  <c r="D23" i="45"/>
  <c r="M34" i="45"/>
  <c r="J34" i="45"/>
  <c r="G34" i="45"/>
  <c r="D34" i="45"/>
  <c r="M28" i="45"/>
  <c r="J28" i="45"/>
  <c r="G28" i="45"/>
  <c r="D28" i="45"/>
  <c r="M31" i="45"/>
  <c r="J31" i="45"/>
  <c r="G31" i="45"/>
  <c r="D31" i="45"/>
  <c r="M6" i="44"/>
  <c r="J6" i="44"/>
  <c r="G6" i="44"/>
  <c r="D6" i="44"/>
  <c r="M21" i="44"/>
  <c r="J21" i="44"/>
  <c r="G21" i="44"/>
  <c r="D21" i="44"/>
  <c r="M8" i="44"/>
  <c r="J8" i="44"/>
  <c r="G8" i="44"/>
  <c r="D8" i="44"/>
  <c r="M33" i="44"/>
  <c r="J33" i="44"/>
  <c r="G33" i="44"/>
  <c r="D33" i="44"/>
  <c r="M13" i="44"/>
  <c r="J13" i="44"/>
  <c r="G13" i="44"/>
  <c r="D13" i="44"/>
  <c r="M25" i="44"/>
  <c r="J25" i="44"/>
  <c r="G25" i="44"/>
  <c r="D25" i="44"/>
  <c r="M37" i="44"/>
  <c r="J37" i="44"/>
  <c r="G37" i="44"/>
  <c r="D37" i="44"/>
  <c r="M7" i="44"/>
  <c r="J7" i="44"/>
  <c r="G7" i="44"/>
  <c r="D7" i="44"/>
  <c r="M3" i="44"/>
  <c r="J3" i="44"/>
  <c r="G3" i="44"/>
  <c r="D3" i="44"/>
  <c r="M32" i="44"/>
  <c r="J32" i="44"/>
  <c r="G32" i="44"/>
  <c r="D32" i="44"/>
  <c r="M9" i="44"/>
  <c r="J9" i="44"/>
  <c r="G9" i="44"/>
  <c r="D9" i="44"/>
  <c r="M5" i="44"/>
  <c r="J5" i="44"/>
  <c r="G5" i="44"/>
  <c r="D5" i="44"/>
  <c r="M31" i="44"/>
  <c r="J31" i="44"/>
  <c r="G31" i="44"/>
  <c r="D31" i="44"/>
  <c r="M17" i="44"/>
  <c r="J17" i="44"/>
  <c r="G17" i="44"/>
  <c r="D17" i="44"/>
  <c r="M15" i="44"/>
  <c r="J15" i="44"/>
  <c r="G15" i="44"/>
  <c r="D15" i="44"/>
  <c r="M10" i="44"/>
  <c r="J10" i="44"/>
  <c r="G10" i="44"/>
  <c r="D10" i="44"/>
  <c r="M36" i="44"/>
  <c r="J36" i="44"/>
  <c r="G36" i="44"/>
  <c r="D36" i="44"/>
  <c r="M19" i="44"/>
  <c r="J19" i="44"/>
  <c r="G19" i="44"/>
  <c r="D19" i="44"/>
  <c r="M18" i="44"/>
  <c r="J18" i="44"/>
  <c r="G18" i="44"/>
  <c r="D18" i="44"/>
  <c r="M14" i="44"/>
  <c r="J14" i="44"/>
  <c r="G14" i="44"/>
  <c r="D14" i="44"/>
  <c r="M20" i="44"/>
  <c r="J20" i="44"/>
  <c r="G20" i="44"/>
  <c r="D20" i="44"/>
  <c r="M11" i="44"/>
  <c r="J11" i="44"/>
  <c r="G11" i="44"/>
  <c r="D11" i="44"/>
  <c r="M23" i="44"/>
  <c r="J23" i="44"/>
  <c r="G23" i="44"/>
  <c r="D23" i="44"/>
  <c r="M29" i="44"/>
  <c r="J29" i="44"/>
  <c r="G29" i="44"/>
  <c r="D29" i="44"/>
  <c r="M4" i="44"/>
  <c r="J4" i="44"/>
  <c r="G4" i="44"/>
  <c r="D4" i="44"/>
  <c r="M26" i="44"/>
  <c r="J26" i="44"/>
  <c r="G26" i="44"/>
  <c r="D26" i="44"/>
  <c r="M22" i="44"/>
  <c r="J22" i="44"/>
  <c r="G22" i="44"/>
  <c r="D22" i="44"/>
  <c r="M24" i="44"/>
  <c r="J24" i="44"/>
  <c r="G24" i="44"/>
  <c r="D24" i="44"/>
  <c r="M16" i="44"/>
  <c r="J16" i="44"/>
  <c r="G16" i="44"/>
  <c r="D16" i="44"/>
  <c r="M12" i="44"/>
  <c r="J12" i="44"/>
  <c r="G12" i="44"/>
  <c r="D12" i="44"/>
  <c r="M35" i="44"/>
  <c r="J35" i="44"/>
  <c r="G35" i="44"/>
  <c r="D35" i="44"/>
  <c r="M27" i="44"/>
  <c r="J27" i="44"/>
  <c r="G27" i="44"/>
  <c r="D27" i="44"/>
  <c r="M30" i="44"/>
  <c r="J30" i="44"/>
  <c r="G30" i="44"/>
  <c r="D30" i="44"/>
  <c r="M28" i="44"/>
  <c r="J28" i="44"/>
  <c r="G28" i="44"/>
  <c r="D28" i="44"/>
  <c r="M34" i="43"/>
  <c r="J34" i="43"/>
  <c r="G34" i="43"/>
  <c r="D34" i="43"/>
  <c r="M33" i="43"/>
  <c r="J33" i="43"/>
  <c r="G33" i="43"/>
  <c r="D33" i="43"/>
  <c r="M32" i="43"/>
  <c r="J32" i="43"/>
  <c r="G32" i="43"/>
  <c r="D32" i="43"/>
  <c r="M31" i="43"/>
  <c r="J31" i="43"/>
  <c r="G31" i="43"/>
  <c r="D31" i="43"/>
  <c r="M30" i="43"/>
  <c r="J30" i="43"/>
  <c r="G30" i="43"/>
  <c r="D30" i="43"/>
  <c r="M29" i="43"/>
  <c r="J29" i="43"/>
  <c r="G29" i="43"/>
  <c r="D29" i="43"/>
  <c r="M28" i="43"/>
  <c r="J28" i="43"/>
  <c r="G28" i="43"/>
  <c r="D28" i="43"/>
  <c r="M7" i="43"/>
  <c r="J7" i="43"/>
  <c r="G7" i="43"/>
  <c r="D7" i="43"/>
  <c r="M27" i="43"/>
  <c r="J27" i="43"/>
  <c r="G27" i="43"/>
  <c r="D27" i="43"/>
  <c r="M16" i="43"/>
  <c r="J16" i="43"/>
  <c r="G16" i="43"/>
  <c r="D16" i="43"/>
  <c r="M23" i="43"/>
  <c r="J23" i="43"/>
  <c r="G23" i="43"/>
  <c r="D23" i="43"/>
  <c r="M25" i="43"/>
  <c r="J25" i="43"/>
  <c r="G25" i="43"/>
  <c r="D25" i="43"/>
  <c r="M24" i="43"/>
  <c r="J24" i="43"/>
  <c r="G24" i="43"/>
  <c r="D24" i="43"/>
  <c r="M17" i="43"/>
  <c r="J17" i="43"/>
  <c r="G17" i="43"/>
  <c r="D17" i="43"/>
  <c r="M5" i="43"/>
  <c r="J5" i="43"/>
  <c r="G5" i="43"/>
  <c r="D5" i="43"/>
  <c r="M6" i="43"/>
  <c r="J6" i="43"/>
  <c r="G6" i="43"/>
  <c r="D6" i="43"/>
  <c r="M10" i="43"/>
  <c r="J10" i="43"/>
  <c r="G10" i="43"/>
  <c r="D10" i="43"/>
  <c r="M15" i="43"/>
  <c r="J15" i="43"/>
  <c r="G15" i="43"/>
  <c r="D15" i="43"/>
  <c r="M26" i="43"/>
  <c r="J26" i="43"/>
  <c r="G26" i="43"/>
  <c r="D26" i="43"/>
  <c r="M4" i="43"/>
  <c r="J4" i="43"/>
  <c r="G4" i="43"/>
  <c r="D4" i="43"/>
  <c r="M22" i="43"/>
  <c r="J22" i="43"/>
  <c r="G22" i="43"/>
  <c r="D22" i="43"/>
  <c r="M14" i="43"/>
  <c r="J14" i="43"/>
  <c r="G14" i="43"/>
  <c r="D14" i="43"/>
  <c r="M3" i="43"/>
  <c r="J3" i="43"/>
  <c r="G3" i="43"/>
  <c r="D3" i="43"/>
  <c r="M8" i="43"/>
  <c r="J8" i="43"/>
  <c r="G8" i="43"/>
  <c r="D8" i="43"/>
  <c r="M11" i="43"/>
  <c r="J11" i="43"/>
  <c r="G11" i="43"/>
  <c r="D11" i="43"/>
  <c r="M12" i="43"/>
  <c r="J12" i="43"/>
  <c r="G12" i="43"/>
  <c r="D12" i="43"/>
  <c r="M20" i="43"/>
  <c r="J20" i="43"/>
  <c r="G20" i="43"/>
  <c r="D20" i="43"/>
  <c r="M21" i="43"/>
  <c r="J21" i="43"/>
  <c r="G21" i="43"/>
  <c r="D21" i="43"/>
  <c r="M9" i="43"/>
  <c r="J9" i="43"/>
  <c r="G9" i="43"/>
  <c r="D9" i="43"/>
  <c r="M19" i="43"/>
  <c r="J19" i="43"/>
  <c r="G19" i="43"/>
  <c r="D19" i="43"/>
  <c r="M13" i="43"/>
  <c r="J13" i="43"/>
  <c r="G13" i="43"/>
  <c r="D13" i="43"/>
  <c r="M33" i="42"/>
  <c r="J33" i="42"/>
  <c r="G33" i="42"/>
  <c r="D33" i="42"/>
  <c r="M6" i="42"/>
  <c r="J6" i="42"/>
  <c r="G6" i="42"/>
  <c r="D6" i="42"/>
  <c r="M16" i="42"/>
  <c r="J16" i="42"/>
  <c r="G16" i="42"/>
  <c r="D16" i="42"/>
  <c r="M31" i="42"/>
  <c r="J31" i="42"/>
  <c r="G31" i="42"/>
  <c r="D31" i="42"/>
  <c r="M37" i="42"/>
  <c r="J37" i="42"/>
  <c r="G37" i="42"/>
  <c r="D37" i="42"/>
  <c r="M32" i="42"/>
  <c r="J32" i="42"/>
  <c r="G32" i="42"/>
  <c r="D32" i="42"/>
  <c r="M11" i="42"/>
  <c r="J11" i="42"/>
  <c r="G11" i="42"/>
  <c r="D11" i="42"/>
  <c r="M4" i="42"/>
  <c r="J4" i="42"/>
  <c r="G4" i="42"/>
  <c r="D4" i="42"/>
  <c r="M5" i="42"/>
  <c r="J5" i="42"/>
  <c r="G5" i="42"/>
  <c r="D5" i="42"/>
  <c r="M22" i="42"/>
  <c r="J22" i="42"/>
  <c r="G22" i="42"/>
  <c r="D22" i="42"/>
  <c r="M19" i="42"/>
  <c r="J19" i="42"/>
  <c r="G19" i="42"/>
  <c r="D19" i="42"/>
  <c r="M8" i="42"/>
  <c r="J8" i="42"/>
  <c r="G8" i="42"/>
  <c r="D8" i="42"/>
  <c r="M39" i="42"/>
  <c r="J39" i="42"/>
  <c r="G39" i="42"/>
  <c r="D39" i="42"/>
  <c r="M30" i="42"/>
  <c r="J30" i="42"/>
  <c r="G30" i="42"/>
  <c r="D30" i="42"/>
  <c r="M38" i="42"/>
  <c r="J38" i="42"/>
  <c r="G38" i="42"/>
  <c r="D38" i="42"/>
  <c r="M21" i="42"/>
  <c r="J21" i="42"/>
  <c r="G21" i="42"/>
  <c r="D21" i="42"/>
  <c r="M7" i="42"/>
  <c r="J7" i="42"/>
  <c r="G7" i="42"/>
  <c r="D7" i="42"/>
  <c r="M18" i="42"/>
  <c r="J18" i="42"/>
  <c r="G18" i="42"/>
  <c r="D18" i="42"/>
  <c r="M17" i="42"/>
  <c r="J17" i="42"/>
  <c r="G17" i="42"/>
  <c r="D17" i="42"/>
  <c r="M34" i="42"/>
  <c r="J34" i="42"/>
  <c r="G34" i="42"/>
  <c r="D34" i="42"/>
  <c r="M29" i="42"/>
  <c r="J29" i="42"/>
  <c r="G29" i="42"/>
  <c r="D29" i="42"/>
  <c r="M26" i="42"/>
  <c r="J26" i="42"/>
  <c r="G26" i="42"/>
  <c r="D26" i="42"/>
  <c r="M36" i="42"/>
  <c r="J36" i="42"/>
  <c r="G36" i="42"/>
  <c r="D36" i="42"/>
  <c r="M3" i="42"/>
  <c r="J3" i="42"/>
  <c r="G3" i="42"/>
  <c r="D3" i="42"/>
  <c r="M27" i="42"/>
  <c r="J27" i="42"/>
  <c r="G27" i="42"/>
  <c r="D27" i="42"/>
  <c r="M10" i="42"/>
  <c r="J10" i="42"/>
  <c r="G10" i="42"/>
  <c r="D10" i="42"/>
  <c r="M20" i="42"/>
  <c r="J20" i="42"/>
  <c r="G20" i="42"/>
  <c r="D20" i="42"/>
  <c r="M24" i="42"/>
  <c r="J24" i="42"/>
  <c r="G24" i="42"/>
  <c r="D24" i="42"/>
  <c r="M35" i="42"/>
  <c r="J35" i="42"/>
  <c r="G35" i="42"/>
  <c r="D35" i="42"/>
  <c r="M14" i="42"/>
  <c r="J14" i="42"/>
  <c r="G14" i="42"/>
  <c r="D14" i="42"/>
  <c r="M13" i="42"/>
  <c r="J13" i="42"/>
  <c r="G13" i="42"/>
  <c r="D13" i="42"/>
  <c r="M12" i="42"/>
  <c r="J12" i="42"/>
  <c r="G12" i="42"/>
  <c r="D12" i="42"/>
  <c r="M9" i="42"/>
  <c r="J9" i="42"/>
  <c r="G9" i="42"/>
  <c r="D9" i="42"/>
  <c r="M23" i="42"/>
  <c r="J23" i="42"/>
  <c r="G23" i="42"/>
  <c r="D23" i="42"/>
  <c r="M25" i="42"/>
  <c r="J25" i="42"/>
  <c r="G25" i="42"/>
  <c r="D25" i="42"/>
  <c r="M15" i="42"/>
  <c r="J15" i="42"/>
  <c r="G15" i="42"/>
  <c r="D15" i="42"/>
  <c r="D3" i="41"/>
  <c r="G3" i="41"/>
  <c r="J3" i="41"/>
  <c r="D31" i="41"/>
  <c r="G31" i="41"/>
  <c r="J31" i="41"/>
  <c r="M31" i="41"/>
  <c r="D45" i="41"/>
  <c r="G45" i="41"/>
  <c r="J45" i="41"/>
  <c r="M45" i="41"/>
  <c r="D27" i="41"/>
  <c r="G27" i="41"/>
  <c r="J27" i="41"/>
  <c r="D11" i="41"/>
  <c r="G11" i="41"/>
  <c r="J11" i="41"/>
  <c r="M11" i="41"/>
  <c r="D9" i="41"/>
  <c r="G9" i="41"/>
  <c r="J9" i="41"/>
  <c r="M9" i="41"/>
  <c r="D52" i="41"/>
  <c r="G52" i="41"/>
  <c r="J52" i="41"/>
  <c r="M52" i="41"/>
  <c r="D23" i="41"/>
  <c r="G23" i="41"/>
  <c r="J23" i="41"/>
  <c r="M23" i="41"/>
  <c r="D4" i="41"/>
  <c r="G4" i="41"/>
  <c r="J4" i="41"/>
  <c r="M4" i="41"/>
  <c r="D6" i="41"/>
  <c r="S6" i="41" s="1"/>
  <c r="G6" i="41"/>
  <c r="J6" i="41"/>
  <c r="M6" i="41"/>
  <c r="D28" i="41"/>
  <c r="G28" i="41"/>
  <c r="J28" i="41"/>
  <c r="M28" i="41"/>
  <c r="D7" i="41"/>
  <c r="G7" i="41"/>
  <c r="J7" i="41"/>
  <c r="M7" i="41"/>
  <c r="D12" i="41"/>
  <c r="G12" i="41"/>
  <c r="J12" i="41"/>
  <c r="M12" i="41"/>
  <c r="D8" i="41"/>
  <c r="S8" i="41" s="1"/>
  <c r="G8" i="41"/>
  <c r="J8" i="41"/>
  <c r="M8" i="41"/>
  <c r="D53" i="41"/>
  <c r="S53" i="41" s="1"/>
  <c r="G53" i="41"/>
  <c r="J53" i="41"/>
  <c r="M53" i="41"/>
  <c r="D55" i="41"/>
  <c r="G55" i="41"/>
  <c r="J55" i="41"/>
  <c r="M55" i="41"/>
  <c r="D51" i="41"/>
  <c r="G51" i="41"/>
  <c r="J51" i="41"/>
  <c r="M51" i="41"/>
  <c r="D56" i="41"/>
  <c r="S56" i="41" s="1"/>
  <c r="G56" i="41"/>
  <c r="J56" i="41"/>
  <c r="M56" i="41"/>
  <c r="D43" i="41"/>
  <c r="G43" i="41"/>
  <c r="J43" i="41"/>
  <c r="M43" i="41"/>
  <c r="M22" i="41"/>
  <c r="J22" i="41"/>
  <c r="G22" i="41"/>
  <c r="D22" i="41"/>
  <c r="M15" i="41"/>
  <c r="J15" i="41"/>
  <c r="G15" i="41"/>
  <c r="D15" i="41"/>
  <c r="M13" i="41"/>
  <c r="J13" i="41"/>
  <c r="G13" i="41"/>
  <c r="D13" i="41"/>
  <c r="J21" i="41"/>
  <c r="G21" i="41"/>
  <c r="D21" i="41"/>
  <c r="J32" i="41"/>
  <c r="G32" i="41"/>
  <c r="D32" i="41"/>
  <c r="M54" i="41"/>
  <c r="J54" i="41"/>
  <c r="G54" i="41"/>
  <c r="D54" i="41"/>
  <c r="M14" i="41"/>
  <c r="J14" i="41"/>
  <c r="G14" i="41"/>
  <c r="D14" i="41"/>
  <c r="M47" i="41"/>
  <c r="J47" i="41"/>
  <c r="G47" i="41"/>
  <c r="D47" i="41"/>
  <c r="M42" i="41"/>
  <c r="J42" i="41"/>
  <c r="G42" i="41"/>
  <c r="D42" i="41"/>
  <c r="J50" i="41"/>
  <c r="G50" i="41"/>
  <c r="D50" i="41"/>
  <c r="M10" i="41"/>
  <c r="J10" i="41"/>
  <c r="G10" i="41"/>
  <c r="D10" i="41"/>
  <c r="M38" i="41"/>
  <c r="J38" i="41"/>
  <c r="G38" i="41"/>
  <c r="D38" i="41"/>
  <c r="M40" i="41"/>
  <c r="J40" i="41"/>
  <c r="G40" i="41"/>
  <c r="D40" i="41"/>
  <c r="M19" i="41"/>
  <c r="J19" i="41"/>
  <c r="G19" i="41"/>
  <c r="D19" i="41"/>
  <c r="M37" i="41"/>
  <c r="J37" i="41"/>
  <c r="G37" i="41"/>
  <c r="D37" i="41"/>
  <c r="M25" i="41"/>
  <c r="J25" i="41"/>
  <c r="G25" i="41"/>
  <c r="D25" i="41"/>
  <c r="M46" i="41"/>
  <c r="J46" i="41"/>
  <c r="G46" i="41"/>
  <c r="D46" i="41"/>
  <c r="M44" i="41"/>
  <c r="J44" i="41"/>
  <c r="G44" i="41"/>
  <c r="D44" i="41"/>
  <c r="M41" i="41"/>
  <c r="J41" i="41"/>
  <c r="G41" i="41"/>
  <c r="D41" i="41"/>
  <c r="M48" i="41"/>
  <c r="J48" i="41"/>
  <c r="G48" i="41"/>
  <c r="D48" i="41"/>
  <c r="M30" i="41"/>
  <c r="J30" i="41"/>
  <c r="G30" i="41"/>
  <c r="M5" i="41"/>
  <c r="J5" i="41"/>
  <c r="G5" i="41"/>
  <c r="D5" i="41"/>
  <c r="M36" i="41"/>
  <c r="J36" i="41"/>
  <c r="G36" i="41"/>
  <c r="D36" i="41"/>
  <c r="M49" i="41"/>
  <c r="J49" i="41"/>
  <c r="G49" i="41"/>
  <c r="D49" i="41"/>
  <c r="J34" i="41"/>
  <c r="G34" i="41"/>
  <c r="D34" i="41"/>
  <c r="M16" i="41"/>
  <c r="J16" i="41"/>
  <c r="G16" i="41"/>
  <c r="D16" i="41"/>
  <c r="M17" i="41"/>
  <c r="J17" i="41"/>
  <c r="G17" i="41"/>
  <c r="D17" i="41"/>
  <c r="M39" i="41"/>
  <c r="J39" i="41"/>
  <c r="G39" i="41"/>
  <c r="D39" i="41"/>
  <c r="M29" i="41"/>
  <c r="J29" i="41"/>
  <c r="G29" i="41"/>
  <c r="D29" i="41"/>
  <c r="M24" i="41"/>
  <c r="J24" i="41"/>
  <c r="G24" i="41"/>
  <c r="D24" i="41"/>
  <c r="M33" i="41"/>
  <c r="J33" i="41"/>
  <c r="G33" i="41"/>
  <c r="D33" i="41"/>
  <c r="M18" i="41"/>
  <c r="J18" i="41"/>
  <c r="G18" i="41"/>
  <c r="D18" i="41"/>
  <c r="J26" i="41"/>
  <c r="G26" i="41"/>
  <c r="D26" i="41"/>
  <c r="M20" i="41"/>
  <c r="J20" i="41"/>
  <c r="G20" i="41"/>
  <c r="D20" i="41"/>
  <c r="M35" i="41"/>
  <c r="J35" i="41"/>
  <c r="G35" i="41"/>
  <c r="D35" i="41"/>
  <c r="M30" i="40"/>
  <c r="J30" i="40"/>
  <c r="G30" i="40"/>
  <c r="D30" i="40"/>
  <c r="M29" i="40"/>
  <c r="J29" i="40"/>
  <c r="G29" i="40"/>
  <c r="D29" i="40"/>
  <c r="M28" i="40"/>
  <c r="J28" i="40"/>
  <c r="G28" i="40"/>
  <c r="D28" i="40"/>
  <c r="M27" i="40"/>
  <c r="J27" i="40"/>
  <c r="G27" i="40"/>
  <c r="D27" i="40"/>
  <c r="M26" i="40"/>
  <c r="J26" i="40"/>
  <c r="G26" i="40"/>
  <c r="D26" i="40"/>
  <c r="M25" i="40"/>
  <c r="J25" i="40"/>
  <c r="G25" i="40"/>
  <c r="D25" i="40"/>
  <c r="M24" i="40"/>
  <c r="J24" i="40"/>
  <c r="G24" i="40"/>
  <c r="D24" i="40"/>
  <c r="M20" i="40"/>
  <c r="J20" i="40"/>
  <c r="G20" i="40"/>
  <c r="D20" i="40"/>
  <c r="M14" i="40"/>
  <c r="J14" i="40"/>
  <c r="G14" i="40"/>
  <c r="D14" i="40"/>
  <c r="M4" i="40"/>
  <c r="J4" i="40"/>
  <c r="G4" i="40"/>
  <c r="D4" i="40"/>
  <c r="M6" i="40"/>
  <c r="J6" i="40"/>
  <c r="G6" i="40"/>
  <c r="D6" i="40"/>
  <c r="M21" i="40"/>
  <c r="J21" i="40"/>
  <c r="G21" i="40"/>
  <c r="D21" i="40"/>
  <c r="M7" i="40"/>
  <c r="J7" i="40"/>
  <c r="G7" i="40"/>
  <c r="D7" i="40"/>
  <c r="M22" i="40"/>
  <c r="J22" i="40"/>
  <c r="G22" i="40"/>
  <c r="D22" i="40"/>
  <c r="M3" i="40"/>
  <c r="J3" i="40"/>
  <c r="G3" i="40"/>
  <c r="D3" i="40"/>
  <c r="M17" i="40"/>
  <c r="J17" i="40"/>
  <c r="G17" i="40"/>
  <c r="D17" i="40"/>
  <c r="M13" i="40"/>
  <c r="J13" i="40"/>
  <c r="G13" i="40"/>
  <c r="D13" i="40"/>
  <c r="M18" i="40"/>
  <c r="J18" i="40"/>
  <c r="G18" i="40"/>
  <c r="D18" i="40"/>
  <c r="M12" i="40"/>
  <c r="J12" i="40"/>
  <c r="G12" i="40"/>
  <c r="D12" i="40"/>
  <c r="M15" i="40"/>
  <c r="J15" i="40"/>
  <c r="G15" i="40"/>
  <c r="D15" i="40"/>
  <c r="M10" i="40"/>
  <c r="J10" i="40"/>
  <c r="G10" i="40"/>
  <c r="D10" i="40"/>
  <c r="M23" i="40"/>
  <c r="J23" i="40"/>
  <c r="G23" i="40"/>
  <c r="D23" i="40"/>
  <c r="M5" i="40"/>
  <c r="J5" i="40"/>
  <c r="G5" i="40"/>
  <c r="D5" i="40"/>
  <c r="M9" i="40"/>
  <c r="J9" i="40"/>
  <c r="G9" i="40"/>
  <c r="D9" i="40"/>
  <c r="M11" i="40"/>
  <c r="J11" i="40"/>
  <c r="G11" i="40"/>
  <c r="D11" i="40"/>
  <c r="M19" i="40"/>
  <c r="J19" i="40"/>
  <c r="G19" i="40"/>
  <c r="D19" i="40"/>
  <c r="M8" i="40"/>
  <c r="J8" i="40"/>
  <c r="G8" i="40"/>
  <c r="D8" i="40"/>
  <c r="M16" i="40"/>
  <c r="J16" i="40"/>
  <c r="G16" i="40"/>
  <c r="D16" i="40"/>
  <c r="M25" i="39"/>
  <c r="J25" i="39"/>
  <c r="G25" i="39"/>
  <c r="D25" i="39"/>
  <c r="S25" i="39" s="1"/>
  <c r="M24" i="39"/>
  <c r="J24" i="39"/>
  <c r="G24" i="39"/>
  <c r="D24" i="39"/>
  <c r="M23" i="39"/>
  <c r="J23" i="39"/>
  <c r="G23" i="39"/>
  <c r="D23" i="39"/>
  <c r="S23" i="39" s="1"/>
  <c r="M22" i="39"/>
  <c r="J22" i="39"/>
  <c r="G22" i="39"/>
  <c r="D22" i="39"/>
  <c r="S22" i="39" s="1"/>
  <c r="M21" i="39"/>
  <c r="J21" i="39"/>
  <c r="G21" i="39"/>
  <c r="D21" i="39"/>
  <c r="S21" i="39" s="1"/>
  <c r="M19" i="39"/>
  <c r="J19" i="39"/>
  <c r="G19" i="39"/>
  <c r="D19" i="39"/>
  <c r="M20" i="39"/>
  <c r="J20" i="39"/>
  <c r="G20" i="39"/>
  <c r="D20" i="39"/>
  <c r="M17" i="39"/>
  <c r="J17" i="39"/>
  <c r="G17" i="39"/>
  <c r="D17" i="39"/>
  <c r="M3" i="39"/>
  <c r="J3" i="39"/>
  <c r="G3" i="39"/>
  <c r="D3" i="39"/>
  <c r="M8" i="39"/>
  <c r="J8" i="39"/>
  <c r="G8" i="39"/>
  <c r="D8" i="39"/>
  <c r="M16" i="39"/>
  <c r="J16" i="39"/>
  <c r="G16" i="39"/>
  <c r="D16" i="39"/>
  <c r="M7" i="39"/>
  <c r="J7" i="39"/>
  <c r="G7" i="39"/>
  <c r="D7" i="39"/>
  <c r="M5" i="39"/>
  <c r="J5" i="39"/>
  <c r="G5" i="39"/>
  <c r="D5" i="39"/>
  <c r="M4" i="39"/>
  <c r="J4" i="39"/>
  <c r="G4" i="39"/>
  <c r="D4" i="39"/>
  <c r="M12" i="39"/>
  <c r="J12" i="39"/>
  <c r="G12" i="39"/>
  <c r="D12" i="39"/>
  <c r="M14" i="39"/>
  <c r="J14" i="39"/>
  <c r="G14" i="39"/>
  <c r="D14" i="39"/>
  <c r="M11" i="39"/>
  <c r="J11" i="39"/>
  <c r="G11" i="39"/>
  <c r="D11" i="39"/>
  <c r="M6" i="39"/>
  <c r="J6" i="39"/>
  <c r="G6" i="39"/>
  <c r="D6" i="39"/>
  <c r="M18" i="39"/>
  <c r="S18" i="39" s="1"/>
  <c r="J18" i="39"/>
  <c r="G18" i="39"/>
  <c r="D18" i="39"/>
  <c r="M13" i="39"/>
  <c r="J13" i="39"/>
  <c r="G13" i="39"/>
  <c r="D13" i="39"/>
  <c r="M15" i="39"/>
  <c r="J15" i="39"/>
  <c r="G15" i="39"/>
  <c r="D15" i="39"/>
  <c r="M9" i="39"/>
  <c r="J9" i="39"/>
  <c r="G9" i="39"/>
  <c r="D9" i="39"/>
  <c r="M10" i="39"/>
  <c r="S10" i="39" s="1"/>
  <c r="J10" i="39"/>
  <c r="G10" i="39"/>
  <c r="D10" i="39"/>
  <c r="M28" i="38"/>
  <c r="J28" i="38"/>
  <c r="G28" i="38"/>
  <c r="D28" i="38"/>
  <c r="S28" i="38" s="1"/>
  <c r="M27" i="38"/>
  <c r="J27" i="38"/>
  <c r="G27" i="38"/>
  <c r="D27" i="38"/>
  <c r="M26" i="38"/>
  <c r="J26" i="38"/>
  <c r="G26" i="38"/>
  <c r="D26" i="38"/>
  <c r="S26" i="38" s="1"/>
  <c r="M25" i="38"/>
  <c r="J25" i="38"/>
  <c r="G25" i="38"/>
  <c r="D25" i="38"/>
  <c r="S25" i="38" s="1"/>
  <c r="M24" i="38"/>
  <c r="J24" i="38"/>
  <c r="G24" i="38"/>
  <c r="D24" i="38"/>
  <c r="S24" i="38" s="1"/>
  <c r="M21" i="38"/>
  <c r="J21" i="38"/>
  <c r="G21" i="38"/>
  <c r="D21" i="38"/>
  <c r="M19" i="38"/>
  <c r="J19" i="38"/>
  <c r="G19" i="38"/>
  <c r="D19" i="38"/>
  <c r="S19" i="38" s="1"/>
  <c r="M22" i="38"/>
  <c r="J22" i="38"/>
  <c r="G22" i="38"/>
  <c r="D22" i="38"/>
  <c r="M20" i="38"/>
  <c r="J20" i="38"/>
  <c r="G20" i="38"/>
  <c r="D20" i="38"/>
  <c r="M16" i="38"/>
  <c r="J16" i="38"/>
  <c r="G16" i="38"/>
  <c r="D16" i="38"/>
  <c r="M10" i="38"/>
  <c r="J10" i="38"/>
  <c r="G10" i="38"/>
  <c r="D10" i="38"/>
  <c r="S10" i="38" s="1"/>
  <c r="M15" i="38"/>
  <c r="J15" i="38"/>
  <c r="G15" i="38"/>
  <c r="D15" i="38"/>
  <c r="M23" i="38"/>
  <c r="J23" i="38"/>
  <c r="G23" i="38"/>
  <c r="D23" i="38"/>
  <c r="S23" i="38" s="1"/>
  <c r="M4" i="38"/>
  <c r="J4" i="38"/>
  <c r="G4" i="38"/>
  <c r="D4" i="38"/>
  <c r="M11" i="38"/>
  <c r="J11" i="38"/>
  <c r="G11" i="38"/>
  <c r="D11" i="38"/>
  <c r="M6" i="38"/>
  <c r="J6" i="38"/>
  <c r="G6" i="38"/>
  <c r="D6" i="38"/>
  <c r="M17" i="38"/>
  <c r="J17" i="38"/>
  <c r="G17" i="38"/>
  <c r="D17" i="38"/>
  <c r="M13" i="38"/>
  <c r="J13" i="38"/>
  <c r="G13" i="38"/>
  <c r="D13" i="38"/>
  <c r="M14" i="38"/>
  <c r="J14" i="38"/>
  <c r="G14" i="38"/>
  <c r="D14" i="38"/>
  <c r="M8" i="38"/>
  <c r="J8" i="38"/>
  <c r="G8" i="38"/>
  <c r="D8" i="38"/>
  <c r="M18" i="38"/>
  <c r="J18" i="38"/>
  <c r="G18" i="38"/>
  <c r="D18" i="38"/>
  <c r="S18" i="38" s="1"/>
  <c r="M7" i="38"/>
  <c r="J7" i="38"/>
  <c r="G7" i="38"/>
  <c r="D7" i="38"/>
  <c r="M12" i="38"/>
  <c r="J12" i="38"/>
  <c r="G12" i="38"/>
  <c r="D12" i="38"/>
  <c r="M3" i="38"/>
  <c r="J3" i="38"/>
  <c r="G3" i="38"/>
  <c r="D3" i="38"/>
  <c r="M5" i="38"/>
  <c r="J5" i="38"/>
  <c r="G5" i="38"/>
  <c r="D5" i="38"/>
  <c r="S5" i="38" s="1"/>
  <c r="M9" i="38"/>
  <c r="J9" i="38"/>
  <c r="G9" i="38"/>
  <c r="D9" i="38"/>
  <c r="M32" i="37"/>
  <c r="J32" i="37"/>
  <c r="G32" i="37"/>
  <c r="D32" i="37"/>
  <c r="M31" i="37"/>
  <c r="J31" i="37"/>
  <c r="G31" i="37"/>
  <c r="D31" i="37"/>
  <c r="M30" i="37"/>
  <c r="J30" i="37"/>
  <c r="G30" i="37"/>
  <c r="D30" i="37"/>
  <c r="M29" i="37"/>
  <c r="J29" i="37"/>
  <c r="G29" i="37"/>
  <c r="D29" i="37"/>
  <c r="S29" i="37" s="1"/>
  <c r="M28" i="37"/>
  <c r="J28" i="37"/>
  <c r="G28" i="37"/>
  <c r="D28" i="37"/>
  <c r="M27" i="37"/>
  <c r="J27" i="37"/>
  <c r="G27" i="37"/>
  <c r="D27" i="37"/>
  <c r="M25" i="37"/>
  <c r="J25" i="37"/>
  <c r="G25" i="37"/>
  <c r="D25" i="37"/>
  <c r="M16" i="37"/>
  <c r="J16" i="37"/>
  <c r="G16" i="37"/>
  <c r="D16" i="37"/>
  <c r="M18" i="37"/>
  <c r="J18" i="37"/>
  <c r="G18" i="37"/>
  <c r="D18" i="37"/>
  <c r="M5" i="37"/>
  <c r="J5" i="37"/>
  <c r="G5" i="37"/>
  <c r="D5" i="37"/>
  <c r="M12" i="37"/>
  <c r="J12" i="37"/>
  <c r="G12" i="37"/>
  <c r="D12" i="37"/>
  <c r="M26" i="37"/>
  <c r="J26" i="37"/>
  <c r="G26" i="37"/>
  <c r="D26" i="37"/>
  <c r="M6" i="37"/>
  <c r="J6" i="37"/>
  <c r="G6" i="37"/>
  <c r="D6" i="37"/>
  <c r="M24" i="37"/>
  <c r="J24" i="37"/>
  <c r="G24" i="37"/>
  <c r="D24" i="37"/>
  <c r="M3" i="37"/>
  <c r="J3" i="37"/>
  <c r="G3" i="37"/>
  <c r="D3" i="37"/>
  <c r="M11" i="37"/>
  <c r="J11" i="37"/>
  <c r="G11" i="37"/>
  <c r="D11" i="37"/>
  <c r="M23" i="37"/>
  <c r="J23" i="37"/>
  <c r="G23" i="37"/>
  <c r="D23" i="37"/>
  <c r="M15" i="37"/>
  <c r="J15" i="37"/>
  <c r="G15" i="37"/>
  <c r="D15" i="37"/>
  <c r="M4" i="37"/>
  <c r="J4" i="37"/>
  <c r="G4" i="37"/>
  <c r="D4" i="37"/>
  <c r="M19" i="37"/>
  <c r="J19" i="37"/>
  <c r="G19" i="37"/>
  <c r="D19" i="37"/>
  <c r="M20" i="37"/>
  <c r="J20" i="37"/>
  <c r="G20" i="37"/>
  <c r="D20" i="37"/>
  <c r="M22" i="37"/>
  <c r="J22" i="37"/>
  <c r="G22" i="37"/>
  <c r="D22" i="37"/>
  <c r="M13" i="37"/>
  <c r="J13" i="37"/>
  <c r="G13" i="37"/>
  <c r="D13" i="37"/>
  <c r="M8" i="37"/>
  <c r="J8" i="37"/>
  <c r="G8" i="37"/>
  <c r="D8" i="37"/>
  <c r="M9" i="37"/>
  <c r="J9" i="37"/>
  <c r="G9" i="37"/>
  <c r="D9" i="37"/>
  <c r="M21" i="37"/>
  <c r="J21" i="37"/>
  <c r="G21" i="37"/>
  <c r="D21" i="37"/>
  <c r="M7" i="37"/>
  <c r="J7" i="37"/>
  <c r="G7" i="37"/>
  <c r="D7" i="37"/>
  <c r="M14" i="37"/>
  <c r="J14" i="37"/>
  <c r="G14" i="37"/>
  <c r="D14" i="37"/>
  <c r="M17" i="37"/>
  <c r="J17" i="37"/>
  <c r="G17" i="37"/>
  <c r="D17" i="37"/>
  <c r="M10" i="37"/>
  <c r="J10" i="37"/>
  <c r="G10" i="37"/>
  <c r="D10" i="37"/>
  <c r="J13" i="36"/>
  <c r="M35" i="36"/>
  <c r="J35" i="36"/>
  <c r="G35" i="36"/>
  <c r="D35" i="36"/>
  <c r="M34" i="36"/>
  <c r="J34" i="36"/>
  <c r="G34" i="36"/>
  <c r="D34" i="36"/>
  <c r="S34" i="36" s="1"/>
  <c r="M33" i="36"/>
  <c r="J33" i="36"/>
  <c r="G33" i="36"/>
  <c r="D33" i="36"/>
  <c r="M32" i="36"/>
  <c r="J32" i="36"/>
  <c r="G32" i="36"/>
  <c r="D32" i="36"/>
  <c r="M30" i="36"/>
  <c r="J30" i="36"/>
  <c r="G30" i="36"/>
  <c r="D30" i="36"/>
  <c r="M16" i="36"/>
  <c r="J16" i="36"/>
  <c r="G16" i="36"/>
  <c r="D16" i="36"/>
  <c r="M31" i="36"/>
  <c r="J31" i="36"/>
  <c r="G31" i="36"/>
  <c r="D31" i="36"/>
  <c r="M19" i="36"/>
  <c r="J19" i="36"/>
  <c r="G19" i="36"/>
  <c r="D19" i="36"/>
  <c r="M17" i="36"/>
  <c r="J17" i="36"/>
  <c r="G17" i="36"/>
  <c r="D17" i="36"/>
  <c r="M12" i="36"/>
  <c r="J12" i="36"/>
  <c r="G12" i="36"/>
  <c r="D12" i="36"/>
  <c r="M25" i="36"/>
  <c r="J25" i="36"/>
  <c r="G25" i="36"/>
  <c r="D25" i="36"/>
  <c r="M29" i="36"/>
  <c r="J29" i="36"/>
  <c r="G29" i="36"/>
  <c r="D29" i="36"/>
  <c r="M3" i="36"/>
  <c r="J3" i="36"/>
  <c r="G3" i="36"/>
  <c r="D3" i="36"/>
  <c r="M15" i="36"/>
  <c r="J15" i="36"/>
  <c r="G15" i="36"/>
  <c r="D15" i="36"/>
  <c r="M5" i="36"/>
  <c r="J5" i="36"/>
  <c r="G5" i="36"/>
  <c r="D5" i="36"/>
  <c r="M26" i="36"/>
  <c r="J26" i="36"/>
  <c r="G26" i="36"/>
  <c r="D26" i="36"/>
  <c r="M28" i="36"/>
  <c r="J28" i="36"/>
  <c r="G28" i="36"/>
  <c r="D28" i="36"/>
  <c r="M27" i="36"/>
  <c r="J27" i="36"/>
  <c r="G27" i="36"/>
  <c r="D27" i="36"/>
  <c r="M4" i="36"/>
  <c r="J4" i="36"/>
  <c r="G4" i="36"/>
  <c r="D4" i="36"/>
  <c r="M22" i="36"/>
  <c r="J22" i="36"/>
  <c r="G22" i="36"/>
  <c r="D22" i="36"/>
  <c r="M18" i="36"/>
  <c r="J18" i="36"/>
  <c r="G18" i="36"/>
  <c r="D18" i="36"/>
  <c r="M14" i="36"/>
  <c r="J14" i="36"/>
  <c r="G14" i="36"/>
  <c r="D14" i="36"/>
  <c r="M8" i="36"/>
  <c r="J8" i="36"/>
  <c r="G8" i="36"/>
  <c r="D8" i="36"/>
  <c r="M11" i="36"/>
  <c r="J11" i="36"/>
  <c r="G11" i="36"/>
  <c r="D11" i="36"/>
  <c r="M9" i="36"/>
  <c r="J9" i="36"/>
  <c r="G9" i="36"/>
  <c r="D9" i="36"/>
  <c r="M7" i="36"/>
  <c r="J7" i="36"/>
  <c r="G7" i="36"/>
  <c r="D7" i="36"/>
  <c r="M24" i="36"/>
  <c r="J24" i="36"/>
  <c r="G24" i="36"/>
  <c r="D24" i="36"/>
  <c r="M21" i="36"/>
  <c r="J21" i="36"/>
  <c r="G21" i="36"/>
  <c r="D21" i="36"/>
  <c r="M6" i="36"/>
  <c r="J6" i="36"/>
  <c r="G6" i="36"/>
  <c r="D6" i="36"/>
  <c r="M13" i="36"/>
  <c r="G13" i="36"/>
  <c r="D13" i="36"/>
  <c r="M23" i="36"/>
  <c r="J23" i="36"/>
  <c r="G23" i="36"/>
  <c r="D23" i="36"/>
  <c r="M20" i="36"/>
  <c r="J20" i="36"/>
  <c r="G20" i="36"/>
  <c r="D20" i="36"/>
  <c r="M10" i="36"/>
  <c r="J10" i="36"/>
  <c r="G10" i="36"/>
  <c r="D10" i="36"/>
  <c r="M36" i="35"/>
  <c r="J36" i="35"/>
  <c r="G36" i="35"/>
  <c r="D36" i="35"/>
  <c r="S36" i="35" s="1"/>
  <c r="M35" i="35"/>
  <c r="J35" i="35"/>
  <c r="G35" i="35"/>
  <c r="D35" i="35"/>
  <c r="M34" i="35"/>
  <c r="J34" i="35"/>
  <c r="G34" i="35"/>
  <c r="D34" i="35"/>
  <c r="S34" i="35" s="1"/>
  <c r="M33" i="35"/>
  <c r="J33" i="35"/>
  <c r="G33" i="35"/>
  <c r="D33" i="35"/>
  <c r="M32" i="35"/>
  <c r="J32" i="35"/>
  <c r="G32" i="35"/>
  <c r="D32" i="35"/>
  <c r="S32" i="35" s="1"/>
  <c r="M27" i="35"/>
  <c r="J27" i="35"/>
  <c r="G27" i="35"/>
  <c r="D27" i="35"/>
  <c r="M25" i="35"/>
  <c r="J25" i="35"/>
  <c r="G25" i="35"/>
  <c r="D25" i="35"/>
  <c r="M28" i="35"/>
  <c r="J28" i="35"/>
  <c r="G28" i="35"/>
  <c r="D28" i="35"/>
  <c r="M30" i="35"/>
  <c r="J30" i="35"/>
  <c r="G30" i="35"/>
  <c r="D30" i="35"/>
  <c r="M4" i="35"/>
  <c r="J4" i="35"/>
  <c r="G4" i="35"/>
  <c r="D4" i="35"/>
  <c r="M3" i="35"/>
  <c r="J3" i="35"/>
  <c r="G3" i="35"/>
  <c r="D3" i="35"/>
  <c r="M6" i="35"/>
  <c r="J6" i="35"/>
  <c r="G6" i="35"/>
  <c r="D6" i="35"/>
  <c r="M24" i="35"/>
  <c r="J24" i="35"/>
  <c r="G24" i="35"/>
  <c r="D24" i="35"/>
  <c r="M22" i="35"/>
  <c r="J22" i="35"/>
  <c r="G22" i="35"/>
  <c r="D22" i="35"/>
  <c r="M31" i="35"/>
  <c r="J31" i="35"/>
  <c r="G31" i="35"/>
  <c r="D31" i="35"/>
  <c r="M5" i="35"/>
  <c r="J5" i="35"/>
  <c r="G5" i="35"/>
  <c r="D5" i="35"/>
  <c r="M29" i="35"/>
  <c r="J29" i="35"/>
  <c r="G29" i="35"/>
  <c r="D29" i="35"/>
  <c r="M23" i="35"/>
  <c r="J23" i="35"/>
  <c r="G23" i="35"/>
  <c r="D23" i="35"/>
  <c r="M15" i="35"/>
  <c r="J15" i="35"/>
  <c r="G15" i="35"/>
  <c r="D15" i="35"/>
  <c r="M16" i="35"/>
  <c r="J16" i="35"/>
  <c r="G16" i="35"/>
  <c r="D16" i="35"/>
  <c r="M12" i="35"/>
  <c r="J12" i="35"/>
  <c r="G12" i="35"/>
  <c r="D12" i="35"/>
  <c r="M17" i="35"/>
  <c r="J17" i="35"/>
  <c r="G17" i="35"/>
  <c r="D17" i="35"/>
  <c r="M9" i="35"/>
  <c r="J9" i="35"/>
  <c r="G9" i="35"/>
  <c r="D9" i="35"/>
  <c r="M21" i="35"/>
  <c r="J21" i="35"/>
  <c r="G21" i="35"/>
  <c r="D21" i="35"/>
  <c r="M7" i="35"/>
  <c r="J7" i="35"/>
  <c r="G7" i="35"/>
  <c r="D7" i="35"/>
  <c r="M18" i="35"/>
  <c r="J18" i="35"/>
  <c r="G18" i="35"/>
  <c r="D18" i="35"/>
  <c r="M11" i="35"/>
  <c r="J11" i="35"/>
  <c r="G11" i="35"/>
  <c r="D11" i="35"/>
  <c r="M13" i="35"/>
  <c r="J13" i="35"/>
  <c r="G13" i="35"/>
  <c r="D13" i="35"/>
  <c r="M26" i="35"/>
  <c r="J26" i="35"/>
  <c r="G26" i="35"/>
  <c r="D26" i="35"/>
  <c r="M20" i="35"/>
  <c r="J20" i="35"/>
  <c r="G20" i="35"/>
  <c r="D20" i="35"/>
  <c r="M8" i="35"/>
  <c r="J8" i="35"/>
  <c r="G8" i="35"/>
  <c r="D8" i="35"/>
  <c r="M14" i="35"/>
  <c r="J14" i="35"/>
  <c r="G14" i="35"/>
  <c r="D14" i="35"/>
  <c r="M10" i="35"/>
  <c r="J10" i="35"/>
  <c r="G10" i="35"/>
  <c r="D10" i="35"/>
  <c r="M19" i="35"/>
  <c r="J19" i="35"/>
  <c r="G19" i="35"/>
  <c r="D19" i="35"/>
  <c r="M37" i="34"/>
  <c r="J37" i="34"/>
  <c r="G37" i="34"/>
  <c r="D37" i="34"/>
  <c r="M36" i="34"/>
  <c r="J36" i="34"/>
  <c r="G36" i="34"/>
  <c r="D36" i="34"/>
  <c r="M35" i="34"/>
  <c r="J35" i="34"/>
  <c r="G35" i="34"/>
  <c r="D35" i="34"/>
  <c r="M34" i="34"/>
  <c r="J34" i="34"/>
  <c r="G34" i="34"/>
  <c r="D34" i="34"/>
  <c r="M33" i="34"/>
  <c r="J33" i="34"/>
  <c r="G33" i="34"/>
  <c r="D33" i="34"/>
  <c r="M32" i="34"/>
  <c r="J32" i="34"/>
  <c r="G32" i="34"/>
  <c r="D32" i="34"/>
  <c r="M31" i="34"/>
  <c r="J31" i="34"/>
  <c r="G31" i="34"/>
  <c r="D31" i="34"/>
  <c r="M30" i="34"/>
  <c r="J30" i="34"/>
  <c r="G30" i="34"/>
  <c r="D30" i="34"/>
  <c r="M29" i="34"/>
  <c r="J29" i="34"/>
  <c r="G29" i="34"/>
  <c r="D29" i="34"/>
  <c r="M7" i="34"/>
  <c r="J7" i="34"/>
  <c r="G7" i="34"/>
  <c r="D7" i="34"/>
  <c r="S7" i="34" s="1"/>
  <c r="M28" i="34"/>
  <c r="J28" i="34"/>
  <c r="G28" i="34"/>
  <c r="D28" i="34"/>
  <c r="M21" i="34"/>
  <c r="J21" i="34"/>
  <c r="G21" i="34"/>
  <c r="D21" i="34"/>
  <c r="M18" i="34"/>
  <c r="J18" i="34"/>
  <c r="G18" i="34"/>
  <c r="D18" i="34"/>
  <c r="M6" i="34"/>
  <c r="J6" i="34"/>
  <c r="G6" i="34"/>
  <c r="D6" i="34"/>
  <c r="S6" i="34" s="1"/>
  <c r="M5" i="34"/>
  <c r="J5" i="34"/>
  <c r="G5" i="34"/>
  <c r="D5" i="34"/>
  <c r="M27" i="34"/>
  <c r="J27" i="34"/>
  <c r="G27" i="34"/>
  <c r="D27" i="34"/>
  <c r="M13" i="34"/>
  <c r="J13" i="34"/>
  <c r="G13" i="34"/>
  <c r="D13" i="34"/>
  <c r="M26" i="34"/>
  <c r="J26" i="34"/>
  <c r="G26" i="34"/>
  <c r="D26" i="34"/>
  <c r="S26" i="34" s="1"/>
  <c r="M16" i="34"/>
  <c r="J16" i="34"/>
  <c r="G16" i="34"/>
  <c r="D16" i="34"/>
  <c r="M19" i="34"/>
  <c r="J19" i="34"/>
  <c r="G19" i="34"/>
  <c r="D19" i="34"/>
  <c r="M4" i="34"/>
  <c r="J4" i="34"/>
  <c r="G4" i="34"/>
  <c r="D4" i="34"/>
  <c r="M10" i="34"/>
  <c r="J10" i="34"/>
  <c r="G10" i="34"/>
  <c r="D10" i="34"/>
  <c r="S10" i="34" s="1"/>
  <c r="M3" i="34"/>
  <c r="J3" i="34"/>
  <c r="G3" i="34"/>
  <c r="D3" i="34"/>
  <c r="M25" i="34"/>
  <c r="J25" i="34"/>
  <c r="G25" i="34"/>
  <c r="D25" i="34"/>
  <c r="M14" i="34"/>
  <c r="J14" i="34"/>
  <c r="G14" i="34"/>
  <c r="D14" i="34"/>
  <c r="M9" i="34"/>
  <c r="J9" i="34"/>
  <c r="G9" i="34"/>
  <c r="D9" i="34"/>
  <c r="S9" i="34" s="1"/>
  <c r="M17" i="34"/>
  <c r="J17" i="34"/>
  <c r="G17" i="34"/>
  <c r="D17" i="34"/>
  <c r="M15" i="34"/>
  <c r="J15" i="34"/>
  <c r="G15" i="34"/>
  <c r="D15" i="34"/>
  <c r="M11" i="34"/>
  <c r="J11" i="34"/>
  <c r="G11" i="34"/>
  <c r="D11" i="34"/>
  <c r="M24" i="34"/>
  <c r="J24" i="34"/>
  <c r="G24" i="34"/>
  <c r="D24" i="34"/>
  <c r="S24" i="34" s="1"/>
  <c r="M12" i="34"/>
  <c r="J12" i="34"/>
  <c r="G12" i="34"/>
  <c r="D12" i="34"/>
  <c r="M8" i="34"/>
  <c r="J8" i="34"/>
  <c r="G8" i="34"/>
  <c r="D8" i="34"/>
  <c r="M23" i="34"/>
  <c r="J23" i="34"/>
  <c r="G23" i="34"/>
  <c r="D23" i="34"/>
  <c r="M20" i="34"/>
  <c r="J20" i="34"/>
  <c r="G20" i="34"/>
  <c r="D20" i="34"/>
  <c r="S20" i="34" s="1"/>
  <c r="M22" i="34"/>
  <c r="J22" i="34"/>
  <c r="G22" i="34"/>
  <c r="D22" i="34"/>
  <c r="M34" i="33"/>
  <c r="J34" i="33"/>
  <c r="G34" i="33"/>
  <c r="D34" i="33"/>
  <c r="S34" i="33" s="1"/>
  <c r="M33" i="33"/>
  <c r="J33" i="33"/>
  <c r="G33" i="33"/>
  <c r="D33" i="33"/>
  <c r="M32" i="33"/>
  <c r="J32" i="33"/>
  <c r="G32" i="33"/>
  <c r="D32" i="33"/>
  <c r="M31" i="33"/>
  <c r="J31" i="33"/>
  <c r="G31" i="33"/>
  <c r="D31" i="33"/>
  <c r="M30" i="33"/>
  <c r="J30" i="33"/>
  <c r="G30" i="33"/>
  <c r="D30" i="33"/>
  <c r="S30" i="33" s="1"/>
  <c r="M29" i="33"/>
  <c r="J29" i="33"/>
  <c r="G29" i="33"/>
  <c r="D29" i="33"/>
  <c r="M28" i="33"/>
  <c r="J28" i="33"/>
  <c r="G28" i="33"/>
  <c r="D28" i="33"/>
  <c r="M27" i="33"/>
  <c r="J27" i="33"/>
  <c r="G27" i="33"/>
  <c r="D27" i="33"/>
  <c r="M3" i="33"/>
  <c r="J3" i="33"/>
  <c r="G3" i="33"/>
  <c r="D3" i="33"/>
  <c r="M22" i="33"/>
  <c r="J22" i="33"/>
  <c r="G22" i="33"/>
  <c r="D22" i="33"/>
  <c r="M24" i="33"/>
  <c r="J24" i="33"/>
  <c r="G24" i="33"/>
  <c r="D24" i="33"/>
  <c r="M26" i="33"/>
  <c r="J26" i="33"/>
  <c r="G26" i="33"/>
  <c r="D26" i="33"/>
  <c r="M13" i="33"/>
  <c r="J13" i="33"/>
  <c r="G13" i="33"/>
  <c r="D13" i="33"/>
  <c r="M10" i="33"/>
  <c r="J10" i="33"/>
  <c r="G10" i="33"/>
  <c r="D10" i="33"/>
  <c r="M6" i="33"/>
  <c r="J6" i="33"/>
  <c r="G6" i="33"/>
  <c r="D6" i="33"/>
  <c r="M23" i="33"/>
  <c r="J23" i="33"/>
  <c r="G23" i="33"/>
  <c r="D23" i="33"/>
  <c r="M9" i="33"/>
  <c r="J9" i="33"/>
  <c r="G9" i="33"/>
  <c r="D9" i="33"/>
  <c r="M4" i="33"/>
  <c r="J4" i="33"/>
  <c r="G4" i="33"/>
  <c r="D4" i="33"/>
  <c r="M8" i="33"/>
  <c r="J8" i="33"/>
  <c r="G8" i="33"/>
  <c r="D8" i="33"/>
  <c r="M16" i="33"/>
  <c r="J16" i="33"/>
  <c r="G16" i="33"/>
  <c r="D16" i="33"/>
  <c r="M11" i="33"/>
  <c r="J11" i="33"/>
  <c r="G11" i="33"/>
  <c r="D11" i="33"/>
  <c r="M5" i="33"/>
  <c r="J5" i="33"/>
  <c r="G5" i="33"/>
  <c r="D5" i="33"/>
  <c r="M15" i="33"/>
  <c r="J15" i="33"/>
  <c r="G15" i="33"/>
  <c r="D15" i="33"/>
  <c r="M25" i="33"/>
  <c r="J25" i="33"/>
  <c r="G25" i="33"/>
  <c r="D25" i="33"/>
  <c r="M20" i="33"/>
  <c r="J20" i="33"/>
  <c r="G20" i="33"/>
  <c r="D20" i="33"/>
  <c r="M14" i="33"/>
  <c r="J14" i="33"/>
  <c r="G14" i="33"/>
  <c r="D14" i="33"/>
  <c r="M18" i="33"/>
  <c r="J18" i="33"/>
  <c r="G18" i="33"/>
  <c r="D18" i="33"/>
  <c r="M7" i="33"/>
  <c r="J7" i="33"/>
  <c r="G7" i="33"/>
  <c r="D7" i="33"/>
  <c r="M12" i="33"/>
  <c r="J12" i="33"/>
  <c r="G12" i="33"/>
  <c r="D12" i="33"/>
  <c r="M19" i="33"/>
  <c r="J19" i="33"/>
  <c r="G19" i="33"/>
  <c r="D19" i="33"/>
  <c r="M21" i="33"/>
  <c r="J21" i="33"/>
  <c r="G21" i="33"/>
  <c r="D21" i="33"/>
  <c r="M17" i="33"/>
  <c r="J17" i="33"/>
  <c r="G17" i="33"/>
  <c r="D17" i="33"/>
  <c r="M37" i="32"/>
  <c r="J37" i="32"/>
  <c r="G37" i="32"/>
  <c r="D37" i="32"/>
  <c r="M36" i="32"/>
  <c r="J36" i="32"/>
  <c r="G36" i="32"/>
  <c r="D36" i="32"/>
  <c r="M35" i="32"/>
  <c r="J35" i="32"/>
  <c r="G35" i="32"/>
  <c r="D35" i="32"/>
  <c r="M34" i="32"/>
  <c r="J34" i="32"/>
  <c r="G34" i="32"/>
  <c r="D34" i="32"/>
  <c r="M33" i="32"/>
  <c r="J33" i="32"/>
  <c r="G33" i="32"/>
  <c r="D33" i="32"/>
  <c r="M32" i="32"/>
  <c r="J32" i="32"/>
  <c r="G32" i="32"/>
  <c r="D32" i="32"/>
  <c r="M31" i="32"/>
  <c r="J31" i="32"/>
  <c r="G31" i="32"/>
  <c r="D31" i="32"/>
  <c r="M30" i="32"/>
  <c r="J30" i="32"/>
  <c r="G30" i="32"/>
  <c r="D30" i="32"/>
  <c r="M29" i="32"/>
  <c r="J29" i="32"/>
  <c r="G29" i="32"/>
  <c r="D29" i="32"/>
  <c r="M28" i="32"/>
  <c r="J28" i="32"/>
  <c r="G28" i="32"/>
  <c r="D28" i="32"/>
  <c r="M27" i="32"/>
  <c r="J27" i="32"/>
  <c r="G27" i="32"/>
  <c r="D27" i="32"/>
  <c r="M9" i="32"/>
  <c r="J9" i="32"/>
  <c r="G9" i="32"/>
  <c r="D9" i="32"/>
  <c r="S9" i="32" s="1"/>
  <c r="M8" i="32"/>
  <c r="J8" i="32"/>
  <c r="G8" i="32"/>
  <c r="D8" i="32"/>
  <c r="M25" i="32"/>
  <c r="J25" i="32"/>
  <c r="G25" i="32"/>
  <c r="D25" i="32"/>
  <c r="S25" i="32" s="1"/>
  <c r="M23" i="32"/>
  <c r="J23" i="32"/>
  <c r="G23" i="32"/>
  <c r="D23" i="32"/>
  <c r="M11" i="32"/>
  <c r="J11" i="32"/>
  <c r="G11" i="32"/>
  <c r="D11" i="32"/>
  <c r="S11" i="32" s="1"/>
  <c r="M6" i="32"/>
  <c r="J6" i="32"/>
  <c r="G6" i="32"/>
  <c r="D6" i="32"/>
  <c r="M7" i="32"/>
  <c r="J7" i="32"/>
  <c r="G7" i="32"/>
  <c r="D7" i="32"/>
  <c r="S7" i="32" s="1"/>
  <c r="M3" i="32"/>
  <c r="J3" i="32"/>
  <c r="G3" i="32"/>
  <c r="D3" i="32"/>
  <c r="M21" i="32"/>
  <c r="J21" i="32"/>
  <c r="G21" i="32"/>
  <c r="D21" i="32"/>
  <c r="S21" i="32" s="1"/>
  <c r="M24" i="32"/>
  <c r="J24" i="32"/>
  <c r="G24" i="32"/>
  <c r="D24" i="32"/>
  <c r="M17" i="32"/>
  <c r="J17" i="32"/>
  <c r="G17" i="32"/>
  <c r="D17" i="32"/>
  <c r="S17" i="32" s="1"/>
  <c r="M16" i="32"/>
  <c r="J16" i="32"/>
  <c r="G16" i="32"/>
  <c r="D16" i="32"/>
  <c r="M10" i="32"/>
  <c r="J10" i="32"/>
  <c r="G10" i="32"/>
  <c r="D10" i="32"/>
  <c r="S10" i="32" s="1"/>
  <c r="M26" i="32"/>
  <c r="J26" i="32"/>
  <c r="G26" i="32"/>
  <c r="D26" i="32"/>
  <c r="M12" i="32"/>
  <c r="J12" i="32"/>
  <c r="G12" i="32"/>
  <c r="D12" i="32"/>
  <c r="S12" i="32" s="1"/>
  <c r="M4" i="32"/>
  <c r="J4" i="32"/>
  <c r="G4" i="32"/>
  <c r="D4" i="32"/>
  <c r="M5" i="32"/>
  <c r="J5" i="32"/>
  <c r="G5" i="32"/>
  <c r="D5" i="32"/>
  <c r="S5" i="32" s="1"/>
  <c r="M19" i="32"/>
  <c r="J19" i="32"/>
  <c r="G19" i="32"/>
  <c r="D19" i="32"/>
  <c r="M15" i="32"/>
  <c r="J15" i="32"/>
  <c r="G15" i="32"/>
  <c r="D15" i="32"/>
  <c r="S15" i="32" s="1"/>
  <c r="M14" i="32"/>
  <c r="J14" i="32"/>
  <c r="G14" i="32"/>
  <c r="D14" i="32"/>
  <c r="M22" i="32"/>
  <c r="J22" i="32"/>
  <c r="G22" i="32"/>
  <c r="D22" i="32"/>
  <c r="S22" i="32" s="1"/>
  <c r="M20" i="32"/>
  <c r="J20" i="32"/>
  <c r="G20" i="32"/>
  <c r="D20" i="32"/>
  <c r="M13" i="32"/>
  <c r="J13" i="32"/>
  <c r="G13" i="32"/>
  <c r="D13" i="32"/>
  <c r="S13" i="32" s="1"/>
  <c r="M18" i="32"/>
  <c r="J18" i="32"/>
  <c r="G18" i="32"/>
  <c r="D18" i="32"/>
  <c r="M37" i="31"/>
  <c r="J37" i="31"/>
  <c r="G37" i="31"/>
  <c r="D37" i="31"/>
  <c r="M36" i="31"/>
  <c r="J36" i="31"/>
  <c r="G36" i="31"/>
  <c r="D36" i="31"/>
  <c r="M35" i="31"/>
  <c r="J35" i="31"/>
  <c r="G35" i="31"/>
  <c r="D35" i="31"/>
  <c r="M34" i="31"/>
  <c r="J34" i="31"/>
  <c r="G34" i="31"/>
  <c r="D34" i="31"/>
  <c r="M33" i="31"/>
  <c r="J33" i="31"/>
  <c r="G33" i="31"/>
  <c r="D33" i="31"/>
  <c r="M32" i="31"/>
  <c r="J32" i="31"/>
  <c r="G32" i="31"/>
  <c r="D32" i="31"/>
  <c r="M31" i="31"/>
  <c r="J31" i="31"/>
  <c r="G31" i="31"/>
  <c r="D31" i="31"/>
  <c r="M30" i="31"/>
  <c r="J30" i="31"/>
  <c r="G30" i="31"/>
  <c r="D30" i="31"/>
  <c r="M29" i="31"/>
  <c r="J29" i="31"/>
  <c r="G29" i="31"/>
  <c r="D29" i="31"/>
  <c r="M28" i="31"/>
  <c r="J28" i="31"/>
  <c r="G28" i="31"/>
  <c r="D28" i="31"/>
  <c r="M27" i="31"/>
  <c r="J27" i="31"/>
  <c r="G27" i="31"/>
  <c r="D27" i="31"/>
  <c r="M26" i="31"/>
  <c r="J26" i="31"/>
  <c r="G26" i="31"/>
  <c r="D26" i="31"/>
  <c r="M4" i="31"/>
  <c r="J4" i="31"/>
  <c r="G4" i="31"/>
  <c r="D4" i="31"/>
  <c r="M3" i="31"/>
  <c r="J3" i="31"/>
  <c r="G3" i="31"/>
  <c r="D3" i="31"/>
  <c r="M10" i="31"/>
  <c r="J10" i="31"/>
  <c r="G10" i="31"/>
  <c r="D10" i="31"/>
  <c r="M25" i="31"/>
  <c r="J25" i="31"/>
  <c r="G25" i="31"/>
  <c r="D25" i="31"/>
  <c r="M5" i="31"/>
  <c r="J5" i="31"/>
  <c r="G5" i="31"/>
  <c r="D5" i="31"/>
  <c r="M6" i="31"/>
  <c r="J6" i="31"/>
  <c r="G6" i="31"/>
  <c r="D6" i="31"/>
  <c r="M7" i="31"/>
  <c r="J7" i="31"/>
  <c r="G7" i="31"/>
  <c r="D7" i="31"/>
  <c r="M14" i="31"/>
  <c r="J14" i="31"/>
  <c r="G14" i="31"/>
  <c r="D14" i="31"/>
  <c r="M18" i="31"/>
  <c r="J18" i="31"/>
  <c r="G18" i="31"/>
  <c r="D18" i="31"/>
  <c r="M12" i="31"/>
  <c r="J12" i="31"/>
  <c r="G12" i="31"/>
  <c r="D12" i="31"/>
  <c r="M21" i="31"/>
  <c r="J21" i="31"/>
  <c r="G21" i="31"/>
  <c r="D21" i="31"/>
  <c r="M8" i="31"/>
  <c r="J8" i="31"/>
  <c r="G8" i="31"/>
  <c r="D8" i="31"/>
  <c r="M20" i="31"/>
  <c r="J20" i="31"/>
  <c r="G20" i="31"/>
  <c r="D20" i="31"/>
  <c r="M22" i="31"/>
  <c r="J22" i="31"/>
  <c r="G22" i="31"/>
  <c r="D22" i="31"/>
  <c r="M11" i="31"/>
  <c r="J11" i="31"/>
  <c r="G11" i="31"/>
  <c r="D11" i="31"/>
  <c r="M15" i="31"/>
  <c r="J15" i="31"/>
  <c r="G15" i="31"/>
  <c r="D15" i="31"/>
  <c r="M13" i="31"/>
  <c r="J13" i="31"/>
  <c r="G13" i="31"/>
  <c r="D13" i="31"/>
  <c r="M23" i="31"/>
  <c r="J23" i="31"/>
  <c r="G23" i="31"/>
  <c r="D23" i="31"/>
  <c r="M24" i="31"/>
  <c r="J24" i="31"/>
  <c r="G24" i="31"/>
  <c r="D24" i="31"/>
  <c r="M19" i="31"/>
  <c r="J19" i="31"/>
  <c r="G19" i="31"/>
  <c r="D19" i="31"/>
  <c r="M9" i="31"/>
  <c r="J9" i="31"/>
  <c r="G9" i="31"/>
  <c r="D9" i="31"/>
  <c r="M16" i="31"/>
  <c r="J16" i="31"/>
  <c r="G16" i="31"/>
  <c r="D16" i="31"/>
  <c r="M17" i="31"/>
  <c r="J17" i="31"/>
  <c r="G17" i="31"/>
  <c r="D17" i="31"/>
  <c r="M8" i="30"/>
  <c r="J8" i="30"/>
  <c r="G8" i="30"/>
  <c r="D8" i="30"/>
  <c r="M27" i="30"/>
  <c r="J27" i="30"/>
  <c r="G27" i="30"/>
  <c r="D27" i="30"/>
  <c r="M14" i="30"/>
  <c r="J14" i="30"/>
  <c r="G14" i="30"/>
  <c r="D14" i="30"/>
  <c r="M30" i="30"/>
  <c r="J30" i="30"/>
  <c r="G30" i="30"/>
  <c r="D30" i="30"/>
  <c r="M18" i="30"/>
  <c r="J18" i="30"/>
  <c r="G18" i="30"/>
  <c r="D18" i="30"/>
  <c r="M29" i="30"/>
  <c r="J29" i="30"/>
  <c r="G29" i="30"/>
  <c r="D29" i="30"/>
  <c r="S29" i="30" s="1"/>
  <c r="M13" i="30"/>
  <c r="J13" i="30"/>
  <c r="G13" i="30"/>
  <c r="D13" i="30"/>
  <c r="M25" i="30"/>
  <c r="J25" i="30"/>
  <c r="G25" i="30"/>
  <c r="D25" i="30"/>
  <c r="S25" i="30" s="1"/>
  <c r="M10" i="30"/>
  <c r="J10" i="30"/>
  <c r="G10" i="30"/>
  <c r="D10" i="30"/>
  <c r="M4" i="30"/>
  <c r="J4" i="30"/>
  <c r="G4" i="30"/>
  <c r="D4" i="30"/>
  <c r="M9" i="30"/>
  <c r="J9" i="30"/>
  <c r="G9" i="30"/>
  <c r="D9" i="30"/>
  <c r="M15" i="30"/>
  <c r="J15" i="30"/>
  <c r="G15" i="30"/>
  <c r="D15" i="30"/>
  <c r="S15" i="30" s="1"/>
  <c r="M3" i="30"/>
  <c r="J3" i="30"/>
  <c r="G3" i="30"/>
  <c r="D3" i="30"/>
  <c r="M5" i="30"/>
  <c r="J5" i="30"/>
  <c r="G5" i="30"/>
  <c r="D5" i="30"/>
  <c r="S5" i="30" s="1"/>
  <c r="M7" i="30"/>
  <c r="J7" i="30"/>
  <c r="G7" i="30"/>
  <c r="D7" i="30"/>
  <c r="M6" i="30"/>
  <c r="J6" i="30"/>
  <c r="G6" i="30"/>
  <c r="D6" i="30"/>
  <c r="M31" i="30"/>
  <c r="J31" i="30"/>
  <c r="G31" i="30"/>
  <c r="D31" i="30"/>
  <c r="M17" i="30"/>
  <c r="J17" i="30"/>
  <c r="G17" i="30"/>
  <c r="D17" i="30"/>
  <c r="S17" i="30" s="1"/>
  <c r="M22" i="30"/>
  <c r="J22" i="30"/>
  <c r="G22" i="30"/>
  <c r="D22" i="30"/>
  <c r="M20" i="30"/>
  <c r="J20" i="30"/>
  <c r="G20" i="30"/>
  <c r="D20" i="30"/>
  <c r="M12" i="30"/>
  <c r="J12" i="30"/>
  <c r="G12" i="30"/>
  <c r="D12" i="30"/>
  <c r="M21" i="30"/>
  <c r="J21" i="30"/>
  <c r="G21" i="30"/>
  <c r="D21" i="30"/>
  <c r="M26" i="30"/>
  <c r="J26" i="30"/>
  <c r="G26" i="30"/>
  <c r="D26" i="30"/>
  <c r="M19" i="30"/>
  <c r="J19" i="30"/>
  <c r="G19" i="30"/>
  <c r="D19" i="30"/>
  <c r="M24" i="30"/>
  <c r="J24" i="30"/>
  <c r="G24" i="30"/>
  <c r="D24" i="30"/>
  <c r="M23" i="30"/>
  <c r="J23" i="30"/>
  <c r="G23" i="30"/>
  <c r="D23" i="30"/>
  <c r="S23" i="30" s="1"/>
  <c r="M11" i="30"/>
  <c r="J11" i="30"/>
  <c r="G11" i="30"/>
  <c r="D11" i="30"/>
  <c r="M16" i="30"/>
  <c r="J16" i="30"/>
  <c r="G16" i="30"/>
  <c r="D16" i="30"/>
  <c r="M28" i="30"/>
  <c r="J28" i="30"/>
  <c r="G28" i="30"/>
  <c r="D28" i="30"/>
  <c r="M4" i="29"/>
  <c r="J4" i="29"/>
  <c r="G4" i="29"/>
  <c r="D4" i="29"/>
  <c r="M17" i="29"/>
  <c r="J17" i="29"/>
  <c r="G17" i="29"/>
  <c r="D17" i="29"/>
  <c r="S17" i="29" s="1"/>
  <c r="M16" i="29"/>
  <c r="J16" i="29"/>
  <c r="G16" i="29"/>
  <c r="D16" i="29"/>
  <c r="M13" i="29"/>
  <c r="J13" i="29"/>
  <c r="G13" i="29"/>
  <c r="D13" i="29"/>
  <c r="M3" i="29"/>
  <c r="J3" i="29"/>
  <c r="G3" i="29"/>
  <c r="D3" i="29"/>
  <c r="M7" i="29"/>
  <c r="J7" i="29"/>
  <c r="G7" i="29"/>
  <c r="D7" i="29"/>
  <c r="S7" i="29" s="1"/>
  <c r="M5" i="29"/>
  <c r="J5" i="29"/>
  <c r="G5" i="29"/>
  <c r="D5" i="29"/>
  <c r="M22" i="29"/>
  <c r="J22" i="29"/>
  <c r="G22" i="29"/>
  <c r="D22" i="29"/>
  <c r="M8" i="29"/>
  <c r="J8" i="29"/>
  <c r="G8" i="29"/>
  <c r="D8" i="29"/>
  <c r="M18" i="29"/>
  <c r="J18" i="29"/>
  <c r="G18" i="29"/>
  <c r="D18" i="29"/>
  <c r="S18" i="29" s="1"/>
  <c r="M15" i="29"/>
  <c r="J15" i="29"/>
  <c r="G15" i="29"/>
  <c r="D15" i="29"/>
  <c r="M6" i="29"/>
  <c r="J6" i="29"/>
  <c r="G6" i="29"/>
  <c r="D6" i="29"/>
  <c r="M11" i="29"/>
  <c r="J11" i="29"/>
  <c r="G11" i="29"/>
  <c r="D11" i="29"/>
  <c r="M19" i="29"/>
  <c r="J19" i="29"/>
  <c r="G19" i="29"/>
  <c r="D19" i="29"/>
  <c r="M14" i="29"/>
  <c r="J14" i="29"/>
  <c r="G14" i="29"/>
  <c r="D14" i="29"/>
  <c r="M12" i="29"/>
  <c r="J12" i="29"/>
  <c r="G12" i="29"/>
  <c r="D12" i="29"/>
  <c r="S12" i="29" s="1"/>
  <c r="M23" i="29"/>
  <c r="J23" i="29"/>
  <c r="G23" i="29"/>
  <c r="D23" i="29"/>
  <c r="M10" i="29"/>
  <c r="J10" i="29"/>
  <c r="G10" i="29"/>
  <c r="D10" i="29"/>
  <c r="M24" i="29"/>
  <c r="J24" i="29"/>
  <c r="G24" i="29"/>
  <c r="D24" i="29"/>
  <c r="M21" i="29"/>
  <c r="J21" i="29"/>
  <c r="G21" i="29"/>
  <c r="D21" i="29"/>
  <c r="S21" i="29" s="1"/>
  <c r="M20" i="29"/>
  <c r="J20" i="29"/>
  <c r="G20" i="29"/>
  <c r="D20" i="29"/>
  <c r="M9" i="29"/>
  <c r="J9" i="29"/>
  <c r="G9" i="29"/>
  <c r="D9" i="29"/>
  <c r="D32" i="28"/>
  <c r="G32" i="28"/>
  <c r="J32" i="28"/>
  <c r="M32" i="28"/>
  <c r="M13" i="28"/>
  <c r="J13" i="28"/>
  <c r="G13" i="28"/>
  <c r="D13" i="28"/>
  <c r="M3" i="28"/>
  <c r="J3" i="28"/>
  <c r="G3" i="28"/>
  <c r="D3" i="28"/>
  <c r="M31" i="28"/>
  <c r="J31" i="28"/>
  <c r="G31" i="28"/>
  <c r="D31" i="28"/>
  <c r="M28" i="28"/>
  <c r="J28" i="28"/>
  <c r="G28" i="28"/>
  <c r="D28" i="28"/>
  <c r="M6" i="28"/>
  <c r="J6" i="28"/>
  <c r="G6" i="28"/>
  <c r="D6" i="28"/>
  <c r="M5" i="28"/>
  <c r="J5" i="28"/>
  <c r="G5" i="28"/>
  <c r="D5" i="28"/>
  <c r="M19" i="28"/>
  <c r="J19" i="28"/>
  <c r="G19" i="28"/>
  <c r="D19" i="28"/>
  <c r="M27" i="28"/>
  <c r="J27" i="28"/>
  <c r="G27" i="28"/>
  <c r="D27" i="28"/>
  <c r="M11" i="28"/>
  <c r="J11" i="28"/>
  <c r="G11" i="28"/>
  <c r="D11" i="28"/>
  <c r="M21" i="28"/>
  <c r="J21" i="28"/>
  <c r="G21" i="28"/>
  <c r="D21" i="28"/>
  <c r="M30" i="28"/>
  <c r="J30" i="28"/>
  <c r="G30" i="28"/>
  <c r="D30" i="28"/>
  <c r="M20" i="28"/>
  <c r="J20" i="28"/>
  <c r="G20" i="28"/>
  <c r="D20" i="28"/>
  <c r="M23" i="28"/>
  <c r="J23" i="28"/>
  <c r="G23" i="28"/>
  <c r="D23" i="28"/>
  <c r="M35" i="28"/>
  <c r="J35" i="28"/>
  <c r="G35" i="28"/>
  <c r="D35" i="28"/>
  <c r="M16" i="28"/>
  <c r="J16" i="28"/>
  <c r="G16" i="28"/>
  <c r="D16" i="28"/>
  <c r="M25" i="28"/>
  <c r="J25" i="28"/>
  <c r="G25" i="28"/>
  <c r="D25" i="28"/>
  <c r="M34" i="28"/>
  <c r="J34" i="28"/>
  <c r="G34" i="28"/>
  <c r="D34" i="28"/>
  <c r="M26" i="28"/>
  <c r="J26" i="28"/>
  <c r="G26" i="28"/>
  <c r="D26" i="28"/>
  <c r="M33" i="28"/>
  <c r="J33" i="28"/>
  <c r="G33" i="28"/>
  <c r="D33" i="28"/>
  <c r="M24" i="28"/>
  <c r="J24" i="28"/>
  <c r="G24" i="28"/>
  <c r="D24" i="28"/>
  <c r="M4" i="28"/>
  <c r="J4" i="28"/>
  <c r="G4" i="28"/>
  <c r="D4" i="28"/>
  <c r="M9" i="28"/>
  <c r="J9" i="28"/>
  <c r="G9" i="28"/>
  <c r="D9" i="28"/>
  <c r="M10" i="28"/>
  <c r="J10" i="28"/>
  <c r="G10" i="28"/>
  <c r="D10" i="28"/>
  <c r="M12" i="28"/>
  <c r="J12" i="28"/>
  <c r="G12" i="28"/>
  <c r="D12" i="28"/>
  <c r="M18" i="28"/>
  <c r="J18" i="28"/>
  <c r="G18" i="28"/>
  <c r="D18" i="28"/>
  <c r="M17" i="28"/>
  <c r="J17" i="28"/>
  <c r="G17" i="28"/>
  <c r="D17" i="28"/>
  <c r="M14" i="28"/>
  <c r="J14" i="28"/>
  <c r="G14" i="28"/>
  <c r="D14" i="28"/>
  <c r="M29" i="28"/>
  <c r="J29" i="28"/>
  <c r="G29" i="28"/>
  <c r="D29" i="28"/>
  <c r="D9" i="27"/>
  <c r="G9" i="27"/>
  <c r="J9" i="27"/>
  <c r="M9" i="27"/>
  <c r="M10" i="27"/>
  <c r="J10" i="27"/>
  <c r="G10" i="27"/>
  <c r="D10" i="27"/>
  <c r="M29" i="27"/>
  <c r="J29" i="27"/>
  <c r="G29" i="27"/>
  <c r="D29" i="27"/>
  <c r="M26" i="27"/>
  <c r="J26" i="27"/>
  <c r="G26" i="27"/>
  <c r="D26" i="27"/>
  <c r="M11" i="27"/>
  <c r="J11" i="27"/>
  <c r="G11" i="27"/>
  <c r="D11" i="27"/>
  <c r="M27" i="27"/>
  <c r="J27" i="27"/>
  <c r="G27" i="27"/>
  <c r="D27" i="27"/>
  <c r="M25" i="27"/>
  <c r="J25" i="27"/>
  <c r="G25" i="27"/>
  <c r="D25" i="27"/>
  <c r="M3" i="27"/>
  <c r="J3" i="27"/>
  <c r="G3" i="27"/>
  <c r="D3" i="27"/>
  <c r="M7" i="27"/>
  <c r="J7" i="27"/>
  <c r="G7" i="27"/>
  <c r="D7" i="27"/>
  <c r="M5" i="27"/>
  <c r="J5" i="27"/>
  <c r="G5" i="27"/>
  <c r="D5" i="27"/>
  <c r="M8" i="27"/>
  <c r="J8" i="27"/>
  <c r="G8" i="27"/>
  <c r="D8" i="27"/>
  <c r="M21" i="27"/>
  <c r="J21" i="27"/>
  <c r="G21" i="27"/>
  <c r="D21" i="27"/>
  <c r="M19" i="27"/>
  <c r="J19" i="27"/>
  <c r="G19" i="27"/>
  <c r="D19" i="27"/>
  <c r="M24" i="27"/>
  <c r="J24" i="27"/>
  <c r="G24" i="27"/>
  <c r="D24" i="27"/>
  <c r="M15" i="27"/>
  <c r="J15" i="27"/>
  <c r="G15" i="27"/>
  <c r="D15" i="27"/>
  <c r="M20" i="27"/>
  <c r="J20" i="27"/>
  <c r="G20" i="27"/>
  <c r="D20" i="27"/>
  <c r="M18" i="27"/>
  <c r="J18" i="27"/>
  <c r="G18" i="27"/>
  <c r="D18" i="27"/>
  <c r="M22" i="27"/>
  <c r="J22" i="27"/>
  <c r="G22" i="27"/>
  <c r="D22" i="27"/>
  <c r="M13" i="27"/>
  <c r="J13" i="27"/>
  <c r="G13" i="27"/>
  <c r="D13" i="27"/>
  <c r="M12" i="27"/>
  <c r="J12" i="27"/>
  <c r="G12" i="27"/>
  <c r="D12" i="27"/>
  <c r="M28" i="27"/>
  <c r="J28" i="27"/>
  <c r="G28" i="27"/>
  <c r="D28" i="27"/>
  <c r="M4" i="27"/>
  <c r="J4" i="27"/>
  <c r="G4" i="27"/>
  <c r="D4" i="27"/>
  <c r="M17" i="27"/>
  <c r="J17" i="27"/>
  <c r="G17" i="27"/>
  <c r="D17" i="27"/>
  <c r="M23" i="27"/>
  <c r="J23" i="27"/>
  <c r="G23" i="27"/>
  <c r="D23" i="27"/>
  <c r="M6" i="27"/>
  <c r="J6" i="27"/>
  <c r="G6" i="27"/>
  <c r="D6" i="27"/>
  <c r="M30" i="27"/>
  <c r="J30" i="27"/>
  <c r="G30" i="27"/>
  <c r="D30" i="27"/>
  <c r="M16" i="27"/>
  <c r="J16" i="27"/>
  <c r="G16" i="27"/>
  <c r="D16" i="27"/>
  <c r="M14" i="27"/>
  <c r="J14" i="27"/>
  <c r="G14" i="27"/>
  <c r="D14" i="27"/>
  <c r="M43" i="26"/>
  <c r="J43" i="26"/>
  <c r="G43" i="26"/>
  <c r="D43" i="26"/>
  <c r="M26" i="26"/>
  <c r="J26" i="26"/>
  <c r="G26" i="26"/>
  <c r="D26" i="26"/>
  <c r="M5" i="26"/>
  <c r="J5" i="26"/>
  <c r="G5" i="26"/>
  <c r="D5" i="26"/>
  <c r="M8" i="26"/>
  <c r="J8" i="26"/>
  <c r="G8" i="26"/>
  <c r="D8" i="26"/>
  <c r="M15" i="26"/>
  <c r="J15" i="26"/>
  <c r="G15" i="26"/>
  <c r="D15" i="26"/>
  <c r="M32" i="26"/>
  <c r="J32" i="26"/>
  <c r="G32" i="26"/>
  <c r="D32" i="26"/>
  <c r="M25" i="26"/>
  <c r="J25" i="26"/>
  <c r="G25" i="26"/>
  <c r="D25" i="26"/>
  <c r="M42" i="26"/>
  <c r="J42" i="26"/>
  <c r="G42" i="26"/>
  <c r="D42" i="26"/>
  <c r="M14" i="26"/>
  <c r="J14" i="26"/>
  <c r="G14" i="26"/>
  <c r="D14" i="26"/>
  <c r="M41" i="26"/>
  <c r="J41" i="26"/>
  <c r="G41" i="26"/>
  <c r="D41" i="26"/>
  <c r="M24" i="26"/>
  <c r="J24" i="26"/>
  <c r="G24" i="26"/>
  <c r="D24" i="26"/>
  <c r="M40" i="26"/>
  <c r="J40" i="26"/>
  <c r="G40" i="26"/>
  <c r="D40" i="26"/>
  <c r="M36" i="26"/>
  <c r="J36" i="26"/>
  <c r="G36" i="26"/>
  <c r="D36" i="26"/>
  <c r="M35" i="26"/>
  <c r="J35" i="26"/>
  <c r="G35" i="26"/>
  <c r="D35" i="26"/>
  <c r="M27" i="26"/>
  <c r="J27" i="26"/>
  <c r="G27" i="26"/>
  <c r="D27" i="26"/>
  <c r="M39" i="26"/>
  <c r="J39" i="26"/>
  <c r="G39" i="26"/>
  <c r="D39" i="26"/>
  <c r="M3" i="26"/>
  <c r="J3" i="26"/>
  <c r="G3" i="26"/>
  <c r="D3" i="26"/>
  <c r="M29" i="26"/>
  <c r="J29" i="26"/>
  <c r="G29" i="26"/>
  <c r="D29" i="26"/>
  <c r="M7" i="26"/>
  <c r="J7" i="26"/>
  <c r="G7" i="26"/>
  <c r="D7" i="26"/>
  <c r="M34" i="26"/>
  <c r="J34" i="26"/>
  <c r="G34" i="26"/>
  <c r="D34" i="26"/>
  <c r="M22" i="26"/>
  <c r="J22" i="26"/>
  <c r="G22" i="26"/>
  <c r="D22" i="26"/>
  <c r="M11" i="26"/>
  <c r="J11" i="26"/>
  <c r="G11" i="26"/>
  <c r="D11" i="26"/>
  <c r="M33" i="26"/>
  <c r="J33" i="26"/>
  <c r="G33" i="26"/>
  <c r="D33" i="26"/>
  <c r="M20" i="26"/>
  <c r="J20" i="26"/>
  <c r="G20" i="26"/>
  <c r="D20" i="26"/>
  <c r="M13" i="26"/>
  <c r="J13" i="26"/>
  <c r="G13" i="26"/>
  <c r="D13" i="26"/>
  <c r="M4" i="26"/>
  <c r="J4" i="26"/>
  <c r="G4" i="26"/>
  <c r="D4" i="26"/>
  <c r="M30" i="26"/>
  <c r="J30" i="26"/>
  <c r="G30" i="26"/>
  <c r="D30" i="26"/>
  <c r="M21" i="26"/>
  <c r="J21" i="26"/>
  <c r="G21" i="26"/>
  <c r="D21" i="26"/>
  <c r="M10" i="26"/>
  <c r="J10" i="26"/>
  <c r="G10" i="26"/>
  <c r="D10" i="26"/>
  <c r="M12" i="26"/>
  <c r="J12" i="26"/>
  <c r="G12" i="26"/>
  <c r="D12" i="26"/>
  <c r="M19" i="26"/>
  <c r="J19" i="26"/>
  <c r="G19" i="26"/>
  <c r="D19" i="26"/>
  <c r="M37" i="26"/>
  <c r="J37" i="26"/>
  <c r="G37" i="26"/>
  <c r="D37" i="26"/>
  <c r="M28" i="26"/>
  <c r="J28" i="26"/>
  <c r="G28" i="26"/>
  <c r="D28" i="26"/>
  <c r="M17" i="26"/>
  <c r="J17" i="26"/>
  <c r="G17" i="26"/>
  <c r="D17" i="26"/>
  <c r="M18" i="26"/>
  <c r="J18" i="26"/>
  <c r="G18" i="26"/>
  <c r="D18" i="26"/>
  <c r="M16" i="26"/>
  <c r="J16" i="26"/>
  <c r="G16" i="26"/>
  <c r="D16" i="26"/>
  <c r="D30" i="25"/>
  <c r="G30" i="25"/>
  <c r="J30" i="25"/>
  <c r="M30" i="25"/>
  <c r="M9" i="25"/>
  <c r="J9" i="25"/>
  <c r="G9" i="25"/>
  <c r="D9" i="25"/>
  <c r="M28" i="25"/>
  <c r="J28" i="25"/>
  <c r="G28" i="25"/>
  <c r="D28" i="25"/>
  <c r="S28" i="25" s="1"/>
  <c r="M34" i="25"/>
  <c r="J34" i="25"/>
  <c r="G34" i="25"/>
  <c r="D34" i="25"/>
  <c r="M32" i="25"/>
  <c r="J32" i="25"/>
  <c r="G32" i="25"/>
  <c r="D32" i="25"/>
  <c r="M15" i="25"/>
  <c r="J15" i="25"/>
  <c r="G15" i="25"/>
  <c r="D15" i="25"/>
  <c r="M8" i="25"/>
  <c r="J8" i="25"/>
  <c r="G8" i="25"/>
  <c r="D8" i="25"/>
  <c r="M23" i="25"/>
  <c r="J23" i="25"/>
  <c r="G23" i="25"/>
  <c r="D23" i="25"/>
  <c r="M19" i="25"/>
  <c r="J19" i="25"/>
  <c r="G19" i="25"/>
  <c r="D19" i="25"/>
  <c r="S19" i="25" s="1"/>
  <c r="M26" i="25"/>
  <c r="J26" i="25"/>
  <c r="G26" i="25"/>
  <c r="D26" i="25"/>
  <c r="M3" i="25"/>
  <c r="J3" i="25"/>
  <c r="G3" i="25"/>
  <c r="D3" i="25"/>
  <c r="M10" i="25"/>
  <c r="J10" i="25"/>
  <c r="G10" i="25"/>
  <c r="D10" i="25"/>
  <c r="M27" i="25"/>
  <c r="J27" i="25"/>
  <c r="G27" i="25"/>
  <c r="D27" i="25"/>
  <c r="M31" i="25"/>
  <c r="J31" i="25"/>
  <c r="G31" i="25"/>
  <c r="D31" i="25"/>
  <c r="M16" i="25"/>
  <c r="J16" i="25"/>
  <c r="G16" i="25"/>
  <c r="D16" i="25"/>
  <c r="S16" i="25" s="1"/>
  <c r="M4" i="25"/>
  <c r="J4" i="25"/>
  <c r="G4" i="25"/>
  <c r="D4" i="25"/>
  <c r="M17" i="25"/>
  <c r="J17" i="25"/>
  <c r="G17" i="25"/>
  <c r="D17" i="25"/>
  <c r="M14" i="25"/>
  <c r="J14" i="25"/>
  <c r="G14" i="25"/>
  <c r="D14" i="25"/>
  <c r="M33" i="25"/>
  <c r="J33" i="25"/>
  <c r="G33" i="25"/>
  <c r="D33" i="25"/>
  <c r="S33" i="25" s="1"/>
  <c r="M21" i="25"/>
  <c r="J21" i="25"/>
  <c r="G21" i="25"/>
  <c r="D21" i="25"/>
  <c r="M22" i="25"/>
  <c r="J22" i="25"/>
  <c r="G22" i="25"/>
  <c r="D22" i="25"/>
  <c r="M20" i="25"/>
  <c r="J20" i="25"/>
  <c r="G20" i="25"/>
  <c r="D20" i="25"/>
  <c r="M11" i="25"/>
  <c r="J11" i="25"/>
  <c r="G11" i="25"/>
  <c r="D11" i="25"/>
  <c r="M12" i="25"/>
  <c r="J12" i="25"/>
  <c r="G12" i="25"/>
  <c r="D12" i="25"/>
  <c r="M7" i="25"/>
  <c r="J7" i="25"/>
  <c r="G7" i="25"/>
  <c r="D7" i="25"/>
  <c r="M6" i="25"/>
  <c r="J6" i="25"/>
  <c r="G6" i="25"/>
  <c r="D6" i="25"/>
  <c r="M24" i="25"/>
  <c r="J24" i="25"/>
  <c r="G24" i="25"/>
  <c r="D24" i="25"/>
  <c r="S24" i="25" s="1"/>
  <c r="M18" i="25"/>
  <c r="J18" i="25"/>
  <c r="G18" i="25"/>
  <c r="D18" i="25"/>
  <c r="M13" i="25"/>
  <c r="J13" i="25"/>
  <c r="G13" i="25"/>
  <c r="D13" i="25"/>
  <c r="M5" i="25"/>
  <c r="J5" i="25"/>
  <c r="G5" i="25"/>
  <c r="D5" i="25"/>
  <c r="D47" i="24"/>
  <c r="G47" i="24"/>
  <c r="J47" i="24"/>
  <c r="M47" i="24"/>
  <c r="D7" i="24"/>
  <c r="G7" i="24"/>
  <c r="J7" i="24"/>
  <c r="M7" i="24"/>
  <c r="D6" i="24"/>
  <c r="G6" i="24"/>
  <c r="J6" i="24"/>
  <c r="M6" i="24"/>
  <c r="D5" i="24"/>
  <c r="G5" i="24"/>
  <c r="J5" i="24"/>
  <c r="M5" i="24"/>
  <c r="D40" i="24"/>
  <c r="G40" i="24"/>
  <c r="J40" i="24"/>
  <c r="M40" i="24"/>
  <c r="D10" i="24"/>
  <c r="G10" i="24"/>
  <c r="J10" i="24"/>
  <c r="M10" i="24"/>
  <c r="M4" i="24"/>
  <c r="J4" i="24"/>
  <c r="G4" i="24"/>
  <c r="D4" i="24"/>
  <c r="M33" i="24"/>
  <c r="J33" i="24"/>
  <c r="G33" i="24"/>
  <c r="D33" i="24"/>
  <c r="M28" i="24"/>
  <c r="J28" i="24"/>
  <c r="G28" i="24"/>
  <c r="D28" i="24"/>
  <c r="M23" i="24"/>
  <c r="J23" i="24"/>
  <c r="G23" i="24"/>
  <c r="D23" i="24"/>
  <c r="M45" i="24"/>
  <c r="J45" i="24"/>
  <c r="G45" i="24"/>
  <c r="D45" i="24"/>
  <c r="M8" i="24"/>
  <c r="J8" i="24"/>
  <c r="G8" i="24"/>
  <c r="D8" i="24"/>
  <c r="M42" i="24"/>
  <c r="J42" i="24"/>
  <c r="G42" i="24"/>
  <c r="D42" i="24"/>
  <c r="M18" i="24"/>
  <c r="J18" i="24"/>
  <c r="G18" i="24"/>
  <c r="D18" i="24"/>
  <c r="M31" i="24"/>
  <c r="J31" i="24"/>
  <c r="G31" i="24"/>
  <c r="D31" i="24"/>
  <c r="M11" i="24"/>
  <c r="J11" i="24"/>
  <c r="G11" i="24"/>
  <c r="D11" i="24"/>
  <c r="M29" i="24"/>
  <c r="J29" i="24"/>
  <c r="G29" i="24"/>
  <c r="D29" i="24"/>
  <c r="M30" i="24"/>
  <c r="J30" i="24"/>
  <c r="G30" i="24"/>
  <c r="D30" i="24"/>
  <c r="M13" i="24"/>
  <c r="J13" i="24"/>
  <c r="G13" i="24"/>
  <c r="D13" i="24"/>
  <c r="M48" i="24"/>
  <c r="J48" i="24"/>
  <c r="G48" i="24"/>
  <c r="D48" i="24"/>
  <c r="M26" i="24"/>
  <c r="J26" i="24"/>
  <c r="G26" i="24"/>
  <c r="D26" i="24"/>
  <c r="M24" i="24"/>
  <c r="J24" i="24"/>
  <c r="G24" i="24"/>
  <c r="D24" i="24"/>
  <c r="M44" i="24"/>
  <c r="J44" i="24"/>
  <c r="G44" i="24"/>
  <c r="D44" i="24"/>
  <c r="M16" i="24"/>
  <c r="J16" i="24"/>
  <c r="G16" i="24"/>
  <c r="D16" i="24"/>
  <c r="M15" i="24"/>
  <c r="J15" i="24"/>
  <c r="G15" i="24"/>
  <c r="D15" i="24"/>
  <c r="M17" i="24"/>
  <c r="J17" i="24"/>
  <c r="G17" i="24"/>
  <c r="D17" i="24"/>
  <c r="M20" i="24"/>
  <c r="J20" i="24"/>
  <c r="G20" i="24"/>
  <c r="D20" i="24"/>
  <c r="M3" i="24"/>
  <c r="J3" i="24"/>
  <c r="G3" i="24"/>
  <c r="D3" i="24"/>
  <c r="M36" i="24"/>
  <c r="J36" i="24"/>
  <c r="G36" i="24"/>
  <c r="D36" i="24"/>
  <c r="M22" i="24"/>
  <c r="J22" i="24"/>
  <c r="G22" i="24"/>
  <c r="D22" i="24"/>
  <c r="M12" i="24"/>
  <c r="J12" i="24"/>
  <c r="G12" i="24"/>
  <c r="D12" i="24"/>
  <c r="M21" i="24"/>
  <c r="J21" i="24"/>
  <c r="G21" i="24"/>
  <c r="D21" i="24"/>
  <c r="M38" i="24"/>
  <c r="J38" i="24"/>
  <c r="G38" i="24"/>
  <c r="D38" i="24"/>
  <c r="M19" i="24"/>
  <c r="J19" i="24"/>
  <c r="G19" i="24"/>
  <c r="D19" i="24"/>
  <c r="M25" i="24"/>
  <c r="J25" i="24"/>
  <c r="G25" i="24"/>
  <c r="D25" i="24"/>
  <c r="M41" i="24"/>
  <c r="J41" i="24"/>
  <c r="G41" i="24"/>
  <c r="D41" i="24"/>
  <c r="M39" i="24"/>
  <c r="J39" i="24"/>
  <c r="G39" i="24"/>
  <c r="D39" i="24"/>
  <c r="M37" i="24"/>
  <c r="J37" i="24"/>
  <c r="G37" i="24"/>
  <c r="D37" i="24"/>
  <c r="M27" i="24"/>
  <c r="J27" i="24"/>
  <c r="G27" i="24"/>
  <c r="D27" i="24"/>
  <c r="D49" i="23"/>
  <c r="G49" i="23"/>
  <c r="J49" i="23"/>
  <c r="M49" i="23"/>
  <c r="D43" i="23"/>
  <c r="G43" i="23"/>
  <c r="J43" i="23"/>
  <c r="M43" i="23"/>
  <c r="D6" i="23"/>
  <c r="G6" i="23"/>
  <c r="J6" i="23"/>
  <c r="M6" i="23"/>
  <c r="D8" i="23"/>
  <c r="G8" i="23"/>
  <c r="J8" i="23"/>
  <c r="M8" i="23"/>
  <c r="D48" i="23"/>
  <c r="G48" i="23"/>
  <c r="J48" i="23"/>
  <c r="M48" i="23"/>
  <c r="M37" i="23"/>
  <c r="J37" i="23"/>
  <c r="G37" i="23"/>
  <c r="D37" i="23"/>
  <c r="M21" i="23"/>
  <c r="J21" i="23"/>
  <c r="G21" i="23"/>
  <c r="D21" i="23"/>
  <c r="M27" i="23"/>
  <c r="J27" i="23"/>
  <c r="G27" i="23"/>
  <c r="D27" i="23"/>
  <c r="M42" i="23"/>
  <c r="J42" i="23"/>
  <c r="G42" i="23"/>
  <c r="D42" i="23"/>
  <c r="M12" i="23"/>
  <c r="J12" i="23"/>
  <c r="G12" i="23"/>
  <c r="D12" i="23"/>
  <c r="M46" i="23"/>
  <c r="J46" i="23"/>
  <c r="G46" i="23"/>
  <c r="D46" i="23"/>
  <c r="M3" i="23"/>
  <c r="J3" i="23"/>
  <c r="G3" i="23"/>
  <c r="D3" i="23"/>
  <c r="M13" i="23"/>
  <c r="J13" i="23"/>
  <c r="G13" i="23"/>
  <c r="D13" i="23"/>
  <c r="M36" i="23"/>
  <c r="J36" i="23"/>
  <c r="G36" i="23"/>
  <c r="D36" i="23"/>
  <c r="M28" i="23"/>
  <c r="J28" i="23"/>
  <c r="G28" i="23"/>
  <c r="D28" i="23"/>
  <c r="M38" i="23"/>
  <c r="J38" i="23"/>
  <c r="G38" i="23"/>
  <c r="D38" i="23"/>
  <c r="M35" i="23"/>
  <c r="J35" i="23"/>
  <c r="G35" i="23"/>
  <c r="D35" i="23"/>
  <c r="M7" i="23"/>
  <c r="J7" i="23"/>
  <c r="G7" i="23"/>
  <c r="D7" i="23"/>
  <c r="M31" i="23"/>
  <c r="J31" i="23"/>
  <c r="G31" i="23"/>
  <c r="D31" i="23"/>
  <c r="M29" i="23"/>
  <c r="J29" i="23"/>
  <c r="G29" i="23"/>
  <c r="D29" i="23"/>
  <c r="M26" i="23"/>
  <c r="J26" i="23"/>
  <c r="G26" i="23"/>
  <c r="D26" i="23"/>
  <c r="M5" i="23"/>
  <c r="J5" i="23"/>
  <c r="G5" i="23"/>
  <c r="D5" i="23"/>
  <c r="M19" i="23"/>
  <c r="J19" i="23"/>
  <c r="G19" i="23"/>
  <c r="D19" i="23"/>
  <c r="M32" i="23"/>
  <c r="J32" i="23"/>
  <c r="G32" i="23"/>
  <c r="D32" i="23"/>
  <c r="M34" i="23"/>
  <c r="J34" i="23"/>
  <c r="G34" i="23"/>
  <c r="D34" i="23"/>
  <c r="M30" i="23"/>
  <c r="J30" i="23"/>
  <c r="G30" i="23"/>
  <c r="D30" i="23"/>
  <c r="M10" i="23"/>
  <c r="J10" i="23"/>
  <c r="G10" i="23"/>
  <c r="D10" i="23"/>
  <c r="M4" i="23"/>
  <c r="J4" i="23"/>
  <c r="G4" i="23"/>
  <c r="D4" i="23"/>
  <c r="M11" i="23"/>
  <c r="J11" i="23"/>
  <c r="G11" i="23"/>
  <c r="D11" i="23"/>
  <c r="M14" i="23"/>
  <c r="J14" i="23"/>
  <c r="G14" i="23"/>
  <c r="D14" i="23"/>
  <c r="M16" i="23"/>
  <c r="J16" i="23"/>
  <c r="G16" i="23"/>
  <c r="D16" i="23"/>
  <c r="M17" i="23"/>
  <c r="J17" i="23"/>
  <c r="G17" i="23"/>
  <c r="D17" i="23"/>
  <c r="M25" i="23"/>
  <c r="J25" i="23"/>
  <c r="G25" i="23"/>
  <c r="D25" i="23"/>
  <c r="M40" i="23"/>
  <c r="J40" i="23"/>
  <c r="G40" i="23"/>
  <c r="D40" i="23"/>
  <c r="M33" i="23"/>
  <c r="J33" i="23"/>
  <c r="G33" i="23"/>
  <c r="D33" i="23"/>
  <c r="M15" i="23"/>
  <c r="J15" i="23"/>
  <c r="G15" i="23"/>
  <c r="D15" i="23"/>
  <c r="M24" i="23"/>
  <c r="J24" i="23"/>
  <c r="G24" i="23"/>
  <c r="D24" i="23"/>
  <c r="M20" i="23"/>
  <c r="J20" i="23"/>
  <c r="G20" i="23"/>
  <c r="D20" i="23"/>
  <c r="M18" i="23"/>
  <c r="J18" i="23"/>
  <c r="G18" i="23"/>
  <c r="D18" i="23"/>
  <c r="M9" i="22"/>
  <c r="J9" i="22"/>
  <c r="G9" i="22"/>
  <c r="D9" i="22"/>
  <c r="M7" i="22"/>
  <c r="J7" i="22"/>
  <c r="G7" i="22"/>
  <c r="D7" i="22"/>
  <c r="M26" i="22"/>
  <c r="J26" i="22"/>
  <c r="G26" i="22"/>
  <c r="D26" i="22"/>
  <c r="M14" i="22"/>
  <c r="J14" i="22"/>
  <c r="G14" i="22"/>
  <c r="D14" i="22"/>
  <c r="M20" i="22"/>
  <c r="J20" i="22"/>
  <c r="G20" i="22"/>
  <c r="D20" i="22"/>
  <c r="M28" i="22"/>
  <c r="J28" i="22"/>
  <c r="G28" i="22"/>
  <c r="D28" i="22"/>
  <c r="M4" i="22"/>
  <c r="J4" i="22"/>
  <c r="G4" i="22"/>
  <c r="D4" i="22"/>
  <c r="M32" i="22"/>
  <c r="J32" i="22"/>
  <c r="G32" i="22"/>
  <c r="D32" i="22"/>
  <c r="M36" i="22"/>
  <c r="J36" i="22"/>
  <c r="G36" i="22"/>
  <c r="D36" i="22"/>
  <c r="M30" i="22"/>
  <c r="J30" i="22"/>
  <c r="G30" i="22"/>
  <c r="D30" i="22"/>
  <c r="M8" i="22"/>
  <c r="J8" i="22"/>
  <c r="G8" i="22"/>
  <c r="D8" i="22"/>
  <c r="M35" i="22"/>
  <c r="J35" i="22"/>
  <c r="G35" i="22"/>
  <c r="D35" i="22"/>
  <c r="M34" i="22"/>
  <c r="J34" i="22"/>
  <c r="G34" i="22"/>
  <c r="D34" i="22"/>
  <c r="M3" i="22"/>
  <c r="J3" i="22"/>
  <c r="G3" i="22"/>
  <c r="D3" i="22"/>
  <c r="M18" i="22"/>
  <c r="J18" i="22"/>
  <c r="G18" i="22"/>
  <c r="D18" i="22"/>
  <c r="M31" i="22"/>
  <c r="J31" i="22"/>
  <c r="G31" i="22"/>
  <c r="D31" i="22"/>
  <c r="M24" i="22"/>
  <c r="J24" i="22"/>
  <c r="G24" i="22"/>
  <c r="D24" i="22"/>
  <c r="M12" i="22"/>
  <c r="J12" i="22"/>
  <c r="G12" i="22"/>
  <c r="D12" i="22"/>
  <c r="M29" i="22"/>
  <c r="J29" i="22"/>
  <c r="G29" i="22"/>
  <c r="D29" i="22"/>
  <c r="M27" i="22"/>
  <c r="J27" i="22"/>
  <c r="G27" i="22"/>
  <c r="D27" i="22"/>
  <c r="M13" i="22"/>
  <c r="J13" i="22"/>
  <c r="G13" i="22"/>
  <c r="D13" i="22"/>
  <c r="M23" i="22"/>
  <c r="J23" i="22"/>
  <c r="G23" i="22"/>
  <c r="D23" i="22"/>
  <c r="M17" i="22"/>
  <c r="J17" i="22"/>
  <c r="G17" i="22"/>
  <c r="D17" i="22"/>
  <c r="M33" i="22"/>
  <c r="J33" i="22"/>
  <c r="G33" i="22"/>
  <c r="D33" i="22"/>
  <c r="M15" i="22"/>
  <c r="J15" i="22"/>
  <c r="G15" i="22"/>
  <c r="D15" i="22"/>
  <c r="M10" i="22"/>
  <c r="J10" i="22"/>
  <c r="G10" i="22"/>
  <c r="D10" i="22"/>
  <c r="M11" i="22"/>
  <c r="J11" i="22"/>
  <c r="G11" i="22"/>
  <c r="D11" i="22"/>
  <c r="M19" i="22"/>
  <c r="J19" i="22"/>
  <c r="G19" i="22"/>
  <c r="D19" i="22"/>
  <c r="M22" i="22"/>
  <c r="J22" i="22"/>
  <c r="G22" i="22"/>
  <c r="D22" i="22"/>
  <c r="M21" i="22"/>
  <c r="J21" i="22"/>
  <c r="G21" i="22"/>
  <c r="D21" i="22"/>
  <c r="M9" i="21"/>
  <c r="J9" i="21"/>
  <c r="G9" i="21"/>
  <c r="D9" i="21"/>
  <c r="M32" i="21"/>
  <c r="J32" i="21"/>
  <c r="G32" i="21"/>
  <c r="D32" i="21"/>
  <c r="M20" i="21"/>
  <c r="J20" i="21"/>
  <c r="G20" i="21"/>
  <c r="D20" i="21"/>
  <c r="M23" i="21"/>
  <c r="J23" i="21"/>
  <c r="G23" i="21"/>
  <c r="D23" i="21"/>
  <c r="M4" i="21"/>
  <c r="J4" i="21"/>
  <c r="G4" i="21"/>
  <c r="D4" i="21"/>
  <c r="M36" i="21"/>
  <c r="G36" i="21"/>
  <c r="D36" i="21"/>
  <c r="M10" i="21"/>
  <c r="J10" i="21"/>
  <c r="G10" i="21"/>
  <c r="D10" i="21"/>
  <c r="M11" i="21"/>
  <c r="J11" i="21"/>
  <c r="G11" i="21"/>
  <c r="D11" i="21"/>
  <c r="M12" i="21"/>
  <c r="J12" i="21"/>
  <c r="G12" i="21"/>
  <c r="D12" i="21"/>
  <c r="M34" i="21"/>
  <c r="J34" i="21"/>
  <c r="G34" i="21"/>
  <c r="D34" i="21"/>
  <c r="M5" i="21"/>
  <c r="J5" i="21"/>
  <c r="G5" i="21"/>
  <c r="D5" i="21"/>
  <c r="M6" i="21"/>
  <c r="J6" i="21"/>
  <c r="G6" i="21"/>
  <c r="D6" i="21"/>
  <c r="M43" i="21"/>
  <c r="J43" i="21"/>
  <c r="G43" i="21"/>
  <c r="D43" i="21"/>
  <c r="M31" i="21"/>
  <c r="J31" i="21"/>
  <c r="G31" i="21"/>
  <c r="D31" i="21"/>
  <c r="M29" i="21"/>
  <c r="J29" i="21"/>
  <c r="G29" i="21"/>
  <c r="D29" i="21"/>
  <c r="M33" i="21"/>
  <c r="J33" i="21"/>
  <c r="G33" i="21"/>
  <c r="D33" i="21"/>
  <c r="M39" i="21"/>
  <c r="J39" i="21"/>
  <c r="G39" i="21"/>
  <c r="D39" i="21"/>
  <c r="M18" i="21"/>
  <c r="J18" i="21"/>
  <c r="G18" i="21"/>
  <c r="D18" i="21"/>
  <c r="M21" i="21"/>
  <c r="J21" i="21"/>
  <c r="G21" i="21"/>
  <c r="D21" i="21"/>
  <c r="M30" i="21"/>
  <c r="J30" i="21"/>
  <c r="G30" i="21"/>
  <c r="D30" i="21"/>
  <c r="M40" i="21"/>
  <c r="J40" i="21"/>
  <c r="G40" i="21"/>
  <c r="D40" i="21"/>
  <c r="M45" i="21"/>
  <c r="J45" i="21"/>
  <c r="G45" i="21"/>
  <c r="D45" i="21"/>
  <c r="M44" i="21"/>
  <c r="J44" i="21"/>
  <c r="G44" i="21"/>
  <c r="D44" i="21"/>
  <c r="M17" i="21"/>
  <c r="J17" i="21"/>
  <c r="G17" i="21"/>
  <c r="D17" i="21"/>
  <c r="M3" i="21"/>
  <c r="J3" i="21"/>
  <c r="G3" i="21"/>
  <c r="D3" i="21"/>
  <c r="M26" i="21"/>
  <c r="J26" i="21"/>
  <c r="G26" i="21"/>
  <c r="D26" i="21"/>
  <c r="M16" i="21"/>
  <c r="J16" i="21"/>
  <c r="G16" i="21"/>
  <c r="D16" i="21"/>
  <c r="M28" i="21"/>
  <c r="J28" i="21"/>
  <c r="G28" i="21"/>
  <c r="D28" i="21"/>
  <c r="M37" i="21"/>
  <c r="J37" i="21"/>
  <c r="G37" i="21"/>
  <c r="D37" i="21"/>
  <c r="M35" i="21"/>
  <c r="J35" i="21"/>
  <c r="G35" i="21"/>
  <c r="D35" i="21"/>
  <c r="M38" i="21"/>
  <c r="J38" i="21"/>
  <c r="G38" i="21"/>
  <c r="D38" i="21"/>
  <c r="M19" i="21"/>
  <c r="J19" i="21"/>
  <c r="G19" i="21"/>
  <c r="D19" i="21"/>
  <c r="M24" i="21"/>
  <c r="J24" i="21"/>
  <c r="G24" i="21"/>
  <c r="D24" i="21"/>
  <c r="M22" i="21"/>
  <c r="J22" i="21"/>
  <c r="G22" i="21"/>
  <c r="D22" i="21"/>
  <c r="M25" i="21"/>
  <c r="J25" i="21"/>
  <c r="G25" i="21"/>
  <c r="D25" i="21"/>
  <c r="M23" i="20"/>
  <c r="J23" i="20"/>
  <c r="G23" i="20"/>
  <c r="D23" i="20"/>
  <c r="M22" i="20"/>
  <c r="J22" i="20"/>
  <c r="G22" i="20"/>
  <c r="D22" i="20"/>
  <c r="M16" i="20"/>
  <c r="J16" i="20"/>
  <c r="G16" i="20"/>
  <c r="D16" i="20"/>
  <c r="M19" i="20"/>
  <c r="J19" i="20"/>
  <c r="G19" i="20"/>
  <c r="D19" i="20"/>
  <c r="M5" i="20"/>
  <c r="J5" i="20"/>
  <c r="G5" i="20"/>
  <c r="D5" i="20"/>
  <c r="M4" i="20"/>
  <c r="J4" i="20"/>
  <c r="G4" i="20"/>
  <c r="D4" i="20"/>
  <c r="M18" i="20"/>
  <c r="J18" i="20"/>
  <c r="G18" i="20"/>
  <c r="D18" i="20"/>
  <c r="M21" i="20"/>
  <c r="J21" i="20"/>
  <c r="G21" i="20"/>
  <c r="D21" i="20"/>
  <c r="M9" i="20"/>
  <c r="J9" i="20"/>
  <c r="G9" i="20"/>
  <c r="D9" i="20"/>
  <c r="M3" i="20"/>
  <c r="J3" i="20"/>
  <c r="G3" i="20"/>
  <c r="D3" i="20"/>
  <c r="M24" i="20"/>
  <c r="J24" i="20"/>
  <c r="G24" i="20"/>
  <c r="D24" i="20"/>
  <c r="M10" i="20"/>
  <c r="J10" i="20"/>
  <c r="G10" i="20"/>
  <c r="D10" i="20"/>
  <c r="M17" i="20"/>
  <c r="J17" i="20"/>
  <c r="G17" i="20"/>
  <c r="D17" i="20"/>
  <c r="M6" i="20"/>
  <c r="J6" i="20"/>
  <c r="G6" i="20"/>
  <c r="D6" i="20"/>
  <c r="M13" i="20"/>
  <c r="J13" i="20"/>
  <c r="G13" i="20"/>
  <c r="D13" i="20"/>
  <c r="M25" i="20"/>
  <c r="J25" i="20"/>
  <c r="G25" i="20"/>
  <c r="D25" i="20"/>
  <c r="M14" i="20"/>
  <c r="J14" i="20"/>
  <c r="G14" i="20"/>
  <c r="D14" i="20"/>
  <c r="M11" i="20"/>
  <c r="J11" i="20"/>
  <c r="G11" i="20"/>
  <c r="D11" i="20"/>
  <c r="M8" i="20"/>
  <c r="J8" i="20"/>
  <c r="G8" i="20"/>
  <c r="D8" i="20"/>
  <c r="M15" i="20"/>
  <c r="J15" i="20"/>
  <c r="G15" i="20"/>
  <c r="D15" i="20"/>
  <c r="M7" i="20"/>
  <c r="J7" i="20"/>
  <c r="G7" i="20"/>
  <c r="D7" i="20"/>
  <c r="M20" i="20"/>
  <c r="J20" i="20"/>
  <c r="G20" i="20"/>
  <c r="D20" i="20"/>
  <c r="M12" i="20"/>
  <c r="J12" i="20"/>
  <c r="G12" i="20"/>
  <c r="D12" i="20"/>
  <c r="D31" i="19"/>
  <c r="G31" i="19"/>
  <c r="J31" i="19"/>
  <c r="M31" i="19"/>
  <c r="M5" i="19"/>
  <c r="J5" i="19"/>
  <c r="G5" i="19"/>
  <c r="D5" i="19"/>
  <c r="M22" i="19"/>
  <c r="J22" i="19"/>
  <c r="G22" i="19"/>
  <c r="D22" i="19"/>
  <c r="M18" i="19"/>
  <c r="J18" i="19"/>
  <c r="G18" i="19"/>
  <c r="D18" i="19"/>
  <c r="M3" i="19"/>
  <c r="J3" i="19"/>
  <c r="G3" i="19"/>
  <c r="D3" i="19"/>
  <c r="M30" i="19"/>
  <c r="J30" i="19"/>
  <c r="G30" i="19"/>
  <c r="D30" i="19"/>
  <c r="M4" i="19"/>
  <c r="J4" i="19"/>
  <c r="G4" i="19"/>
  <c r="D4" i="19"/>
  <c r="M16" i="19"/>
  <c r="J16" i="19"/>
  <c r="G16" i="19"/>
  <c r="D16" i="19"/>
  <c r="M27" i="19"/>
  <c r="J27" i="19"/>
  <c r="G27" i="19"/>
  <c r="D27" i="19"/>
  <c r="M7" i="19"/>
  <c r="J7" i="19"/>
  <c r="G7" i="19"/>
  <c r="D7" i="19"/>
  <c r="M14" i="19"/>
  <c r="J14" i="19"/>
  <c r="G14" i="19"/>
  <c r="D14" i="19"/>
  <c r="M13" i="19"/>
  <c r="J13" i="19"/>
  <c r="G13" i="19"/>
  <c r="D13" i="19"/>
  <c r="M29" i="19"/>
  <c r="J29" i="19"/>
  <c r="G29" i="19"/>
  <c r="D29" i="19"/>
  <c r="M12" i="19"/>
  <c r="J12" i="19"/>
  <c r="G12" i="19"/>
  <c r="D12" i="19"/>
  <c r="M15" i="19"/>
  <c r="J15" i="19"/>
  <c r="G15" i="19"/>
  <c r="D15" i="19"/>
  <c r="M28" i="19"/>
  <c r="J28" i="19"/>
  <c r="G28" i="19"/>
  <c r="D28" i="19"/>
  <c r="M23" i="19"/>
  <c r="J23" i="19"/>
  <c r="G23" i="19"/>
  <c r="D23" i="19"/>
  <c r="M10" i="19"/>
  <c r="J10" i="19"/>
  <c r="G10" i="19"/>
  <c r="D10" i="19"/>
  <c r="M26" i="19"/>
  <c r="J26" i="19"/>
  <c r="G26" i="19"/>
  <c r="D26" i="19"/>
  <c r="M11" i="19"/>
  <c r="J11" i="19"/>
  <c r="G11" i="19"/>
  <c r="D11" i="19"/>
  <c r="M25" i="19"/>
  <c r="J25" i="19"/>
  <c r="G25" i="19"/>
  <c r="D25" i="19"/>
  <c r="M20" i="19"/>
  <c r="J20" i="19"/>
  <c r="G20" i="19"/>
  <c r="D20" i="19"/>
  <c r="M21" i="19"/>
  <c r="J21" i="19"/>
  <c r="G21" i="19"/>
  <c r="D21" i="19"/>
  <c r="M19" i="19"/>
  <c r="J19" i="19"/>
  <c r="G19" i="19"/>
  <c r="D19" i="19"/>
  <c r="M8" i="19"/>
  <c r="J8" i="19"/>
  <c r="G8" i="19"/>
  <c r="D8" i="19"/>
  <c r="M24" i="19"/>
  <c r="J24" i="19"/>
  <c r="G24" i="19"/>
  <c r="D24" i="19"/>
  <c r="M17" i="19"/>
  <c r="J17" i="19"/>
  <c r="G17" i="19"/>
  <c r="D17" i="19"/>
  <c r="M4" i="18"/>
  <c r="J4" i="18"/>
  <c r="G4" i="18"/>
  <c r="D4" i="18"/>
  <c r="M23" i="18"/>
  <c r="J23" i="18"/>
  <c r="G23" i="18"/>
  <c r="D23" i="18"/>
  <c r="M22" i="18"/>
  <c r="J22" i="18"/>
  <c r="G22" i="18"/>
  <c r="D22" i="18"/>
  <c r="M15" i="18"/>
  <c r="J15" i="18"/>
  <c r="G15" i="18"/>
  <c r="D15" i="18"/>
  <c r="S15" i="18" s="1"/>
  <c r="M20" i="18"/>
  <c r="J20" i="18"/>
  <c r="G20" i="18"/>
  <c r="D20" i="18"/>
  <c r="M19" i="18"/>
  <c r="J19" i="18"/>
  <c r="G19" i="18"/>
  <c r="D19" i="18"/>
  <c r="M7" i="18"/>
  <c r="J7" i="18"/>
  <c r="G7" i="18"/>
  <c r="D7" i="18"/>
  <c r="M18" i="18"/>
  <c r="J18" i="18"/>
  <c r="G18" i="18"/>
  <c r="D18" i="18"/>
  <c r="S18" i="18" s="1"/>
  <c r="M11" i="18"/>
  <c r="J11" i="18"/>
  <c r="G11" i="18"/>
  <c r="D11" i="18"/>
  <c r="M9" i="18"/>
  <c r="J9" i="18"/>
  <c r="G9" i="18"/>
  <c r="D9" i="18"/>
  <c r="M12" i="18"/>
  <c r="J12" i="18"/>
  <c r="G12" i="18"/>
  <c r="D12" i="18"/>
  <c r="M3" i="18"/>
  <c r="J3" i="18"/>
  <c r="G3" i="18"/>
  <c r="D3" i="18"/>
  <c r="M17" i="18"/>
  <c r="J17" i="18"/>
  <c r="G17" i="18"/>
  <c r="D17" i="18"/>
  <c r="M16" i="18"/>
  <c r="J16" i="18"/>
  <c r="G16" i="18"/>
  <c r="D16" i="18"/>
  <c r="M5" i="18"/>
  <c r="J5" i="18"/>
  <c r="G5" i="18"/>
  <c r="D5" i="18"/>
  <c r="M14" i="18"/>
  <c r="J14" i="18"/>
  <c r="G14" i="18"/>
  <c r="D14" i="18"/>
  <c r="M6" i="18"/>
  <c r="J6" i="18"/>
  <c r="G6" i="18"/>
  <c r="D6" i="18"/>
  <c r="M10" i="18"/>
  <c r="J10" i="18"/>
  <c r="G10" i="18"/>
  <c r="D10" i="18"/>
  <c r="M13" i="18"/>
  <c r="J13" i="18"/>
  <c r="G13" i="18"/>
  <c r="D13" i="18"/>
  <c r="M8" i="18"/>
  <c r="J8" i="18"/>
  <c r="G8" i="18"/>
  <c r="D8" i="18"/>
  <c r="M21" i="18"/>
  <c r="J21" i="18"/>
  <c r="G21" i="18"/>
  <c r="D21" i="18"/>
  <c r="D26" i="17"/>
  <c r="G26" i="17"/>
  <c r="J26" i="17"/>
  <c r="M26" i="17"/>
  <c r="M11" i="17"/>
  <c r="J11" i="17"/>
  <c r="G11" i="17"/>
  <c r="D11" i="17"/>
  <c r="M18" i="17"/>
  <c r="J18" i="17"/>
  <c r="G18" i="17"/>
  <c r="D18" i="17"/>
  <c r="M16" i="17"/>
  <c r="J16" i="17"/>
  <c r="G16" i="17"/>
  <c r="D16" i="17"/>
  <c r="M7" i="17"/>
  <c r="J7" i="17"/>
  <c r="G7" i="17"/>
  <c r="D7" i="17"/>
  <c r="M12" i="17"/>
  <c r="J12" i="17"/>
  <c r="G12" i="17"/>
  <c r="D12" i="17"/>
  <c r="M13" i="17"/>
  <c r="J13" i="17"/>
  <c r="G13" i="17"/>
  <c r="D13" i="17"/>
  <c r="M23" i="17"/>
  <c r="J23" i="17"/>
  <c r="G23" i="17"/>
  <c r="D23" i="17"/>
  <c r="M4" i="17"/>
  <c r="J4" i="17"/>
  <c r="G4" i="17"/>
  <c r="D4" i="17"/>
  <c r="M22" i="17"/>
  <c r="J22" i="17"/>
  <c r="G22" i="17"/>
  <c r="D22" i="17"/>
  <c r="M6" i="17"/>
  <c r="J6" i="17"/>
  <c r="G6" i="17"/>
  <c r="D6" i="17"/>
  <c r="M21" i="17"/>
  <c r="J21" i="17"/>
  <c r="G21" i="17"/>
  <c r="D21" i="17"/>
  <c r="M20" i="17"/>
  <c r="J20" i="17"/>
  <c r="G20" i="17"/>
  <c r="D20" i="17"/>
  <c r="M5" i="17"/>
  <c r="J5" i="17"/>
  <c r="G5" i="17"/>
  <c r="D5" i="17"/>
  <c r="M19" i="17"/>
  <c r="J19" i="17"/>
  <c r="G19" i="17"/>
  <c r="D19" i="17"/>
  <c r="M14" i="17"/>
  <c r="J14" i="17"/>
  <c r="G14" i="17"/>
  <c r="D14" i="17"/>
  <c r="M3" i="17"/>
  <c r="J3" i="17"/>
  <c r="G3" i="17"/>
  <c r="D3" i="17"/>
  <c r="M8" i="17"/>
  <c r="J8" i="17"/>
  <c r="G8" i="17"/>
  <c r="D8" i="17"/>
  <c r="M25" i="17"/>
  <c r="J25" i="17"/>
  <c r="G25" i="17"/>
  <c r="D25" i="17"/>
  <c r="M9" i="17"/>
  <c r="J9" i="17"/>
  <c r="G9" i="17"/>
  <c r="D9" i="17"/>
  <c r="M10" i="17"/>
  <c r="J10" i="17"/>
  <c r="G10" i="17"/>
  <c r="D10" i="17"/>
  <c r="M17" i="17"/>
  <c r="J17" i="17"/>
  <c r="G17" i="17"/>
  <c r="D17" i="17"/>
  <c r="M15" i="17"/>
  <c r="J15" i="17"/>
  <c r="G15" i="17"/>
  <c r="D15" i="17"/>
  <c r="M24" i="17"/>
  <c r="J24" i="17"/>
  <c r="G24" i="17"/>
  <c r="D24" i="17"/>
  <c r="M4" i="16"/>
  <c r="J4" i="16"/>
  <c r="G4" i="16"/>
  <c r="D4" i="16"/>
  <c r="M19" i="16"/>
  <c r="J19" i="16"/>
  <c r="G19" i="16"/>
  <c r="D19" i="16"/>
  <c r="M26" i="16"/>
  <c r="J26" i="16"/>
  <c r="G26" i="16"/>
  <c r="D26" i="16"/>
  <c r="M15" i="16"/>
  <c r="J15" i="16"/>
  <c r="G15" i="16"/>
  <c r="D15" i="16"/>
  <c r="M25" i="16"/>
  <c r="J25" i="16"/>
  <c r="G25" i="16"/>
  <c r="D25" i="16"/>
  <c r="M14" i="16"/>
  <c r="J14" i="16"/>
  <c r="G14" i="16"/>
  <c r="D14" i="16"/>
  <c r="M10" i="16"/>
  <c r="J10" i="16"/>
  <c r="G10" i="16"/>
  <c r="D10" i="16"/>
  <c r="M22" i="16"/>
  <c r="J22" i="16"/>
  <c r="G22" i="16"/>
  <c r="D22" i="16"/>
  <c r="M8" i="16"/>
  <c r="J8" i="16"/>
  <c r="G8" i="16"/>
  <c r="D8" i="16"/>
  <c r="M3" i="16"/>
  <c r="J3" i="16"/>
  <c r="G3" i="16"/>
  <c r="D3" i="16"/>
  <c r="M7" i="16"/>
  <c r="J7" i="16"/>
  <c r="G7" i="16"/>
  <c r="D7" i="16"/>
  <c r="M5" i="16"/>
  <c r="J5" i="16"/>
  <c r="G5" i="16"/>
  <c r="D5" i="16"/>
  <c r="M23" i="16"/>
  <c r="J23" i="16"/>
  <c r="G23" i="16"/>
  <c r="D23" i="16"/>
  <c r="M24" i="16"/>
  <c r="J24" i="16"/>
  <c r="G24" i="16"/>
  <c r="D24" i="16"/>
  <c r="M12" i="16"/>
  <c r="J12" i="16"/>
  <c r="G12" i="16"/>
  <c r="D12" i="16"/>
  <c r="M9" i="16"/>
  <c r="J9" i="16"/>
  <c r="G9" i="16"/>
  <c r="D9" i="16"/>
  <c r="M6" i="16"/>
  <c r="J6" i="16"/>
  <c r="G6" i="16"/>
  <c r="D6" i="16"/>
  <c r="M11" i="16"/>
  <c r="J11" i="16"/>
  <c r="G11" i="16"/>
  <c r="D11" i="16"/>
  <c r="M17" i="16"/>
  <c r="J17" i="16"/>
  <c r="G17" i="16"/>
  <c r="D17" i="16"/>
  <c r="M16" i="16"/>
  <c r="J16" i="16"/>
  <c r="G16" i="16"/>
  <c r="D16" i="16"/>
  <c r="M13" i="16"/>
  <c r="J13" i="16"/>
  <c r="G13" i="16"/>
  <c r="D13" i="16"/>
  <c r="M18" i="16"/>
  <c r="J18" i="16"/>
  <c r="G18" i="16"/>
  <c r="D18" i="16"/>
  <c r="D4" i="15"/>
  <c r="G4" i="15"/>
  <c r="J4" i="15"/>
  <c r="M4" i="15"/>
  <c r="M21" i="15"/>
  <c r="J21" i="15"/>
  <c r="G21" i="15"/>
  <c r="D21" i="15"/>
  <c r="M19" i="15"/>
  <c r="J19" i="15"/>
  <c r="G19" i="15"/>
  <c r="D19" i="15"/>
  <c r="M3" i="15"/>
  <c r="J3" i="15"/>
  <c r="G3" i="15"/>
  <c r="D3" i="15"/>
  <c r="M28" i="15"/>
  <c r="J28" i="15"/>
  <c r="G28" i="15"/>
  <c r="D28" i="15"/>
  <c r="M13" i="15"/>
  <c r="J13" i="15"/>
  <c r="G13" i="15"/>
  <c r="D13" i="15"/>
  <c r="M6" i="15"/>
  <c r="J6" i="15"/>
  <c r="G6" i="15"/>
  <c r="D6" i="15"/>
  <c r="M7" i="15"/>
  <c r="J7" i="15"/>
  <c r="G7" i="15"/>
  <c r="D7" i="15"/>
  <c r="M27" i="15"/>
  <c r="J27" i="15"/>
  <c r="G27" i="15"/>
  <c r="D27" i="15"/>
  <c r="M26" i="15"/>
  <c r="J26" i="15"/>
  <c r="G26" i="15"/>
  <c r="D26" i="15"/>
  <c r="M10" i="15"/>
  <c r="J10" i="15"/>
  <c r="G10" i="15"/>
  <c r="D10" i="15"/>
  <c r="M29" i="15"/>
  <c r="J29" i="15"/>
  <c r="G29" i="15"/>
  <c r="D29" i="15"/>
  <c r="M23" i="15"/>
  <c r="J23" i="15"/>
  <c r="G23" i="15"/>
  <c r="D23" i="15"/>
  <c r="M15" i="15"/>
  <c r="J15" i="15"/>
  <c r="G15" i="15"/>
  <c r="D15" i="15"/>
  <c r="M22" i="15"/>
  <c r="J22" i="15"/>
  <c r="G22" i="15"/>
  <c r="D22" i="15"/>
  <c r="M18" i="15"/>
  <c r="J18" i="15"/>
  <c r="G18" i="15"/>
  <c r="D18" i="15"/>
  <c r="M12" i="15"/>
  <c r="J12" i="15"/>
  <c r="G12" i="15"/>
  <c r="D12" i="15"/>
  <c r="M5" i="15"/>
  <c r="J5" i="15"/>
  <c r="G5" i="15"/>
  <c r="D5" i="15"/>
  <c r="M16" i="15"/>
  <c r="J16" i="15"/>
  <c r="G16" i="15"/>
  <c r="D16" i="15"/>
  <c r="M14" i="15"/>
  <c r="J14" i="15"/>
  <c r="G14" i="15"/>
  <c r="D14" i="15"/>
  <c r="M11" i="15"/>
  <c r="J11" i="15"/>
  <c r="G11" i="15"/>
  <c r="D11" i="15"/>
  <c r="M8" i="15"/>
  <c r="J8" i="15"/>
  <c r="G8" i="15"/>
  <c r="D8" i="15"/>
  <c r="M20" i="15"/>
  <c r="J20" i="15"/>
  <c r="G20" i="15"/>
  <c r="D20" i="15"/>
  <c r="M17" i="15"/>
  <c r="J17" i="15"/>
  <c r="G17" i="15"/>
  <c r="D17" i="15"/>
  <c r="M9" i="15"/>
  <c r="J9" i="15"/>
  <c r="G9" i="15"/>
  <c r="D9" i="15"/>
  <c r="M37" i="14"/>
  <c r="J37" i="14"/>
  <c r="G37" i="14"/>
  <c r="D37" i="14"/>
  <c r="M26" i="14"/>
  <c r="J26" i="14"/>
  <c r="G26" i="14"/>
  <c r="D26" i="14"/>
  <c r="M28" i="14"/>
  <c r="J28" i="14"/>
  <c r="G28" i="14"/>
  <c r="D28" i="14"/>
  <c r="M36" i="14"/>
  <c r="J36" i="14"/>
  <c r="G36" i="14"/>
  <c r="D36" i="14"/>
  <c r="M7" i="14"/>
  <c r="J7" i="14"/>
  <c r="G7" i="14"/>
  <c r="D7" i="14"/>
  <c r="M33" i="14"/>
  <c r="J33" i="14"/>
  <c r="G33" i="14"/>
  <c r="D33" i="14"/>
  <c r="M3" i="14"/>
  <c r="J3" i="14"/>
  <c r="G3" i="14"/>
  <c r="D3" i="14"/>
  <c r="M29" i="14"/>
  <c r="J29" i="14"/>
  <c r="G29" i="14"/>
  <c r="D29" i="14"/>
  <c r="M30" i="14"/>
  <c r="J30" i="14"/>
  <c r="G30" i="14"/>
  <c r="D30" i="14"/>
  <c r="M11" i="14"/>
  <c r="J11" i="14"/>
  <c r="G11" i="14"/>
  <c r="D11" i="14"/>
  <c r="M12" i="14"/>
  <c r="J12" i="14"/>
  <c r="G12" i="14"/>
  <c r="D12" i="14"/>
  <c r="M31" i="14"/>
  <c r="J31" i="14"/>
  <c r="G31" i="14"/>
  <c r="D31" i="14"/>
  <c r="M22" i="14"/>
  <c r="J22" i="14"/>
  <c r="G22" i="14"/>
  <c r="D22" i="14"/>
  <c r="M34" i="14"/>
  <c r="J34" i="14"/>
  <c r="G34" i="14"/>
  <c r="D34" i="14"/>
  <c r="M35" i="14"/>
  <c r="J35" i="14"/>
  <c r="G35" i="14"/>
  <c r="D35" i="14"/>
  <c r="M27" i="14"/>
  <c r="J27" i="14"/>
  <c r="G27" i="14"/>
  <c r="D27" i="14"/>
  <c r="M19" i="14"/>
  <c r="J19" i="14"/>
  <c r="G19" i="14"/>
  <c r="D19" i="14"/>
  <c r="M18" i="14"/>
  <c r="J18" i="14"/>
  <c r="G18" i="14"/>
  <c r="D18" i="14"/>
  <c r="M23" i="14"/>
  <c r="J23" i="14"/>
  <c r="G23" i="14"/>
  <c r="D23" i="14"/>
  <c r="M15" i="14"/>
  <c r="J15" i="14"/>
  <c r="G15" i="14"/>
  <c r="D15" i="14"/>
  <c r="M4" i="14"/>
  <c r="J4" i="14"/>
  <c r="G4" i="14"/>
  <c r="D4" i="14"/>
  <c r="M5" i="14"/>
  <c r="J5" i="14"/>
  <c r="G5" i="14"/>
  <c r="D5" i="14"/>
  <c r="M16" i="14"/>
  <c r="J16" i="14"/>
  <c r="G16" i="14"/>
  <c r="D16" i="14"/>
  <c r="M8" i="14"/>
  <c r="J8" i="14"/>
  <c r="G8" i="14"/>
  <c r="D8" i="14"/>
  <c r="M20" i="14"/>
  <c r="J20" i="14"/>
  <c r="G20" i="14"/>
  <c r="D20" i="14"/>
  <c r="M21" i="14"/>
  <c r="J21" i="14"/>
  <c r="G21" i="14"/>
  <c r="D21" i="14"/>
  <c r="M14" i="14"/>
  <c r="J14" i="14"/>
  <c r="G14" i="14"/>
  <c r="D14" i="14"/>
  <c r="M17" i="14"/>
  <c r="J17" i="14"/>
  <c r="G17" i="14"/>
  <c r="D17" i="14"/>
  <c r="M24" i="14"/>
  <c r="J24" i="14"/>
  <c r="G24" i="14"/>
  <c r="D24" i="14"/>
  <c r="M13" i="14"/>
  <c r="J13" i="14"/>
  <c r="G13" i="14"/>
  <c r="D13" i="14"/>
  <c r="D9" i="13"/>
  <c r="G9" i="13"/>
  <c r="J9" i="13"/>
  <c r="M9" i="13"/>
  <c r="D5" i="13"/>
  <c r="G5" i="13"/>
  <c r="J5" i="13"/>
  <c r="M5" i="13"/>
  <c r="D26" i="13"/>
  <c r="G26" i="13"/>
  <c r="J26" i="13"/>
  <c r="M26" i="13"/>
  <c r="M39" i="13"/>
  <c r="J39" i="13"/>
  <c r="G39" i="13"/>
  <c r="D39" i="13"/>
  <c r="M13" i="13"/>
  <c r="J13" i="13"/>
  <c r="G13" i="13"/>
  <c r="D13" i="13"/>
  <c r="M21" i="13"/>
  <c r="J21" i="13"/>
  <c r="G21" i="13"/>
  <c r="D21" i="13"/>
  <c r="M7" i="13"/>
  <c r="J7" i="13"/>
  <c r="G7" i="13"/>
  <c r="D7" i="13"/>
  <c r="M31" i="13"/>
  <c r="J31" i="13"/>
  <c r="G31" i="13"/>
  <c r="D31" i="13"/>
  <c r="M38" i="13"/>
  <c r="J38" i="13"/>
  <c r="G38" i="13"/>
  <c r="D38" i="13"/>
  <c r="M4" i="13"/>
  <c r="J4" i="13"/>
  <c r="G4" i="13"/>
  <c r="D4" i="13"/>
  <c r="M28" i="13"/>
  <c r="J28" i="13"/>
  <c r="G28" i="13"/>
  <c r="D28" i="13"/>
  <c r="M36" i="13"/>
  <c r="J36" i="13"/>
  <c r="G36" i="13"/>
  <c r="D36" i="13"/>
  <c r="M37" i="13"/>
  <c r="J37" i="13"/>
  <c r="G37" i="13"/>
  <c r="D37" i="13"/>
  <c r="M34" i="13"/>
  <c r="J34" i="13"/>
  <c r="G34" i="13"/>
  <c r="D34" i="13"/>
  <c r="M35" i="13"/>
  <c r="J35" i="13"/>
  <c r="G35" i="13"/>
  <c r="D35" i="13"/>
  <c r="M10" i="13"/>
  <c r="J10" i="13"/>
  <c r="G10" i="13"/>
  <c r="D10" i="13"/>
  <c r="M23" i="13"/>
  <c r="J23" i="13"/>
  <c r="G23" i="13"/>
  <c r="D23" i="13"/>
  <c r="M11" i="13"/>
  <c r="J11" i="13"/>
  <c r="G11" i="13"/>
  <c r="D11" i="13"/>
  <c r="M8" i="13"/>
  <c r="J8" i="13"/>
  <c r="G8" i="13"/>
  <c r="D8" i="13"/>
  <c r="M17" i="13"/>
  <c r="J17" i="13"/>
  <c r="G17" i="13"/>
  <c r="D17" i="13"/>
  <c r="M3" i="13"/>
  <c r="J3" i="13"/>
  <c r="G3" i="13"/>
  <c r="D3" i="13"/>
  <c r="M24" i="13"/>
  <c r="J24" i="13"/>
  <c r="G24" i="13"/>
  <c r="D24" i="13"/>
  <c r="M22" i="13"/>
  <c r="J22" i="13"/>
  <c r="G22" i="13"/>
  <c r="D22" i="13"/>
  <c r="M20" i="13"/>
  <c r="J20" i="13"/>
  <c r="G20" i="13"/>
  <c r="D20" i="13"/>
  <c r="M14" i="13"/>
  <c r="J14" i="13"/>
  <c r="G14" i="13"/>
  <c r="D14" i="13"/>
  <c r="M25" i="13"/>
  <c r="J25" i="13"/>
  <c r="G25" i="13"/>
  <c r="D25" i="13"/>
  <c r="M15" i="13"/>
  <c r="J15" i="13"/>
  <c r="G15" i="13"/>
  <c r="D15" i="13"/>
  <c r="M12" i="13"/>
  <c r="J12" i="13"/>
  <c r="G12" i="13"/>
  <c r="D12" i="13"/>
  <c r="M18" i="13"/>
  <c r="J18" i="13"/>
  <c r="G18" i="13"/>
  <c r="D18" i="13"/>
  <c r="M29" i="13"/>
  <c r="J29" i="13"/>
  <c r="G29" i="13"/>
  <c r="D29" i="13"/>
  <c r="M19" i="13"/>
  <c r="J19" i="13"/>
  <c r="G19" i="13"/>
  <c r="D19" i="13"/>
  <c r="M16" i="13"/>
  <c r="J16" i="13"/>
  <c r="G16" i="13"/>
  <c r="D16" i="13"/>
  <c r="M27" i="13"/>
  <c r="J27" i="13"/>
  <c r="G27" i="13"/>
  <c r="D27" i="13"/>
  <c r="D9" i="12"/>
  <c r="G9" i="12"/>
  <c r="J9" i="12"/>
  <c r="M9" i="12"/>
  <c r="D6" i="12"/>
  <c r="G6" i="12"/>
  <c r="J6" i="12"/>
  <c r="M6" i="12"/>
  <c r="D12" i="12"/>
  <c r="G12" i="12"/>
  <c r="J12" i="12"/>
  <c r="M12" i="12"/>
  <c r="D7" i="12"/>
  <c r="G7" i="12"/>
  <c r="J7" i="12"/>
  <c r="M7" i="12"/>
  <c r="D28" i="12"/>
  <c r="G28" i="12"/>
  <c r="J28" i="12"/>
  <c r="M28" i="12"/>
  <c r="M44" i="12"/>
  <c r="J44" i="12"/>
  <c r="G44" i="12"/>
  <c r="D44" i="12"/>
  <c r="M11" i="12"/>
  <c r="J11" i="12"/>
  <c r="G11" i="12"/>
  <c r="D11" i="12"/>
  <c r="M4" i="12"/>
  <c r="J4" i="12"/>
  <c r="G4" i="12"/>
  <c r="D4" i="12"/>
  <c r="M41" i="12"/>
  <c r="J41" i="12"/>
  <c r="G41" i="12"/>
  <c r="D41" i="12"/>
  <c r="M8" i="12"/>
  <c r="J8" i="12"/>
  <c r="G8" i="12"/>
  <c r="D8" i="12"/>
  <c r="M42" i="12"/>
  <c r="J42" i="12"/>
  <c r="G42" i="12"/>
  <c r="D42" i="12"/>
  <c r="M29" i="12"/>
  <c r="J29" i="12"/>
  <c r="G29" i="12"/>
  <c r="D29" i="12"/>
  <c r="M43" i="12"/>
  <c r="J43" i="12"/>
  <c r="G43" i="12"/>
  <c r="D43" i="12"/>
  <c r="M25" i="12"/>
  <c r="J25" i="12"/>
  <c r="G25" i="12"/>
  <c r="D25" i="12"/>
  <c r="M5" i="12"/>
  <c r="J5" i="12"/>
  <c r="G5" i="12"/>
  <c r="D5" i="12"/>
  <c r="M14" i="12"/>
  <c r="J14" i="12"/>
  <c r="G14" i="12"/>
  <c r="D14" i="12"/>
  <c r="M10" i="12"/>
  <c r="J10" i="12"/>
  <c r="G10" i="12"/>
  <c r="D10" i="12"/>
  <c r="M39" i="12"/>
  <c r="J39" i="12"/>
  <c r="G39" i="12"/>
  <c r="D39" i="12"/>
  <c r="M37" i="12"/>
  <c r="J37" i="12"/>
  <c r="G37" i="12"/>
  <c r="D37" i="12"/>
  <c r="M13" i="12"/>
  <c r="J13" i="12"/>
  <c r="G13" i="12"/>
  <c r="D13" i="12"/>
  <c r="M15" i="12"/>
  <c r="J15" i="12"/>
  <c r="G15" i="12"/>
  <c r="D15" i="12"/>
  <c r="M32" i="12"/>
  <c r="J32" i="12"/>
  <c r="G32" i="12"/>
  <c r="D32" i="12"/>
  <c r="M18" i="12"/>
  <c r="J18" i="12"/>
  <c r="G18" i="12"/>
  <c r="D18" i="12"/>
  <c r="M23" i="12"/>
  <c r="J23" i="12"/>
  <c r="G23" i="12"/>
  <c r="D23" i="12"/>
  <c r="M19" i="12"/>
  <c r="J19" i="12"/>
  <c r="G19" i="12"/>
  <c r="D19" i="12"/>
  <c r="M40" i="12"/>
  <c r="J40" i="12"/>
  <c r="G40" i="12"/>
  <c r="D40" i="12"/>
  <c r="M26" i="12"/>
  <c r="J26" i="12"/>
  <c r="G26" i="12"/>
  <c r="D26" i="12"/>
  <c r="M21" i="12"/>
  <c r="J21" i="12"/>
  <c r="G21" i="12"/>
  <c r="D21" i="12"/>
  <c r="M38" i="12"/>
  <c r="J38" i="12"/>
  <c r="G38" i="12"/>
  <c r="D38" i="12"/>
  <c r="M36" i="12"/>
  <c r="J36" i="12"/>
  <c r="G36" i="12"/>
  <c r="D36" i="12"/>
  <c r="M20" i="12"/>
  <c r="J20" i="12"/>
  <c r="G20" i="12"/>
  <c r="D20" i="12"/>
  <c r="M27" i="12"/>
  <c r="J27" i="12"/>
  <c r="G27" i="12"/>
  <c r="D27" i="12"/>
  <c r="M35" i="12"/>
  <c r="J35" i="12"/>
  <c r="G35" i="12"/>
  <c r="D35" i="12"/>
  <c r="M33" i="12"/>
  <c r="J33" i="12"/>
  <c r="G33" i="12"/>
  <c r="D33" i="12"/>
  <c r="M34" i="12"/>
  <c r="J34" i="12"/>
  <c r="G34" i="12"/>
  <c r="D34" i="12"/>
  <c r="M17" i="12"/>
  <c r="J17" i="12"/>
  <c r="G17" i="12"/>
  <c r="D17" i="12"/>
  <c r="M56" i="11"/>
  <c r="J56" i="11"/>
  <c r="G56" i="11"/>
  <c r="D56" i="11"/>
  <c r="M55" i="11"/>
  <c r="J55" i="11"/>
  <c r="G55" i="11"/>
  <c r="D55" i="11"/>
  <c r="M54" i="11"/>
  <c r="J54" i="11"/>
  <c r="G54" i="11"/>
  <c r="D54" i="11"/>
  <c r="M53" i="11"/>
  <c r="J53" i="11"/>
  <c r="G53" i="11"/>
  <c r="D53" i="11"/>
  <c r="M52" i="11"/>
  <c r="J52" i="11"/>
  <c r="G52" i="11"/>
  <c r="D52" i="11"/>
  <c r="M51" i="11"/>
  <c r="J51" i="11"/>
  <c r="G51" i="11"/>
  <c r="D51" i="11"/>
  <c r="M50" i="11"/>
  <c r="J50" i="11"/>
  <c r="G50" i="11"/>
  <c r="D50" i="11"/>
  <c r="M49" i="11"/>
  <c r="J49" i="11"/>
  <c r="G49" i="11"/>
  <c r="D49" i="11"/>
  <c r="M48" i="11"/>
  <c r="J48" i="11"/>
  <c r="G48" i="11"/>
  <c r="D48" i="11"/>
  <c r="M47" i="11"/>
  <c r="J47" i="11"/>
  <c r="G47" i="11"/>
  <c r="D47" i="11"/>
  <c r="M46" i="11"/>
  <c r="J46" i="11"/>
  <c r="G46" i="11"/>
  <c r="D46" i="11"/>
  <c r="M45" i="11"/>
  <c r="J45" i="11"/>
  <c r="G45" i="11"/>
  <c r="D45" i="11"/>
  <c r="M44" i="11"/>
  <c r="J44" i="11"/>
  <c r="G44" i="11"/>
  <c r="D44" i="11"/>
  <c r="M43" i="11"/>
  <c r="J43" i="11"/>
  <c r="G43" i="11"/>
  <c r="D43" i="11"/>
  <c r="M42" i="11"/>
  <c r="J42" i="11"/>
  <c r="G42" i="11"/>
  <c r="D42" i="11"/>
  <c r="M41" i="11"/>
  <c r="J41" i="11"/>
  <c r="G41" i="11"/>
  <c r="D41" i="11"/>
  <c r="M40" i="11"/>
  <c r="J40" i="11"/>
  <c r="G40" i="11"/>
  <c r="D40" i="11"/>
  <c r="M7" i="11"/>
  <c r="J7" i="11"/>
  <c r="G7" i="11"/>
  <c r="D7" i="11"/>
  <c r="M6" i="11"/>
  <c r="J6" i="11"/>
  <c r="G6" i="11"/>
  <c r="D6" i="11"/>
  <c r="M29" i="11"/>
  <c r="J29" i="11"/>
  <c r="G29" i="11"/>
  <c r="D29" i="11"/>
  <c r="M28" i="11"/>
  <c r="J28" i="11"/>
  <c r="G28" i="11"/>
  <c r="D28" i="11"/>
  <c r="M27" i="11"/>
  <c r="J27" i="11"/>
  <c r="G27" i="11"/>
  <c r="D27" i="11"/>
  <c r="M31" i="11"/>
  <c r="J31" i="11"/>
  <c r="G31" i="11"/>
  <c r="D31" i="11"/>
  <c r="M37" i="11"/>
  <c r="J37" i="11"/>
  <c r="G37" i="11"/>
  <c r="D37" i="11"/>
  <c r="M39" i="11"/>
  <c r="J39" i="11"/>
  <c r="G39" i="11"/>
  <c r="D39" i="11"/>
  <c r="M25" i="11"/>
  <c r="J25" i="11"/>
  <c r="G25" i="11"/>
  <c r="D25" i="11"/>
  <c r="M34" i="11"/>
  <c r="J34" i="11"/>
  <c r="G34" i="11"/>
  <c r="D34" i="11"/>
  <c r="M36" i="11"/>
  <c r="J36" i="11"/>
  <c r="G36" i="11"/>
  <c r="D36" i="11"/>
  <c r="M23" i="11"/>
  <c r="J23" i="11"/>
  <c r="G23" i="11"/>
  <c r="D23" i="11"/>
  <c r="M32" i="11"/>
  <c r="J32" i="11"/>
  <c r="G32" i="11"/>
  <c r="D32" i="11"/>
  <c r="M5" i="11"/>
  <c r="J5" i="11"/>
  <c r="G5" i="11"/>
  <c r="D5" i="11"/>
  <c r="M35" i="11"/>
  <c r="J35" i="11"/>
  <c r="G35" i="11"/>
  <c r="D35" i="11"/>
  <c r="M4" i="11"/>
  <c r="J4" i="11"/>
  <c r="G4" i="11"/>
  <c r="D4" i="11"/>
  <c r="M3" i="11"/>
  <c r="J3" i="11"/>
  <c r="G3" i="11"/>
  <c r="D3" i="11"/>
  <c r="M10" i="11"/>
  <c r="J10" i="11"/>
  <c r="G10" i="11"/>
  <c r="D10" i="11"/>
  <c r="M20" i="11"/>
  <c r="J20" i="11"/>
  <c r="G20" i="11"/>
  <c r="D20" i="11"/>
  <c r="M30" i="11"/>
  <c r="J30" i="11"/>
  <c r="G30" i="11"/>
  <c r="D30" i="11"/>
  <c r="M38" i="11"/>
  <c r="J38" i="11"/>
  <c r="G38" i="11"/>
  <c r="D38" i="11"/>
  <c r="M18" i="11"/>
  <c r="J18" i="11"/>
  <c r="G18" i="11"/>
  <c r="D18" i="11"/>
  <c r="M33" i="11"/>
  <c r="J33" i="11"/>
  <c r="G33" i="11"/>
  <c r="D33" i="11"/>
  <c r="M11" i="11"/>
  <c r="J11" i="11"/>
  <c r="G11" i="11"/>
  <c r="D11" i="11"/>
  <c r="M26" i="11"/>
  <c r="J26" i="11"/>
  <c r="G26" i="11"/>
  <c r="D26" i="11"/>
  <c r="M21" i="11"/>
  <c r="J21" i="11"/>
  <c r="G21" i="11"/>
  <c r="D21" i="11"/>
  <c r="M13" i="11"/>
  <c r="J13" i="11"/>
  <c r="G13" i="11"/>
  <c r="D13" i="11"/>
  <c r="M17" i="11"/>
  <c r="J17" i="11"/>
  <c r="G17" i="11"/>
  <c r="D17" i="11"/>
  <c r="M19" i="11"/>
  <c r="J19" i="11"/>
  <c r="G19" i="11"/>
  <c r="D19" i="11"/>
  <c r="M24" i="11"/>
  <c r="J24" i="11"/>
  <c r="G24" i="11"/>
  <c r="D24" i="11"/>
  <c r="M16" i="11"/>
  <c r="J16" i="11"/>
  <c r="G16" i="11"/>
  <c r="D16" i="11"/>
  <c r="M9" i="11"/>
  <c r="J9" i="11"/>
  <c r="G9" i="11"/>
  <c r="D9" i="11"/>
  <c r="M8" i="11"/>
  <c r="J8" i="11"/>
  <c r="G8" i="11"/>
  <c r="D8" i="11"/>
  <c r="M22" i="11"/>
  <c r="J22" i="11"/>
  <c r="G22" i="11"/>
  <c r="D22" i="11"/>
  <c r="M12" i="11"/>
  <c r="J12" i="11"/>
  <c r="G12" i="11"/>
  <c r="D12" i="11"/>
  <c r="M15" i="11"/>
  <c r="J15" i="11"/>
  <c r="G15" i="11"/>
  <c r="D15" i="11"/>
  <c r="M14" i="11"/>
  <c r="J14" i="11"/>
  <c r="G14" i="11"/>
  <c r="D14" i="11"/>
  <c r="S55" i="41" l="1"/>
  <c r="S7" i="41"/>
  <c r="S9" i="41"/>
  <c r="S54" i="41"/>
  <c r="S44" i="41"/>
  <c r="S30" i="41"/>
  <c r="W3" i="41"/>
  <c r="S45" i="41"/>
  <c r="S28" i="41"/>
  <c r="S52" i="41"/>
  <c r="S15" i="41"/>
  <c r="S5" i="41"/>
  <c r="S23" i="41"/>
  <c r="S16" i="41"/>
  <c r="S21" i="50"/>
  <c r="S7" i="50"/>
  <c r="S23" i="50"/>
  <c r="S9" i="50"/>
  <c r="S27" i="50"/>
  <c r="S11" i="46"/>
  <c r="S26" i="46"/>
  <c r="S4" i="46"/>
  <c r="S5" i="46"/>
  <c r="S9" i="46"/>
  <c r="S29" i="46"/>
  <c r="S35" i="46"/>
  <c r="S3" i="46"/>
  <c r="S36" i="46"/>
  <c r="W3" i="46"/>
  <c r="S20" i="46"/>
  <c r="W3" i="43"/>
  <c r="W3" i="45"/>
  <c r="S25" i="49"/>
  <c r="S4" i="49"/>
  <c r="W3" i="49"/>
  <c r="S3" i="49"/>
  <c r="S5" i="49"/>
  <c r="S20" i="49"/>
  <c r="S12" i="49"/>
  <c r="S7" i="49"/>
  <c r="S23" i="49"/>
  <c r="S27" i="49"/>
  <c r="S28" i="33"/>
  <c r="S32" i="33"/>
  <c r="S29" i="33"/>
  <c r="S33" i="33"/>
  <c r="S27" i="33"/>
  <c r="S31" i="33"/>
  <c r="S9" i="38"/>
  <c r="S7" i="38"/>
  <c r="S4" i="38"/>
  <c r="S16" i="38"/>
  <c r="S21" i="38"/>
  <c r="S27" i="38"/>
  <c r="S31" i="37"/>
  <c r="S28" i="37"/>
  <c r="S32" i="37"/>
  <c r="S30" i="37"/>
  <c r="S20" i="40"/>
  <c r="S27" i="40"/>
  <c r="S28" i="40"/>
  <c r="S25" i="40"/>
  <c r="S29" i="40"/>
  <c r="S11" i="40"/>
  <c r="S10" i="40"/>
  <c r="S13" i="40"/>
  <c r="S26" i="40"/>
  <c r="S30" i="40"/>
  <c r="S35" i="35"/>
  <c r="S5" i="35"/>
  <c r="S33" i="35"/>
  <c r="S3" i="39"/>
  <c r="S13" i="39"/>
  <c r="S14" i="39"/>
  <c r="S7" i="39"/>
  <c r="S17" i="39"/>
  <c r="S16" i="39"/>
  <c r="S20" i="39"/>
  <c r="S24" i="39"/>
  <c r="S9" i="39"/>
  <c r="S4" i="39"/>
  <c r="S15" i="39"/>
  <c r="S11" i="39"/>
  <c r="S5" i="39"/>
  <c r="S8" i="39"/>
  <c r="S19" i="39"/>
  <c r="S32" i="36"/>
  <c r="S33" i="36"/>
  <c r="S35" i="36"/>
  <c r="W3" i="24"/>
  <c r="S12" i="30"/>
  <c r="W3" i="30"/>
  <c r="S10" i="30"/>
  <c r="S18" i="30"/>
  <c r="S8" i="30"/>
  <c r="S11" i="30"/>
  <c r="S26" i="30"/>
  <c r="S7" i="30"/>
  <c r="S9" i="30"/>
  <c r="S23" i="29"/>
  <c r="S11" i="29"/>
  <c r="S8" i="29"/>
  <c r="S4" i="29"/>
  <c r="S6" i="29"/>
  <c r="S16" i="29"/>
  <c r="S3" i="29"/>
  <c r="W3" i="29"/>
  <c r="S9" i="29"/>
  <c r="S24" i="29"/>
  <c r="S14" i="29"/>
  <c r="S15" i="29"/>
  <c r="S22" i="29"/>
  <c r="S13" i="29"/>
  <c r="S27" i="27"/>
  <c r="S14" i="27"/>
  <c r="S23" i="27"/>
  <c r="S12" i="27"/>
  <c r="S20" i="27"/>
  <c r="S21" i="27"/>
  <c r="S3" i="27"/>
  <c r="W3" i="27"/>
  <c r="S16" i="27"/>
  <c r="S17" i="27"/>
  <c r="S13" i="27"/>
  <c r="S15" i="27"/>
  <c r="S29" i="27"/>
  <c r="W3" i="23"/>
  <c r="W3" i="25"/>
  <c r="W3" i="28"/>
  <c r="W3" i="26"/>
  <c r="S13" i="18"/>
  <c r="S5" i="18"/>
  <c r="S22" i="18"/>
  <c r="S10" i="18"/>
  <c r="S9" i="18"/>
  <c r="S19" i="18"/>
  <c r="S23" i="18"/>
  <c r="S21" i="18"/>
  <c r="S6" i="18"/>
  <c r="S17" i="18"/>
  <c r="S8" i="18"/>
  <c r="S14" i="18"/>
  <c r="S16" i="18"/>
  <c r="S12" i="18"/>
  <c r="S11" i="18"/>
  <c r="S7" i="18"/>
  <c r="S20" i="18"/>
  <c r="S3" i="18"/>
  <c r="W3" i="18"/>
  <c r="S4" i="18"/>
  <c r="W3" i="17"/>
  <c r="W3" i="20"/>
  <c r="W3" i="15"/>
  <c r="W3" i="16"/>
  <c r="W3" i="14"/>
  <c r="W3" i="19"/>
  <c r="S20" i="50"/>
  <c r="S10" i="50"/>
  <c r="S5" i="50"/>
  <c r="S22" i="50"/>
  <c r="S15" i="50"/>
  <c r="S14" i="50"/>
  <c r="W3" i="50"/>
  <c r="S6" i="50"/>
  <c r="W3" i="42"/>
  <c r="S50" i="41"/>
  <c r="S19" i="41"/>
  <c r="S24" i="41"/>
  <c r="S35" i="41"/>
  <c r="S20" i="41"/>
  <c r="S29" i="41"/>
  <c r="S27" i="41"/>
  <c r="S34" i="41"/>
  <c r="S43" i="41"/>
  <c r="S26" i="41"/>
  <c r="S51" i="41"/>
  <c r="S12" i="41"/>
  <c r="S4" i="41"/>
  <c r="S11" i="41"/>
  <c r="S3" i="41"/>
  <c r="S46" i="41"/>
  <c r="S40" i="41"/>
  <c r="S42" i="41"/>
  <c r="S32" i="41"/>
  <c r="S22" i="41"/>
  <c r="S18" i="41"/>
  <c r="S39" i="41"/>
  <c r="S49" i="41"/>
  <c r="S48" i="41"/>
  <c r="S25" i="41"/>
  <c r="S38" i="41"/>
  <c r="S47" i="41"/>
  <c r="S21" i="41"/>
  <c r="S33" i="41"/>
  <c r="S17" i="41"/>
  <c r="S36" i="41"/>
  <c r="S41" i="41"/>
  <c r="S37" i="41"/>
  <c r="S10" i="41"/>
  <c r="S14" i="41"/>
  <c r="S13" i="41"/>
  <c r="S31" i="41"/>
  <c r="W3" i="47"/>
  <c r="W3" i="44"/>
  <c r="S3" i="38"/>
  <c r="W3" i="38"/>
  <c r="S8" i="38"/>
  <c r="S13" i="38"/>
  <c r="S6" i="38"/>
  <c r="S15" i="38"/>
  <c r="S20" i="38"/>
  <c r="S12" i="38"/>
  <c r="S14" i="38"/>
  <c r="S17" i="38"/>
  <c r="S11" i="38"/>
  <c r="S22" i="38"/>
  <c r="S18" i="32"/>
  <c r="S14" i="32"/>
  <c r="S4" i="32"/>
  <c r="S16" i="32"/>
  <c r="S3" i="32"/>
  <c r="S23" i="32"/>
  <c r="S20" i="32"/>
  <c r="W3" i="32"/>
  <c r="S19" i="32"/>
  <c r="S26" i="32"/>
  <c r="S24" i="32"/>
  <c r="S6" i="32"/>
  <c r="S8" i="32"/>
  <c r="S8" i="40"/>
  <c r="S12" i="40"/>
  <c r="S3" i="40"/>
  <c r="S21" i="40"/>
  <c r="S4" i="40"/>
  <c r="S19" i="40"/>
  <c r="S23" i="40"/>
  <c r="S18" i="40"/>
  <c r="S22" i="40"/>
  <c r="S14" i="40"/>
  <c r="S16" i="40"/>
  <c r="S9" i="40"/>
  <c r="S15" i="40"/>
  <c r="S17" i="40"/>
  <c r="S7" i="40"/>
  <c r="S6" i="40"/>
  <c r="S24" i="40"/>
  <c r="S5" i="40"/>
  <c r="W3" i="40"/>
  <c r="S15" i="35"/>
  <c r="S6" i="35"/>
  <c r="S28" i="35"/>
  <c r="S25" i="35"/>
  <c r="S27" i="35"/>
  <c r="S23" i="34"/>
  <c r="W3" i="34"/>
  <c r="S11" i="34"/>
  <c r="S14" i="34"/>
  <c r="S4" i="34"/>
  <c r="S13" i="34"/>
  <c r="S18" i="34"/>
  <c r="S8" i="34"/>
  <c r="S15" i="34"/>
  <c r="S25" i="34"/>
  <c r="S19" i="34"/>
  <c r="S27" i="34"/>
  <c r="S21" i="34"/>
  <c r="S22" i="34"/>
  <c r="S12" i="34"/>
  <c r="S17" i="34"/>
  <c r="S3" i="34"/>
  <c r="S16" i="34"/>
  <c r="S5" i="34"/>
  <c r="S28" i="34"/>
  <c r="W3" i="33"/>
  <c r="W3" i="31"/>
  <c r="W3" i="37"/>
  <c r="S20" i="35"/>
  <c r="S30" i="35"/>
  <c r="S14" i="35"/>
  <c r="S24" i="35"/>
  <c r="S8" i="35"/>
  <c r="S9" i="35"/>
  <c r="S13" i="35"/>
  <c r="S11" i="35"/>
  <c r="S21" i="35"/>
  <c r="S16" i="35"/>
  <c r="W3" i="35"/>
  <c r="S19" i="35"/>
  <c r="S18" i="35"/>
  <c r="S17" i="35"/>
  <c r="S23" i="35"/>
  <c r="S31" i="35"/>
  <c r="S3" i="35"/>
  <c r="S10" i="35"/>
  <c r="S26" i="35"/>
  <c r="S7" i="35"/>
  <c r="S12" i="35"/>
  <c r="S29" i="35"/>
  <c r="S22" i="35"/>
  <c r="S4" i="35"/>
  <c r="W3" i="39"/>
  <c r="W3" i="36"/>
  <c r="S10" i="27"/>
  <c r="S6" i="27"/>
  <c r="S28" i="27"/>
  <c r="S18" i="27"/>
  <c r="S19" i="27"/>
  <c r="S7" i="27"/>
  <c r="S25" i="27"/>
  <c r="S26" i="27"/>
  <c r="S30" i="25"/>
  <c r="S12" i="25"/>
  <c r="S28" i="30"/>
  <c r="S24" i="30"/>
  <c r="S31" i="30"/>
  <c r="S3" i="30"/>
  <c r="S13" i="30"/>
  <c r="S30" i="30"/>
  <c r="S27" i="30"/>
  <c r="S16" i="30"/>
  <c r="S19" i="30"/>
  <c r="S21" i="30"/>
  <c r="S20" i="30"/>
  <c r="S22" i="30"/>
  <c r="S6" i="30"/>
  <c r="S4" i="30"/>
  <c r="S14" i="30"/>
  <c r="S20" i="29"/>
  <c r="S10" i="29"/>
  <c r="S19" i="29"/>
  <c r="S5" i="29"/>
  <c r="S30" i="27"/>
  <c r="S4" i="27"/>
  <c r="S22" i="27"/>
  <c r="S24" i="27"/>
  <c r="S8" i="27"/>
  <c r="S5" i="27"/>
  <c r="S11" i="27"/>
  <c r="S9" i="27"/>
  <c r="S7" i="25"/>
  <c r="S20" i="25"/>
  <c r="S14" i="25"/>
  <c r="S31" i="25"/>
  <c r="S3" i="25"/>
  <c r="S23" i="25"/>
  <c r="S15" i="25"/>
  <c r="S34" i="25"/>
  <c r="S18" i="25"/>
  <c r="S22" i="25"/>
  <c r="S27" i="25"/>
  <c r="S26" i="25"/>
  <c r="S8" i="25"/>
  <c r="S32" i="25"/>
  <c r="S9" i="25"/>
  <c r="S21" i="25"/>
  <c r="S4" i="25"/>
  <c r="S6" i="28"/>
  <c r="S13" i="28"/>
  <c r="S29" i="28"/>
  <c r="S12" i="28"/>
  <c r="S24" i="28"/>
  <c r="S25" i="28"/>
  <c r="S20" i="28"/>
  <c r="S27" i="28"/>
  <c r="S28" i="28"/>
  <c r="S34" i="28"/>
  <c r="S23" i="28"/>
  <c r="S14" i="28"/>
  <c r="S10" i="28"/>
  <c r="S33" i="28"/>
  <c r="S16" i="28"/>
  <c r="S30" i="28"/>
  <c r="S19" i="28"/>
  <c r="S31" i="28"/>
  <c r="S18" i="28"/>
  <c r="S32" i="28"/>
  <c r="S11" i="28"/>
  <c r="S17" i="28"/>
  <c r="S9" i="28"/>
  <c r="S26" i="28"/>
  <c r="S35" i="28"/>
  <c r="S21" i="28"/>
  <c r="S5" i="28"/>
  <c r="S3" i="28"/>
  <c r="S4" i="28"/>
  <c r="S15" i="23"/>
  <c r="S17" i="23"/>
  <c r="S4" i="23"/>
  <c r="S32" i="23"/>
  <c r="S29" i="23"/>
  <c r="S38" i="23"/>
  <c r="S3" i="23"/>
  <c r="S48" i="23"/>
  <c r="S49" i="23"/>
  <c r="S18" i="23"/>
  <c r="S33" i="23"/>
  <c r="S16" i="23"/>
  <c r="S10" i="23"/>
  <c r="S19" i="23"/>
  <c r="S31" i="23"/>
  <c r="S28" i="23"/>
  <c r="S46" i="23"/>
  <c r="S27" i="23"/>
  <c r="S8" i="23"/>
  <c r="S20" i="23"/>
  <c r="S40" i="23"/>
  <c r="S14" i="23"/>
  <c r="S30" i="23"/>
  <c r="S5" i="23"/>
  <c r="S7" i="23"/>
  <c r="S36" i="23"/>
  <c r="S12" i="23"/>
  <c r="S21" i="23"/>
  <c r="S6" i="23"/>
  <c r="S24" i="23"/>
  <c r="S25" i="23"/>
  <c r="S11" i="23"/>
  <c r="S34" i="23"/>
  <c r="S26" i="23"/>
  <c r="S35" i="23"/>
  <c r="S13" i="23"/>
  <c r="S42" i="23"/>
  <c r="S37" i="23"/>
  <c r="S43" i="23"/>
  <c r="S17" i="25"/>
  <c r="S10" i="25"/>
  <c r="S5" i="25"/>
  <c r="S11" i="25"/>
  <c r="S6" i="25"/>
  <c r="S13" i="25"/>
  <c r="S27" i="26"/>
  <c r="S40" i="26"/>
  <c r="S28" i="26"/>
  <c r="S10" i="26"/>
  <c r="S13" i="26"/>
  <c r="S22" i="26"/>
  <c r="S29" i="26"/>
  <c r="S26" i="26"/>
  <c r="S11" i="26"/>
  <c r="S4" i="26"/>
  <c r="S14" i="26"/>
  <c r="S16" i="26"/>
  <c r="S37" i="26"/>
  <c r="S21" i="26"/>
  <c r="S20" i="26"/>
  <c r="S34" i="26"/>
  <c r="S3" i="26"/>
  <c r="S35" i="26"/>
  <c r="S24" i="26"/>
  <c r="S42" i="26"/>
  <c r="S25" i="26"/>
  <c r="S15" i="26"/>
  <c r="S17" i="26"/>
  <c r="S32" i="26"/>
  <c r="S18" i="26"/>
  <c r="S19" i="26"/>
  <c r="S30" i="26"/>
  <c r="S33" i="26"/>
  <c r="S7" i="26"/>
  <c r="S39" i="26"/>
  <c r="S36" i="26"/>
  <c r="S41" i="26"/>
  <c r="S8" i="26"/>
  <c r="S43" i="26"/>
  <c r="S12" i="26"/>
  <c r="S5" i="26"/>
  <c r="S26" i="17"/>
  <c r="S24" i="17"/>
  <c r="S9" i="17"/>
  <c r="S6" i="17"/>
  <c r="S13" i="17"/>
  <c r="S18" i="17"/>
  <c r="S19" i="17"/>
  <c r="S15" i="17"/>
  <c r="S25" i="17"/>
  <c r="S14" i="17"/>
  <c r="S5" i="17"/>
  <c r="S22" i="17"/>
  <c r="S23" i="17"/>
  <c r="S4" i="17"/>
  <c r="S21" i="17"/>
  <c r="S17" i="17"/>
  <c r="S8" i="17"/>
  <c r="S20" i="17"/>
  <c r="S7" i="17"/>
  <c r="S10" i="17"/>
  <c r="S3" i="17"/>
  <c r="S12" i="17"/>
  <c r="S11" i="17"/>
  <c r="S16" i="17"/>
  <c r="S25" i="20"/>
  <c r="S18" i="20"/>
  <c r="S21" i="20"/>
  <c r="S20" i="20"/>
  <c r="S3" i="20"/>
  <c r="S19" i="20"/>
  <c r="S22" i="20"/>
  <c r="S24" i="20"/>
  <c r="S23" i="20"/>
  <c r="S5" i="20"/>
  <c r="S16" i="20"/>
  <c r="S17" i="20"/>
  <c r="S12" i="20"/>
  <c r="S8" i="20"/>
  <c r="S13" i="20"/>
  <c r="S11" i="20"/>
  <c r="S4" i="20"/>
  <c r="S15" i="20"/>
  <c r="S7" i="20"/>
  <c r="S14" i="20"/>
  <c r="S6" i="20"/>
  <c r="S10" i="20"/>
  <c r="S9" i="20"/>
  <c r="S20" i="15"/>
  <c r="S16" i="15"/>
  <c r="S22" i="15"/>
  <c r="S10" i="15"/>
  <c r="S6" i="15"/>
  <c r="S19" i="15"/>
  <c r="S8" i="15"/>
  <c r="S5" i="15"/>
  <c r="S15" i="15"/>
  <c r="S26" i="15"/>
  <c r="S13" i="15"/>
  <c r="S4" i="15"/>
  <c r="S9" i="15"/>
  <c r="S11" i="15"/>
  <c r="S12" i="15"/>
  <c r="S23" i="15"/>
  <c r="S27" i="15"/>
  <c r="S28" i="15"/>
  <c r="S21" i="15"/>
  <c r="S17" i="15"/>
  <c r="S14" i="15"/>
  <c r="S18" i="15"/>
  <c r="S29" i="15"/>
  <c r="S7" i="15"/>
  <c r="S3" i="15"/>
  <c r="S7" i="11"/>
  <c r="S6" i="11"/>
  <c r="S29" i="11"/>
  <c r="S28" i="11"/>
  <c r="S27" i="11"/>
  <c r="S31" i="11"/>
  <c r="S22" i="11"/>
  <c r="S5" i="11"/>
  <c r="S14" i="11"/>
  <c r="S8" i="11"/>
  <c r="S19" i="11"/>
  <c r="S26" i="11"/>
  <c r="S38" i="11"/>
  <c r="S3" i="11"/>
  <c r="S32" i="11"/>
  <c r="S25" i="11"/>
  <c r="S21" i="11"/>
  <c r="S10" i="11"/>
  <c r="S9" i="11"/>
  <c r="S39" i="11"/>
  <c r="S18" i="11"/>
  <c r="S15" i="11"/>
  <c r="S23" i="11"/>
  <c r="S4" i="11"/>
  <c r="S11" i="11"/>
  <c r="S13" i="11"/>
  <c r="S33" i="11"/>
  <c r="S20" i="11"/>
  <c r="S35" i="11"/>
  <c r="S36" i="11"/>
  <c r="S37" i="11"/>
  <c r="S30" i="11"/>
  <c r="S24" i="11"/>
  <c r="S16" i="11"/>
  <c r="S34" i="11"/>
  <c r="S17" i="11"/>
  <c r="S12" i="11"/>
  <c r="S7" i="14"/>
  <c r="S35" i="14"/>
  <c r="S24" i="14"/>
  <c r="S20" i="14"/>
  <c r="S4" i="14"/>
  <c r="S19" i="14"/>
  <c r="S12" i="14"/>
  <c r="S29" i="14"/>
  <c r="S28" i="14"/>
  <c r="S26" i="14"/>
  <c r="S5" i="14"/>
  <c r="S11" i="14"/>
  <c r="S3" i="14"/>
  <c r="S36" i="14"/>
  <c r="S37" i="14"/>
  <c r="S21" i="14"/>
  <c r="S18" i="14"/>
  <c r="S34" i="14"/>
  <c r="S15" i="14"/>
  <c r="S14" i="14"/>
  <c r="S16" i="14"/>
  <c r="S23" i="14"/>
  <c r="S22" i="14"/>
  <c r="S30" i="14"/>
  <c r="S33" i="14"/>
  <c r="S13" i="14"/>
  <c r="S27" i="14"/>
  <c r="S31" i="14"/>
  <c r="S17" i="14"/>
  <c r="S8" i="14"/>
  <c r="S11" i="19"/>
  <c r="S31" i="19"/>
  <c r="S17" i="19"/>
  <c r="S21" i="19"/>
  <c r="S26" i="19"/>
  <c r="S15" i="19"/>
  <c r="S14" i="19"/>
  <c r="S4" i="19"/>
  <c r="S18" i="19"/>
  <c r="S16" i="19"/>
  <c r="S24" i="19"/>
  <c r="S20" i="19"/>
  <c r="S10" i="19"/>
  <c r="S12" i="19"/>
  <c r="S7" i="19"/>
  <c r="S30" i="19"/>
  <c r="S22" i="19"/>
  <c r="S19" i="19"/>
  <c r="S8" i="19"/>
  <c r="S25" i="19"/>
  <c r="S23" i="19"/>
  <c r="S29" i="19"/>
  <c r="S27" i="19"/>
  <c r="S3" i="19"/>
  <c r="S5" i="19"/>
  <c r="S13" i="19"/>
  <c r="S28" i="19"/>
  <c r="S11" i="2"/>
  <c r="S38" i="2"/>
  <c r="S8" i="2"/>
  <c r="S25" i="2"/>
  <c r="S25" i="42"/>
  <c r="S13" i="42"/>
  <c r="S20" i="42"/>
  <c r="S29" i="42"/>
  <c r="S19" i="42"/>
  <c r="S32" i="42"/>
  <c r="S33" i="42"/>
  <c r="S23" i="42"/>
  <c r="S14" i="42"/>
  <c r="S10" i="42"/>
  <c r="S3" i="42"/>
  <c r="S34" i="42"/>
  <c r="S21" i="42"/>
  <c r="S30" i="42"/>
  <c r="S22" i="42"/>
  <c r="S4" i="42"/>
  <c r="S31" i="42"/>
  <c r="S9" i="42"/>
  <c r="S35" i="42"/>
  <c r="S27" i="42"/>
  <c r="S36" i="42"/>
  <c r="S17" i="42"/>
  <c r="S7" i="42"/>
  <c r="S39" i="42"/>
  <c r="S11" i="42"/>
  <c r="S16" i="42"/>
  <c r="S15" i="42"/>
  <c r="S12" i="42"/>
  <c r="S24" i="42"/>
  <c r="S26" i="42"/>
  <c r="S18" i="42"/>
  <c r="S38" i="42"/>
  <c r="S8" i="42"/>
  <c r="S5" i="42"/>
  <c r="S37" i="42"/>
  <c r="S6" i="42"/>
  <c r="S9" i="43"/>
  <c r="S11" i="43"/>
  <c r="S22" i="43"/>
  <c r="S26" i="43"/>
  <c r="S27" i="43"/>
  <c r="S28" i="43"/>
  <c r="S32" i="43"/>
  <c r="S21" i="43"/>
  <c r="S8" i="43"/>
  <c r="S5" i="43"/>
  <c r="S25" i="43"/>
  <c r="S29" i="43"/>
  <c r="S33" i="43"/>
  <c r="S13" i="43"/>
  <c r="S20" i="43"/>
  <c r="S3" i="43"/>
  <c r="S15" i="43"/>
  <c r="S10" i="43"/>
  <c r="S24" i="43"/>
  <c r="S23" i="43"/>
  <c r="S30" i="43"/>
  <c r="S34" i="43"/>
  <c r="S19" i="43"/>
  <c r="S12" i="43"/>
  <c r="S14" i="43"/>
  <c r="S4" i="43"/>
  <c r="S6" i="43"/>
  <c r="S17" i="43"/>
  <c r="S16" i="43"/>
  <c r="S7" i="43"/>
  <c r="S31" i="43"/>
  <c r="S12" i="47"/>
  <c r="S26" i="47"/>
  <c r="S18" i="47"/>
  <c r="S20" i="47"/>
  <c r="S23" i="47"/>
  <c r="S8" i="47"/>
  <c r="S31" i="47"/>
  <c r="S15" i="47"/>
  <c r="S24" i="47"/>
  <c r="S16" i="47"/>
  <c r="S30" i="47"/>
  <c r="S19" i="47"/>
  <c r="S10" i="47"/>
  <c r="S28" i="47"/>
  <c r="S21" i="47"/>
  <c r="S9" i="47"/>
  <c r="S25" i="47"/>
  <c r="S17" i="47"/>
  <c r="S5" i="47"/>
  <c r="S4" i="47"/>
  <c r="S3" i="47"/>
  <c r="S6" i="47"/>
  <c r="S13" i="47"/>
  <c r="S22" i="47"/>
  <c r="S11" i="47"/>
  <c r="S27" i="47"/>
  <c r="S29" i="47"/>
  <c r="S14" i="47"/>
  <c r="S7" i="47"/>
  <c r="S32" i="47"/>
  <c r="U33" i="47"/>
  <c r="S33" i="47"/>
  <c r="S27" i="44"/>
  <c r="S24" i="44"/>
  <c r="S29" i="44"/>
  <c r="S14" i="44"/>
  <c r="S36" i="44"/>
  <c r="S31" i="44"/>
  <c r="S32" i="44"/>
  <c r="S7" i="44"/>
  <c r="S13" i="44"/>
  <c r="S8" i="44"/>
  <c r="S35" i="44"/>
  <c r="S22" i="44"/>
  <c r="S23" i="44"/>
  <c r="S18" i="44"/>
  <c r="S10" i="44"/>
  <c r="S5" i="44"/>
  <c r="S33" i="44"/>
  <c r="S28" i="44"/>
  <c r="S12" i="44"/>
  <c r="S26" i="44"/>
  <c r="S11" i="44"/>
  <c r="S15" i="44"/>
  <c r="S9" i="44"/>
  <c r="S37" i="44"/>
  <c r="S21" i="44"/>
  <c r="S30" i="44"/>
  <c r="S16" i="44"/>
  <c r="S4" i="44"/>
  <c r="S20" i="44"/>
  <c r="S19" i="44"/>
  <c r="S17" i="44"/>
  <c r="S3" i="44"/>
  <c r="S25" i="44"/>
  <c r="S6" i="44"/>
  <c r="S23" i="45"/>
  <c r="S38" i="45"/>
  <c r="S3" i="45"/>
  <c r="S25" i="45"/>
  <c r="S19" i="45"/>
  <c r="S21" i="45"/>
  <c r="S24" i="45"/>
  <c r="S46" i="45"/>
  <c r="S40" i="45"/>
  <c r="S48" i="45"/>
  <c r="S31" i="45"/>
  <c r="S17" i="45"/>
  <c r="S36" i="45"/>
  <c r="S16" i="45"/>
  <c r="S15" i="45"/>
  <c r="S42" i="45"/>
  <c r="S6" i="45"/>
  <c r="S11" i="45"/>
  <c r="S8" i="45"/>
  <c r="S41" i="45"/>
  <c r="S32" i="45"/>
  <c r="S37" i="45"/>
  <c r="S28" i="45"/>
  <c r="S33" i="45"/>
  <c r="S39" i="45"/>
  <c r="S30" i="45"/>
  <c r="S35" i="45"/>
  <c r="S20" i="45"/>
  <c r="S13" i="45"/>
  <c r="S12" i="45"/>
  <c r="S45" i="45"/>
  <c r="S9" i="45"/>
  <c r="S10" i="45"/>
  <c r="S34" i="45"/>
  <c r="S22" i="45"/>
  <c r="S29" i="45"/>
  <c r="S14" i="45"/>
  <c r="S7" i="45"/>
  <c r="S43" i="45"/>
  <c r="S26" i="45"/>
  <c r="S18" i="45"/>
  <c r="S27" i="45"/>
  <c r="S49" i="45"/>
  <c r="S3" i="33"/>
  <c r="S22" i="33"/>
  <c r="S24" i="33"/>
  <c r="S12" i="33"/>
  <c r="S20" i="33"/>
  <c r="S11" i="33"/>
  <c r="S4" i="33"/>
  <c r="S6" i="33"/>
  <c r="S26" i="33"/>
  <c r="S7" i="33"/>
  <c r="S25" i="33"/>
  <c r="S16" i="33"/>
  <c r="S10" i="33"/>
  <c r="S17" i="33"/>
  <c r="S21" i="33"/>
  <c r="S18" i="33"/>
  <c r="S15" i="33"/>
  <c r="S8" i="33"/>
  <c r="S9" i="33"/>
  <c r="S13" i="33"/>
  <c r="S19" i="33"/>
  <c r="S14" i="33"/>
  <c r="S5" i="33"/>
  <c r="S23" i="33"/>
  <c r="S26" i="31"/>
  <c r="S4" i="31"/>
  <c r="S3" i="31"/>
  <c r="S16" i="31"/>
  <c r="S23" i="31"/>
  <c r="S22" i="31"/>
  <c r="S12" i="31"/>
  <c r="S6" i="31"/>
  <c r="S9" i="31"/>
  <c r="S20" i="31"/>
  <c r="S5" i="31"/>
  <c r="S15" i="31"/>
  <c r="S8" i="31"/>
  <c r="S14" i="31"/>
  <c r="S25" i="31"/>
  <c r="S17" i="31"/>
  <c r="S7" i="31"/>
  <c r="S11" i="31"/>
  <c r="S21" i="31"/>
  <c r="S18" i="31"/>
  <c r="S19" i="31"/>
  <c r="S24" i="31"/>
  <c r="S10" i="31"/>
  <c r="S13" i="31"/>
  <c r="S27" i="37"/>
  <c r="S25" i="37"/>
  <c r="S16" i="37"/>
  <c r="S7" i="37"/>
  <c r="S13" i="37"/>
  <c r="S4" i="37"/>
  <c r="S15" i="37"/>
  <c r="S24" i="37"/>
  <c r="S12" i="37"/>
  <c r="S10" i="37"/>
  <c r="S21" i="37"/>
  <c r="S22" i="37"/>
  <c r="S23" i="37"/>
  <c r="S5" i="37"/>
  <c r="S17" i="37"/>
  <c r="S9" i="37"/>
  <c r="S20" i="37"/>
  <c r="S11" i="37"/>
  <c r="S6" i="37"/>
  <c r="S14" i="37"/>
  <c r="S8" i="37"/>
  <c r="S19" i="37"/>
  <c r="S3" i="37"/>
  <c r="S26" i="37"/>
  <c r="S18" i="37"/>
  <c r="S12" i="39"/>
  <c r="S6" i="39"/>
  <c r="S30" i="36"/>
  <c r="S16" i="36"/>
  <c r="S23" i="36"/>
  <c r="S7" i="36"/>
  <c r="S14" i="36"/>
  <c r="S27" i="36"/>
  <c r="S15" i="36"/>
  <c r="S12" i="36"/>
  <c r="S19" i="36"/>
  <c r="S13" i="36"/>
  <c r="S6" i="36"/>
  <c r="S9" i="36"/>
  <c r="S18" i="36"/>
  <c r="S28" i="36"/>
  <c r="S3" i="36"/>
  <c r="S17" i="36"/>
  <c r="S31" i="36"/>
  <c r="S10" i="36"/>
  <c r="S21" i="36"/>
  <c r="S22" i="36"/>
  <c r="S26" i="36"/>
  <c r="S29" i="36"/>
  <c r="S20" i="36"/>
  <c r="S11" i="36"/>
  <c r="S24" i="36"/>
  <c r="S8" i="36"/>
  <c r="S4" i="36"/>
  <c r="S5" i="36"/>
  <c r="S25" i="36"/>
  <c r="S21" i="22"/>
  <c r="S10" i="22"/>
  <c r="S23" i="22"/>
  <c r="S31" i="22"/>
  <c r="S35" i="22"/>
  <c r="S4" i="22"/>
  <c r="S26" i="22"/>
  <c r="S15" i="22"/>
  <c r="S12" i="22"/>
  <c r="S8" i="22"/>
  <c r="S33" i="22"/>
  <c r="S27" i="22"/>
  <c r="S3" i="22"/>
  <c r="S30" i="22"/>
  <c r="S20" i="22"/>
  <c r="S9" i="22"/>
  <c r="S7" i="22"/>
  <c r="S19" i="22"/>
  <c r="S13" i="22"/>
  <c r="S22" i="22"/>
  <c r="S28" i="22"/>
  <c r="S11" i="22"/>
  <c r="S17" i="22"/>
  <c r="S29" i="22"/>
  <c r="S24" i="22"/>
  <c r="S34" i="22"/>
  <c r="S36" i="22"/>
  <c r="S32" i="22"/>
  <c r="S14" i="22"/>
  <c r="S18" i="22"/>
  <c r="S37" i="24"/>
  <c r="S17" i="24"/>
  <c r="S13" i="24"/>
  <c r="S11" i="24"/>
  <c r="S42" i="24"/>
  <c r="S33" i="24"/>
  <c r="S40" i="24"/>
  <c r="S47" i="24"/>
  <c r="S39" i="24"/>
  <c r="S24" i="24"/>
  <c r="S4" i="24"/>
  <c r="S38" i="24"/>
  <c r="S31" i="24"/>
  <c r="S5" i="24"/>
  <c r="S19" i="24"/>
  <c r="S23" i="24"/>
  <c r="S41" i="24"/>
  <c r="S21" i="24"/>
  <c r="S3" i="24"/>
  <c r="S15" i="24"/>
  <c r="S26" i="24"/>
  <c r="S30" i="24"/>
  <c r="S8" i="24"/>
  <c r="S36" i="24"/>
  <c r="S6" i="24"/>
  <c r="S27" i="24"/>
  <c r="S25" i="24"/>
  <c r="S12" i="24"/>
  <c r="S20" i="24"/>
  <c r="S16" i="24"/>
  <c r="S48" i="24"/>
  <c r="S29" i="24"/>
  <c r="S18" i="24"/>
  <c r="S45" i="24"/>
  <c r="S28" i="24"/>
  <c r="S22" i="24"/>
  <c r="S44" i="24"/>
  <c r="S10" i="24"/>
  <c r="S7" i="24"/>
  <c r="S19" i="21"/>
  <c r="S28" i="21"/>
  <c r="S30" i="21"/>
  <c r="S33" i="21"/>
  <c r="S6" i="21"/>
  <c r="S11" i="21"/>
  <c r="S23" i="21"/>
  <c r="S16" i="21"/>
  <c r="S29" i="21"/>
  <c r="S5" i="21"/>
  <c r="S20" i="21"/>
  <c r="S21" i="21"/>
  <c r="S10" i="21"/>
  <c r="S44" i="21"/>
  <c r="S35" i="21"/>
  <c r="S26" i="21"/>
  <c r="S45" i="21"/>
  <c r="S18" i="21"/>
  <c r="S31" i="21"/>
  <c r="S34" i="21"/>
  <c r="S36" i="21"/>
  <c r="S32" i="21"/>
  <c r="S38" i="21"/>
  <c r="S24" i="21"/>
  <c r="S37" i="21"/>
  <c r="S3" i="21"/>
  <c r="S40" i="21"/>
  <c r="S39" i="21"/>
  <c r="S43" i="21"/>
  <c r="S12" i="21"/>
  <c r="S4" i="21"/>
  <c r="S9" i="21"/>
  <c r="S22" i="21"/>
  <c r="S25" i="21"/>
  <c r="S17" i="21"/>
  <c r="S16" i="13"/>
  <c r="S12" i="13"/>
  <c r="S20" i="13"/>
  <c r="S17" i="13"/>
  <c r="S10" i="13"/>
  <c r="S37" i="13"/>
  <c r="S4" i="13"/>
  <c r="S31" i="13"/>
  <c r="S21" i="13"/>
  <c r="S9" i="13"/>
  <c r="S19" i="13"/>
  <c r="S15" i="13"/>
  <c r="S22" i="13"/>
  <c r="S8" i="13"/>
  <c r="S36" i="13"/>
  <c r="S13" i="13"/>
  <c r="S29" i="13"/>
  <c r="S25" i="13"/>
  <c r="S24" i="13"/>
  <c r="S11" i="13"/>
  <c r="S35" i="13"/>
  <c r="S28" i="13"/>
  <c r="S7" i="13"/>
  <c r="S39" i="13"/>
  <c r="S26" i="13"/>
  <c r="S27" i="13"/>
  <c r="S18" i="13"/>
  <c r="S14" i="13"/>
  <c r="S3" i="13"/>
  <c r="S23" i="13"/>
  <c r="S34" i="13"/>
  <c r="S38" i="13"/>
  <c r="S5" i="13"/>
  <c r="S6" i="16"/>
  <c r="S24" i="16"/>
  <c r="S8" i="16"/>
  <c r="S4" i="16"/>
  <c r="S7" i="16"/>
  <c r="S16" i="16"/>
  <c r="S23" i="16"/>
  <c r="S3" i="16"/>
  <c r="S22" i="16"/>
  <c r="S10" i="16"/>
  <c r="S14" i="16"/>
  <c r="S26" i="16"/>
  <c r="S19" i="16"/>
  <c r="S15" i="16"/>
  <c r="S17" i="16"/>
  <c r="S9" i="16"/>
  <c r="S5" i="16"/>
  <c r="S25" i="16"/>
  <c r="S18" i="16"/>
  <c r="S11" i="16"/>
  <c r="S12" i="16"/>
  <c r="S13" i="16"/>
  <c r="S34" i="12"/>
  <c r="S18" i="12"/>
  <c r="S37" i="12"/>
  <c r="S42" i="12"/>
  <c r="S5" i="12"/>
  <c r="S12" i="12"/>
  <c r="S33" i="12"/>
  <c r="S36" i="12"/>
  <c r="S40" i="12"/>
  <c r="S32" i="12"/>
  <c r="S39" i="12"/>
  <c r="S25" i="12"/>
  <c r="S8" i="12"/>
  <c r="S44" i="12"/>
  <c r="S26" i="12"/>
  <c r="S6" i="12"/>
  <c r="S35" i="12"/>
  <c r="S38" i="12"/>
  <c r="S19" i="12"/>
  <c r="S15" i="12"/>
  <c r="S43" i="12"/>
  <c r="S41" i="12"/>
  <c r="S11" i="12"/>
  <c r="S10" i="12"/>
  <c r="S28" i="12"/>
  <c r="S9" i="12"/>
  <c r="S20" i="12"/>
  <c r="S17" i="12"/>
  <c r="S27" i="12"/>
  <c r="S21" i="12"/>
  <c r="S23" i="12"/>
  <c r="S13" i="12"/>
  <c r="S14" i="12"/>
  <c r="S29" i="12"/>
  <c r="S4" i="12"/>
  <c r="S7" i="12"/>
  <c r="S8" i="1"/>
  <c r="S21" i="1"/>
  <c r="S33" i="1"/>
  <c r="S31" i="1"/>
  <c r="S12" i="1"/>
  <c r="S12" i="6"/>
  <c r="S29" i="6"/>
  <c r="S46" i="6"/>
  <c r="S42" i="6"/>
  <c r="S19" i="3"/>
  <c r="S20" i="3"/>
  <c r="S7" i="3"/>
  <c r="S10" i="3"/>
  <c r="S42" i="3"/>
  <c r="S12" i="3"/>
  <c r="S13" i="3"/>
  <c r="D29" i="10"/>
  <c r="G29" i="10"/>
  <c r="J29" i="10"/>
  <c r="M29" i="10"/>
  <c r="R29" i="10"/>
  <c r="U29" i="10" s="1"/>
  <c r="M27" i="10"/>
  <c r="J27" i="10"/>
  <c r="G27" i="10"/>
  <c r="D27" i="10"/>
  <c r="M10" i="10"/>
  <c r="J10" i="10"/>
  <c r="G10" i="10"/>
  <c r="D10" i="10"/>
  <c r="S10" i="10" s="1"/>
  <c r="M26" i="10"/>
  <c r="J26" i="10"/>
  <c r="G26" i="10"/>
  <c r="D26" i="10"/>
  <c r="M12" i="10"/>
  <c r="J12" i="10"/>
  <c r="G12" i="10"/>
  <c r="D12" i="10"/>
  <c r="M25" i="10"/>
  <c r="J25" i="10"/>
  <c r="G25" i="10"/>
  <c r="D25" i="10"/>
  <c r="M9" i="10"/>
  <c r="J9" i="10"/>
  <c r="G9" i="10"/>
  <c r="D9" i="10"/>
  <c r="M23" i="10"/>
  <c r="J23" i="10"/>
  <c r="G23" i="10"/>
  <c r="D23" i="10"/>
  <c r="M22" i="10"/>
  <c r="J22" i="10"/>
  <c r="G22" i="10"/>
  <c r="D22" i="10"/>
  <c r="M21" i="10"/>
  <c r="J21" i="10"/>
  <c r="G21" i="10"/>
  <c r="D21" i="10"/>
  <c r="M20" i="10"/>
  <c r="J20" i="10"/>
  <c r="G20" i="10"/>
  <c r="D20" i="10"/>
  <c r="S20" i="10" s="1"/>
  <c r="M19" i="10"/>
  <c r="J19" i="10"/>
  <c r="G19" i="10"/>
  <c r="D19" i="10"/>
  <c r="M7" i="10"/>
  <c r="J7" i="10"/>
  <c r="G7" i="10"/>
  <c r="D7" i="10"/>
  <c r="M15" i="10"/>
  <c r="J15" i="10"/>
  <c r="G15" i="10"/>
  <c r="D15" i="10"/>
  <c r="M4" i="10"/>
  <c r="J4" i="10"/>
  <c r="G4" i="10"/>
  <c r="D4" i="10"/>
  <c r="M28" i="10"/>
  <c r="J28" i="10"/>
  <c r="G28" i="10"/>
  <c r="D28" i="10"/>
  <c r="M24" i="10"/>
  <c r="J24" i="10"/>
  <c r="G24" i="10"/>
  <c r="D24" i="10"/>
  <c r="S24" i="10" s="1"/>
  <c r="M3" i="10"/>
  <c r="J3" i="10"/>
  <c r="G3" i="10"/>
  <c r="D3" i="10"/>
  <c r="M16" i="10"/>
  <c r="J16" i="10"/>
  <c r="G16" i="10"/>
  <c r="D16" i="10"/>
  <c r="S16" i="10" s="1"/>
  <c r="M14" i="10"/>
  <c r="J14" i="10"/>
  <c r="G14" i="10"/>
  <c r="D14" i="10"/>
  <c r="M13" i="10"/>
  <c r="J13" i="10"/>
  <c r="G13" i="10"/>
  <c r="D13" i="10"/>
  <c r="M17" i="10"/>
  <c r="J17" i="10"/>
  <c r="G17" i="10"/>
  <c r="D17" i="10"/>
  <c r="M5" i="10"/>
  <c r="J5" i="10"/>
  <c r="G5" i="10"/>
  <c r="D5" i="10"/>
  <c r="S5" i="10" s="1"/>
  <c r="M8" i="10"/>
  <c r="J8" i="10"/>
  <c r="G8" i="10"/>
  <c r="D8" i="10"/>
  <c r="M18" i="10"/>
  <c r="J18" i="10"/>
  <c r="G18" i="10"/>
  <c r="D18" i="10"/>
  <c r="M11" i="10"/>
  <c r="J11" i="10"/>
  <c r="G11" i="10"/>
  <c r="D11" i="10"/>
  <c r="M27" i="9"/>
  <c r="J27" i="9"/>
  <c r="G27" i="9"/>
  <c r="D27" i="9"/>
  <c r="M35" i="9"/>
  <c r="J35" i="9"/>
  <c r="G35" i="9"/>
  <c r="D35" i="9"/>
  <c r="M34" i="9"/>
  <c r="J34" i="9"/>
  <c r="G34" i="9"/>
  <c r="D34" i="9"/>
  <c r="M10" i="9"/>
  <c r="J10" i="9"/>
  <c r="G10" i="9"/>
  <c r="D10" i="9"/>
  <c r="M23" i="9"/>
  <c r="J23" i="9"/>
  <c r="G23" i="9"/>
  <c r="D23" i="9"/>
  <c r="M31" i="9"/>
  <c r="J31" i="9"/>
  <c r="G31" i="9"/>
  <c r="D31" i="9"/>
  <c r="M3" i="9"/>
  <c r="J3" i="9"/>
  <c r="G3" i="9"/>
  <c r="D3" i="9"/>
  <c r="M25" i="9"/>
  <c r="J25" i="9"/>
  <c r="G25" i="9"/>
  <c r="D25" i="9"/>
  <c r="M30" i="9"/>
  <c r="J30" i="9"/>
  <c r="G30" i="9"/>
  <c r="D30" i="9"/>
  <c r="M29" i="9"/>
  <c r="J29" i="9"/>
  <c r="G29" i="9"/>
  <c r="D29" i="9"/>
  <c r="M13" i="9"/>
  <c r="J13" i="9"/>
  <c r="G13" i="9"/>
  <c r="D13" i="9"/>
  <c r="M28" i="9"/>
  <c r="J28" i="9"/>
  <c r="G28" i="9"/>
  <c r="D28" i="9"/>
  <c r="M4" i="9"/>
  <c r="J4" i="9"/>
  <c r="G4" i="9"/>
  <c r="D4" i="9"/>
  <c r="M15" i="9"/>
  <c r="J15" i="9"/>
  <c r="G15" i="9"/>
  <c r="D15" i="9"/>
  <c r="M7" i="9"/>
  <c r="J7" i="9"/>
  <c r="G7" i="9"/>
  <c r="D7" i="9"/>
  <c r="M26" i="9"/>
  <c r="J26" i="9"/>
  <c r="G26" i="9"/>
  <c r="D26" i="9"/>
  <c r="M5" i="9"/>
  <c r="J5" i="9"/>
  <c r="G5" i="9"/>
  <c r="D5" i="9"/>
  <c r="M8" i="9"/>
  <c r="J8" i="9"/>
  <c r="G8" i="9"/>
  <c r="D8" i="9"/>
  <c r="M11" i="9"/>
  <c r="J11" i="9"/>
  <c r="G11" i="9"/>
  <c r="D11" i="9"/>
  <c r="M16" i="9"/>
  <c r="J16" i="9"/>
  <c r="G16" i="9"/>
  <c r="D16" i="9"/>
  <c r="M6" i="9"/>
  <c r="J6" i="9"/>
  <c r="G6" i="9"/>
  <c r="D6" i="9"/>
  <c r="M20" i="9"/>
  <c r="J20" i="9"/>
  <c r="G20" i="9"/>
  <c r="D20" i="9"/>
  <c r="M22" i="9"/>
  <c r="J22" i="9"/>
  <c r="G22" i="9"/>
  <c r="D22" i="9"/>
  <c r="M12" i="9"/>
  <c r="J12" i="9"/>
  <c r="G12" i="9"/>
  <c r="D12" i="9"/>
  <c r="M17" i="9"/>
  <c r="J17" i="9"/>
  <c r="G17" i="9"/>
  <c r="D17" i="9"/>
  <c r="M18" i="9"/>
  <c r="J18" i="9"/>
  <c r="G18" i="9"/>
  <c r="D18" i="9"/>
  <c r="M14" i="9"/>
  <c r="J14" i="9"/>
  <c r="G14" i="9"/>
  <c r="D14" i="9"/>
  <c r="D20" i="8"/>
  <c r="G20" i="8"/>
  <c r="J20" i="8"/>
  <c r="M20" i="8"/>
  <c r="M14" i="8"/>
  <c r="J14" i="8"/>
  <c r="G14" i="8"/>
  <c r="D14" i="8"/>
  <c r="M19" i="8"/>
  <c r="J19" i="8"/>
  <c r="G19" i="8"/>
  <c r="D19" i="8"/>
  <c r="M5" i="8"/>
  <c r="J5" i="8"/>
  <c r="G5" i="8"/>
  <c r="D5" i="8"/>
  <c r="M10" i="8"/>
  <c r="J10" i="8"/>
  <c r="G10" i="8"/>
  <c r="D10" i="8"/>
  <c r="M22" i="8"/>
  <c r="J22" i="8"/>
  <c r="G22" i="8"/>
  <c r="D22" i="8"/>
  <c r="M9" i="8"/>
  <c r="J9" i="8"/>
  <c r="G9" i="8"/>
  <c r="D9" i="8"/>
  <c r="M21" i="8"/>
  <c r="J21" i="8"/>
  <c r="G21" i="8"/>
  <c r="D21" i="8"/>
  <c r="M17" i="8"/>
  <c r="J17" i="8"/>
  <c r="G17" i="8"/>
  <c r="D17" i="8"/>
  <c r="M8" i="8"/>
  <c r="J8" i="8"/>
  <c r="G8" i="8"/>
  <c r="D8" i="8"/>
  <c r="M16" i="8"/>
  <c r="J16" i="8"/>
  <c r="G16" i="8"/>
  <c r="D16" i="8"/>
  <c r="M13" i="8"/>
  <c r="J13" i="8"/>
  <c r="G13" i="8"/>
  <c r="D13" i="8"/>
  <c r="M6" i="8"/>
  <c r="J6" i="8"/>
  <c r="G6" i="8"/>
  <c r="D6" i="8"/>
  <c r="M18" i="8"/>
  <c r="J18" i="8"/>
  <c r="G18" i="8"/>
  <c r="D18" i="8"/>
  <c r="M12" i="8"/>
  <c r="J12" i="8"/>
  <c r="G12" i="8"/>
  <c r="D12" i="8"/>
  <c r="M3" i="8"/>
  <c r="J3" i="8"/>
  <c r="G3" i="8"/>
  <c r="D3" i="8"/>
  <c r="M11" i="8"/>
  <c r="J11" i="8"/>
  <c r="G11" i="8"/>
  <c r="D11" i="8"/>
  <c r="M7" i="8"/>
  <c r="J7" i="8"/>
  <c r="G7" i="8"/>
  <c r="D7" i="8"/>
  <c r="M15" i="8"/>
  <c r="J15" i="8"/>
  <c r="G15" i="8"/>
  <c r="D15" i="8"/>
  <c r="M4" i="8"/>
  <c r="J4" i="8"/>
  <c r="G4" i="8"/>
  <c r="D4" i="8"/>
  <c r="D33" i="7"/>
  <c r="G33" i="7"/>
  <c r="J33" i="7"/>
  <c r="M33" i="7"/>
  <c r="D11" i="7"/>
  <c r="G11" i="7"/>
  <c r="J11" i="7"/>
  <c r="M11" i="7"/>
  <c r="D5" i="7"/>
  <c r="G5" i="7"/>
  <c r="J5" i="7"/>
  <c r="M5" i="7"/>
  <c r="M31" i="7"/>
  <c r="J31" i="7"/>
  <c r="G31" i="7"/>
  <c r="D31" i="7"/>
  <c r="M28" i="7"/>
  <c r="J28" i="7"/>
  <c r="G28" i="7"/>
  <c r="D28" i="7"/>
  <c r="M32" i="7"/>
  <c r="J32" i="7"/>
  <c r="G32" i="7"/>
  <c r="D32" i="7"/>
  <c r="M23" i="7"/>
  <c r="J23" i="7"/>
  <c r="G23" i="7"/>
  <c r="D23" i="7"/>
  <c r="M26" i="7"/>
  <c r="J26" i="7"/>
  <c r="G26" i="7"/>
  <c r="D26" i="7"/>
  <c r="M30" i="7"/>
  <c r="J30" i="7"/>
  <c r="G30" i="7"/>
  <c r="D30" i="7"/>
  <c r="M27" i="7"/>
  <c r="J27" i="7"/>
  <c r="G27" i="7"/>
  <c r="D27" i="7"/>
  <c r="M6" i="7"/>
  <c r="J6" i="7"/>
  <c r="G6" i="7"/>
  <c r="D6" i="7"/>
  <c r="M13" i="7"/>
  <c r="J13" i="7"/>
  <c r="G13" i="7"/>
  <c r="D13" i="7"/>
  <c r="M4" i="7"/>
  <c r="J4" i="7"/>
  <c r="G4" i="7"/>
  <c r="D4" i="7"/>
  <c r="M16" i="7"/>
  <c r="J16" i="7"/>
  <c r="G16" i="7"/>
  <c r="D16" i="7"/>
  <c r="M3" i="7"/>
  <c r="J3" i="7"/>
  <c r="G3" i="7"/>
  <c r="D3" i="7"/>
  <c r="M8" i="7"/>
  <c r="J8" i="7"/>
  <c r="G8" i="7"/>
  <c r="D8" i="7"/>
  <c r="M29" i="7"/>
  <c r="J29" i="7"/>
  <c r="G29" i="7"/>
  <c r="D29" i="7"/>
  <c r="M7" i="7"/>
  <c r="J7" i="7"/>
  <c r="G7" i="7"/>
  <c r="D7" i="7"/>
  <c r="M10" i="7"/>
  <c r="J10" i="7"/>
  <c r="G10" i="7"/>
  <c r="D10" i="7"/>
  <c r="M14" i="7"/>
  <c r="J14" i="7"/>
  <c r="G14" i="7"/>
  <c r="D14" i="7"/>
  <c r="M9" i="7"/>
  <c r="J9" i="7"/>
  <c r="G9" i="7"/>
  <c r="D9" i="7"/>
  <c r="M21" i="7"/>
  <c r="J21" i="7"/>
  <c r="G21" i="7"/>
  <c r="D21" i="7"/>
  <c r="M12" i="7"/>
  <c r="J12" i="7"/>
  <c r="G12" i="7"/>
  <c r="D12" i="7"/>
  <c r="M25" i="7"/>
  <c r="J25" i="7"/>
  <c r="G25" i="7"/>
  <c r="D25" i="7"/>
  <c r="M15" i="7"/>
  <c r="J15" i="7"/>
  <c r="G15" i="7"/>
  <c r="D15" i="7"/>
  <c r="M20" i="7"/>
  <c r="J20" i="7"/>
  <c r="G20" i="7"/>
  <c r="D20" i="7"/>
  <c r="M18" i="7"/>
  <c r="J18" i="7"/>
  <c r="G18" i="7"/>
  <c r="D18" i="7"/>
  <c r="M19" i="7"/>
  <c r="J19" i="7"/>
  <c r="G19" i="7"/>
  <c r="D19" i="7"/>
  <c r="M17" i="7"/>
  <c r="J17" i="7"/>
  <c r="G17" i="7"/>
  <c r="D17" i="7"/>
  <c r="M24" i="7"/>
  <c r="J24" i="7"/>
  <c r="G24" i="7"/>
  <c r="D24" i="7"/>
  <c r="M22" i="7"/>
  <c r="J22" i="7"/>
  <c r="G22" i="7"/>
  <c r="D22" i="7"/>
  <c r="M6" i="6"/>
  <c r="J6" i="6"/>
  <c r="G6" i="6"/>
  <c r="D6" i="6"/>
  <c r="M41" i="6"/>
  <c r="J41" i="6"/>
  <c r="G41" i="6"/>
  <c r="D41" i="6"/>
  <c r="M5" i="6"/>
  <c r="J5" i="6"/>
  <c r="G5" i="6"/>
  <c r="D5" i="6"/>
  <c r="M10" i="6"/>
  <c r="J10" i="6"/>
  <c r="G10" i="6"/>
  <c r="D10" i="6"/>
  <c r="M37" i="6"/>
  <c r="J37" i="6"/>
  <c r="G37" i="6"/>
  <c r="D37" i="6"/>
  <c r="M33" i="6"/>
  <c r="J33" i="6"/>
  <c r="G33" i="6"/>
  <c r="D33" i="6"/>
  <c r="M47" i="6"/>
  <c r="J47" i="6"/>
  <c r="G47" i="6"/>
  <c r="D47" i="6"/>
  <c r="M22" i="6"/>
  <c r="J22" i="6"/>
  <c r="G22" i="6"/>
  <c r="D22" i="6"/>
  <c r="M4" i="6"/>
  <c r="J4" i="6"/>
  <c r="G4" i="6"/>
  <c r="D4" i="6"/>
  <c r="M17" i="6"/>
  <c r="J17" i="6"/>
  <c r="G17" i="6"/>
  <c r="D17" i="6"/>
  <c r="M35" i="6"/>
  <c r="J35" i="6"/>
  <c r="G35" i="6"/>
  <c r="D35" i="6"/>
  <c r="M45" i="6"/>
  <c r="J45" i="6"/>
  <c r="G45" i="6"/>
  <c r="D45" i="6"/>
  <c r="M40" i="6"/>
  <c r="J40" i="6"/>
  <c r="G40" i="6"/>
  <c r="D40" i="6"/>
  <c r="M36" i="6"/>
  <c r="J36" i="6"/>
  <c r="G36" i="6"/>
  <c r="D36" i="6"/>
  <c r="M9" i="6"/>
  <c r="J9" i="6"/>
  <c r="G9" i="6"/>
  <c r="D9" i="6"/>
  <c r="M18" i="6"/>
  <c r="J18" i="6"/>
  <c r="G18" i="6"/>
  <c r="D18" i="6"/>
  <c r="M8" i="6"/>
  <c r="J8" i="6"/>
  <c r="G8" i="6"/>
  <c r="D8" i="6"/>
  <c r="M28" i="6"/>
  <c r="J28" i="6"/>
  <c r="G28" i="6"/>
  <c r="D28" i="6"/>
  <c r="M32" i="6"/>
  <c r="J32" i="6"/>
  <c r="G32" i="6"/>
  <c r="D32" i="6"/>
  <c r="M24" i="6"/>
  <c r="J24" i="6"/>
  <c r="G24" i="6"/>
  <c r="D24" i="6"/>
  <c r="M34" i="6"/>
  <c r="J34" i="6"/>
  <c r="G34" i="6"/>
  <c r="D34" i="6"/>
  <c r="M23" i="6"/>
  <c r="J23" i="6"/>
  <c r="G23" i="6"/>
  <c r="D23" i="6"/>
  <c r="M39" i="6"/>
  <c r="J39" i="6"/>
  <c r="G39" i="6"/>
  <c r="D39" i="6"/>
  <c r="M13" i="6"/>
  <c r="J13" i="6"/>
  <c r="G13" i="6"/>
  <c r="D13" i="6"/>
  <c r="M21" i="6"/>
  <c r="J21" i="6"/>
  <c r="G21" i="6"/>
  <c r="D21" i="6"/>
  <c r="M19" i="6"/>
  <c r="J19" i="6"/>
  <c r="G19" i="6"/>
  <c r="D19" i="6"/>
  <c r="M16" i="6"/>
  <c r="J16" i="6"/>
  <c r="G16" i="6"/>
  <c r="D16" i="6"/>
  <c r="M26" i="6"/>
  <c r="J26" i="6"/>
  <c r="G26" i="6"/>
  <c r="D26" i="6"/>
  <c r="M3" i="6"/>
  <c r="J3" i="6"/>
  <c r="G3" i="6"/>
  <c r="D3" i="6"/>
  <c r="M31" i="6"/>
  <c r="J31" i="6"/>
  <c r="G31" i="6"/>
  <c r="D31" i="6"/>
  <c r="M14" i="6"/>
  <c r="J14" i="6"/>
  <c r="G14" i="6"/>
  <c r="D14" i="6"/>
  <c r="M20" i="6"/>
  <c r="J20" i="6"/>
  <c r="G20" i="6"/>
  <c r="D20" i="6"/>
  <c r="M15" i="6"/>
  <c r="J15" i="6"/>
  <c r="G15" i="6"/>
  <c r="D15" i="6"/>
  <c r="M30" i="6"/>
  <c r="J30" i="6"/>
  <c r="G30" i="6"/>
  <c r="D30" i="6"/>
  <c r="M27" i="5"/>
  <c r="J27" i="5"/>
  <c r="G27" i="5"/>
  <c r="D27" i="5"/>
  <c r="M37" i="5"/>
  <c r="J37" i="5"/>
  <c r="G37" i="5"/>
  <c r="D37" i="5"/>
  <c r="M36" i="5"/>
  <c r="J36" i="5"/>
  <c r="G36" i="5"/>
  <c r="D36" i="5"/>
  <c r="M4" i="5"/>
  <c r="J4" i="5"/>
  <c r="G4" i="5"/>
  <c r="D4" i="5"/>
  <c r="M35" i="5"/>
  <c r="J35" i="5"/>
  <c r="G35" i="5"/>
  <c r="D35" i="5"/>
  <c r="M34" i="5"/>
  <c r="J34" i="5"/>
  <c r="G34" i="5"/>
  <c r="D34" i="5"/>
  <c r="M32" i="5"/>
  <c r="J32" i="5"/>
  <c r="G32" i="5"/>
  <c r="D32" i="5"/>
  <c r="M31" i="5"/>
  <c r="J31" i="5"/>
  <c r="G31" i="5"/>
  <c r="D31" i="5"/>
  <c r="M30" i="5"/>
  <c r="J30" i="5"/>
  <c r="G30" i="5"/>
  <c r="D30" i="5"/>
  <c r="M18" i="5"/>
  <c r="J18" i="5"/>
  <c r="G18" i="5"/>
  <c r="D18" i="5"/>
  <c r="M3" i="5"/>
  <c r="J3" i="5"/>
  <c r="G3" i="5"/>
  <c r="D3" i="5"/>
  <c r="M20" i="5"/>
  <c r="J20" i="5"/>
  <c r="G20" i="5"/>
  <c r="D20" i="5"/>
  <c r="M7" i="5"/>
  <c r="J7" i="5"/>
  <c r="G7" i="5"/>
  <c r="D7" i="5"/>
  <c r="M11" i="5"/>
  <c r="J11" i="5"/>
  <c r="G11" i="5"/>
  <c r="D11" i="5"/>
  <c r="M15" i="5"/>
  <c r="J15" i="5"/>
  <c r="G15" i="5"/>
  <c r="D15" i="5"/>
  <c r="M9" i="5"/>
  <c r="J9" i="5"/>
  <c r="G9" i="5"/>
  <c r="D9" i="5"/>
  <c r="M24" i="5"/>
  <c r="J24" i="5"/>
  <c r="G24" i="5"/>
  <c r="D24" i="5"/>
  <c r="M33" i="5"/>
  <c r="J33" i="5"/>
  <c r="G33" i="5"/>
  <c r="D33" i="5"/>
  <c r="M17" i="5"/>
  <c r="J17" i="5"/>
  <c r="G17" i="5"/>
  <c r="D17" i="5"/>
  <c r="M13" i="5"/>
  <c r="J13" i="5"/>
  <c r="G13" i="5"/>
  <c r="D13" i="5"/>
  <c r="M23" i="5"/>
  <c r="J23" i="5"/>
  <c r="G23" i="5"/>
  <c r="D23" i="5"/>
  <c r="M21" i="5"/>
  <c r="J21" i="5"/>
  <c r="G21" i="5"/>
  <c r="D21" i="5"/>
  <c r="M12" i="5"/>
  <c r="J12" i="5"/>
  <c r="G12" i="5"/>
  <c r="D12" i="5"/>
  <c r="M16" i="5"/>
  <c r="J16" i="5"/>
  <c r="G16" i="5"/>
  <c r="D16" i="5"/>
  <c r="M10" i="5"/>
  <c r="J10" i="5"/>
  <c r="G10" i="5"/>
  <c r="D10" i="5"/>
  <c r="M25" i="5"/>
  <c r="J25" i="5"/>
  <c r="G25" i="5"/>
  <c r="D25" i="5"/>
  <c r="M19" i="5"/>
  <c r="J19" i="5"/>
  <c r="G19" i="5"/>
  <c r="D19" i="5"/>
  <c r="M14" i="5"/>
  <c r="J14" i="5"/>
  <c r="G14" i="5"/>
  <c r="D14" i="5"/>
  <c r="M4" i="4"/>
  <c r="J4" i="4"/>
  <c r="G4" i="4"/>
  <c r="D4" i="4"/>
  <c r="M25" i="4"/>
  <c r="J25" i="4"/>
  <c r="G25" i="4"/>
  <c r="D25" i="4"/>
  <c r="M28" i="4"/>
  <c r="J28" i="4"/>
  <c r="G28" i="4"/>
  <c r="D28" i="4"/>
  <c r="M27" i="4"/>
  <c r="J27" i="4"/>
  <c r="G27" i="4"/>
  <c r="D27" i="4"/>
  <c r="M26" i="4"/>
  <c r="J26" i="4"/>
  <c r="G26" i="4"/>
  <c r="D26" i="4"/>
  <c r="M6" i="4"/>
  <c r="J6" i="4"/>
  <c r="G6" i="4"/>
  <c r="D6" i="4"/>
  <c r="M23" i="4"/>
  <c r="J23" i="4"/>
  <c r="G23" i="4"/>
  <c r="D23" i="4"/>
  <c r="M11" i="4"/>
  <c r="J11" i="4"/>
  <c r="G11" i="4"/>
  <c r="D11" i="4"/>
  <c r="M7" i="4"/>
  <c r="J7" i="4"/>
  <c r="G7" i="4"/>
  <c r="D7" i="4"/>
  <c r="M19" i="4"/>
  <c r="J19" i="4"/>
  <c r="G19" i="4"/>
  <c r="D19" i="4"/>
  <c r="M14" i="4"/>
  <c r="J14" i="4"/>
  <c r="G14" i="4"/>
  <c r="D14" i="4"/>
  <c r="M5" i="4"/>
  <c r="J5" i="4"/>
  <c r="G5" i="4"/>
  <c r="D5" i="4"/>
  <c r="M16" i="4"/>
  <c r="J16" i="4"/>
  <c r="G16" i="4"/>
  <c r="D16" i="4"/>
  <c r="M12" i="4"/>
  <c r="J12" i="4"/>
  <c r="G12" i="4"/>
  <c r="D12" i="4"/>
  <c r="M10" i="4"/>
  <c r="J10" i="4"/>
  <c r="G10" i="4"/>
  <c r="D10" i="4"/>
  <c r="M13" i="4"/>
  <c r="J13" i="4"/>
  <c r="G13" i="4"/>
  <c r="D13" i="4"/>
  <c r="M24" i="4"/>
  <c r="J24" i="4"/>
  <c r="G24" i="4"/>
  <c r="D24" i="4"/>
  <c r="M20" i="4"/>
  <c r="J20" i="4"/>
  <c r="G20" i="4"/>
  <c r="D20" i="4"/>
  <c r="M17" i="4"/>
  <c r="J17" i="4"/>
  <c r="G17" i="4"/>
  <c r="D17" i="4"/>
  <c r="M18" i="4"/>
  <c r="J18" i="4"/>
  <c r="G18" i="4"/>
  <c r="D18" i="4"/>
  <c r="M22" i="4"/>
  <c r="J22" i="4"/>
  <c r="G22" i="4"/>
  <c r="D22" i="4"/>
  <c r="M8" i="4"/>
  <c r="J8" i="4"/>
  <c r="G8" i="4"/>
  <c r="D8" i="4"/>
  <c r="M9" i="4"/>
  <c r="J9" i="4"/>
  <c r="G9" i="4"/>
  <c r="D9" i="4"/>
  <c r="M15" i="4"/>
  <c r="J15" i="4"/>
  <c r="G15" i="4"/>
  <c r="D15" i="4"/>
  <c r="M14" i="3"/>
  <c r="J14" i="3"/>
  <c r="G14" i="3"/>
  <c r="D14" i="3"/>
  <c r="M6" i="3"/>
  <c r="J6" i="3"/>
  <c r="G6" i="3"/>
  <c r="D6" i="3"/>
  <c r="M27" i="3"/>
  <c r="J27" i="3"/>
  <c r="G27" i="3"/>
  <c r="D27" i="3"/>
  <c r="M46" i="3"/>
  <c r="J46" i="3"/>
  <c r="G46" i="3"/>
  <c r="D46" i="3"/>
  <c r="M16" i="3"/>
  <c r="J16" i="3"/>
  <c r="G16" i="3"/>
  <c r="D16" i="3"/>
  <c r="M32" i="3"/>
  <c r="J32" i="3"/>
  <c r="G32" i="3"/>
  <c r="D32" i="3"/>
  <c r="M51" i="3"/>
  <c r="J51" i="3"/>
  <c r="G51" i="3"/>
  <c r="D51" i="3"/>
  <c r="M37" i="3"/>
  <c r="J37" i="3"/>
  <c r="G37" i="3"/>
  <c r="D37" i="3"/>
  <c r="M18" i="3"/>
  <c r="J18" i="3"/>
  <c r="G18" i="3"/>
  <c r="D18" i="3"/>
  <c r="M50" i="3"/>
  <c r="J50" i="3"/>
  <c r="G50" i="3"/>
  <c r="D50" i="3"/>
  <c r="M15" i="3"/>
  <c r="J15" i="3"/>
  <c r="G15" i="3"/>
  <c r="D15" i="3"/>
  <c r="M40" i="3"/>
  <c r="J40" i="3"/>
  <c r="G40" i="3"/>
  <c r="D40" i="3"/>
  <c r="M36" i="3"/>
  <c r="J36" i="3"/>
  <c r="G36" i="3"/>
  <c r="D36" i="3"/>
  <c r="M47" i="3"/>
  <c r="J47" i="3"/>
  <c r="G47" i="3"/>
  <c r="D47" i="3"/>
  <c r="M49" i="3"/>
  <c r="J49" i="3"/>
  <c r="G49" i="3"/>
  <c r="D49" i="3"/>
  <c r="M17" i="3"/>
  <c r="J17" i="3"/>
  <c r="G17" i="3"/>
  <c r="D17" i="3"/>
  <c r="M4" i="3"/>
  <c r="J4" i="3"/>
  <c r="G4" i="3"/>
  <c r="D4" i="3"/>
  <c r="M35" i="3"/>
  <c r="J35" i="3"/>
  <c r="G35" i="3"/>
  <c r="D35" i="3"/>
  <c r="M31" i="3"/>
  <c r="J31" i="3"/>
  <c r="G31" i="3"/>
  <c r="D31" i="3"/>
  <c r="M23" i="3"/>
  <c r="J23" i="3"/>
  <c r="G23" i="3"/>
  <c r="D23" i="3"/>
  <c r="M45" i="3"/>
  <c r="J45" i="3"/>
  <c r="G45" i="3"/>
  <c r="D45" i="3"/>
  <c r="M34" i="3"/>
  <c r="J34" i="3"/>
  <c r="G34" i="3"/>
  <c r="D34" i="3"/>
  <c r="M38" i="3"/>
  <c r="J38" i="3"/>
  <c r="G38" i="3"/>
  <c r="D38" i="3"/>
  <c r="M41" i="3"/>
  <c r="J41" i="3"/>
  <c r="G41" i="3"/>
  <c r="D41" i="3"/>
  <c r="M48" i="3"/>
  <c r="J48" i="3"/>
  <c r="G48" i="3"/>
  <c r="D48" i="3"/>
  <c r="M21" i="3"/>
  <c r="J21" i="3"/>
  <c r="G21" i="3"/>
  <c r="D21" i="3"/>
  <c r="M25" i="3"/>
  <c r="J25" i="3"/>
  <c r="G25" i="3"/>
  <c r="D25" i="3"/>
  <c r="M29" i="3"/>
  <c r="J29" i="3"/>
  <c r="G29" i="3"/>
  <c r="D29" i="3"/>
  <c r="M28" i="3"/>
  <c r="J28" i="3"/>
  <c r="G28" i="3"/>
  <c r="D28" i="3"/>
  <c r="M44" i="3"/>
  <c r="J44" i="3"/>
  <c r="G44" i="3"/>
  <c r="D44" i="3"/>
  <c r="M33" i="3"/>
  <c r="J33" i="3"/>
  <c r="G33" i="3"/>
  <c r="D33" i="3"/>
  <c r="M24" i="3"/>
  <c r="J24" i="3"/>
  <c r="G24" i="3"/>
  <c r="D24" i="3"/>
  <c r="M22" i="3"/>
  <c r="J22" i="3"/>
  <c r="G22" i="3"/>
  <c r="D22" i="3"/>
  <c r="M30" i="3"/>
  <c r="J30" i="3"/>
  <c r="G30" i="3"/>
  <c r="D30" i="3"/>
  <c r="M26" i="3"/>
  <c r="J26" i="3"/>
  <c r="G26" i="3"/>
  <c r="D26" i="3"/>
  <c r="M43" i="3"/>
  <c r="J43" i="3"/>
  <c r="G43" i="3"/>
  <c r="D43" i="3"/>
  <c r="M42" i="2"/>
  <c r="J42" i="2"/>
  <c r="G42" i="2"/>
  <c r="D42" i="2"/>
  <c r="M26" i="2"/>
  <c r="J26" i="2"/>
  <c r="G26" i="2"/>
  <c r="D26" i="2"/>
  <c r="M35" i="2"/>
  <c r="J35" i="2"/>
  <c r="G35" i="2"/>
  <c r="D35" i="2"/>
  <c r="M34" i="2"/>
  <c r="J34" i="2"/>
  <c r="G34" i="2"/>
  <c r="D34" i="2"/>
  <c r="M4" i="2"/>
  <c r="J4" i="2"/>
  <c r="G4" i="2"/>
  <c r="D4" i="2"/>
  <c r="M10" i="2"/>
  <c r="J10" i="2"/>
  <c r="G10" i="2"/>
  <c r="D10" i="2"/>
  <c r="M37" i="2"/>
  <c r="J37" i="2"/>
  <c r="G37" i="2"/>
  <c r="D37" i="2"/>
  <c r="M6" i="2"/>
  <c r="J6" i="2"/>
  <c r="G6" i="2"/>
  <c r="D6" i="2"/>
  <c r="M40" i="2"/>
  <c r="J40" i="2"/>
  <c r="G40" i="2"/>
  <c r="D40" i="2"/>
  <c r="M17" i="2"/>
  <c r="J17" i="2"/>
  <c r="G17" i="2"/>
  <c r="D17" i="2"/>
  <c r="M36" i="2"/>
  <c r="J36" i="2"/>
  <c r="G36" i="2"/>
  <c r="D36" i="2"/>
  <c r="M14" i="2"/>
  <c r="J14" i="2"/>
  <c r="G14" i="2"/>
  <c r="D14" i="2"/>
  <c r="M13" i="2"/>
  <c r="J13" i="2"/>
  <c r="G13" i="2"/>
  <c r="D13" i="2"/>
  <c r="M18" i="2"/>
  <c r="J18" i="2"/>
  <c r="G18" i="2"/>
  <c r="D18" i="2"/>
  <c r="M41" i="2"/>
  <c r="J41" i="2"/>
  <c r="G41" i="2"/>
  <c r="D41" i="2"/>
  <c r="M19" i="2"/>
  <c r="J19" i="2"/>
  <c r="G19" i="2"/>
  <c r="D19" i="2"/>
  <c r="M29" i="2"/>
  <c r="J29" i="2"/>
  <c r="G29" i="2"/>
  <c r="D29" i="2"/>
  <c r="M43" i="2"/>
  <c r="J43" i="2"/>
  <c r="G43" i="2"/>
  <c r="D43" i="2"/>
  <c r="M24" i="2"/>
  <c r="J24" i="2"/>
  <c r="G24" i="2"/>
  <c r="D24" i="2"/>
  <c r="M16" i="2"/>
  <c r="J16" i="2"/>
  <c r="G16" i="2"/>
  <c r="D16" i="2"/>
  <c r="M3" i="2"/>
  <c r="J3" i="2"/>
  <c r="G3" i="2"/>
  <c r="D3" i="2"/>
  <c r="M39" i="2"/>
  <c r="J39" i="2"/>
  <c r="G39" i="2"/>
  <c r="D39" i="2"/>
  <c r="M21" i="2"/>
  <c r="J21" i="2"/>
  <c r="G21" i="2"/>
  <c r="D21" i="2"/>
  <c r="M28" i="2"/>
  <c r="J28" i="2"/>
  <c r="G28" i="2"/>
  <c r="D28" i="2"/>
  <c r="M31" i="2"/>
  <c r="J31" i="2"/>
  <c r="G31" i="2"/>
  <c r="D31" i="2"/>
  <c r="M12" i="2"/>
  <c r="J12" i="2"/>
  <c r="G12" i="2"/>
  <c r="D12" i="2"/>
  <c r="M30" i="2"/>
  <c r="J30" i="2"/>
  <c r="G30" i="2"/>
  <c r="D30" i="2"/>
  <c r="M15" i="2"/>
  <c r="J15" i="2"/>
  <c r="G15" i="2"/>
  <c r="D15" i="2"/>
  <c r="M20" i="2"/>
  <c r="J20" i="2"/>
  <c r="G20" i="2"/>
  <c r="D20" i="2"/>
  <c r="M23" i="2"/>
  <c r="J23" i="2"/>
  <c r="G23" i="2"/>
  <c r="D23" i="2"/>
  <c r="M27" i="2"/>
  <c r="J27" i="2"/>
  <c r="G27" i="2"/>
  <c r="D27" i="2"/>
  <c r="M22" i="2"/>
  <c r="J22" i="2"/>
  <c r="G22" i="2"/>
  <c r="D22" i="2"/>
  <c r="M54" i="1"/>
  <c r="J54" i="1"/>
  <c r="G54" i="1"/>
  <c r="D54" i="1"/>
  <c r="M15" i="1"/>
  <c r="J15" i="1"/>
  <c r="G15" i="1"/>
  <c r="D15" i="1"/>
  <c r="M35" i="1"/>
  <c r="J35" i="1"/>
  <c r="G35" i="1"/>
  <c r="D35" i="1"/>
  <c r="M41" i="1"/>
  <c r="J41" i="1"/>
  <c r="G41" i="1"/>
  <c r="D41" i="1"/>
  <c r="M46" i="1"/>
  <c r="J46" i="1"/>
  <c r="G46" i="1"/>
  <c r="D46" i="1"/>
  <c r="M7" i="1"/>
  <c r="J7" i="1"/>
  <c r="G7" i="1"/>
  <c r="D7" i="1"/>
  <c r="M14" i="1"/>
  <c r="J14" i="1"/>
  <c r="G14" i="1"/>
  <c r="D14" i="1"/>
  <c r="M48" i="1"/>
  <c r="J48" i="1"/>
  <c r="G48" i="1"/>
  <c r="D48" i="1"/>
  <c r="M24" i="1"/>
  <c r="J24" i="1"/>
  <c r="G24" i="1"/>
  <c r="D24" i="1"/>
  <c r="M50" i="1"/>
  <c r="J50" i="1"/>
  <c r="G50" i="1"/>
  <c r="D50" i="1"/>
  <c r="M32" i="1"/>
  <c r="J32" i="1"/>
  <c r="G32" i="1"/>
  <c r="D32" i="1"/>
  <c r="M17" i="1"/>
  <c r="J17" i="1"/>
  <c r="G17" i="1"/>
  <c r="D17" i="1"/>
  <c r="M53" i="1"/>
  <c r="J53" i="1"/>
  <c r="G53" i="1"/>
  <c r="D53" i="1"/>
  <c r="M52" i="1"/>
  <c r="J52" i="1"/>
  <c r="G52" i="1"/>
  <c r="D52" i="1"/>
  <c r="M47" i="1"/>
  <c r="J47" i="1"/>
  <c r="G47" i="1"/>
  <c r="D47" i="1"/>
  <c r="M10" i="1"/>
  <c r="J10" i="1"/>
  <c r="G10" i="1"/>
  <c r="D10" i="1"/>
  <c r="M20" i="1"/>
  <c r="J20" i="1"/>
  <c r="G20" i="1"/>
  <c r="D20" i="1"/>
  <c r="M40" i="1"/>
  <c r="J40" i="1"/>
  <c r="G40" i="1"/>
  <c r="D40" i="1"/>
  <c r="M51" i="1"/>
  <c r="J51" i="1"/>
  <c r="G51" i="1"/>
  <c r="D51" i="1"/>
  <c r="M13" i="1"/>
  <c r="J13" i="1"/>
  <c r="G13" i="1"/>
  <c r="D13" i="1"/>
  <c r="M38" i="1"/>
  <c r="J38" i="1"/>
  <c r="G38" i="1"/>
  <c r="D38" i="1"/>
  <c r="M23" i="1"/>
  <c r="J23" i="1"/>
  <c r="G23" i="1"/>
  <c r="D23" i="1"/>
  <c r="M16" i="1"/>
  <c r="J16" i="1"/>
  <c r="G16" i="1"/>
  <c r="D16" i="1"/>
  <c r="M44" i="1"/>
  <c r="J44" i="1"/>
  <c r="G44" i="1"/>
  <c r="D44" i="1"/>
  <c r="M42" i="1"/>
  <c r="J42" i="1"/>
  <c r="G42" i="1"/>
  <c r="D42" i="1"/>
  <c r="M19" i="1"/>
  <c r="J19" i="1"/>
  <c r="G19" i="1"/>
  <c r="D19" i="1"/>
  <c r="M30" i="1"/>
  <c r="J30" i="1"/>
  <c r="G30" i="1"/>
  <c r="D30" i="1"/>
  <c r="M29" i="1"/>
  <c r="J29" i="1"/>
  <c r="G29" i="1"/>
  <c r="D29" i="1"/>
  <c r="M9" i="1"/>
  <c r="J9" i="1"/>
  <c r="G9" i="1"/>
  <c r="D9" i="1"/>
  <c r="M34" i="1"/>
  <c r="J34" i="1"/>
  <c r="G34" i="1"/>
  <c r="D34" i="1"/>
  <c r="M28" i="1"/>
  <c r="J28" i="1"/>
  <c r="G28" i="1"/>
  <c r="D28" i="1"/>
  <c r="M43" i="1"/>
  <c r="J43" i="1"/>
  <c r="G43" i="1"/>
  <c r="D43" i="1"/>
  <c r="M26" i="1"/>
  <c r="J26" i="1"/>
  <c r="G26" i="1"/>
  <c r="D26" i="1"/>
  <c r="M22" i="1"/>
  <c r="J22" i="1"/>
  <c r="G22" i="1"/>
  <c r="D22" i="1"/>
  <c r="M27" i="1"/>
  <c r="J27" i="1"/>
  <c r="G27" i="1"/>
  <c r="D27" i="1"/>
  <c r="S39" i="2" l="1"/>
  <c r="S43" i="2"/>
  <c r="S18" i="2"/>
  <c r="S10" i="2"/>
  <c r="S26" i="2"/>
  <c r="S8" i="10"/>
  <c r="S14" i="10"/>
  <c r="S28" i="10"/>
  <c r="S23" i="10"/>
  <c r="S26" i="10"/>
  <c r="S21" i="10"/>
  <c r="S25" i="10"/>
  <c r="V3" i="10"/>
  <c r="S11" i="10"/>
  <c r="S17" i="10"/>
  <c r="S3" i="10"/>
  <c r="S4" i="10"/>
  <c r="S7" i="10"/>
  <c r="S19" i="10"/>
  <c r="S12" i="10"/>
  <c r="S18" i="10"/>
  <c r="S13" i="10"/>
  <c r="S15" i="10"/>
  <c r="S22" i="10"/>
  <c r="S9" i="10"/>
  <c r="S27" i="10"/>
  <c r="W3" i="4"/>
  <c r="W3" i="7"/>
  <c r="W3" i="5"/>
  <c r="W3" i="1"/>
  <c r="W3" i="9"/>
  <c r="W3" i="6"/>
  <c r="W3" i="3"/>
  <c r="S17" i="2"/>
  <c r="S28" i="2"/>
  <c r="S34" i="2"/>
  <c r="S16" i="2"/>
  <c r="S6" i="2"/>
  <c r="S14" i="2"/>
  <c r="S12" i="2"/>
  <c r="S22" i="2"/>
  <c r="S15" i="2"/>
  <c r="S19" i="2"/>
  <c r="S30" i="2"/>
  <c r="S21" i="2"/>
  <c r="S24" i="2"/>
  <c r="S41" i="2"/>
  <c r="S36" i="2"/>
  <c r="S37" i="2"/>
  <c r="S35" i="2"/>
  <c r="S27" i="2"/>
  <c r="S23" i="2"/>
  <c r="W3" i="2"/>
  <c r="S20" i="2"/>
  <c r="S31" i="2"/>
  <c r="S3" i="2"/>
  <c r="S29" i="2"/>
  <c r="S13" i="2"/>
  <c r="S40" i="2"/>
  <c r="S4" i="2"/>
  <c r="S42" i="2"/>
  <c r="S31" i="9"/>
  <c r="S18" i="9"/>
  <c r="S29" i="9"/>
  <c r="S35" i="9"/>
  <c r="S20" i="9"/>
  <c r="S17" i="9"/>
  <c r="S6" i="9"/>
  <c r="S5" i="9"/>
  <c r="S4" i="9"/>
  <c r="S30" i="9"/>
  <c r="S23" i="9"/>
  <c r="S27" i="9"/>
  <c r="S12" i="9"/>
  <c r="S16" i="9"/>
  <c r="S26" i="9"/>
  <c r="S28" i="9"/>
  <c r="S25" i="9"/>
  <c r="S10" i="9"/>
  <c r="S8" i="9"/>
  <c r="S15" i="9"/>
  <c r="S14" i="9"/>
  <c r="S22" i="9"/>
  <c r="S11" i="9"/>
  <c r="S7" i="9"/>
  <c r="S13" i="9"/>
  <c r="S3" i="9"/>
  <c r="S34" i="9"/>
  <c r="S22" i="7"/>
  <c r="S18" i="7"/>
  <c r="S12" i="7"/>
  <c r="S10" i="7"/>
  <c r="S8" i="7"/>
  <c r="S16" i="7"/>
  <c r="S27" i="7"/>
  <c r="S26" i="7"/>
  <c r="S33" i="7"/>
  <c r="S11" i="7"/>
  <c r="S24" i="7"/>
  <c r="S20" i="7"/>
  <c r="S21" i="7"/>
  <c r="S3" i="7"/>
  <c r="S4" i="7"/>
  <c r="S6" i="7"/>
  <c r="S31" i="7"/>
  <c r="S9" i="7"/>
  <c r="S7" i="7"/>
  <c r="S32" i="7"/>
  <c r="S28" i="7"/>
  <c r="S5" i="7"/>
  <c r="S15" i="7"/>
  <c r="S19" i="7"/>
  <c r="S25" i="7"/>
  <c r="S14" i="7"/>
  <c r="S29" i="7"/>
  <c r="S13" i="7"/>
  <c r="S30" i="7"/>
  <c r="S23" i="7"/>
  <c r="S17" i="7"/>
  <c r="S25" i="5"/>
  <c r="S11" i="5"/>
  <c r="S18" i="5"/>
  <c r="S33" i="5"/>
  <c r="S37" i="5"/>
  <c r="S21" i="5"/>
  <c r="S34" i="5"/>
  <c r="S10" i="5"/>
  <c r="S23" i="5"/>
  <c r="S24" i="5"/>
  <c r="S7" i="5"/>
  <c r="S30" i="5"/>
  <c r="S35" i="5"/>
  <c r="S27" i="5"/>
  <c r="S16" i="5"/>
  <c r="S4" i="5"/>
  <c r="S14" i="5"/>
  <c r="S13" i="5"/>
  <c r="S31" i="5"/>
  <c r="S9" i="5"/>
  <c r="S19" i="5"/>
  <c r="S12" i="5"/>
  <c r="S17" i="5"/>
  <c r="S15" i="5"/>
  <c r="S3" i="5"/>
  <c r="S32" i="5"/>
  <c r="S36" i="5"/>
  <c r="S20" i="5"/>
  <c r="S47" i="1"/>
  <c r="S30" i="1"/>
  <c r="S35" i="1"/>
  <c r="S27" i="1"/>
  <c r="S51" i="1"/>
  <c r="S14" i="1"/>
  <c r="S28" i="1"/>
  <c r="S32" i="1"/>
  <c r="S22" i="1"/>
  <c r="S34" i="1"/>
  <c r="S19" i="1"/>
  <c r="S23" i="1"/>
  <c r="S40" i="1"/>
  <c r="S52" i="1"/>
  <c r="S50" i="1"/>
  <c r="S7" i="1"/>
  <c r="S15" i="1"/>
  <c r="S16" i="1"/>
  <c r="S9" i="1"/>
  <c r="S20" i="1"/>
  <c r="S46" i="1"/>
  <c r="S26" i="1"/>
  <c r="S42" i="1"/>
  <c r="S38" i="1"/>
  <c r="S53" i="1"/>
  <c r="S24" i="1"/>
  <c r="S54" i="1"/>
  <c r="S43" i="1"/>
  <c r="S29" i="1"/>
  <c r="S44" i="1"/>
  <c r="S13" i="1"/>
  <c r="S10" i="1"/>
  <c r="S17" i="1"/>
  <c r="S48" i="1"/>
  <c r="S41" i="1"/>
  <c r="S15" i="6"/>
  <c r="S3" i="6"/>
  <c r="S21" i="6"/>
  <c r="S34" i="6"/>
  <c r="S8" i="6"/>
  <c r="S4" i="6"/>
  <c r="S6" i="6"/>
  <c r="S13" i="6"/>
  <c r="S33" i="6"/>
  <c r="S26" i="6"/>
  <c r="S18" i="6"/>
  <c r="S20" i="6"/>
  <c r="S24" i="6"/>
  <c r="S35" i="6"/>
  <c r="S14" i="6"/>
  <c r="S16" i="6"/>
  <c r="S39" i="6"/>
  <c r="S32" i="6"/>
  <c r="S9" i="6"/>
  <c r="S40" i="6"/>
  <c r="S17" i="6"/>
  <c r="S22" i="6"/>
  <c r="S37" i="6"/>
  <c r="S10" i="6"/>
  <c r="S5" i="6"/>
  <c r="S30" i="6"/>
  <c r="S31" i="6"/>
  <c r="S19" i="6"/>
  <c r="S23" i="6"/>
  <c r="S28" i="6"/>
  <c r="S36" i="6"/>
  <c r="S45" i="6"/>
  <c r="S47" i="6"/>
  <c r="S41" i="6"/>
  <c r="S43" i="3"/>
  <c r="S24" i="3"/>
  <c r="S29" i="3"/>
  <c r="S41" i="3"/>
  <c r="S23" i="3"/>
  <c r="S17" i="3"/>
  <c r="S40" i="3"/>
  <c r="S37" i="3"/>
  <c r="S46" i="3"/>
  <c r="S26" i="3"/>
  <c r="S25" i="3"/>
  <c r="S31" i="3"/>
  <c r="S15" i="3"/>
  <c r="S27" i="3"/>
  <c r="S33" i="3"/>
  <c r="S38" i="3"/>
  <c r="S49" i="3"/>
  <c r="S51" i="3"/>
  <c r="S44" i="3"/>
  <c r="S21" i="3"/>
  <c r="S35" i="3"/>
  <c r="S47" i="3"/>
  <c r="S50" i="3"/>
  <c r="S32" i="3"/>
  <c r="S6" i="3"/>
  <c r="S30" i="3"/>
  <c r="S34" i="3"/>
  <c r="S22" i="3"/>
  <c r="S48" i="3"/>
  <c r="S45" i="3"/>
  <c r="S4" i="3"/>
  <c r="S18" i="3"/>
  <c r="S16" i="3"/>
  <c r="S14" i="3"/>
  <c r="S28" i="3"/>
  <c r="S36" i="3"/>
  <c r="S11" i="4"/>
  <c r="S12" i="4"/>
  <c r="S26" i="4"/>
  <c r="S28" i="4"/>
  <c r="S6" i="4"/>
  <c r="S8" i="4"/>
  <c r="S17" i="4"/>
  <c r="S24" i="4"/>
  <c r="S16" i="4"/>
  <c r="S14" i="4"/>
  <c r="S20" i="4"/>
  <c r="S13" i="4"/>
  <c r="S5" i="4"/>
  <c r="S25" i="4"/>
  <c r="S9" i="4"/>
  <c r="S19" i="4"/>
  <c r="S15" i="4"/>
  <c r="S7" i="4"/>
  <c r="S23" i="4"/>
  <c r="S27" i="4"/>
  <c r="S4" i="4"/>
  <c r="S22" i="4"/>
  <c r="S10" i="4"/>
  <c r="S18" i="4"/>
  <c r="S15" i="8"/>
  <c r="S3" i="8"/>
  <c r="S8" i="8"/>
  <c r="S22" i="8"/>
  <c r="S20" i="8"/>
  <c r="S7" i="8"/>
  <c r="S12" i="8"/>
  <c r="S13" i="8"/>
  <c r="S5" i="8"/>
  <c r="S14" i="8"/>
  <c r="S18" i="8"/>
  <c r="S21" i="8"/>
  <c r="S19" i="8"/>
  <c r="S4" i="8"/>
  <c r="S11" i="8"/>
  <c r="S6" i="8"/>
  <c r="S16" i="8"/>
  <c r="S17" i="8"/>
  <c r="S9" i="8"/>
  <c r="S10" i="8"/>
  <c r="T29" i="10"/>
  <c r="V3" i="8"/>
  <c r="W3" i="8" s="1"/>
  <c r="W3" i="10" l="1"/>
  <c r="T23" i="10"/>
  <c r="T11" i="10"/>
  <c r="T24" i="10"/>
  <c r="T17" i="10"/>
  <c r="T15" i="10"/>
  <c r="T14" i="10"/>
  <c r="T5" i="10"/>
  <c r="T10" i="10"/>
  <c r="T7" i="10"/>
  <c r="T3" i="10"/>
  <c r="T16" i="10"/>
  <c r="T4" i="10"/>
  <c r="T20" i="10"/>
  <c r="T12" i="10"/>
  <c r="T18" i="10"/>
  <c r="T9" i="10"/>
  <c r="T19" i="10"/>
  <c r="T25" i="10"/>
  <c r="T8" i="10"/>
  <c r="T13" i="10"/>
  <c r="T27" i="10"/>
  <c r="T28" i="10"/>
  <c r="T21" i="10"/>
  <c r="T6" i="10"/>
  <c r="T26" i="10"/>
  <c r="T22" i="10"/>
  <c r="T4" i="8"/>
  <c r="T21" i="8"/>
  <c r="T18" i="8"/>
  <c r="T5" i="8"/>
  <c r="T6" i="8"/>
  <c r="T17" i="8"/>
  <c r="T15" i="8"/>
  <c r="T20" i="8"/>
  <c r="T9" i="8"/>
  <c r="T13" i="8"/>
  <c r="T19" i="8"/>
  <c r="T8" i="8"/>
  <c r="T12" i="8"/>
  <c r="T22" i="8"/>
  <c r="T7" i="8"/>
  <c r="T10" i="8"/>
  <c r="T14" i="8"/>
  <c r="T16" i="8"/>
  <c r="T3" i="8"/>
  <c r="T11" i="8"/>
</calcChain>
</file>

<file path=xl/sharedStrings.xml><?xml version="1.0" encoding="utf-8"?>
<sst xmlns="http://schemas.openxmlformats.org/spreadsheetml/2006/main" count="4119" uniqueCount="264">
  <si>
    <t>Zeus</t>
  </si>
  <si>
    <t>Total per Champ:</t>
  </si>
  <si>
    <t>Total:</t>
  </si>
  <si>
    <t>Champion</t>
  </si>
  <si>
    <t>Games</t>
  </si>
  <si>
    <t>Winrate</t>
  </si>
  <si>
    <t>Wins</t>
  </si>
  <si>
    <t>Gnar</t>
  </si>
  <si>
    <t>Jayce</t>
  </si>
  <si>
    <t>Aatrox</t>
  </si>
  <si>
    <t>Gragas</t>
  </si>
  <si>
    <t>Gwen</t>
  </si>
  <si>
    <t>Yone</t>
  </si>
  <si>
    <t>Gankplank</t>
  </si>
  <si>
    <t>Ornn</t>
  </si>
  <si>
    <t>Kennen</t>
  </si>
  <si>
    <t>Jax</t>
  </si>
  <si>
    <t>Sion</t>
  </si>
  <si>
    <t>Twisted Fate</t>
  </si>
  <si>
    <t>Camille</t>
  </si>
  <si>
    <t>Fiora</t>
  </si>
  <si>
    <t>Zac</t>
  </si>
  <si>
    <t>Renekton</t>
  </si>
  <si>
    <t>Rumble</t>
  </si>
  <si>
    <t>Irelia</t>
  </si>
  <si>
    <t>Vayne</t>
  </si>
  <si>
    <t>Sejuani</t>
  </si>
  <si>
    <t>Akali</t>
  </si>
  <si>
    <t>Graves</t>
  </si>
  <si>
    <t>Karma</t>
  </si>
  <si>
    <t>Maokai</t>
  </si>
  <si>
    <t>Poppy</t>
  </si>
  <si>
    <t>Sylas</t>
  </si>
  <si>
    <t>Tryndamere</t>
  </si>
  <si>
    <t>Yasou</t>
  </si>
  <si>
    <t>Lucian</t>
  </si>
  <si>
    <t>Malphite</t>
  </si>
  <si>
    <t>Mordekaiser</t>
  </si>
  <si>
    <t>Rek'Sai</t>
  </si>
  <si>
    <t>Tristana</t>
  </si>
  <si>
    <t>Udyr</t>
  </si>
  <si>
    <t>Doran</t>
  </si>
  <si>
    <t>Akshan</t>
  </si>
  <si>
    <t>Kayle</t>
  </si>
  <si>
    <t>Quinn</t>
  </si>
  <si>
    <t>Jarvan IV</t>
  </si>
  <si>
    <t>Kiin</t>
  </si>
  <si>
    <t>Urgot</t>
  </si>
  <si>
    <t>Ryze</t>
  </si>
  <si>
    <t>Darius</t>
  </si>
  <si>
    <t>Olaf</t>
  </si>
  <si>
    <t>Canna</t>
  </si>
  <si>
    <t>LeBlanc</t>
  </si>
  <si>
    <t>DuDu</t>
  </si>
  <si>
    <t>Vladimir</t>
  </si>
  <si>
    <t>Garen</t>
  </si>
  <si>
    <t>Kingen</t>
  </si>
  <si>
    <t>Lee Sin</t>
  </si>
  <si>
    <t>Volibear</t>
  </si>
  <si>
    <t>Smolder</t>
  </si>
  <si>
    <t>Rascal</t>
  </si>
  <si>
    <t>Swain</t>
  </si>
  <si>
    <t>Illaoi</t>
  </si>
  <si>
    <t>Burdol</t>
  </si>
  <si>
    <t>Azir</t>
  </si>
  <si>
    <t>Morgan</t>
  </si>
  <si>
    <t>DnDn</t>
  </si>
  <si>
    <t>Trundle</t>
  </si>
  <si>
    <t>Oner</t>
  </si>
  <si>
    <t>Viego</t>
  </si>
  <si>
    <t>Xin Zhao</t>
  </si>
  <si>
    <t>Wukong</t>
  </si>
  <si>
    <t>Nocturne</t>
  </si>
  <si>
    <t>Vi</t>
  </si>
  <si>
    <t>Diana</t>
  </si>
  <si>
    <t>Hecarim</t>
  </si>
  <si>
    <t>Nidalee</t>
  </si>
  <si>
    <t>Pantheon</t>
  </si>
  <si>
    <t>Morgana</t>
  </si>
  <si>
    <t>Kha'Zix</t>
  </si>
  <si>
    <t>Rell</t>
  </si>
  <si>
    <t>Elise</t>
  </si>
  <si>
    <t>Ivern</t>
  </si>
  <si>
    <t>Lillia</t>
  </si>
  <si>
    <t>Bel'Veth</t>
  </si>
  <si>
    <t>Canyon</t>
  </si>
  <si>
    <t>Kayn</t>
  </si>
  <si>
    <t>Taliyah</t>
  </si>
  <si>
    <t>Qiyana</t>
  </si>
  <si>
    <t>Karthus</t>
  </si>
  <si>
    <t>Nautilus</t>
  </si>
  <si>
    <t>Neeko</t>
  </si>
  <si>
    <t>Brand</t>
  </si>
  <si>
    <t>Fiddlesticks</t>
  </si>
  <si>
    <t>Peanut</t>
  </si>
  <si>
    <t>Skarner</t>
  </si>
  <si>
    <t>Talon</t>
  </si>
  <si>
    <t>Cuzz</t>
  </si>
  <si>
    <t>Pyosik</t>
  </si>
  <si>
    <t>Rammus</t>
  </si>
  <si>
    <t>Shyvana</t>
  </si>
  <si>
    <t>Lucid</t>
  </si>
  <si>
    <t>UmTi</t>
  </si>
  <si>
    <t>Willer</t>
  </si>
  <si>
    <t>Croco</t>
  </si>
  <si>
    <t>Sylvie</t>
  </si>
  <si>
    <t>Chovy</t>
  </si>
  <si>
    <t>Ahri</t>
  </si>
  <si>
    <t>Corki</t>
  </si>
  <si>
    <t>Viktor</t>
  </si>
  <si>
    <t>Orianna</t>
  </si>
  <si>
    <t>Vex</t>
  </si>
  <si>
    <t>Galio</t>
  </si>
  <si>
    <t>Annie</t>
  </si>
  <si>
    <t>Lissandra</t>
  </si>
  <si>
    <t>Veigar</t>
  </si>
  <si>
    <t>Kassadin</t>
  </si>
  <si>
    <t>Aurelion Sol</t>
  </si>
  <si>
    <t>Hwei</t>
  </si>
  <si>
    <t>Zeka</t>
  </si>
  <si>
    <t>Zoe</t>
  </si>
  <si>
    <t>Faker</t>
  </si>
  <si>
    <t>Seraphine</t>
  </si>
  <si>
    <t>Sett</t>
  </si>
  <si>
    <t>Xerath</t>
  </si>
  <si>
    <t>Cassiopeia</t>
  </si>
  <si>
    <t>Showmaker</t>
  </si>
  <si>
    <t>Zilean</t>
  </si>
  <si>
    <t>Syndra</t>
  </si>
  <si>
    <t>Malzahar</t>
  </si>
  <si>
    <t>Clozer</t>
  </si>
  <si>
    <t>Bdd</t>
  </si>
  <si>
    <t>FATE</t>
  </si>
  <si>
    <t>Bulldog</t>
  </si>
  <si>
    <t>Ezreal</t>
  </si>
  <si>
    <t>FIESTA</t>
  </si>
  <si>
    <t>Karis</t>
  </si>
  <si>
    <t>Ruler</t>
  </si>
  <si>
    <t>Jinx</t>
  </si>
  <si>
    <t>Zeri</t>
  </si>
  <si>
    <t>Aphelios</t>
  </si>
  <si>
    <t>Xayah</t>
  </si>
  <si>
    <t>Jhin</t>
  </si>
  <si>
    <t>Senna</t>
  </si>
  <si>
    <t>Twitch</t>
  </si>
  <si>
    <t>Varus</t>
  </si>
  <si>
    <t>Sivir</t>
  </si>
  <si>
    <t>Ashe</t>
  </si>
  <si>
    <t>Miss Fortune</t>
  </si>
  <si>
    <t>Kalista</t>
  </si>
  <si>
    <t>Kai'Sa</t>
  </si>
  <si>
    <t>Caitlyn</t>
  </si>
  <si>
    <t>Samira</t>
  </si>
  <si>
    <t>Nilah</t>
  </si>
  <si>
    <t>Ziggs</t>
  </si>
  <si>
    <t>Peyz</t>
  </si>
  <si>
    <t>Draven</t>
  </si>
  <si>
    <t>Viper</t>
  </si>
  <si>
    <t>Deft</t>
  </si>
  <si>
    <t>Kog'Maw</t>
  </si>
  <si>
    <t>Gumayusi</t>
  </si>
  <si>
    <t>Cho'Gath</t>
  </si>
  <si>
    <t>Aiming</t>
  </si>
  <si>
    <t>Jiwoo</t>
  </si>
  <si>
    <t>Teddy</t>
  </si>
  <si>
    <t>Envyy</t>
  </si>
  <si>
    <t>Hena</t>
  </si>
  <si>
    <t>Keria</t>
  </si>
  <si>
    <t>Tahm Kench</t>
  </si>
  <si>
    <t>Renata Glasc</t>
  </si>
  <si>
    <t>Yuumi</t>
  </si>
  <si>
    <t>Thresh</t>
  </si>
  <si>
    <t>Nami</t>
  </si>
  <si>
    <t>Lulu</t>
  </si>
  <si>
    <t>Pyke</t>
  </si>
  <si>
    <t>Lux</t>
  </si>
  <si>
    <t>Rakan</t>
  </si>
  <si>
    <t>Amumu</t>
  </si>
  <si>
    <t>Leona</t>
  </si>
  <si>
    <t>Alistar</t>
  </si>
  <si>
    <t>Soraka</t>
  </si>
  <si>
    <t>Bard</t>
  </si>
  <si>
    <t>Braum</t>
  </si>
  <si>
    <t>Blitzcrank</t>
  </si>
  <si>
    <t>Heimerdinger</t>
  </si>
  <si>
    <t>Taric</t>
  </si>
  <si>
    <t>Milio</t>
  </si>
  <si>
    <t>Sona</t>
  </si>
  <si>
    <t>Lehends</t>
  </si>
  <si>
    <t>Singed</t>
  </si>
  <si>
    <t>Janna</t>
  </si>
  <si>
    <t>Shen</t>
  </si>
  <si>
    <t>Kellin</t>
  </si>
  <si>
    <t>Delight</t>
  </si>
  <si>
    <t>BeryL</t>
  </si>
  <si>
    <t>Zyra</t>
  </si>
  <si>
    <t>Life</t>
  </si>
  <si>
    <t>Kael</t>
  </si>
  <si>
    <t>Effort</t>
  </si>
  <si>
    <t>Peter</t>
  </si>
  <si>
    <t>Nasus</t>
  </si>
  <si>
    <t>Aurora</t>
  </si>
  <si>
    <t>PerfecT</t>
  </si>
  <si>
    <t>Clear</t>
  </si>
  <si>
    <t>YoungJae</t>
  </si>
  <si>
    <t>kyeahoo</t>
  </si>
  <si>
    <t>Andil</t>
  </si>
  <si>
    <t>Pleata</t>
  </si>
  <si>
    <t>Ambessa</t>
  </si>
  <si>
    <t>Anivia</t>
  </si>
  <si>
    <t>Yorick</t>
  </si>
  <si>
    <t>Naafiri</t>
  </si>
  <si>
    <t>Berserker</t>
  </si>
  <si>
    <t>Yunara</t>
  </si>
  <si>
    <t>Sponge</t>
  </si>
  <si>
    <t>Zed</t>
  </si>
  <si>
    <t>Hype</t>
  </si>
  <si>
    <t>Pollu</t>
  </si>
  <si>
    <t>Current Players to Add</t>
  </si>
  <si>
    <t>Rich</t>
  </si>
  <si>
    <t>Player</t>
  </si>
  <si>
    <t>Players will be added at 100 Games</t>
  </si>
  <si>
    <t>Calculator</t>
  </si>
  <si>
    <t>HamBak</t>
  </si>
  <si>
    <t>2025: Top</t>
  </si>
  <si>
    <t>Jungle</t>
  </si>
  <si>
    <t>Mid</t>
  </si>
  <si>
    <t>Adc</t>
  </si>
  <si>
    <t>Support</t>
  </si>
  <si>
    <t>%Pick</t>
  </si>
  <si>
    <t>Kindred</t>
  </si>
  <si>
    <t>Raptor</t>
  </si>
  <si>
    <t>GIDEON</t>
  </si>
  <si>
    <t>Mel</t>
  </si>
  <si>
    <t>Kled</t>
  </si>
  <si>
    <t>Vicla</t>
  </si>
  <si>
    <t>Ucal</t>
  </si>
  <si>
    <t>Fisher</t>
  </si>
  <si>
    <t>Calix</t>
  </si>
  <si>
    <t>Diable</t>
  </si>
  <si>
    <t>deokdam</t>
  </si>
  <si>
    <t>Duro</t>
  </si>
  <si>
    <t>%Total</t>
  </si>
  <si>
    <t>Top</t>
  </si>
  <si>
    <t>Games:</t>
  </si>
  <si>
    <t>Picks</t>
  </si>
  <si>
    <t>Total</t>
  </si>
  <si>
    <t>Bans</t>
  </si>
  <si>
    <t xml:space="preserve">Riven </t>
  </si>
  <si>
    <t>Teemo</t>
  </si>
  <si>
    <t>Pickrate</t>
  </si>
  <si>
    <t>Total Picks</t>
  </si>
  <si>
    <t>K'Sante</t>
  </si>
  <si>
    <t>Evelynn</t>
  </si>
  <si>
    <t>Rengar</t>
  </si>
  <si>
    <t>Nunu</t>
  </si>
  <si>
    <t>Vel'Koz</t>
  </si>
  <si>
    <t>Bottom</t>
  </si>
  <si>
    <t>K'sante</t>
  </si>
  <si>
    <t>Warwick</t>
  </si>
  <si>
    <t>Dr. Mundo</t>
  </si>
  <si>
    <t>Zaahen</t>
  </si>
  <si>
    <t>Ekko</t>
  </si>
  <si>
    <t>Siwoo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</si>
</sst>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5" fillId="0" borderId="0"/>
  </cellStyleXfs>
  <cellXfs count="47">
    <xf numFmtId="0" fontId="0" fillId="0" borderId="0" xfId="0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2" fontId="10" fillId="2" borderId="0" xfId="0" applyNumberFormat="1" applyFont="1" applyFill="1" applyAlignment="1">
      <alignment horizontal="center"/>
    </xf>
    <xf numFmtId="9" fontId="10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2" borderId="0" xfId="0" applyFont="1" applyFill="1" applyAlignment="1">
      <alignment horizontal="center"/>
    </xf>
    <xf numFmtId="9" fontId="10" fillId="2" borderId="0" xfId="0" applyNumberFormat="1" applyFont="1" applyFill="1" applyAlignment="1">
      <alignment horizontal="center"/>
    </xf>
    <xf numFmtId="16" fontId="12" fillId="0" borderId="0" xfId="0" applyNumberFormat="1" applyFont="1"/>
    <xf numFmtId="0" fontId="9" fillId="0" borderId="0" xfId="0" applyFont="1"/>
    <xf numFmtId="0" fontId="8" fillId="0" borderId="0" xfId="0" applyFont="1"/>
    <xf numFmtId="164" fontId="8" fillId="0" borderId="0" xfId="0" applyNumberFormat="1" applyFont="1" applyAlignment="1">
      <alignment horizontal="center"/>
    </xf>
    <xf numFmtId="0" fontId="7" fillId="0" borderId="0" xfId="0" applyFont="1"/>
    <xf numFmtId="0" fontId="6" fillId="0" borderId="0" xfId="0" applyFont="1"/>
    <xf numFmtId="0" fontId="5" fillId="0" borderId="0" xfId="0" applyFont="1"/>
    <xf numFmtId="164" fontId="5" fillId="0" borderId="0" xfId="0" applyNumberFormat="1" applyFont="1" applyAlignment="1">
      <alignment horizontal="center"/>
    </xf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1" fillId="0" borderId="0" xfId="0" applyFont="1"/>
    <xf numFmtId="0" fontId="11" fillId="0" borderId="0" xfId="0" applyFont="1" applyAlignment="1">
      <alignment horizontal="left"/>
    </xf>
    <xf numFmtId="0" fontId="13" fillId="0" borderId="0" xfId="0" applyFont="1"/>
    <xf numFmtId="0" fontId="1" fillId="0" borderId="0" xfId="0" applyFont="1" applyAlignment="1">
      <alignment horizontal="center"/>
    </xf>
    <xf numFmtId="0" fontId="14" fillId="0" borderId="0" xfId="0" applyFont="1"/>
    <xf numFmtId="0" fontId="1" fillId="2" borderId="0" xfId="0" applyFont="1" applyFill="1"/>
    <xf numFmtId="2" fontId="10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7" fillId="0" borderId="0" xfId="0" applyFont="1"/>
    <xf numFmtId="0" fontId="16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3" borderId="0" xfId="0" applyFont="1" applyFill="1"/>
    <xf numFmtId="0" fontId="10" fillId="3" borderId="0" xfId="0" applyFont="1" applyFill="1"/>
    <xf numFmtId="0" fontId="3" fillId="3" borderId="0" xfId="0" applyFont="1" applyFill="1"/>
    <xf numFmtId="0" fontId="0" fillId="3" borderId="0" xfId="0" applyFill="1"/>
    <xf numFmtId="0" fontId="12" fillId="4" borderId="0" xfId="0" applyFont="1" applyFill="1"/>
    <xf numFmtId="0" fontId="18" fillId="5" borderId="0" xfId="0" applyFont="1" applyFill="1"/>
  </cellXfs>
  <cellStyles count="2">
    <cellStyle name="Standard" xfId="0" builtinId="0"/>
    <cellStyle name="Standard 2" xfId="1" xr:uid="{9A48C19F-1051-408B-9D90-31CC943605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C061D-040D-49B3-844F-20FDD4AB3E8F}">
  <sheetPr>
    <tabColor theme="1" tint="0.499984740745262"/>
  </sheetPr>
  <dimension ref="A1:N34"/>
  <sheetViews>
    <sheetView workbookViewId="0">
      <selection activeCell="K17" sqref="K17"/>
    </sheetView>
  </sheetViews>
  <sheetFormatPr baseColWidth="10" defaultRowHeight="15" x14ac:dyDescent="0.25"/>
  <cols>
    <col min="1" max="16384" width="11.42578125" style="25"/>
  </cols>
  <sheetData>
    <row r="1" spans="1:14" ht="18.75" x14ac:dyDescent="0.3">
      <c r="A1" s="27" t="s">
        <v>218</v>
      </c>
      <c r="E1" s="25" t="s">
        <v>222</v>
      </c>
      <c r="F1" s="4">
        <f>E2+F2</f>
        <v>56</v>
      </c>
    </row>
    <row r="2" spans="1:14" x14ac:dyDescent="0.25">
      <c r="A2" s="29" t="s">
        <v>221</v>
      </c>
      <c r="E2" s="30">
        <v>51</v>
      </c>
      <c r="F2" s="30">
        <v>5</v>
      </c>
    </row>
    <row r="4" spans="1:14" ht="15.75" x14ac:dyDescent="0.25">
      <c r="A4" s="26" t="s">
        <v>224</v>
      </c>
      <c r="D4" s="4" t="s">
        <v>225</v>
      </c>
      <c r="E4" s="4"/>
      <c r="F4" s="4"/>
      <c r="G4" s="4" t="s">
        <v>226</v>
      </c>
      <c r="H4" s="4"/>
      <c r="I4" s="4"/>
      <c r="J4" s="4" t="s">
        <v>227</v>
      </c>
      <c r="K4" s="4"/>
      <c r="L4" s="4"/>
      <c r="M4" s="4" t="s">
        <v>228</v>
      </c>
    </row>
    <row r="5" spans="1:14" x14ac:dyDescent="0.25">
      <c r="A5" s="4" t="s">
        <v>220</v>
      </c>
      <c r="B5" s="4" t="s">
        <v>4</v>
      </c>
      <c r="C5" s="4"/>
      <c r="D5" s="4" t="s">
        <v>220</v>
      </c>
      <c r="E5" s="4" t="s">
        <v>4</v>
      </c>
      <c r="G5" s="4" t="s">
        <v>220</v>
      </c>
      <c r="H5" s="4" t="s">
        <v>4</v>
      </c>
      <c r="J5" s="4" t="s">
        <v>220</v>
      </c>
      <c r="K5" s="4" t="s">
        <v>4</v>
      </c>
      <c r="M5" s="4" t="s">
        <v>220</v>
      </c>
      <c r="N5" s="4" t="s">
        <v>4</v>
      </c>
    </row>
    <row r="6" spans="1:14" x14ac:dyDescent="0.25">
      <c r="A6" s="25" t="s">
        <v>219</v>
      </c>
      <c r="B6" s="28">
        <v>97</v>
      </c>
      <c r="D6" s="25" t="s">
        <v>223</v>
      </c>
      <c r="E6" s="28">
        <v>56</v>
      </c>
      <c r="G6" s="25" t="s">
        <v>236</v>
      </c>
      <c r="J6" s="25" t="s">
        <v>239</v>
      </c>
    </row>
    <row r="7" spans="1:14" x14ac:dyDescent="0.25">
      <c r="B7" s="28"/>
      <c r="G7" s="25" t="s">
        <v>238</v>
      </c>
    </row>
    <row r="8" spans="1:14" x14ac:dyDescent="0.25">
      <c r="B8" s="28"/>
      <c r="G8" s="25" t="s">
        <v>237</v>
      </c>
    </row>
    <row r="9" spans="1:14" x14ac:dyDescent="0.25">
      <c r="B9" s="28"/>
    </row>
    <row r="10" spans="1:14" x14ac:dyDescent="0.25">
      <c r="B10" s="28"/>
    </row>
    <row r="11" spans="1:14" x14ac:dyDescent="0.25">
      <c r="B11" s="28"/>
    </row>
    <row r="12" spans="1:14" x14ac:dyDescent="0.25">
      <c r="B12" s="28"/>
    </row>
    <row r="13" spans="1:14" x14ac:dyDescent="0.25">
      <c r="B13" s="28"/>
    </row>
    <row r="14" spans="1:14" x14ac:dyDescent="0.25">
      <c r="B14" s="28"/>
    </row>
    <row r="15" spans="1:14" x14ac:dyDescent="0.25">
      <c r="B15" s="28"/>
    </row>
    <row r="16" spans="1:14" x14ac:dyDescent="0.25">
      <c r="B16" s="28"/>
    </row>
    <row r="17" spans="2:2" x14ac:dyDescent="0.25">
      <c r="B17" s="28"/>
    </row>
    <row r="18" spans="2:2" x14ac:dyDescent="0.25">
      <c r="B18" s="28"/>
    </row>
    <row r="19" spans="2:2" x14ac:dyDescent="0.25">
      <c r="B19" s="28"/>
    </row>
    <row r="20" spans="2:2" x14ac:dyDescent="0.25">
      <c r="B20" s="28"/>
    </row>
    <row r="21" spans="2:2" x14ac:dyDescent="0.25">
      <c r="B21" s="28"/>
    </row>
    <row r="22" spans="2:2" x14ac:dyDescent="0.25">
      <c r="B22" s="28"/>
    </row>
    <row r="23" spans="2:2" x14ac:dyDescent="0.25">
      <c r="B23" s="28"/>
    </row>
    <row r="24" spans="2:2" x14ac:dyDescent="0.25">
      <c r="B24" s="28"/>
    </row>
    <row r="25" spans="2:2" x14ac:dyDescent="0.25">
      <c r="B25" s="28"/>
    </row>
    <row r="26" spans="2:2" x14ac:dyDescent="0.25">
      <c r="B26" s="28"/>
    </row>
    <row r="27" spans="2:2" x14ac:dyDescent="0.25">
      <c r="B27" s="28"/>
    </row>
    <row r="28" spans="2:2" x14ac:dyDescent="0.25">
      <c r="B28" s="28"/>
    </row>
    <row r="29" spans="2:2" x14ac:dyDescent="0.25">
      <c r="B29" s="28"/>
    </row>
    <row r="30" spans="2:2" x14ac:dyDescent="0.25">
      <c r="B30" s="28"/>
    </row>
    <row r="31" spans="2:2" x14ac:dyDescent="0.25">
      <c r="B31" s="28"/>
    </row>
    <row r="32" spans="2:2" x14ac:dyDescent="0.25">
      <c r="B32" s="28"/>
    </row>
    <row r="33" spans="2:2" x14ac:dyDescent="0.25">
      <c r="B33" s="28"/>
    </row>
    <row r="34" spans="2:2" x14ac:dyDescent="0.25">
      <c r="B34" s="28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89431-F43E-455A-BE9F-7C7655D55515}">
  <sheetPr>
    <tabColor theme="4" tint="0.59999389629810485"/>
  </sheetPr>
  <dimension ref="A1:AD227"/>
  <sheetViews>
    <sheetView workbookViewId="0">
      <selection activeCell="A4" sqref="A4"/>
    </sheetView>
  </sheetViews>
  <sheetFormatPr baseColWidth="10" defaultColWidth="8.5703125" defaultRowHeight="15" x14ac:dyDescent="0.25"/>
  <cols>
    <col min="1" max="1" width="11.42578125" customWidth="1"/>
    <col min="2" max="5" width="10" customWidth="1"/>
    <col min="6" max="6" width="4.28515625" style="39" customWidth="1"/>
    <col min="7" max="10" width="10" customWidth="1"/>
    <col min="11" max="11" width="4.28515625" style="39" customWidth="1"/>
    <col min="12" max="15" width="10" customWidth="1"/>
    <col min="16" max="16" width="4.28515625" style="39" customWidth="1"/>
    <col min="17" max="20" width="10" customWidth="1"/>
    <col min="21" max="21" width="4.28515625" style="39" customWidth="1"/>
    <col min="22" max="25" width="10" customWidth="1"/>
    <col min="26" max="26" width="4.28515625" style="39" customWidth="1"/>
    <col min="27" max="29" width="10" customWidth="1"/>
  </cols>
  <sheetData>
    <row r="1" spans="1:30" ht="15.75" x14ac:dyDescent="0.25">
      <c r="A1" s="36" t="s">
        <v>243</v>
      </c>
      <c r="B1" s="34">
        <v>2022</v>
      </c>
      <c r="C1" s="35" t="s">
        <v>244</v>
      </c>
      <c r="D1" s="37">
        <v>686</v>
      </c>
      <c r="G1" s="34">
        <v>2023</v>
      </c>
      <c r="H1" s="35" t="s">
        <v>244</v>
      </c>
      <c r="I1" s="37">
        <v>688</v>
      </c>
      <c r="L1" s="34">
        <v>2024</v>
      </c>
      <c r="M1" s="35" t="s">
        <v>244</v>
      </c>
      <c r="N1" s="37">
        <v>679</v>
      </c>
      <c r="Q1" s="34">
        <v>2025</v>
      </c>
      <c r="R1" s="35" t="s">
        <v>244</v>
      </c>
      <c r="S1" s="37">
        <v>754</v>
      </c>
      <c r="V1" s="34">
        <v>2026</v>
      </c>
      <c r="W1" s="35" t="s">
        <v>244</v>
      </c>
      <c r="X1" s="37">
        <v>125</v>
      </c>
    </row>
    <row r="2" spans="1:30" x14ac:dyDescent="0.25">
      <c r="A2" s="33" t="s">
        <v>3</v>
      </c>
      <c r="B2" s="33" t="s">
        <v>245</v>
      </c>
      <c r="C2" s="33" t="s">
        <v>246</v>
      </c>
      <c r="D2" s="33" t="s">
        <v>247</v>
      </c>
      <c r="E2" s="33" t="s">
        <v>6</v>
      </c>
      <c r="G2" s="33" t="s">
        <v>245</v>
      </c>
      <c r="H2" s="33" t="s">
        <v>246</v>
      </c>
      <c r="I2" s="33" t="s">
        <v>247</v>
      </c>
      <c r="J2" s="33" t="s">
        <v>6</v>
      </c>
      <c r="L2" s="33" t="s">
        <v>245</v>
      </c>
      <c r="M2" s="33" t="s">
        <v>246</v>
      </c>
      <c r="N2" s="33" t="s">
        <v>247</v>
      </c>
      <c r="O2" s="33" t="s">
        <v>6</v>
      </c>
      <c r="Q2" s="33" t="s">
        <v>245</v>
      </c>
      <c r="R2" s="33" t="s">
        <v>246</v>
      </c>
      <c r="S2" s="33" t="s">
        <v>247</v>
      </c>
      <c r="T2" s="33" t="s">
        <v>6</v>
      </c>
      <c r="V2" s="33" t="s">
        <v>245</v>
      </c>
      <c r="W2" s="33" t="s">
        <v>246</v>
      </c>
      <c r="X2" s="33" t="s">
        <v>247</v>
      </c>
      <c r="Y2" s="33" t="s">
        <v>6</v>
      </c>
      <c r="AA2" s="37" t="s">
        <v>251</v>
      </c>
      <c r="AB2" s="37" t="s">
        <v>250</v>
      </c>
      <c r="AC2" s="37" t="s">
        <v>5</v>
      </c>
      <c r="AD2" s="37"/>
    </row>
    <row r="3" spans="1:30" x14ac:dyDescent="0.25">
      <c r="A3" t="s">
        <v>22</v>
      </c>
      <c r="B3" s="34">
        <v>64</v>
      </c>
      <c r="C3" s="34">
        <v>67</v>
      </c>
      <c r="D3" s="34">
        <v>156</v>
      </c>
      <c r="E3" s="34">
        <v>28</v>
      </c>
      <c r="F3" s="40"/>
      <c r="G3" s="34">
        <v>215</v>
      </c>
      <c r="H3" s="34">
        <v>216</v>
      </c>
      <c r="I3" s="34">
        <v>208</v>
      </c>
      <c r="J3" s="34">
        <v>103</v>
      </c>
      <c r="K3" s="40"/>
      <c r="L3" s="34">
        <v>119</v>
      </c>
      <c r="M3" s="34">
        <v>121</v>
      </c>
      <c r="N3" s="34">
        <v>141</v>
      </c>
      <c r="O3" s="34">
        <v>45</v>
      </c>
      <c r="P3" s="40"/>
      <c r="Q3" s="34">
        <v>85</v>
      </c>
      <c r="R3" s="34">
        <v>87</v>
      </c>
      <c r="S3" s="34">
        <v>79</v>
      </c>
      <c r="T3" s="34">
        <v>53</v>
      </c>
      <c r="U3" s="40"/>
      <c r="V3" s="34">
        <v>28</v>
      </c>
      <c r="W3" s="34">
        <v>28</v>
      </c>
      <c r="X3" s="34">
        <v>18</v>
      </c>
      <c r="Y3" s="34">
        <v>14</v>
      </c>
      <c r="Z3" s="40"/>
      <c r="AA3" s="34">
        <f t="shared" ref="AA3:AA34" si="0">B3+G3+L3+Q3+V3</f>
        <v>511</v>
      </c>
      <c r="AB3" s="38">
        <f t="shared" ref="AB3:AB34" si="1">(AA3+(B3/C3*D3+G3/H3*I3+L3/M3*N3+Q3/R3*S3+V3/W3*X3))/($D$1+$I$1+$N$1+$S$1+$X$1)</f>
        <v>0.37547929466021546</v>
      </c>
      <c r="AC3" s="38">
        <f t="shared" ref="AC3:AC34" si="2">(E3+J3+O3+T3+Y3)/(AA3)</f>
        <v>0.47553816046966729</v>
      </c>
    </row>
    <row r="4" spans="1:30" x14ac:dyDescent="0.25">
      <c r="A4" t="s">
        <v>252</v>
      </c>
      <c r="B4" s="34"/>
      <c r="C4" s="34">
        <v>1</v>
      </c>
      <c r="D4" s="34"/>
      <c r="E4" s="34"/>
      <c r="F4" s="40"/>
      <c r="G4" s="34">
        <v>245</v>
      </c>
      <c r="H4" s="34">
        <v>269</v>
      </c>
      <c r="I4" s="34">
        <v>192</v>
      </c>
      <c r="J4" s="34">
        <v>115</v>
      </c>
      <c r="K4" s="40"/>
      <c r="L4" s="34">
        <v>278</v>
      </c>
      <c r="M4" s="34">
        <v>279</v>
      </c>
      <c r="N4" s="34">
        <v>154</v>
      </c>
      <c r="O4" s="34">
        <v>149</v>
      </c>
      <c r="P4" s="40"/>
      <c r="Q4" s="34">
        <v>120</v>
      </c>
      <c r="R4" s="34">
        <v>120</v>
      </c>
      <c r="S4" s="34">
        <v>60</v>
      </c>
      <c r="T4" s="34">
        <v>50</v>
      </c>
      <c r="U4" s="40"/>
      <c r="V4" s="34">
        <v>25</v>
      </c>
      <c r="W4" s="34">
        <v>25</v>
      </c>
      <c r="X4" s="34">
        <v>14</v>
      </c>
      <c r="Y4" s="34">
        <v>14</v>
      </c>
      <c r="Z4" s="40"/>
      <c r="AA4" s="34">
        <f t="shared" si="0"/>
        <v>668</v>
      </c>
      <c r="AB4" s="38">
        <f t="shared" si="1"/>
        <v>0.36504703859129317</v>
      </c>
      <c r="AC4" s="38">
        <f t="shared" si="2"/>
        <v>0.49101796407185627</v>
      </c>
    </row>
    <row r="5" spans="1:30" x14ac:dyDescent="0.25">
      <c r="A5" t="s">
        <v>23</v>
      </c>
      <c r="B5" s="34">
        <v>6</v>
      </c>
      <c r="C5" s="34">
        <v>7</v>
      </c>
      <c r="D5" s="34">
        <v>1</v>
      </c>
      <c r="E5" s="34">
        <v>2</v>
      </c>
      <c r="F5" s="40"/>
      <c r="G5" s="34">
        <v>45</v>
      </c>
      <c r="H5" s="34">
        <v>48</v>
      </c>
      <c r="I5" s="34">
        <v>104</v>
      </c>
      <c r="J5" s="34">
        <v>26</v>
      </c>
      <c r="K5" s="40"/>
      <c r="L5" s="34">
        <v>109</v>
      </c>
      <c r="M5" s="34">
        <v>121</v>
      </c>
      <c r="N5" s="34">
        <v>314</v>
      </c>
      <c r="O5" s="34">
        <v>64</v>
      </c>
      <c r="P5" s="40"/>
      <c r="Q5" s="34">
        <v>211</v>
      </c>
      <c r="R5" s="34">
        <v>211</v>
      </c>
      <c r="S5" s="34">
        <v>171</v>
      </c>
      <c r="T5" s="34">
        <v>106</v>
      </c>
      <c r="U5" s="40"/>
      <c r="V5" s="34">
        <v>19</v>
      </c>
      <c r="W5" s="34">
        <v>19</v>
      </c>
      <c r="X5" s="34">
        <v>75</v>
      </c>
      <c r="Y5" s="34">
        <v>10</v>
      </c>
      <c r="Z5" s="40"/>
      <c r="AA5" s="34">
        <f t="shared" si="0"/>
        <v>390</v>
      </c>
      <c r="AB5" s="38">
        <f t="shared" si="1"/>
        <v>0.34693610061029134</v>
      </c>
      <c r="AC5" s="38">
        <f t="shared" si="2"/>
        <v>0.53333333333333333</v>
      </c>
    </row>
    <row r="6" spans="1:30" x14ac:dyDescent="0.25">
      <c r="A6" t="s">
        <v>11</v>
      </c>
      <c r="B6" s="34">
        <v>189</v>
      </c>
      <c r="C6" s="34">
        <v>194</v>
      </c>
      <c r="D6" s="34">
        <v>173</v>
      </c>
      <c r="E6" s="34">
        <v>84</v>
      </c>
      <c r="F6" s="40"/>
      <c r="G6" s="34">
        <v>32</v>
      </c>
      <c r="H6" s="34">
        <v>32</v>
      </c>
      <c r="I6" s="34">
        <v>36</v>
      </c>
      <c r="J6" s="34">
        <v>14</v>
      </c>
      <c r="K6" s="40"/>
      <c r="L6" s="34">
        <v>17</v>
      </c>
      <c r="M6" s="34">
        <v>17</v>
      </c>
      <c r="N6" s="34">
        <v>3</v>
      </c>
      <c r="O6" s="34">
        <v>6</v>
      </c>
      <c r="P6" s="40"/>
      <c r="Q6" s="34">
        <v>121</v>
      </c>
      <c r="R6" s="34">
        <v>121</v>
      </c>
      <c r="S6" s="34">
        <v>197</v>
      </c>
      <c r="T6" s="34">
        <v>67</v>
      </c>
      <c r="U6" s="40"/>
      <c r="V6" s="34">
        <v>22</v>
      </c>
      <c r="W6" s="34">
        <v>22</v>
      </c>
      <c r="X6" s="34">
        <v>30</v>
      </c>
      <c r="Y6" s="34">
        <v>16</v>
      </c>
      <c r="Z6" s="40"/>
      <c r="AA6" s="34">
        <f t="shared" si="0"/>
        <v>381</v>
      </c>
      <c r="AB6" s="38">
        <f t="shared" si="1"/>
        <v>0.27815185440429813</v>
      </c>
      <c r="AC6" s="38">
        <f t="shared" si="2"/>
        <v>0.49081364829396323</v>
      </c>
    </row>
    <row r="7" spans="1:30" x14ac:dyDescent="0.25">
      <c r="A7" t="s">
        <v>7</v>
      </c>
      <c r="B7" s="34">
        <v>188</v>
      </c>
      <c r="C7" s="34">
        <v>188</v>
      </c>
      <c r="D7" s="34">
        <v>75</v>
      </c>
      <c r="E7" s="34">
        <v>93</v>
      </c>
      <c r="F7" s="40"/>
      <c r="G7" s="34">
        <v>129</v>
      </c>
      <c r="H7" s="34">
        <v>129</v>
      </c>
      <c r="I7" s="34">
        <v>70</v>
      </c>
      <c r="J7" s="34">
        <v>76</v>
      </c>
      <c r="K7" s="40"/>
      <c r="L7" s="34">
        <v>141</v>
      </c>
      <c r="M7" s="34">
        <v>141</v>
      </c>
      <c r="N7" s="34">
        <v>74</v>
      </c>
      <c r="O7" s="34">
        <v>71</v>
      </c>
      <c r="P7" s="40"/>
      <c r="Q7" s="34">
        <v>50</v>
      </c>
      <c r="R7" s="34">
        <v>50</v>
      </c>
      <c r="S7" s="34">
        <v>34</v>
      </c>
      <c r="T7" s="34">
        <v>22</v>
      </c>
      <c r="U7" s="40"/>
      <c r="V7" s="34">
        <v>23</v>
      </c>
      <c r="W7" s="34">
        <v>23</v>
      </c>
      <c r="X7" s="34">
        <v>15</v>
      </c>
      <c r="Y7" s="34">
        <v>13</v>
      </c>
      <c r="Z7" s="40"/>
      <c r="AA7" s="34">
        <f t="shared" si="0"/>
        <v>531</v>
      </c>
      <c r="AB7" s="38">
        <f t="shared" si="1"/>
        <v>0.27251023192360163</v>
      </c>
      <c r="AC7" s="38">
        <f t="shared" si="2"/>
        <v>0.51789077212806023</v>
      </c>
    </row>
    <row r="8" spans="1:30" x14ac:dyDescent="0.25">
      <c r="A8" t="s">
        <v>16</v>
      </c>
      <c r="B8" s="34">
        <v>36</v>
      </c>
      <c r="C8" s="34">
        <v>36</v>
      </c>
      <c r="D8" s="34">
        <v>25</v>
      </c>
      <c r="E8" s="34">
        <v>19</v>
      </c>
      <c r="F8" s="40"/>
      <c r="G8" s="34">
        <v>188</v>
      </c>
      <c r="H8" s="34">
        <v>189</v>
      </c>
      <c r="I8" s="34">
        <v>185</v>
      </c>
      <c r="J8" s="34">
        <v>93</v>
      </c>
      <c r="K8" s="40"/>
      <c r="L8" s="34">
        <v>103</v>
      </c>
      <c r="M8" s="34">
        <v>121</v>
      </c>
      <c r="N8" s="34">
        <v>105</v>
      </c>
      <c r="O8" s="34">
        <v>45</v>
      </c>
      <c r="P8" s="40"/>
      <c r="Q8" s="34">
        <v>76</v>
      </c>
      <c r="R8" s="34">
        <v>78</v>
      </c>
      <c r="S8" s="34">
        <v>55</v>
      </c>
      <c r="T8" s="34">
        <v>39</v>
      </c>
      <c r="U8" s="40"/>
      <c r="V8" s="34">
        <v>9</v>
      </c>
      <c r="W8" s="34">
        <v>11</v>
      </c>
      <c r="X8" s="34">
        <v>8</v>
      </c>
      <c r="Y8" s="34">
        <v>3</v>
      </c>
      <c r="Z8" s="40"/>
      <c r="AA8" s="34">
        <f t="shared" si="0"/>
        <v>412</v>
      </c>
      <c r="AB8" s="38">
        <f t="shared" si="1"/>
        <v>0.262802362703144</v>
      </c>
      <c r="AC8" s="38">
        <f t="shared" si="2"/>
        <v>0.48300970873786409</v>
      </c>
    </row>
    <row r="9" spans="1:30" x14ac:dyDescent="0.25">
      <c r="A9" t="s">
        <v>8</v>
      </c>
      <c r="B9" s="34">
        <v>64</v>
      </c>
      <c r="C9" s="34">
        <v>66</v>
      </c>
      <c r="D9" s="34">
        <v>91</v>
      </c>
      <c r="E9" s="34">
        <v>40</v>
      </c>
      <c r="F9" s="40"/>
      <c r="G9" s="34">
        <v>57</v>
      </c>
      <c r="H9" s="34">
        <v>143</v>
      </c>
      <c r="I9" s="34">
        <v>154</v>
      </c>
      <c r="J9" s="34">
        <v>32</v>
      </c>
      <c r="K9" s="40"/>
      <c r="L9" s="34">
        <v>18</v>
      </c>
      <c r="M9" s="34">
        <v>29</v>
      </c>
      <c r="N9" s="34">
        <v>38</v>
      </c>
      <c r="O9" s="34">
        <v>10</v>
      </c>
      <c r="P9" s="40"/>
      <c r="Q9" s="34">
        <v>115</v>
      </c>
      <c r="R9" s="34">
        <v>126</v>
      </c>
      <c r="S9" s="34">
        <v>118</v>
      </c>
      <c r="T9" s="34">
        <v>56</v>
      </c>
      <c r="U9" s="40"/>
      <c r="V9" s="34">
        <v>5</v>
      </c>
      <c r="W9" s="34">
        <v>11</v>
      </c>
      <c r="X9" s="34">
        <v>74</v>
      </c>
      <c r="Y9" s="34">
        <v>2</v>
      </c>
      <c r="Z9" s="40"/>
      <c r="AA9" s="34">
        <f t="shared" si="0"/>
        <v>259</v>
      </c>
      <c r="AB9" s="38">
        <f t="shared" si="1"/>
        <v>0.19561665172522771</v>
      </c>
      <c r="AC9" s="38">
        <f t="shared" si="2"/>
        <v>0.54054054054054057</v>
      </c>
    </row>
    <row r="10" spans="1:30" x14ac:dyDescent="0.25">
      <c r="A10" t="s">
        <v>9</v>
      </c>
      <c r="B10" s="34">
        <v>81</v>
      </c>
      <c r="C10" s="34">
        <v>82</v>
      </c>
      <c r="D10" s="34">
        <v>91</v>
      </c>
      <c r="E10" s="34">
        <v>48</v>
      </c>
      <c r="F10" s="40"/>
      <c r="G10" s="34">
        <v>61</v>
      </c>
      <c r="H10" s="34">
        <v>61</v>
      </c>
      <c r="I10" s="34">
        <v>24</v>
      </c>
      <c r="J10" s="34">
        <v>27</v>
      </c>
      <c r="K10" s="40"/>
      <c r="L10" s="34">
        <v>111</v>
      </c>
      <c r="M10" s="34">
        <v>111</v>
      </c>
      <c r="N10" s="34">
        <v>40</v>
      </c>
      <c r="O10" s="34">
        <v>54</v>
      </c>
      <c r="P10" s="40"/>
      <c r="Q10" s="34">
        <v>68</v>
      </c>
      <c r="R10" s="34">
        <v>68</v>
      </c>
      <c r="S10" s="34">
        <v>19</v>
      </c>
      <c r="T10" s="34">
        <v>35</v>
      </c>
      <c r="U10" s="40"/>
      <c r="V10" s="34">
        <v>5</v>
      </c>
      <c r="W10" s="34">
        <v>14</v>
      </c>
      <c r="X10" s="34">
        <v>1</v>
      </c>
      <c r="Y10" s="34">
        <v>2</v>
      </c>
      <c r="Z10" s="40"/>
      <c r="AA10" s="34">
        <f t="shared" si="0"/>
        <v>326</v>
      </c>
      <c r="AB10" s="38">
        <f t="shared" si="1"/>
        <v>0.17027537065470053</v>
      </c>
      <c r="AC10" s="38">
        <f t="shared" si="2"/>
        <v>0.50920245398773001</v>
      </c>
    </row>
    <row r="11" spans="1:30" x14ac:dyDescent="0.25">
      <c r="A11" t="s">
        <v>14</v>
      </c>
      <c r="B11" s="34">
        <v>94</v>
      </c>
      <c r="C11" s="34">
        <v>97</v>
      </c>
      <c r="D11" s="34">
        <v>100</v>
      </c>
      <c r="E11" s="34">
        <v>49</v>
      </c>
      <c r="F11" s="40"/>
      <c r="G11" s="34">
        <v>39</v>
      </c>
      <c r="H11" s="34">
        <v>39</v>
      </c>
      <c r="I11" s="34">
        <v>14</v>
      </c>
      <c r="J11" s="34">
        <v>17</v>
      </c>
      <c r="K11" s="40"/>
      <c r="L11" s="34">
        <v>16</v>
      </c>
      <c r="M11" s="34">
        <v>41</v>
      </c>
      <c r="N11" s="34">
        <v>6</v>
      </c>
      <c r="O11" s="34">
        <v>9</v>
      </c>
      <c r="P11" s="40"/>
      <c r="Q11" s="34">
        <v>59</v>
      </c>
      <c r="R11" s="34">
        <v>60</v>
      </c>
      <c r="S11" s="34">
        <v>44</v>
      </c>
      <c r="T11" s="34">
        <v>33</v>
      </c>
      <c r="U11" s="40"/>
      <c r="V11" s="34">
        <v>6</v>
      </c>
      <c r="W11" s="34">
        <v>6</v>
      </c>
      <c r="X11" s="34">
        <v>1</v>
      </c>
      <c r="Y11" s="34">
        <v>2</v>
      </c>
      <c r="Z11" s="40"/>
      <c r="AA11" s="34">
        <f t="shared" si="0"/>
        <v>214</v>
      </c>
      <c r="AB11" s="38">
        <f t="shared" si="1"/>
        <v>0.12671055476676199</v>
      </c>
      <c r="AC11" s="38">
        <f t="shared" si="2"/>
        <v>0.51401869158878499</v>
      </c>
    </row>
    <row r="12" spans="1:30" x14ac:dyDescent="0.25">
      <c r="A12" t="s">
        <v>17</v>
      </c>
      <c r="B12" s="34">
        <v>18</v>
      </c>
      <c r="C12" s="34">
        <v>20</v>
      </c>
      <c r="D12" s="34">
        <v>2</v>
      </c>
      <c r="E12" s="34">
        <v>8</v>
      </c>
      <c r="F12" s="40"/>
      <c r="G12" s="34">
        <v>59</v>
      </c>
      <c r="H12" s="34">
        <v>63</v>
      </c>
      <c r="I12" s="34">
        <v>30</v>
      </c>
      <c r="J12" s="34">
        <v>29</v>
      </c>
      <c r="K12" s="40"/>
      <c r="L12" s="34">
        <v>4</v>
      </c>
      <c r="M12" s="34">
        <v>7</v>
      </c>
      <c r="N12" s="34">
        <v>0</v>
      </c>
      <c r="O12" s="34">
        <v>1</v>
      </c>
      <c r="P12" s="40"/>
      <c r="Q12" s="34">
        <v>127</v>
      </c>
      <c r="R12" s="34">
        <v>127</v>
      </c>
      <c r="S12" s="34">
        <v>88</v>
      </c>
      <c r="T12" s="34">
        <v>67</v>
      </c>
      <c r="U12" s="40"/>
      <c r="V12" s="34">
        <v>27</v>
      </c>
      <c r="W12" s="34">
        <v>27</v>
      </c>
      <c r="X12" s="34">
        <v>7</v>
      </c>
      <c r="Y12" s="34">
        <v>6</v>
      </c>
      <c r="Z12" s="40"/>
      <c r="AA12" s="34">
        <f t="shared" si="0"/>
        <v>235</v>
      </c>
      <c r="AB12" s="38">
        <f t="shared" si="1"/>
        <v>0.12274735269278243</v>
      </c>
      <c r="AC12" s="38">
        <f t="shared" si="2"/>
        <v>0.47234042553191491</v>
      </c>
    </row>
    <row r="13" spans="1:30" x14ac:dyDescent="0.25">
      <c r="A13" t="s">
        <v>208</v>
      </c>
      <c r="B13" s="34"/>
      <c r="C13" s="34">
        <v>1</v>
      </c>
      <c r="D13" s="34"/>
      <c r="E13" s="34"/>
      <c r="F13" s="40"/>
      <c r="G13" s="34"/>
      <c r="H13" s="34">
        <v>1</v>
      </c>
      <c r="I13" s="34"/>
      <c r="J13" s="34"/>
      <c r="K13" s="40"/>
      <c r="L13" s="34"/>
      <c r="M13" s="34">
        <v>1</v>
      </c>
      <c r="N13" s="34"/>
      <c r="O13" s="34"/>
      <c r="P13" s="40"/>
      <c r="Q13" s="34">
        <v>172</v>
      </c>
      <c r="R13" s="34">
        <v>176</v>
      </c>
      <c r="S13" s="34">
        <v>127</v>
      </c>
      <c r="T13" s="34">
        <v>67</v>
      </c>
      <c r="U13" s="40"/>
      <c r="V13" s="34">
        <v>20</v>
      </c>
      <c r="W13" s="34">
        <v>31</v>
      </c>
      <c r="X13" s="34">
        <v>33</v>
      </c>
      <c r="Y13" s="34">
        <v>10</v>
      </c>
      <c r="Z13" s="40"/>
      <c r="AA13" s="34">
        <f t="shared" si="0"/>
        <v>192</v>
      </c>
      <c r="AB13" s="38">
        <f t="shared" si="1"/>
        <v>0.11507638436025971</v>
      </c>
      <c r="AC13" s="38">
        <f t="shared" si="2"/>
        <v>0.40104166666666669</v>
      </c>
    </row>
    <row r="14" spans="1:30" x14ac:dyDescent="0.25">
      <c r="A14" t="s">
        <v>10</v>
      </c>
      <c r="B14" s="34">
        <v>99</v>
      </c>
      <c r="C14" s="34">
        <v>108</v>
      </c>
      <c r="D14" s="34">
        <v>38</v>
      </c>
      <c r="E14" s="34">
        <v>53</v>
      </c>
      <c r="F14" s="40"/>
      <c r="G14" s="34">
        <v>80</v>
      </c>
      <c r="H14" s="34">
        <v>118</v>
      </c>
      <c r="I14" s="34">
        <v>77</v>
      </c>
      <c r="J14" s="34">
        <v>46</v>
      </c>
      <c r="K14" s="40"/>
      <c r="L14" s="34">
        <v>12</v>
      </c>
      <c r="M14" s="34">
        <v>15</v>
      </c>
      <c r="N14" s="34">
        <v>3</v>
      </c>
      <c r="O14" s="34">
        <v>9</v>
      </c>
      <c r="P14" s="40"/>
      <c r="Q14" s="34">
        <v>23</v>
      </c>
      <c r="R14" s="34">
        <v>32</v>
      </c>
      <c r="S14" s="34">
        <v>12</v>
      </c>
      <c r="T14" s="34">
        <v>11</v>
      </c>
      <c r="U14" s="40"/>
      <c r="V14" s="34">
        <v>2</v>
      </c>
      <c r="W14" s="34">
        <v>2</v>
      </c>
      <c r="X14" s="34">
        <v>0</v>
      </c>
      <c r="Y14" s="34">
        <v>0</v>
      </c>
      <c r="Z14" s="40"/>
      <c r="AA14" s="34">
        <f t="shared" si="0"/>
        <v>216</v>
      </c>
      <c r="AB14" s="38">
        <f t="shared" si="1"/>
        <v>0.10711518525369775</v>
      </c>
      <c r="AC14" s="38">
        <f t="shared" si="2"/>
        <v>0.55092592592592593</v>
      </c>
    </row>
    <row r="15" spans="1:30" x14ac:dyDescent="0.25">
      <c r="A15" t="s">
        <v>15</v>
      </c>
      <c r="B15" s="34">
        <v>28</v>
      </c>
      <c r="C15" s="34">
        <v>28</v>
      </c>
      <c r="D15" s="34">
        <v>18</v>
      </c>
      <c r="E15" s="34">
        <v>12</v>
      </c>
      <c r="F15" s="40"/>
      <c r="G15" s="34">
        <v>32</v>
      </c>
      <c r="H15" s="34">
        <v>32</v>
      </c>
      <c r="I15" s="34">
        <v>73</v>
      </c>
      <c r="J15" s="34">
        <v>14</v>
      </c>
      <c r="K15" s="40"/>
      <c r="L15" s="34">
        <v>39</v>
      </c>
      <c r="M15" s="34">
        <v>39</v>
      </c>
      <c r="N15" s="34">
        <v>20</v>
      </c>
      <c r="O15" s="34">
        <v>16</v>
      </c>
      <c r="P15" s="40"/>
      <c r="Q15" s="34">
        <v>10</v>
      </c>
      <c r="R15" s="34">
        <v>10</v>
      </c>
      <c r="S15" s="34">
        <v>3</v>
      </c>
      <c r="T15" s="34">
        <v>5</v>
      </c>
      <c r="U15" s="40"/>
      <c r="V15" s="34">
        <v>12</v>
      </c>
      <c r="W15" s="34">
        <v>12</v>
      </c>
      <c r="X15" s="34">
        <v>15</v>
      </c>
      <c r="Y15" s="34">
        <v>7</v>
      </c>
      <c r="Z15" s="40"/>
      <c r="AA15" s="34">
        <f t="shared" si="0"/>
        <v>121</v>
      </c>
      <c r="AB15" s="38">
        <f t="shared" si="1"/>
        <v>8.5266030013642566E-2</v>
      </c>
      <c r="AC15" s="38">
        <f t="shared" si="2"/>
        <v>0.4462809917355372</v>
      </c>
    </row>
    <row r="16" spans="1:30" x14ac:dyDescent="0.25">
      <c r="A16" t="s">
        <v>19</v>
      </c>
      <c r="B16" s="34">
        <v>57</v>
      </c>
      <c r="C16" s="34">
        <v>58</v>
      </c>
      <c r="D16" s="34">
        <v>44</v>
      </c>
      <c r="E16" s="34">
        <v>33</v>
      </c>
      <c r="F16" s="40"/>
      <c r="G16" s="34">
        <v>15</v>
      </c>
      <c r="H16" s="34">
        <v>15</v>
      </c>
      <c r="I16" s="34">
        <v>7</v>
      </c>
      <c r="J16" s="34">
        <v>6</v>
      </c>
      <c r="K16" s="40"/>
      <c r="L16" s="34">
        <v>34</v>
      </c>
      <c r="M16" s="34">
        <v>38</v>
      </c>
      <c r="N16" s="34">
        <v>26</v>
      </c>
      <c r="O16" s="34">
        <v>19</v>
      </c>
      <c r="P16" s="40"/>
      <c r="Q16" s="34">
        <v>31</v>
      </c>
      <c r="R16" s="34">
        <v>34</v>
      </c>
      <c r="S16" s="34">
        <v>18</v>
      </c>
      <c r="T16" s="34">
        <v>23</v>
      </c>
      <c r="U16" s="40"/>
      <c r="V16" s="34"/>
      <c r="W16" s="34">
        <v>1</v>
      </c>
      <c r="X16" s="34"/>
      <c r="Y16" s="34"/>
      <c r="Z16" s="40"/>
      <c r="AA16" s="34">
        <f t="shared" si="0"/>
        <v>137</v>
      </c>
      <c r="AB16" s="38">
        <f t="shared" si="1"/>
        <v>7.7393008837300145E-2</v>
      </c>
      <c r="AC16" s="38">
        <f t="shared" si="2"/>
        <v>0.59124087591240881</v>
      </c>
    </row>
    <row r="17" spans="1:29" x14ac:dyDescent="0.25">
      <c r="A17" t="s">
        <v>13</v>
      </c>
      <c r="B17" s="34">
        <v>85</v>
      </c>
      <c r="C17" s="34">
        <v>85</v>
      </c>
      <c r="D17" s="34">
        <v>88</v>
      </c>
      <c r="E17" s="34">
        <v>48</v>
      </c>
      <c r="F17" s="40"/>
      <c r="G17" s="34">
        <v>11</v>
      </c>
      <c r="H17" s="34">
        <v>11</v>
      </c>
      <c r="I17" s="34">
        <v>4</v>
      </c>
      <c r="J17" s="34">
        <v>9</v>
      </c>
      <c r="K17" s="40"/>
      <c r="L17" s="34">
        <v>12</v>
      </c>
      <c r="M17" s="34">
        <v>12</v>
      </c>
      <c r="N17" s="34">
        <v>7</v>
      </c>
      <c r="O17" s="34">
        <v>9</v>
      </c>
      <c r="P17" s="40"/>
      <c r="Q17" s="34">
        <v>12</v>
      </c>
      <c r="R17" s="34">
        <v>12</v>
      </c>
      <c r="S17" s="34">
        <v>3</v>
      </c>
      <c r="T17" s="34">
        <v>6</v>
      </c>
      <c r="U17" s="40"/>
      <c r="V17" s="34"/>
      <c r="W17" s="34">
        <v>1</v>
      </c>
      <c r="X17" s="34"/>
      <c r="Y17" s="34"/>
      <c r="Z17" s="40"/>
      <c r="AA17" s="34">
        <f t="shared" si="0"/>
        <v>120</v>
      </c>
      <c r="AB17" s="38">
        <f t="shared" si="1"/>
        <v>7.5716234652114592E-2</v>
      </c>
      <c r="AC17" s="38">
        <f t="shared" si="2"/>
        <v>0.6</v>
      </c>
    </row>
    <row r="18" spans="1:29" x14ac:dyDescent="0.25">
      <c r="A18" t="s">
        <v>201</v>
      </c>
      <c r="B18" s="34"/>
      <c r="C18" s="34">
        <v>1</v>
      </c>
      <c r="D18" s="34"/>
      <c r="E18" s="34"/>
      <c r="F18" s="40"/>
      <c r="G18" s="34"/>
      <c r="H18" s="34">
        <v>1</v>
      </c>
      <c r="I18" s="34"/>
      <c r="J18" s="34"/>
      <c r="K18" s="40"/>
      <c r="L18" s="34">
        <v>18</v>
      </c>
      <c r="M18" s="34">
        <v>32</v>
      </c>
      <c r="N18" s="34">
        <v>95</v>
      </c>
      <c r="O18" s="34">
        <v>12</v>
      </c>
      <c r="P18" s="40"/>
      <c r="Q18" s="34">
        <v>50</v>
      </c>
      <c r="R18" s="34">
        <v>147</v>
      </c>
      <c r="S18" s="34">
        <v>133</v>
      </c>
      <c r="T18" s="34">
        <v>28</v>
      </c>
      <c r="U18" s="40"/>
      <c r="V18" s="34">
        <v>9</v>
      </c>
      <c r="W18" s="34">
        <v>24</v>
      </c>
      <c r="X18" s="34">
        <v>16</v>
      </c>
      <c r="Y18" s="34">
        <v>3</v>
      </c>
      <c r="Z18" s="40"/>
      <c r="AA18" s="34">
        <f t="shared" si="0"/>
        <v>77</v>
      </c>
      <c r="AB18" s="38">
        <f t="shared" si="1"/>
        <v>6.1963027025271226E-2</v>
      </c>
      <c r="AC18" s="38">
        <f t="shared" si="2"/>
        <v>0.55844155844155841</v>
      </c>
    </row>
    <row r="19" spans="1:29" x14ac:dyDescent="0.25">
      <c r="A19" t="s">
        <v>31</v>
      </c>
      <c r="B19" s="34">
        <v>1</v>
      </c>
      <c r="C19" s="34">
        <v>104</v>
      </c>
      <c r="D19" s="34">
        <v>163</v>
      </c>
      <c r="E19" s="34">
        <v>0</v>
      </c>
      <c r="F19" s="40"/>
      <c r="G19" s="34">
        <v>29</v>
      </c>
      <c r="H19" s="34">
        <v>84</v>
      </c>
      <c r="I19" s="34">
        <v>196</v>
      </c>
      <c r="J19" s="34">
        <v>17</v>
      </c>
      <c r="K19" s="40"/>
      <c r="L19" s="34">
        <v>23</v>
      </c>
      <c r="M19" s="34">
        <v>118</v>
      </c>
      <c r="N19" s="34">
        <v>148</v>
      </c>
      <c r="O19" s="34">
        <v>7</v>
      </c>
      <c r="P19" s="40"/>
      <c r="Q19" s="34">
        <v>7</v>
      </c>
      <c r="R19" s="34">
        <v>133</v>
      </c>
      <c r="S19" s="34">
        <v>301</v>
      </c>
      <c r="T19" s="34">
        <v>4</v>
      </c>
      <c r="U19" s="40"/>
      <c r="V19" s="34"/>
      <c r="W19" s="34">
        <v>1</v>
      </c>
      <c r="X19" s="34"/>
      <c r="Y19" s="34"/>
      <c r="Z19" s="40"/>
      <c r="AA19" s="34">
        <f t="shared" si="0"/>
        <v>60</v>
      </c>
      <c r="AB19" s="38">
        <f t="shared" si="1"/>
        <v>5.931907818869403E-2</v>
      </c>
      <c r="AC19" s="38">
        <f t="shared" si="2"/>
        <v>0.46666666666666667</v>
      </c>
    </row>
    <row r="20" spans="1:29" x14ac:dyDescent="0.25">
      <c r="A20" t="s">
        <v>20</v>
      </c>
      <c r="B20" s="34">
        <v>41</v>
      </c>
      <c r="C20" s="34">
        <v>41</v>
      </c>
      <c r="D20" s="34">
        <v>34</v>
      </c>
      <c r="E20" s="34">
        <v>23</v>
      </c>
      <c r="F20" s="40"/>
      <c r="G20" s="34">
        <v>39</v>
      </c>
      <c r="H20" s="34">
        <v>40</v>
      </c>
      <c r="I20" s="34">
        <v>38</v>
      </c>
      <c r="J20" s="34">
        <v>21</v>
      </c>
      <c r="K20" s="40"/>
      <c r="L20" s="34"/>
      <c r="M20" s="34">
        <v>1</v>
      </c>
      <c r="N20" s="34"/>
      <c r="O20" s="34"/>
      <c r="P20" s="40"/>
      <c r="Q20" s="34">
        <v>4</v>
      </c>
      <c r="R20" s="34">
        <v>4</v>
      </c>
      <c r="S20" s="34">
        <v>0</v>
      </c>
      <c r="T20" s="34">
        <v>2</v>
      </c>
      <c r="U20" s="40"/>
      <c r="V20" s="34"/>
      <c r="W20" s="34">
        <v>1</v>
      </c>
      <c r="X20" s="34"/>
      <c r="Y20" s="34"/>
      <c r="Z20" s="40"/>
      <c r="AA20" s="34">
        <f t="shared" si="0"/>
        <v>84</v>
      </c>
      <c r="AB20" s="38">
        <f t="shared" si="1"/>
        <v>5.288199181446112E-2</v>
      </c>
      <c r="AC20" s="38">
        <f t="shared" si="2"/>
        <v>0.54761904761904767</v>
      </c>
    </row>
    <row r="21" spans="1:29" x14ac:dyDescent="0.25">
      <c r="A21" t="s">
        <v>18</v>
      </c>
      <c r="B21" s="34"/>
      <c r="C21" s="34">
        <v>1</v>
      </c>
      <c r="D21" s="34"/>
      <c r="E21" s="34"/>
      <c r="F21" s="40"/>
      <c r="G21" s="34"/>
      <c r="H21" s="34">
        <v>1</v>
      </c>
      <c r="I21" s="34"/>
      <c r="J21" s="34"/>
      <c r="K21" s="40"/>
      <c r="L21" s="34">
        <v>48</v>
      </c>
      <c r="M21" s="34">
        <v>54</v>
      </c>
      <c r="N21" s="34">
        <v>107</v>
      </c>
      <c r="O21" s="34">
        <v>32</v>
      </c>
      <c r="P21" s="40"/>
      <c r="Q21" s="34"/>
      <c r="R21" s="34">
        <v>1</v>
      </c>
      <c r="S21" s="34"/>
      <c r="T21" s="34"/>
      <c r="U21" s="40"/>
      <c r="V21" s="34"/>
      <c r="W21" s="34">
        <v>1</v>
      </c>
      <c r="X21" s="34"/>
      <c r="Y21" s="34"/>
      <c r="Z21" s="40"/>
      <c r="AA21" s="34">
        <f t="shared" si="0"/>
        <v>48</v>
      </c>
      <c r="AB21" s="38">
        <f t="shared" si="1"/>
        <v>4.8810065181142934E-2</v>
      </c>
      <c r="AC21" s="38">
        <f t="shared" si="2"/>
        <v>0.66666666666666663</v>
      </c>
    </row>
    <row r="22" spans="1:29" x14ac:dyDescent="0.25">
      <c r="A22" t="s">
        <v>26</v>
      </c>
      <c r="B22" s="34">
        <v>69</v>
      </c>
      <c r="C22" s="34">
        <v>123</v>
      </c>
      <c r="D22" s="34">
        <v>97</v>
      </c>
      <c r="E22" s="34">
        <v>34</v>
      </c>
      <c r="F22" s="40"/>
      <c r="G22" s="34">
        <v>5</v>
      </c>
      <c r="H22" s="34">
        <v>258</v>
      </c>
      <c r="I22" s="34">
        <v>221</v>
      </c>
      <c r="J22" s="34">
        <v>2</v>
      </c>
      <c r="K22" s="40"/>
      <c r="L22" s="34"/>
      <c r="M22" s="34">
        <v>1</v>
      </c>
      <c r="N22" s="34"/>
      <c r="O22" s="34"/>
      <c r="P22" s="40"/>
      <c r="Q22" s="34"/>
      <c r="R22" s="34">
        <v>1</v>
      </c>
      <c r="S22" s="34"/>
      <c r="T22" s="34"/>
      <c r="U22" s="40"/>
      <c r="V22" s="34"/>
      <c r="W22" s="34">
        <v>1</v>
      </c>
      <c r="X22" s="34"/>
      <c r="Y22" s="34"/>
      <c r="Z22" s="40"/>
      <c r="AA22" s="34">
        <f t="shared" si="0"/>
        <v>74</v>
      </c>
      <c r="AB22" s="38">
        <f t="shared" si="1"/>
        <v>4.5258383316089897E-2</v>
      </c>
      <c r="AC22" s="38">
        <f t="shared" si="2"/>
        <v>0.48648648648648651</v>
      </c>
    </row>
    <row r="23" spans="1:29" x14ac:dyDescent="0.25">
      <c r="A23" t="s">
        <v>33</v>
      </c>
      <c r="B23" s="34">
        <v>46</v>
      </c>
      <c r="C23" s="34">
        <v>51</v>
      </c>
      <c r="D23" s="34">
        <v>96</v>
      </c>
      <c r="E23" s="34">
        <v>20</v>
      </c>
      <c r="F23" s="40"/>
      <c r="G23" s="34"/>
      <c r="H23" s="34">
        <v>1</v>
      </c>
      <c r="I23" s="34"/>
      <c r="J23" s="34"/>
      <c r="K23" s="40"/>
      <c r="L23" s="34"/>
      <c r="M23" s="34">
        <v>1</v>
      </c>
      <c r="N23" s="34"/>
      <c r="O23" s="34"/>
      <c r="P23" s="40"/>
      <c r="Q23" s="34"/>
      <c r="R23" s="34">
        <v>1</v>
      </c>
      <c r="S23" s="34"/>
      <c r="T23" s="34"/>
      <c r="U23" s="40"/>
      <c r="V23" s="34"/>
      <c r="W23" s="34">
        <v>1</v>
      </c>
      <c r="X23" s="34"/>
      <c r="Y23" s="34"/>
      <c r="Z23" s="40"/>
      <c r="AA23" s="34">
        <f t="shared" si="0"/>
        <v>46</v>
      </c>
      <c r="AB23" s="38">
        <f t="shared" si="1"/>
        <v>4.5221089800176556E-2</v>
      </c>
      <c r="AC23" s="38">
        <f t="shared" si="2"/>
        <v>0.43478260869565216</v>
      </c>
    </row>
    <row r="24" spans="1:29" x14ac:dyDescent="0.25">
      <c r="A24" t="s">
        <v>40</v>
      </c>
      <c r="B24" s="34"/>
      <c r="C24" s="34">
        <v>1</v>
      </c>
      <c r="D24" s="34"/>
      <c r="E24" s="34"/>
      <c r="F24" s="40"/>
      <c r="G24" s="34"/>
      <c r="H24" s="34">
        <v>1</v>
      </c>
      <c r="I24" s="34"/>
      <c r="J24" s="34"/>
      <c r="K24" s="40"/>
      <c r="L24" s="34">
        <v>63</v>
      </c>
      <c r="M24" s="34">
        <v>63</v>
      </c>
      <c r="N24" s="34">
        <v>46</v>
      </c>
      <c r="O24" s="34">
        <v>26</v>
      </c>
      <c r="P24" s="40"/>
      <c r="Q24" s="34">
        <v>1</v>
      </c>
      <c r="R24" s="34">
        <v>1</v>
      </c>
      <c r="S24" s="34">
        <v>0</v>
      </c>
      <c r="T24" s="34">
        <v>0</v>
      </c>
      <c r="U24" s="40"/>
      <c r="V24" s="34"/>
      <c r="W24" s="34">
        <v>1</v>
      </c>
      <c r="X24" s="34"/>
      <c r="Y24" s="34"/>
      <c r="Z24" s="40"/>
      <c r="AA24" s="34">
        <f t="shared" si="0"/>
        <v>64</v>
      </c>
      <c r="AB24" s="38">
        <f t="shared" si="1"/>
        <v>3.751705320600273E-2</v>
      </c>
      <c r="AC24" s="38">
        <f t="shared" si="2"/>
        <v>0.40625</v>
      </c>
    </row>
    <row r="25" spans="1:29" x14ac:dyDescent="0.25">
      <c r="A25" t="s">
        <v>210</v>
      </c>
      <c r="B25" s="34"/>
      <c r="C25" s="34">
        <v>1</v>
      </c>
      <c r="D25" s="34"/>
      <c r="E25" s="34"/>
      <c r="F25" s="40"/>
      <c r="G25" s="34"/>
      <c r="H25" s="34">
        <v>1</v>
      </c>
      <c r="I25" s="34"/>
      <c r="J25" s="34"/>
      <c r="K25" s="40"/>
      <c r="L25" s="34"/>
      <c r="M25" s="34">
        <v>1</v>
      </c>
      <c r="N25" s="34"/>
      <c r="O25" s="34"/>
      <c r="P25" s="40"/>
      <c r="Q25" s="34">
        <v>61</v>
      </c>
      <c r="R25" s="34">
        <v>61</v>
      </c>
      <c r="S25" s="34">
        <v>38</v>
      </c>
      <c r="T25" s="34">
        <v>25</v>
      </c>
      <c r="U25" s="40"/>
      <c r="V25" s="34">
        <v>3</v>
      </c>
      <c r="W25" s="34">
        <v>3</v>
      </c>
      <c r="X25" s="34">
        <v>4</v>
      </c>
      <c r="Y25" s="34">
        <v>1</v>
      </c>
      <c r="Z25" s="40"/>
      <c r="AA25" s="34">
        <f t="shared" si="0"/>
        <v>64</v>
      </c>
      <c r="AB25" s="38">
        <f t="shared" si="1"/>
        <v>3.6152796725784447E-2</v>
      </c>
      <c r="AC25" s="38">
        <f t="shared" si="2"/>
        <v>0.40625</v>
      </c>
    </row>
    <row r="26" spans="1:29" x14ac:dyDescent="0.25">
      <c r="A26" t="s">
        <v>27</v>
      </c>
      <c r="B26" s="34">
        <v>39</v>
      </c>
      <c r="C26" s="34">
        <v>108</v>
      </c>
      <c r="D26" s="34">
        <v>141</v>
      </c>
      <c r="E26" s="34">
        <v>23</v>
      </c>
      <c r="F26" s="40"/>
      <c r="G26" s="34">
        <v>2</v>
      </c>
      <c r="H26" s="34">
        <v>68</v>
      </c>
      <c r="I26" s="34">
        <v>85</v>
      </c>
      <c r="J26" s="34">
        <v>0</v>
      </c>
      <c r="K26" s="40"/>
      <c r="L26" s="34">
        <v>1</v>
      </c>
      <c r="M26" s="34">
        <v>37</v>
      </c>
      <c r="N26" s="34">
        <v>25</v>
      </c>
      <c r="O26" s="34">
        <v>0</v>
      </c>
      <c r="P26" s="40"/>
      <c r="Q26" s="34">
        <v>2</v>
      </c>
      <c r="R26" s="34">
        <v>35</v>
      </c>
      <c r="S26" s="34">
        <v>36</v>
      </c>
      <c r="T26" s="34">
        <v>1</v>
      </c>
      <c r="U26" s="40"/>
      <c r="V26" s="34">
        <v>1</v>
      </c>
      <c r="W26" s="34">
        <v>11</v>
      </c>
      <c r="X26" s="34">
        <v>21</v>
      </c>
      <c r="Y26" s="34">
        <v>1</v>
      </c>
      <c r="Z26" s="40"/>
      <c r="AA26" s="34">
        <f t="shared" si="0"/>
        <v>45</v>
      </c>
      <c r="AB26" s="38">
        <f t="shared" si="1"/>
        <v>3.514958257454847E-2</v>
      </c>
      <c r="AC26" s="38">
        <f t="shared" si="2"/>
        <v>0.55555555555555558</v>
      </c>
    </row>
    <row r="27" spans="1:29" x14ac:dyDescent="0.25">
      <c r="A27" t="s">
        <v>28</v>
      </c>
      <c r="B27" s="34">
        <v>48</v>
      </c>
      <c r="C27" s="34">
        <v>111</v>
      </c>
      <c r="D27" s="34">
        <v>114</v>
      </c>
      <c r="E27" s="34">
        <v>26</v>
      </c>
      <c r="F27" s="40"/>
      <c r="G27" s="34">
        <v>1</v>
      </c>
      <c r="H27" s="34">
        <v>3</v>
      </c>
      <c r="I27" s="34">
        <v>0</v>
      </c>
      <c r="J27" s="34">
        <v>1</v>
      </c>
      <c r="K27" s="40"/>
      <c r="L27" s="34"/>
      <c r="M27" s="34">
        <v>1</v>
      </c>
      <c r="N27" s="34"/>
      <c r="O27" s="34"/>
      <c r="P27" s="40"/>
      <c r="Q27" s="34"/>
      <c r="R27" s="34">
        <v>1</v>
      </c>
      <c r="S27" s="34"/>
      <c r="T27" s="34"/>
      <c r="U27" s="40"/>
      <c r="V27" s="34"/>
      <c r="W27" s="34">
        <v>1</v>
      </c>
      <c r="X27" s="34"/>
      <c r="Y27" s="34"/>
      <c r="Z27" s="40"/>
      <c r="AA27" s="34">
        <f t="shared" si="0"/>
        <v>49</v>
      </c>
      <c r="AB27" s="38">
        <f t="shared" si="1"/>
        <v>3.3525681206445189E-2</v>
      </c>
      <c r="AC27" s="38">
        <f t="shared" si="2"/>
        <v>0.55102040816326525</v>
      </c>
    </row>
    <row r="28" spans="1:29" x14ac:dyDescent="0.25">
      <c r="A28" t="s">
        <v>95</v>
      </c>
      <c r="B28" s="34"/>
      <c r="C28" s="34">
        <v>1</v>
      </c>
      <c r="D28" s="34"/>
      <c r="E28" s="34"/>
      <c r="F28" s="40"/>
      <c r="G28" s="34"/>
      <c r="H28" s="34">
        <v>1</v>
      </c>
      <c r="I28" s="34"/>
      <c r="J28" s="34"/>
      <c r="K28" s="40"/>
      <c r="L28" s="34">
        <v>47</v>
      </c>
      <c r="M28" s="34">
        <v>97</v>
      </c>
      <c r="N28" s="34">
        <v>82</v>
      </c>
      <c r="O28" s="34">
        <v>26</v>
      </c>
      <c r="P28" s="40"/>
      <c r="Q28" s="34"/>
      <c r="R28" s="34">
        <v>1</v>
      </c>
      <c r="S28" s="34"/>
      <c r="T28" s="34"/>
      <c r="U28" s="40"/>
      <c r="V28" s="34"/>
      <c r="W28" s="34">
        <v>1</v>
      </c>
      <c r="X28" s="34"/>
      <c r="Y28" s="34"/>
      <c r="Z28" s="40"/>
      <c r="AA28" s="34">
        <f t="shared" si="0"/>
        <v>47</v>
      </c>
      <c r="AB28" s="38">
        <f t="shared" si="1"/>
        <v>2.9581159196073188E-2</v>
      </c>
      <c r="AC28" s="38">
        <f t="shared" si="2"/>
        <v>0.55319148936170215</v>
      </c>
    </row>
    <row r="29" spans="1:29" x14ac:dyDescent="0.25">
      <c r="A29" t="s">
        <v>36</v>
      </c>
      <c r="B29" s="34">
        <v>5</v>
      </c>
      <c r="C29" s="34">
        <v>5</v>
      </c>
      <c r="D29" s="34">
        <v>5</v>
      </c>
      <c r="E29" s="34">
        <v>2</v>
      </c>
      <c r="F29" s="40"/>
      <c r="G29" s="34">
        <v>25</v>
      </c>
      <c r="H29" s="34">
        <v>25</v>
      </c>
      <c r="I29" s="34">
        <v>35</v>
      </c>
      <c r="J29" s="34">
        <v>7</v>
      </c>
      <c r="K29" s="40"/>
      <c r="L29" s="34">
        <v>6</v>
      </c>
      <c r="M29" s="34">
        <v>6</v>
      </c>
      <c r="N29" s="34">
        <v>1</v>
      </c>
      <c r="O29" s="34">
        <v>2</v>
      </c>
      <c r="P29" s="40"/>
      <c r="Q29" s="34"/>
      <c r="R29" s="34">
        <v>1</v>
      </c>
      <c r="S29" s="34"/>
      <c r="T29" s="34"/>
      <c r="U29" s="40"/>
      <c r="V29" s="34"/>
      <c r="W29" s="34">
        <v>1</v>
      </c>
      <c r="X29" s="34"/>
      <c r="Y29" s="34"/>
      <c r="Z29" s="40"/>
      <c r="AA29" s="34">
        <f t="shared" si="0"/>
        <v>36</v>
      </c>
      <c r="AB29" s="38">
        <f t="shared" si="1"/>
        <v>2.6261937244201911E-2</v>
      </c>
      <c r="AC29" s="38">
        <f t="shared" si="2"/>
        <v>0.30555555555555558</v>
      </c>
    </row>
    <row r="30" spans="1:29" x14ac:dyDescent="0.25">
      <c r="A30" t="s">
        <v>38</v>
      </c>
      <c r="B30" s="34"/>
      <c r="C30" s="34">
        <v>1</v>
      </c>
      <c r="D30" s="34"/>
      <c r="E30" s="34"/>
      <c r="F30" s="40"/>
      <c r="G30" s="34"/>
      <c r="H30" s="34">
        <v>1</v>
      </c>
      <c r="I30" s="34"/>
      <c r="J30" s="34"/>
      <c r="K30" s="40"/>
      <c r="L30" s="34">
        <v>15</v>
      </c>
      <c r="M30" s="34">
        <v>21</v>
      </c>
      <c r="N30" s="34">
        <v>23</v>
      </c>
      <c r="O30" s="34">
        <v>6</v>
      </c>
      <c r="P30" s="40"/>
      <c r="Q30" s="34">
        <v>18</v>
      </c>
      <c r="R30" s="34">
        <v>18</v>
      </c>
      <c r="S30" s="34">
        <v>4</v>
      </c>
      <c r="T30" s="34">
        <v>9</v>
      </c>
      <c r="U30" s="40"/>
      <c r="V30" s="34">
        <v>16</v>
      </c>
      <c r="W30" s="34">
        <v>16</v>
      </c>
      <c r="X30" s="34">
        <v>6</v>
      </c>
      <c r="Y30" s="34">
        <v>8</v>
      </c>
      <c r="Z30" s="40"/>
      <c r="AA30" s="34">
        <f t="shared" si="0"/>
        <v>49</v>
      </c>
      <c r="AB30" s="38">
        <f t="shared" si="1"/>
        <v>2.5725979341259014E-2</v>
      </c>
      <c r="AC30" s="38">
        <f t="shared" si="2"/>
        <v>0.46938775510204084</v>
      </c>
    </row>
    <row r="31" spans="1:29" x14ac:dyDescent="0.25">
      <c r="A31" t="s">
        <v>50</v>
      </c>
      <c r="B31" s="34">
        <v>4</v>
      </c>
      <c r="C31" s="34">
        <v>8</v>
      </c>
      <c r="D31" s="34">
        <v>8</v>
      </c>
      <c r="E31" s="34">
        <v>1</v>
      </c>
      <c r="F31" s="40"/>
      <c r="G31" s="34">
        <v>7</v>
      </c>
      <c r="H31" s="34">
        <v>8</v>
      </c>
      <c r="I31" s="34">
        <v>30</v>
      </c>
      <c r="J31" s="34">
        <v>3</v>
      </c>
      <c r="K31" s="40"/>
      <c r="L31" s="34">
        <v>10</v>
      </c>
      <c r="M31" s="34">
        <v>10</v>
      </c>
      <c r="N31" s="34">
        <v>12</v>
      </c>
      <c r="O31" s="34">
        <v>6</v>
      </c>
      <c r="P31" s="40"/>
      <c r="Q31" s="34">
        <v>5</v>
      </c>
      <c r="R31" s="34">
        <v>7</v>
      </c>
      <c r="S31" s="34">
        <v>4</v>
      </c>
      <c r="T31" s="34">
        <v>3</v>
      </c>
      <c r="U31" s="40"/>
      <c r="V31" s="34">
        <v>2</v>
      </c>
      <c r="W31" s="34">
        <v>3</v>
      </c>
      <c r="X31" s="34">
        <v>1</v>
      </c>
      <c r="Y31" s="34">
        <v>2</v>
      </c>
      <c r="Z31" s="40"/>
      <c r="AA31" s="34">
        <f t="shared" si="0"/>
        <v>28</v>
      </c>
      <c r="AB31" s="38">
        <f t="shared" si="1"/>
        <v>2.516159942831157E-2</v>
      </c>
      <c r="AC31" s="38">
        <f t="shared" si="2"/>
        <v>0.5357142857142857</v>
      </c>
    </row>
    <row r="32" spans="1:29" x14ac:dyDescent="0.25">
      <c r="A32" t="s">
        <v>12</v>
      </c>
      <c r="B32" s="34">
        <v>10</v>
      </c>
      <c r="C32" s="34">
        <v>22</v>
      </c>
      <c r="D32" s="34">
        <v>16</v>
      </c>
      <c r="E32" s="34">
        <v>9</v>
      </c>
      <c r="F32" s="40"/>
      <c r="G32" s="34">
        <v>5</v>
      </c>
      <c r="H32" s="34">
        <v>50</v>
      </c>
      <c r="I32" s="34">
        <v>59</v>
      </c>
      <c r="J32" s="34">
        <v>3</v>
      </c>
      <c r="K32" s="40"/>
      <c r="L32" s="34">
        <v>12</v>
      </c>
      <c r="M32" s="34">
        <v>121</v>
      </c>
      <c r="N32" s="34">
        <v>132</v>
      </c>
      <c r="O32" s="34">
        <v>8</v>
      </c>
      <c r="P32" s="40"/>
      <c r="Q32" s="34"/>
      <c r="R32" s="34">
        <v>1</v>
      </c>
      <c r="S32" s="34"/>
      <c r="T32" s="34"/>
      <c r="U32" s="40"/>
      <c r="V32" s="34"/>
      <c r="W32" s="34">
        <v>1</v>
      </c>
      <c r="X32" s="34"/>
      <c r="Y32" s="34"/>
      <c r="Z32" s="40"/>
      <c r="AA32" s="34">
        <f t="shared" si="0"/>
        <v>27</v>
      </c>
      <c r="AB32" s="38">
        <f t="shared" si="1"/>
        <v>1.8166315267270246E-2</v>
      </c>
      <c r="AC32" s="38">
        <f t="shared" si="2"/>
        <v>0.7407407407407407</v>
      </c>
    </row>
    <row r="33" spans="1:29" x14ac:dyDescent="0.25">
      <c r="A33" t="s">
        <v>30</v>
      </c>
      <c r="B33" s="34">
        <v>15</v>
      </c>
      <c r="C33" s="34">
        <v>43</v>
      </c>
      <c r="D33" s="34">
        <v>48</v>
      </c>
      <c r="E33" s="34">
        <v>4</v>
      </c>
      <c r="F33" s="40"/>
      <c r="G33" s="34">
        <v>2</v>
      </c>
      <c r="H33" s="34">
        <v>196</v>
      </c>
      <c r="I33" s="34">
        <v>282</v>
      </c>
      <c r="J33" s="34">
        <v>1</v>
      </c>
      <c r="K33" s="40"/>
      <c r="L33" s="34">
        <v>2</v>
      </c>
      <c r="M33" s="34">
        <v>154</v>
      </c>
      <c r="N33" s="34">
        <v>207</v>
      </c>
      <c r="O33" s="34">
        <v>0</v>
      </c>
      <c r="P33" s="40"/>
      <c r="Q33" s="34"/>
      <c r="R33" s="34">
        <v>1</v>
      </c>
      <c r="S33" s="34"/>
      <c r="T33" s="34"/>
      <c r="U33" s="40"/>
      <c r="V33" s="34"/>
      <c r="W33" s="34">
        <v>1</v>
      </c>
      <c r="X33" s="34"/>
      <c r="Y33" s="34"/>
      <c r="Z33" s="40"/>
      <c r="AA33" s="34">
        <f t="shared" si="0"/>
        <v>19</v>
      </c>
      <c r="AB33" s="38">
        <f t="shared" si="1"/>
        <v>1.408937542811442E-2</v>
      </c>
      <c r="AC33" s="38">
        <f t="shared" si="2"/>
        <v>0.26315789473684209</v>
      </c>
    </row>
    <row r="34" spans="1:29" x14ac:dyDescent="0.25">
      <c r="A34" t="s">
        <v>24</v>
      </c>
      <c r="B34" s="34">
        <v>10</v>
      </c>
      <c r="C34" s="34">
        <v>14</v>
      </c>
      <c r="D34" s="34">
        <v>21</v>
      </c>
      <c r="E34" s="34">
        <v>4</v>
      </c>
      <c r="F34" s="40"/>
      <c r="G34" s="34">
        <v>5</v>
      </c>
      <c r="H34" s="34">
        <v>10</v>
      </c>
      <c r="I34" s="34">
        <v>11</v>
      </c>
      <c r="J34" s="34">
        <v>0</v>
      </c>
      <c r="K34" s="40"/>
      <c r="L34" s="34">
        <v>1</v>
      </c>
      <c r="M34" s="34">
        <v>2</v>
      </c>
      <c r="N34" s="34">
        <v>3</v>
      </c>
      <c r="O34" s="34">
        <v>0</v>
      </c>
      <c r="P34" s="40"/>
      <c r="Q34" s="34">
        <v>2</v>
      </c>
      <c r="R34" s="34">
        <v>2</v>
      </c>
      <c r="S34" s="34">
        <v>0</v>
      </c>
      <c r="T34" s="34">
        <v>1</v>
      </c>
      <c r="U34" s="40"/>
      <c r="V34" s="34"/>
      <c r="W34" s="34">
        <v>1</v>
      </c>
      <c r="X34" s="34"/>
      <c r="Y34" s="34"/>
      <c r="Z34" s="40"/>
      <c r="AA34" s="34">
        <f t="shared" si="0"/>
        <v>18</v>
      </c>
      <c r="AB34" s="38">
        <f t="shared" si="1"/>
        <v>1.3642564802182811E-2</v>
      </c>
      <c r="AC34" s="38">
        <f t="shared" si="2"/>
        <v>0.27777777777777779</v>
      </c>
    </row>
    <row r="35" spans="1:29" x14ac:dyDescent="0.25">
      <c r="A35" t="s">
        <v>112</v>
      </c>
      <c r="B35" s="34"/>
      <c r="C35" s="34">
        <v>1</v>
      </c>
      <c r="D35" s="34"/>
      <c r="E35" s="34"/>
      <c r="F35" s="40"/>
      <c r="G35" s="34"/>
      <c r="H35" s="34">
        <v>1</v>
      </c>
      <c r="I35" s="34"/>
      <c r="J35" s="34"/>
      <c r="K35" s="40"/>
      <c r="L35" s="34">
        <v>5</v>
      </c>
      <c r="M35" s="34">
        <v>12</v>
      </c>
      <c r="N35" s="34">
        <v>3</v>
      </c>
      <c r="O35" s="34">
        <v>3</v>
      </c>
      <c r="P35" s="40"/>
      <c r="Q35" s="34">
        <v>19</v>
      </c>
      <c r="R35" s="34">
        <v>113</v>
      </c>
      <c r="S35" s="34">
        <v>70</v>
      </c>
      <c r="T35" s="34">
        <v>12</v>
      </c>
      <c r="U35" s="40"/>
      <c r="V35" s="34"/>
      <c r="W35" s="34">
        <v>1</v>
      </c>
      <c r="X35" s="34"/>
      <c r="Y35" s="34"/>
      <c r="Z35" s="40"/>
      <c r="AA35" s="34">
        <f t="shared" ref="AA35:AA66" si="3">B35+G35+L35+Q35+V35</f>
        <v>24</v>
      </c>
      <c r="AB35" s="38">
        <f t="shared" ref="AB35:AB66" si="4">(AA35+(B35/C35*D35+G35/H35*I35+L35/M35*N35+Q35/R35*S35+V35/W35*X35))/($D$1+$I$1+$N$1+$S$1+$X$1)</f>
        <v>1.2626163541754701E-2</v>
      </c>
      <c r="AC35" s="38">
        <f t="shared" ref="AC35:AC66" si="5">(E35+J35+O35+T35+Y35)/(AA35)</f>
        <v>0.625</v>
      </c>
    </row>
    <row r="36" spans="1:29" x14ac:dyDescent="0.25">
      <c r="A36" t="s">
        <v>25</v>
      </c>
      <c r="B36" s="34">
        <v>2</v>
      </c>
      <c r="C36" s="34">
        <v>6</v>
      </c>
      <c r="D36" s="34">
        <v>0</v>
      </c>
      <c r="E36" s="34">
        <v>1</v>
      </c>
      <c r="F36" s="40"/>
      <c r="G36" s="34"/>
      <c r="H36" s="34">
        <v>1</v>
      </c>
      <c r="I36" s="34"/>
      <c r="J36" s="34"/>
      <c r="K36" s="40"/>
      <c r="L36" s="34">
        <v>14</v>
      </c>
      <c r="M36" s="34">
        <v>15</v>
      </c>
      <c r="N36" s="34">
        <v>21</v>
      </c>
      <c r="O36" s="34">
        <v>11</v>
      </c>
      <c r="P36" s="40"/>
      <c r="Q36" s="34">
        <v>1</v>
      </c>
      <c r="R36" s="34">
        <v>4</v>
      </c>
      <c r="S36" s="34">
        <v>0</v>
      </c>
      <c r="T36" s="34">
        <v>0</v>
      </c>
      <c r="U36" s="40"/>
      <c r="V36" s="34"/>
      <c r="W36" s="34">
        <v>1</v>
      </c>
      <c r="X36" s="34"/>
      <c r="Y36" s="34"/>
      <c r="Z36" s="40"/>
      <c r="AA36" s="34">
        <f t="shared" si="3"/>
        <v>17</v>
      </c>
      <c r="AB36" s="38">
        <f t="shared" si="4"/>
        <v>1.2482946793997272E-2</v>
      </c>
      <c r="AC36" s="38">
        <f t="shared" si="5"/>
        <v>0.70588235294117652</v>
      </c>
    </row>
    <row r="37" spans="1:29" x14ac:dyDescent="0.25">
      <c r="A37" t="s">
        <v>37</v>
      </c>
      <c r="B37" s="34">
        <v>7</v>
      </c>
      <c r="C37" s="34">
        <v>7</v>
      </c>
      <c r="D37" s="34">
        <v>6</v>
      </c>
      <c r="E37" s="34">
        <v>2</v>
      </c>
      <c r="F37" s="40"/>
      <c r="H37" s="34">
        <v>1</v>
      </c>
      <c r="I37" s="34"/>
      <c r="J37" s="34"/>
      <c r="K37" s="40"/>
      <c r="L37" s="34">
        <v>5</v>
      </c>
      <c r="M37" s="34">
        <v>5</v>
      </c>
      <c r="N37" s="34">
        <v>4</v>
      </c>
      <c r="O37" s="34">
        <v>2</v>
      </c>
      <c r="P37" s="40"/>
      <c r="Q37" s="34">
        <v>10</v>
      </c>
      <c r="R37" s="34">
        <v>10</v>
      </c>
      <c r="S37" s="34">
        <v>2</v>
      </c>
      <c r="T37" s="34">
        <v>3</v>
      </c>
      <c r="U37" s="40"/>
      <c r="V37" s="34"/>
      <c r="W37" s="34">
        <v>1</v>
      </c>
      <c r="X37" s="34"/>
      <c r="Y37" s="34"/>
      <c r="Z37" s="40"/>
      <c r="AA37" s="34">
        <f t="shared" si="3"/>
        <v>22</v>
      </c>
      <c r="AB37" s="38">
        <f t="shared" si="4"/>
        <v>1.1596180081855388E-2</v>
      </c>
      <c r="AC37" s="38">
        <f t="shared" si="5"/>
        <v>0.31818181818181818</v>
      </c>
    </row>
    <row r="38" spans="1:29" x14ac:dyDescent="0.25">
      <c r="A38" t="s">
        <v>47</v>
      </c>
      <c r="B38" s="34">
        <v>5</v>
      </c>
      <c r="C38" s="34">
        <v>5</v>
      </c>
      <c r="D38" s="34">
        <v>4</v>
      </c>
      <c r="E38" s="34">
        <v>0</v>
      </c>
      <c r="F38" s="40"/>
      <c r="G38" s="34">
        <v>2</v>
      </c>
      <c r="H38" s="34">
        <v>2</v>
      </c>
      <c r="I38" s="34">
        <v>1</v>
      </c>
      <c r="J38" s="34">
        <v>1</v>
      </c>
      <c r="K38" s="40"/>
      <c r="L38" s="34">
        <v>15</v>
      </c>
      <c r="M38" s="34">
        <v>15</v>
      </c>
      <c r="N38" s="34">
        <v>5</v>
      </c>
      <c r="O38" s="34">
        <v>5</v>
      </c>
      <c r="P38" s="40"/>
      <c r="Q38" s="34">
        <v>2</v>
      </c>
      <c r="R38" s="34">
        <v>2</v>
      </c>
      <c r="S38" s="34">
        <v>0</v>
      </c>
      <c r="T38" s="34">
        <v>0</v>
      </c>
      <c r="U38" s="40"/>
      <c r="V38" s="34"/>
      <c r="W38" s="34">
        <v>1</v>
      </c>
      <c r="X38" s="34"/>
      <c r="Y38" s="34"/>
      <c r="Z38" s="40"/>
      <c r="AA38" s="34">
        <f t="shared" si="3"/>
        <v>24</v>
      </c>
      <c r="AB38" s="38">
        <f t="shared" si="4"/>
        <v>1.1596180081855388E-2</v>
      </c>
      <c r="AC38" s="38">
        <f t="shared" si="5"/>
        <v>0.25</v>
      </c>
    </row>
    <row r="39" spans="1:29" x14ac:dyDescent="0.25">
      <c r="A39" t="s">
        <v>21</v>
      </c>
      <c r="B39" s="34">
        <v>1</v>
      </c>
      <c r="C39" s="34">
        <v>4</v>
      </c>
      <c r="D39" s="34">
        <v>1</v>
      </c>
      <c r="E39" s="34">
        <v>1</v>
      </c>
      <c r="F39" s="40"/>
      <c r="G39" s="34"/>
      <c r="H39" s="34">
        <v>1</v>
      </c>
      <c r="I39" s="34"/>
      <c r="J39" s="34"/>
      <c r="K39" s="40"/>
      <c r="L39" s="34">
        <v>17</v>
      </c>
      <c r="M39" s="34">
        <v>22</v>
      </c>
      <c r="N39" s="34">
        <v>19</v>
      </c>
      <c r="O39" s="34">
        <v>7</v>
      </c>
      <c r="P39" s="40"/>
      <c r="Q39" s="34"/>
      <c r="R39" s="34">
        <v>1</v>
      </c>
      <c r="S39" s="34"/>
      <c r="T39" s="34"/>
      <c r="U39" s="40"/>
      <c r="V39" s="34"/>
      <c r="W39" s="34">
        <v>1</v>
      </c>
      <c r="X39" s="34"/>
      <c r="Y39" s="34"/>
      <c r="Z39" s="40"/>
      <c r="AA39" s="34">
        <f t="shared" si="3"/>
        <v>18</v>
      </c>
      <c r="AB39" s="38">
        <f t="shared" si="4"/>
        <v>1.1231861589978916E-2</v>
      </c>
      <c r="AC39" s="38">
        <f t="shared" si="5"/>
        <v>0.44444444444444442</v>
      </c>
    </row>
    <row r="40" spans="1:29" x14ac:dyDescent="0.25">
      <c r="A40" t="s">
        <v>49</v>
      </c>
      <c r="B40" s="34">
        <v>2</v>
      </c>
      <c r="C40" s="34">
        <v>2</v>
      </c>
      <c r="D40" s="34">
        <v>1</v>
      </c>
      <c r="E40" s="34">
        <v>0</v>
      </c>
      <c r="F40" s="40"/>
      <c r="G40" s="34">
        <v>7</v>
      </c>
      <c r="H40" s="34">
        <v>7</v>
      </c>
      <c r="I40" s="34">
        <v>14</v>
      </c>
      <c r="J40" s="34">
        <v>4</v>
      </c>
      <c r="K40" s="40"/>
      <c r="L40" s="34">
        <v>5</v>
      </c>
      <c r="M40" s="34">
        <v>5</v>
      </c>
      <c r="N40" s="34">
        <v>1</v>
      </c>
      <c r="O40" s="34">
        <v>2</v>
      </c>
      <c r="P40" s="40"/>
      <c r="Q40" s="34"/>
      <c r="R40" s="34">
        <v>1</v>
      </c>
      <c r="S40" s="34"/>
      <c r="T40" s="34"/>
      <c r="U40" s="40"/>
      <c r="V40" s="34"/>
      <c r="W40" s="34">
        <v>1</v>
      </c>
      <c r="X40" s="34"/>
      <c r="Y40" s="34"/>
      <c r="Z40" s="40"/>
      <c r="AA40" s="34">
        <f t="shared" si="3"/>
        <v>14</v>
      </c>
      <c r="AB40" s="38">
        <f t="shared" si="4"/>
        <v>1.0231923601637109E-2</v>
      </c>
      <c r="AC40" s="38">
        <f t="shared" si="5"/>
        <v>0.42857142857142855</v>
      </c>
    </row>
    <row r="41" spans="1:29" x14ac:dyDescent="0.25">
      <c r="A41" t="s">
        <v>48</v>
      </c>
      <c r="B41" s="34">
        <v>2</v>
      </c>
      <c r="C41" s="34">
        <v>93</v>
      </c>
      <c r="D41" s="34">
        <v>133</v>
      </c>
      <c r="E41" s="34">
        <v>0</v>
      </c>
      <c r="F41" s="40"/>
      <c r="G41" s="34">
        <v>4</v>
      </c>
      <c r="H41" s="34">
        <v>20</v>
      </c>
      <c r="I41" s="34">
        <v>59</v>
      </c>
      <c r="J41" s="34">
        <v>3</v>
      </c>
      <c r="K41" s="40"/>
      <c r="L41" s="34">
        <v>2</v>
      </c>
      <c r="M41" s="34">
        <v>4</v>
      </c>
      <c r="N41" s="34">
        <v>0</v>
      </c>
      <c r="O41" s="34">
        <v>1</v>
      </c>
      <c r="P41" s="40"/>
      <c r="Q41" s="34">
        <v>1</v>
      </c>
      <c r="R41" s="34">
        <v>143</v>
      </c>
      <c r="S41" s="34">
        <v>52</v>
      </c>
      <c r="T41" s="34">
        <v>1</v>
      </c>
      <c r="U41" s="40"/>
      <c r="V41" s="34">
        <v>1</v>
      </c>
      <c r="W41" s="34">
        <v>36</v>
      </c>
      <c r="X41" s="34">
        <v>13</v>
      </c>
      <c r="Y41" s="34">
        <v>1</v>
      </c>
      <c r="Z41" s="40"/>
      <c r="AA41" s="34">
        <f t="shared" si="3"/>
        <v>10</v>
      </c>
      <c r="AB41" s="38">
        <f t="shared" si="4"/>
        <v>8.6578999074048146E-3</v>
      </c>
      <c r="AC41" s="38">
        <f t="shared" si="5"/>
        <v>0.6</v>
      </c>
    </row>
    <row r="42" spans="1:29" x14ac:dyDescent="0.25">
      <c r="A42" t="s">
        <v>43</v>
      </c>
      <c r="B42" s="34">
        <v>7</v>
      </c>
      <c r="C42" s="34">
        <v>7</v>
      </c>
      <c r="D42" s="34">
        <v>15</v>
      </c>
      <c r="E42" s="34">
        <v>2</v>
      </c>
      <c r="F42" s="40"/>
      <c r="G42" s="34">
        <v>2</v>
      </c>
      <c r="H42" s="34">
        <v>2</v>
      </c>
      <c r="I42" s="34">
        <v>0</v>
      </c>
      <c r="J42" s="34">
        <v>0</v>
      </c>
      <c r="K42" s="40"/>
      <c r="L42" s="34"/>
      <c r="M42" s="34">
        <v>1</v>
      </c>
      <c r="N42" s="34"/>
      <c r="O42" s="34"/>
      <c r="P42" s="40"/>
      <c r="Q42" s="34">
        <v>1</v>
      </c>
      <c r="R42" s="34">
        <v>1</v>
      </c>
      <c r="S42" s="34">
        <v>0</v>
      </c>
      <c r="T42" s="34">
        <v>1</v>
      </c>
      <c r="U42" s="40"/>
      <c r="V42" s="34"/>
      <c r="W42" s="34">
        <v>1</v>
      </c>
      <c r="X42" s="34"/>
      <c r="Y42" s="34"/>
      <c r="Z42" s="40"/>
      <c r="AA42" s="34">
        <f t="shared" si="3"/>
        <v>10</v>
      </c>
      <c r="AB42" s="38">
        <f t="shared" si="4"/>
        <v>8.5266030013642566E-3</v>
      </c>
      <c r="AC42" s="38">
        <f t="shared" si="5"/>
        <v>0.3</v>
      </c>
    </row>
    <row r="43" spans="1:29" x14ac:dyDescent="0.25">
      <c r="A43" t="s">
        <v>32</v>
      </c>
      <c r="B43" s="34">
        <v>4</v>
      </c>
      <c r="C43" s="34">
        <v>128</v>
      </c>
      <c r="D43" s="34">
        <v>164</v>
      </c>
      <c r="E43" s="34">
        <v>2</v>
      </c>
      <c r="F43" s="40"/>
      <c r="G43" s="34">
        <v>2</v>
      </c>
      <c r="H43" s="34">
        <v>80</v>
      </c>
      <c r="I43" s="34">
        <v>88</v>
      </c>
      <c r="J43" s="34">
        <v>2</v>
      </c>
      <c r="K43" s="40"/>
      <c r="L43" s="34">
        <v>1</v>
      </c>
      <c r="M43" s="34">
        <v>26</v>
      </c>
      <c r="N43" s="34">
        <v>16</v>
      </c>
      <c r="O43" s="34">
        <v>1</v>
      </c>
      <c r="P43" s="40"/>
      <c r="Q43" s="34">
        <v>3</v>
      </c>
      <c r="R43" s="34">
        <v>69</v>
      </c>
      <c r="S43" s="34">
        <v>49</v>
      </c>
      <c r="T43" s="34">
        <v>1</v>
      </c>
      <c r="U43" s="40"/>
      <c r="V43" s="34">
        <v>1</v>
      </c>
      <c r="W43" s="34">
        <v>8</v>
      </c>
      <c r="X43" s="34">
        <v>9</v>
      </c>
      <c r="Y43" s="34">
        <v>0</v>
      </c>
      <c r="Z43" s="40"/>
      <c r="AA43" s="34">
        <f t="shared" si="3"/>
        <v>11</v>
      </c>
      <c r="AB43" s="38">
        <f t="shared" si="4"/>
        <v>7.5701976118667498E-3</v>
      </c>
      <c r="AC43" s="38">
        <f t="shared" si="5"/>
        <v>0.54545454545454541</v>
      </c>
    </row>
    <row r="44" spans="1:29" x14ac:dyDescent="0.25">
      <c r="A44" t="s">
        <v>76</v>
      </c>
      <c r="B44" s="34"/>
      <c r="C44" s="34">
        <v>1</v>
      </c>
      <c r="D44" s="34"/>
      <c r="E44" s="34"/>
      <c r="F44" s="40"/>
      <c r="G44" s="34"/>
      <c r="H44" s="34">
        <v>1</v>
      </c>
      <c r="I44" s="34"/>
      <c r="J44" s="34"/>
      <c r="K44" s="40"/>
      <c r="L44" s="34"/>
      <c r="M44" s="34">
        <v>1</v>
      </c>
      <c r="N44" s="34"/>
      <c r="O44" s="34"/>
      <c r="P44" s="40"/>
      <c r="Q44" s="34">
        <v>10</v>
      </c>
      <c r="R44" s="34">
        <v>55</v>
      </c>
      <c r="S44" s="34">
        <v>63</v>
      </c>
      <c r="T44" s="34">
        <v>9</v>
      </c>
      <c r="U44" s="40"/>
      <c r="V44" s="34"/>
      <c r="W44" s="34">
        <v>1</v>
      </c>
      <c r="X44" s="34"/>
      <c r="Y44" s="34"/>
      <c r="Z44" s="40"/>
      <c r="AA44" s="34">
        <f t="shared" si="3"/>
        <v>10</v>
      </c>
      <c r="AB44" s="38">
        <f t="shared" si="4"/>
        <v>7.3173756666253253E-3</v>
      </c>
      <c r="AC44" s="38">
        <f t="shared" si="5"/>
        <v>0.9</v>
      </c>
    </row>
    <row r="45" spans="1:29" x14ac:dyDescent="0.25">
      <c r="A45" t="s">
        <v>34</v>
      </c>
      <c r="B45" s="34">
        <v>1</v>
      </c>
      <c r="C45" s="34">
        <v>11</v>
      </c>
      <c r="D45" s="34">
        <v>7</v>
      </c>
      <c r="E45" s="34">
        <v>0</v>
      </c>
      <c r="F45" s="40"/>
      <c r="G45" s="34">
        <v>3</v>
      </c>
      <c r="H45" s="34">
        <v>8</v>
      </c>
      <c r="I45" s="34">
        <v>6</v>
      </c>
      <c r="J45" s="34">
        <v>2</v>
      </c>
      <c r="K45" s="40"/>
      <c r="L45" s="34">
        <v>5</v>
      </c>
      <c r="M45" s="34">
        <v>12</v>
      </c>
      <c r="N45" s="34">
        <v>17</v>
      </c>
      <c r="O45" s="34">
        <v>3</v>
      </c>
      <c r="P45" s="40"/>
      <c r="Q45" s="34"/>
      <c r="R45" s="34">
        <v>1</v>
      </c>
      <c r="S45" s="34"/>
      <c r="T45" s="34"/>
      <c r="U45" s="40"/>
      <c r="V45" s="34"/>
      <c r="W45" s="34">
        <v>1</v>
      </c>
      <c r="X45" s="34"/>
      <c r="Y45" s="34"/>
      <c r="Z45" s="40"/>
      <c r="AA45" s="34">
        <f t="shared" si="3"/>
        <v>9</v>
      </c>
      <c r="AB45" s="38">
        <f t="shared" si="4"/>
        <v>6.4698830046715445E-3</v>
      </c>
      <c r="AC45" s="38">
        <f t="shared" si="5"/>
        <v>0.55555555555555558</v>
      </c>
    </row>
    <row r="46" spans="1:29" x14ac:dyDescent="0.25">
      <c r="A46" t="s">
        <v>57</v>
      </c>
      <c r="B46" s="34">
        <v>10</v>
      </c>
      <c r="C46" s="34">
        <v>218</v>
      </c>
      <c r="D46" s="34">
        <v>112</v>
      </c>
      <c r="E46" s="34">
        <v>6</v>
      </c>
      <c r="F46" s="40"/>
      <c r="G46" s="34">
        <v>1</v>
      </c>
      <c r="H46" s="34">
        <v>101</v>
      </c>
      <c r="I46" s="34">
        <v>58</v>
      </c>
      <c r="J46" s="34">
        <v>0</v>
      </c>
      <c r="K46" s="40"/>
      <c r="L46" s="34">
        <v>1</v>
      </c>
      <c r="M46" s="34">
        <v>98</v>
      </c>
      <c r="N46" s="34">
        <v>89</v>
      </c>
      <c r="O46" s="34">
        <v>1</v>
      </c>
      <c r="P46" s="40"/>
      <c r="Q46" s="34"/>
      <c r="R46" s="34">
        <v>1</v>
      </c>
      <c r="S46" s="34"/>
      <c r="T46" s="34"/>
      <c r="U46" s="40"/>
      <c r="V46" s="34"/>
      <c r="W46" s="34">
        <v>1</v>
      </c>
      <c r="X46" s="34"/>
      <c r="Y46" s="34"/>
      <c r="Z46" s="40"/>
      <c r="AA46" s="34">
        <f t="shared" si="3"/>
        <v>12</v>
      </c>
      <c r="AB46" s="38">
        <f t="shared" si="4"/>
        <v>6.3506259788362138E-3</v>
      </c>
      <c r="AC46" s="38">
        <f t="shared" si="5"/>
        <v>0.58333333333333337</v>
      </c>
    </row>
    <row r="47" spans="1:29" x14ac:dyDescent="0.25">
      <c r="A47" t="s">
        <v>54</v>
      </c>
      <c r="B47" s="34">
        <v>9</v>
      </c>
      <c r="C47" s="34">
        <v>10</v>
      </c>
      <c r="D47" s="34">
        <v>6</v>
      </c>
      <c r="E47" s="34">
        <v>2</v>
      </c>
      <c r="F47" s="40"/>
      <c r="G47" s="34"/>
      <c r="H47" s="34">
        <v>1</v>
      </c>
      <c r="I47" s="34"/>
      <c r="J47" s="34"/>
      <c r="K47" s="40"/>
      <c r="L47" s="34">
        <v>1</v>
      </c>
      <c r="M47" s="34">
        <v>1</v>
      </c>
      <c r="N47" s="34">
        <v>0</v>
      </c>
      <c r="O47" s="34">
        <v>1</v>
      </c>
      <c r="P47" s="40"/>
      <c r="Q47" s="34">
        <v>3</v>
      </c>
      <c r="R47" s="34">
        <v>4</v>
      </c>
      <c r="S47" s="34">
        <v>0</v>
      </c>
      <c r="T47" s="34">
        <v>3</v>
      </c>
      <c r="U47" s="40"/>
      <c r="V47" s="34"/>
      <c r="W47" s="34">
        <v>1</v>
      </c>
      <c r="X47" s="34"/>
      <c r="Y47" s="34"/>
      <c r="Z47" s="40"/>
      <c r="AA47" s="34">
        <f t="shared" si="3"/>
        <v>13</v>
      </c>
      <c r="AB47" s="38">
        <f t="shared" si="4"/>
        <v>6.2755798090040919E-3</v>
      </c>
      <c r="AC47" s="38">
        <f t="shared" si="5"/>
        <v>0.46153846153846156</v>
      </c>
    </row>
    <row r="48" spans="1:29" x14ac:dyDescent="0.25">
      <c r="A48" t="s">
        <v>261</v>
      </c>
      <c r="B48" s="34"/>
      <c r="C48" s="34">
        <v>1</v>
      </c>
      <c r="D48" s="34"/>
      <c r="E48" s="34"/>
      <c r="F48" s="40"/>
      <c r="G48" s="34"/>
      <c r="H48" s="34">
        <v>1</v>
      </c>
      <c r="I48" s="34"/>
      <c r="J48" s="34"/>
      <c r="K48" s="40"/>
      <c r="L48" s="34"/>
      <c r="M48" s="34">
        <v>1</v>
      </c>
      <c r="N48" s="34"/>
      <c r="O48" s="34"/>
      <c r="P48" s="40"/>
      <c r="Q48" s="34"/>
      <c r="R48" s="34">
        <v>1</v>
      </c>
      <c r="S48" s="34"/>
      <c r="T48" s="34"/>
      <c r="U48" s="40"/>
      <c r="V48" s="34">
        <v>14</v>
      </c>
      <c r="W48" s="34">
        <v>17</v>
      </c>
      <c r="X48" s="34">
        <v>2</v>
      </c>
      <c r="Y48" s="34">
        <v>10</v>
      </c>
      <c r="Z48" s="40"/>
      <c r="AA48" s="34">
        <f t="shared" si="3"/>
        <v>14</v>
      </c>
      <c r="AB48" s="38">
        <f t="shared" si="4"/>
        <v>5.3366503490891578E-3</v>
      </c>
      <c r="AC48" s="38">
        <f t="shared" si="5"/>
        <v>0.7142857142857143</v>
      </c>
    </row>
    <row r="49" spans="1:29" x14ac:dyDescent="0.25">
      <c r="A49" t="s">
        <v>44</v>
      </c>
      <c r="B49" s="34"/>
      <c r="C49" s="34">
        <v>1</v>
      </c>
      <c r="D49" s="34"/>
      <c r="E49" s="34"/>
      <c r="F49" s="40"/>
      <c r="G49" s="34">
        <v>6</v>
      </c>
      <c r="H49" s="34">
        <v>6</v>
      </c>
      <c r="I49" s="34">
        <v>4</v>
      </c>
      <c r="J49" s="34">
        <v>4</v>
      </c>
      <c r="K49" s="40"/>
      <c r="L49" s="34">
        <v>3</v>
      </c>
      <c r="M49" s="34">
        <v>3</v>
      </c>
      <c r="N49" s="34">
        <v>0</v>
      </c>
      <c r="O49" s="34">
        <v>1</v>
      </c>
      <c r="P49" s="40"/>
      <c r="Q49" s="34">
        <v>1</v>
      </c>
      <c r="R49" s="34">
        <v>1</v>
      </c>
      <c r="S49" s="34">
        <v>0</v>
      </c>
      <c r="T49" s="34">
        <v>0</v>
      </c>
      <c r="U49" s="40"/>
      <c r="V49" s="34"/>
      <c r="W49" s="34">
        <v>1</v>
      </c>
      <c r="X49" s="34"/>
      <c r="Y49" s="34"/>
      <c r="Z49" s="40"/>
      <c r="AA49" s="34">
        <f t="shared" si="3"/>
        <v>10</v>
      </c>
      <c r="AB49" s="38">
        <f t="shared" si="4"/>
        <v>4.7748976807639835E-3</v>
      </c>
      <c r="AC49" s="38">
        <f t="shared" si="5"/>
        <v>0.5</v>
      </c>
    </row>
    <row r="50" spans="1:29" x14ac:dyDescent="0.25">
      <c r="A50" t="s">
        <v>161</v>
      </c>
      <c r="B50" s="34"/>
      <c r="C50" s="34">
        <v>1</v>
      </c>
      <c r="D50" s="34"/>
      <c r="E50" s="34"/>
      <c r="F50" s="40"/>
      <c r="G50" s="34">
        <v>3</v>
      </c>
      <c r="H50" s="34">
        <v>4</v>
      </c>
      <c r="I50" s="34">
        <v>0</v>
      </c>
      <c r="J50" s="34">
        <v>1</v>
      </c>
      <c r="K50" s="40"/>
      <c r="L50" s="34"/>
      <c r="M50" s="34">
        <v>1</v>
      </c>
      <c r="N50" s="34"/>
      <c r="O50" s="34"/>
      <c r="P50" s="40"/>
      <c r="Q50" s="34">
        <v>10</v>
      </c>
      <c r="R50" s="34">
        <v>12</v>
      </c>
      <c r="S50" s="34">
        <v>1</v>
      </c>
      <c r="T50" s="34">
        <v>4</v>
      </c>
      <c r="U50" s="40"/>
      <c r="V50" s="34"/>
      <c r="W50" s="34">
        <v>1</v>
      </c>
      <c r="X50" s="34"/>
      <c r="Y50" s="34"/>
      <c r="Z50" s="40"/>
      <c r="AA50" s="34">
        <f t="shared" si="3"/>
        <v>13</v>
      </c>
      <c r="AB50" s="38">
        <f t="shared" si="4"/>
        <v>4.718053660754889E-3</v>
      </c>
      <c r="AC50" s="38">
        <f t="shared" si="5"/>
        <v>0.38461538461538464</v>
      </c>
    </row>
    <row r="51" spans="1:29" x14ac:dyDescent="0.25">
      <c r="A51" t="s">
        <v>200</v>
      </c>
      <c r="B51" s="34"/>
      <c r="C51" s="34">
        <v>1</v>
      </c>
      <c r="D51" s="34"/>
      <c r="E51" s="34"/>
      <c r="F51" s="40"/>
      <c r="G51" s="34"/>
      <c r="H51" s="34">
        <v>1</v>
      </c>
      <c r="I51" s="34"/>
      <c r="J51" s="34"/>
      <c r="K51" s="40"/>
      <c r="L51" s="34">
        <v>5</v>
      </c>
      <c r="M51" s="34">
        <v>10</v>
      </c>
      <c r="N51" s="34">
        <v>17</v>
      </c>
      <c r="O51" s="34">
        <v>3</v>
      </c>
      <c r="P51" s="40"/>
      <c r="Q51" s="34"/>
      <c r="R51" s="34">
        <v>1</v>
      </c>
      <c r="S51" s="34"/>
      <c r="T51" s="34"/>
      <c r="U51" s="40"/>
      <c r="V51" s="34"/>
      <c r="W51" s="34">
        <v>1</v>
      </c>
      <c r="X51" s="34"/>
      <c r="Y51" s="34"/>
      <c r="Z51" s="40"/>
      <c r="AA51" s="34">
        <f t="shared" si="3"/>
        <v>5</v>
      </c>
      <c r="AB51" s="38">
        <f t="shared" si="4"/>
        <v>4.6043656207366982E-3</v>
      </c>
      <c r="AC51" s="38">
        <f t="shared" si="5"/>
        <v>0.6</v>
      </c>
    </row>
    <row r="52" spans="1:29" x14ac:dyDescent="0.25">
      <c r="A52" t="s">
        <v>42</v>
      </c>
      <c r="B52" s="34">
        <v>5</v>
      </c>
      <c r="C52" s="34">
        <v>5</v>
      </c>
      <c r="D52" s="34">
        <v>8</v>
      </c>
      <c r="E52" s="34">
        <v>2</v>
      </c>
      <c r="F52" s="40"/>
      <c r="G52" s="34"/>
      <c r="H52" s="34">
        <v>1</v>
      </c>
      <c r="I52" s="34"/>
      <c r="J52" s="34"/>
      <c r="K52" s="40"/>
      <c r="L52" s="34"/>
      <c r="M52" s="34">
        <v>1</v>
      </c>
      <c r="N52" s="34"/>
      <c r="O52" s="34"/>
      <c r="P52" s="40"/>
      <c r="Q52" s="34"/>
      <c r="R52" s="34">
        <v>1</v>
      </c>
      <c r="S52" s="34"/>
      <c r="T52" s="34"/>
      <c r="U52" s="40"/>
      <c r="V52" s="34"/>
      <c r="W52" s="34">
        <v>1</v>
      </c>
      <c r="X52" s="34"/>
      <c r="Y52" s="34"/>
      <c r="Z52" s="40"/>
      <c r="AA52" s="34">
        <f t="shared" si="3"/>
        <v>5</v>
      </c>
      <c r="AB52" s="38">
        <f t="shared" si="4"/>
        <v>4.4338335607094137E-3</v>
      </c>
      <c r="AC52" s="38">
        <f t="shared" si="5"/>
        <v>0.4</v>
      </c>
    </row>
    <row r="53" spans="1:29" x14ac:dyDescent="0.25">
      <c r="A53" t="s">
        <v>55</v>
      </c>
      <c r="B53" s="34">
        <v>2</v>
      </c>
      <c r="C53" s="34">
        <v>2</v>
      </c>
      <c r="D53" s="34">
        <v>0</v>
      </c>
      <c r="E53" s="34">
        <v>0</v>
      </c>
      <c r="F53" s="40"/>
      <c r="G53" s="34">
        <v>4</v>
      </c>
      <c r="H53" s="34">
        <v>4</v>
      </c>
      <c r="I53" s="34">
        <v>3</v>
      </c>
      <c r="J53" s="34">
        <v>3</v>
      </c>
      <c r="K53" s="40"/>
      <c r="L53" s="34">
        <v>3</v>
      </c>
      <c r="M53" s="34">
        <v>4</v>
      </c>
      <c r="N53" s="34">
        <v>0</v>
      </c>
      <c r="O53" s="34">
        <v>1</v>
      </c>
      <c r="P53" s="40"/>
      <c r="Q53" s="34">
        <v>1</v>
      </c>
      <c r="R53" s="34">
        <v>1</v>
      </c>
      <c r="S53" s="34">
        <v>0</v>
      </c>
      <c r="T53" s="34">
        <v>1</v>
      </c>
      <c r="U53" s="40"/>
      <c r="V53" s="34"/>
      <c r="W53" s="34">
        <v>1</v>
      </c>
      <c r="X53" s="34"/>
      <c r="Y53" s="34"/>
      <c r="Z53" s="40"/>
      <c r="AA53" s="34">
        <f t="shared" si="3"/>
        <v>10</v>
      </c>
      <c r="AB53" s="38">
        <f t="shared" si="4"/>
        <v>4.4338335607094137E-3</v>
      </c>
      <c r="AC53" s="38">
        <f t="shared" si="5"/>
        <v>0.5</v>
      </c>
    </row>
    <row r="54" spans="1:29" x14ac:dyDescent="0.25">
      <c r="A54" t="s">
        <v>58</v>
      </c>
      <c r="B54" s="34">
        <v>1</v>
      </c>
      <c r="C54" s="34">
        <v>36</v>
      </c>
      <c r="D54" s="34">
        <v>22</v>
      </c>
      <c r="E54" s="34">
        <v>0</v>
      </c>
      <c r="F54" s="40"/>
      <c r="G54" s="34">
        <v>2</v>
      </c>
      <c r="H54" s="34">
        <v>8</v>
      </c>
      <c r="I54" s="34">
        <v>8</v>
      </c>
      <c r="J54" s="34">
        <v>0</v>
      </c>
      <c r="K54" s="40"/>
      <c r="L54" s="34">
        <v>2</v>
      </c>
      <c r="M54" s="34">
        <v>7</v>
      </c>
      <c r="N54" s="34">
        <v>8</v>
      </c>
      <c r="O54" s="34">
        <v>0</v>
      </c>
      <c r="P54" s="40"/>
      <c r="Q54" s="34"/>
      <c r="R54" s="34">
        <v>1</v>
      </c>
      <c r="S54" s="34"/>
      <c r="T54" s="34"/>
      <c r="U54" s="40"/>
      <c r="V54" s="34"/>
      <c r="W54" s="34">
        <v>1</v>
      </c>
      <c r="X54" s="34"/>
      <c r="Y54" s="34"/>
      <c r="Z54" s="40"/>
      <c r="AA54" s="34">
        <f t="shared" si="3"/>
        <v>5</v>
      </c>
      <c r="AB54" s="38">
        <f t="shared" si="4"/>
        <v>3.3754520453019772E-3</v>
      </c>
      <c r="AC54" s="38">
        <f t="shared" si="5"/>
        <v>0</v>
      </c>
    </row>
    <row r="55" spans="1:29" x14ac:dyDescent="0.25">
      <c r="A55" t="s">
        <v>191</v>
      </c>
      <c r="B55" s="34">
        <v>1</v>
      </c>
      <c r="C55" s="34">
        <v>7</v>
      </c>
      <c r="D55" s="34">
        <v>0</v>
      </c>
      <c r="E55" s="34">
        <v>1</v>
      </c>
      <c r="F55" s="40"/>
      <c r="G55" s="34"/>
      <c r="H55" s="34">
        <v>1</v>
      </c>
      <c r="I55" s="34"/>
      <c r="J55" s="34"/>
      <c r="K55" s="40"/>
      <c r="L55" s="34"/>
      <c r="M55" s="34">
        <v>1</v>
      </c>
      <c r="N55" s="34"/>
      <c r="O55" s="34"/>
      <c r="P55" s="40"/>
      <c r="Q55" s="34">
        <v>3</v>
      </c>
      <c r="R55" s="34">
        <v>17</v>
      </c>
      <c r="S55" s="34">
        <v>24</v>
      </c>
      <c r="T55" s="34">
        <v>1</v>
      </c>
      <c r="U55" s="40"/>
      <c r="V55" s="34"/>
      <c r="W55" s="34">
        <v>1</v>
      </c>
      <c r="X55" s="34"/>
      <c r="Y55" s="34"/>
      <c r="Z55" s="40"/>
      <c r="AA55" s="34">
        <f t="shared" si="3"/>
        <v>4</v>
      </c>
      <c r="AB55" s="38">
        <f t="shared" si="4"/>
        <v>2.8087633416258723E-3</v>
      </c>
      <c r="AC55" s="38">
        <f t="shared" si="5"/>
        <v>0.5</v>
      </c>
    </row>
    <row r="56" spans="1:29" x14ac:dyDescent="0.25">
      <c r="A56" t="s">
        <v>108</v>
      </c>
      <c r="B56" s="34"/>
      <c r="C56" s="34">
        <v>1</v>
      </c>
      <c r="D56" s="34"/>
      <c r="E56" s="34"/>
      <c r="F56" s="40"/>
      <c r="G56" s="34"/>
      <c r="H56" s="34">
        <v>1</v>
      </c>
      <c r="I56" s="34"/>
      <c r="J56" s="34"/>
      <c r="K56" s="40"/>
      <c r="L56" s="34">
        <v>5</v>
      </c>
      <c r="M56" s="34">
        <v>202</v>
      </c>
      <c r="N56" s="34">
        <v>127</v>
      </c>
      <c r="O56" s="34">
        <v>1</v>
      </c>
      <c r="P56" s="40"/>
      <c r="Q56" s="34"/>
      <c r="R56" s="34">
        <v>1</v>
      </c>
      <c r="S56" s="34"/>
      <c r="T56" s="34"/>
      <c r="U56" s="40"/>
      <c r="V56" s="34"/>
      <c r="W56" s="34">
        <v>1</v>
      </c>
      <c r="X56" s="34"/>
      <c r="Y56" s="34"/>
      <c r="Z56" s="40"/>
      <c r="AA56" s="34">
        <f t="shared" si="3"/>
        <v>5</v>
      </c>
      <c r="AB56" s="38">
        <f t="shared" si="4"/>
        <v>2.7774776113354853E-3</v>
      </c>
      <c r="AC56" s="38">
        <f t="shared" si="5"/>
        <v>0.2</v>
      </c>
    </row>
    <row r="57" spans="1:29" x14ac:dyDescent="0.25">
      <c r="A57" t="s">
        <v>209</v>
      </c>
      <c r="B57" s="34"/>
      <c r="C57" s="34">
        <v>1</v>
      </c>
      <c r="D57" s="34"/>
      <c r="E57" s="34"/>
      <c r="F57" s="40"/>
      <c r="G57" s="34"/>
      <c r="H57" s="34">
        <v>1</v>
      </c>
      <c r="I57" s="34"/>
      <c r="J57" s="34"/>
      <c r="K57" s="40"/>
      <c r="L57" s="34"/>
      <c r="M57" s="34">
        <v>1</v>
      </c>
      <c r="N57" s="34"/>
      <c r="O57" s="34"/>
      <c r="P57" s="40"/>
      <c r="Q57" s="34">
        <v>6</v>
      </c>
      <c r="R57" s="34">
        <v>10</v>
      </c>
      <c r="S57" s="34">
        <v>3</v>
      </c>
      <c r="T57" s="34">
        <v>3</v>
      </c>
      <c r="U57" s="40"/>
      <c r="V57" s="34"/>
      <c r="W57" s="34">
        <v>1</v>
      </c>
      <c r="X57" s="34"/>
      <c r="Y57" s="34"/>
      <c r="Z57" s="40"/>
      <c r="AA57" s="34">
        <f t="shared" si="3"/>
        <v>6</v>
      </c>
      <c r="AB57" s="38">
        <f t="shared" si="4"/>
        <v>2.6603001364256481E-3</v>
      </c>
      <c r="AC57" s="38">
        <f t="shared" si="5"/>
        <v>0.5</v>
      </c>
    </row>
    <row r="58" spans="1:29" x14ac:dyDescent="0.25">
      <c r="A58" t="s">
        <v>52</v>
      </c>
      <c r="B58" s="34"/>
      <c r="C58" s="34">
        <v>1</v>
      </c>
      <c r="D58" s="34"/>
      <c r="E58" s="34"/>
      <c r="F58" s="40"/>
      <c r="G58" s="34">
        <v>2</v>
      </c>
      <c r="H58" s="34">
        <v>70</v>
      </c>
      <c r="I58" s="34">
        <v>200</v>
      </c>
      <c r="J58" s="34">
        <v>1</v>
      </c>
      <c r="K58" s="40"/>
      <c r="L58" s="34"/>
      <c r="M58" s="34">
        <v>1</v>
      </c>
      <c r="N58" s="34"/>
      <c r="O58" s="34"/>
      <c r="P58" s="40"/>
      <c r="Q58" s="34"/>
      <c r="R58" s="34">
        <v>1</v>
      </c>
      <c r="S58" s="34"/>
      <c r="T58" s="34"/>
      <c r="U58" s="40"/>
      <c r="V58" s="34"/>
      <c r="W58" s="34">
        <v>1</v>
      </c>
      <c r="X58" s="34"/>
      <c r="Y58" s="34"/>
      <c r="Z58" s="40"/>
      <c r="AA58" s="34">
        <f t="shared" si="3"/>
        <v>2</v>
      </c>
      <c r="AB58" s="38">
        <f t="shared" si="4"/>
        <v>2.6310660689923991E-3</v>
      </c>
      <c r="AC58" s="38">
        <f t="shared" si="5"/>
        <v>0.5</v>
      </c>
    </row>
    <row r="59" spans="1:29" x14ac:dyDescent="0.25">
      <c r="A59" t="s">
        <v>59</v>
      </c>
      <c r="B59" s="34"/>
      <c r="C59" s="34">
        <v>1</v>
      </c>
      <c r="D59" s="34"/>
      <c r="E59" s="34"/>
      <c r="F59" s="40"/>
      <c r="G59" s="34"/>
      <c r="H59" s="34">
        <v>1</v>
      </c>
      <c r="I59" s="34"/>
      <c r="J59" s="34"/>
      <c r="K59" s="40"/>
      <c r="L59" s="34">
        <v>3</v>
      </c>
      <c r="M59" s="34">
        <v>73</v>
      </c>
      <c r="N59" s="34">
        <v>75</v>
      </c>
      <c r="O59" s="34">
        <v>2</v>
      </c>
      <c r="P59" s="40"/>
      <c r="Q59" s="34">
        <v>1</v>
      </c>
      <c r="R59" s="34">
        <v>19</v>
      </c>
      <c r="S59" s="34">
        <v>10</v>
      </c>
      <c r="T59" s="34">
        <v>1</v>
      </c>
      <c r="U59" s="40"/>
      <c r="V59" s="34"/>
      <c r="W59" s="34">
        <v>1</v>
      </c>
      <c r="X59" s="34"/>
      <c r="Y59" s="34"/>
      <c r="Z59" s="40"/>
      <c r="AA59" s="34">
        <f t="shared" si="3"/>
        <v>4</v>
      </c>
      <c r="AB59" s="38">
        <f t="shared" si="4"/>
        <v>2.5949889393914061E-3</v>
      </c>
      <c r="AC59" s="38">
        <f t="shared" si="5"/>
        <v>0.75</v>
      </c>
    </row>
    <row r="60" spans="1:29" x14ac:dyDescent="0.25">
      <c r="A60" t="s">
        <v>29</v>
      </c>
      <c r="B60" s="34"/>
      <c r="C60" s="34">
        <v>1</v>
      </c>
      <c r="D60" s="34"/>
      <c r="E60" s="34"/>
      <c r="F60" s="40"/>
      <c r="G60" s="34">
        <v>1</v>
      </c>
      <c r="H60" s="34">
        <v>65</v>
      </c>
      <c r="I60" s="34">
        <v>56</v>
      </c>
      <c r="J60" s="34">
        <v>1</v>
      </c>
      <c r="K60" s="40"/>
      <c r="L60" s="34">
        <v>2</v>
      </c>
      <c r="M60" s="34">
        <v>47</v>
      </c>
      <c r="N60" s="34">
        <v>37</v>
      </c>
      <c r="O60" s="34">
        <v>0</v>
      </c>
      <c r="P60" s="40"/>
      <c r="Q60" s="34">
        <v>1</v>
      </c>
      <c r="R60" s="34">
        <v>42</v>
      </c>
      <c r="S60" s="34">
        <v>40</v>
      </c>
      <c r="T60" s="34">
        <v>0</v>
      </c>
      <c r="U60" s="40"/>
      <c r="V60" s="34"/>
      <c r="W60" s="34">
        <v>1</v>
      </c>
      <c r="X60" s="34"/>
      <c r="Y60" s="34"/>
      <c r="Z60" s="40"/>
      <c r="AA60" s="34">
        <f t="shared" si="3"/>
        <v>4</v>
      </c>
      <c r="AB60" s="38">
        <f t="shared" si="4"/>
        <v>2.5199138809774207E-3</v>
      </c>
      <c r="AC60" s="38">
        <f t="shared" si="5"/>
        <v>0.25</v>
      </c>
    </row>
    <row r="61" spans="1:29" x14ac:dyDescent="0.25">
      <c r="A61" t="s">
        <v>39</v>
      </c>
      <c r="B61" s="34"/>
      <c r="C61" s="34">
        <v>1</v>
      </c>
      <c r="D61" s="34"/>
      <c r="E61" s="34"/>
      <c r="F61" s="40"/>
      <c r="G61" s="34">
        <v>1</v>
      </c>
      <c r="H61" s="34">
        <v>85</v>
      </c>
      <c r="I61" s="34">
        <v>139</v>
      </c>
      <c r="J61" s="34">
        <v>1</v>
      </c>
      <c r="K61" s="40"/>
      <c r="L61" s="34">
        <v>2</v>
      </c>
      <c r="M61" s="34">
        <v>140</v>
      </c>
      <c r="N61" s="34">
        <v>154</v>
      </c>
      <c r="O61" s="34">
        <v>1</v>
      </c>
      <c r="P61" s="40"/>
      <c r="Q61" s="34"/>
      <c r="R61" s="34">
        <v>1</v>
      </c>
      <c r="S61" s="34"/>
      <c r="T61" s="34"/>
      <c r="U61" s="40"/>
      <c r="V61" s="34"/>
      <c r="W61" s="34">
        <v>1</v>
      </c>
      <c r="X61" s="34"/>
      <c r="Y61" s="34"/>
      <c r="Z61" s="40"/>
      <c r="AA61" s="34">
        <f t="shared" si="3"/>
        <v>3</v>
      </c>
      <c r="AB61" s="38">
        <f t="shared" si="4"/>
        <v>2.3312735735494744E-3</v>
      </c>
      <c r="AC61" s="38">
        <f t="shared" si="5"/>
        <v>0.66666666666666663</v>
      </c>
    </row>
    <row r="62" spans="1:29" x14ac:dyDescent="0.25">
      <c r="A62" t="s">
        <v>64</v>
      </c>
      <c r="B62" s="34">
        <v>2</v>
      </c>
      <c r="C62" s="34">
        <v>159</v>
      </c>
      <c r="D62" s="34">
        <v>144</v>
      </c>
      <c r="E62" s="34">
        <v>1</v>
      </c>
      <c r="F62" s="40"/>
      <c r="G62" s="34">
        <v>1</v>
      </c>
      <c r="H62" s="34">
        <v>235</v>
      </c>
      <c r="I62" s="34">
        <v>137</v>
      </c>
      <c r="J62" s="34">
        <v>0</v>
      </c>
      <c r="K62" s="40"/>
      <c r="L62" s="34"/>
      <c r="M62" s="34">
        <v>1</v>
      </c>
      <c r="N62" s="34"/>
      <c r="O62" s="34"/>
      <c r="P62" s="40"/>
      <c r="Q62" s="34"/>
      <c r="R62" s="34">
        <v>1</v>
      </c>
      <c r="S62" s="34"/>
      <c r="T62" s="34"/>
      <c r="U62" s="40"/>
      <c r="V62" s="34"/>
      <c r="W62" s="34">
        <v>1</v>
      </c>
      <c r="X62" s="34"/>
      <c r="Y62" s="34"/>
      <c r="Z62" s="40"/>
      <c r="AA62" s="34">
        <f t="shared" si="3"/>
        <v>3</v>
      </c>
      <c r="AB62" s="38">
        <f t="shared" si="4"/>
        <v>1.8398020048162472E-3</v>
      </c>
      <c r="AC62" s="38">
        <f t="shared" si="5"/>
        <v>0.33333333333333331</v>
      </c>
    </row>
    <row r="63" spans="1:29" x14ac:dyDescent="0.25">
      <c r="A63" t="s">
        <v>123</v>
      </c>
      <c r="B63" s="34">
        <v>1</v>
      </c>
      <c r="C63" s="34">
        <v>27</v>
      </c>
      <c r="D63" s="34">
        <v>9</v>
      </c>
      <c r="E63" s="34">
        <v>0</v>
      </c>
      <c r="F63" s="40"/>
      <c r="G63" s="34">
        <v>1</v>
      </c>
      <c r="H63" s="34">
        <v>6</v>
      </c>
      <c r="I63" s="34">
        <v>1</v>
      </c>
      <c r="J63" s="34">
        <v>1</v>
      </c>
      <c r="K63" s="40"/>
      <c r="L63" s="34">
        <v>1</v>
      </c>
      <c r="M63" s="34">
        <v>1</v>
      </c>
      <c r="N63" s="34">
        <v>0</v>
      </c>
      <c r="O63" s="34">
        <v>0</v>
      </c>
      <c r="P63" s="40"/>
      <c r="Q63" s="34">
        <v>1</v>
      </c>
      <c r="R63" s="34">
        <v>6</v>
      </c>
      <c r="S63" s="34">
        <v>2</v>
      </c>
      <c r="T63" s="34">
        <v>1</v>
      </c>
      <c r="U63" s="40"/>
      <c r="V63" s="34"/>
      <c r="W63" s="34">
        <v>1</v>
      </c>
      <c r="X63" s="34"/>
      <c r="Y63" s="34"/>
      <c r="Z63" s="40"/>
      <c r="AA63" s="34">
        <f t="shared" si="3"/>
        <v>4</v>
      </c>
      <c r="AB63" s="38">
        <f t="shared" si="4"/>
        <v>1.6484765802637562E-3</v>
      </c>
      <c r="AC63" s="38">
        <f t="shared" si="5"/>
        <v>0.5</v>
      </c>
    </row>
    <row r="64" spans="1:29" x14ac:dyDescent="0.25">
      <c r="A64" t="s">
        <v>35</v>
      </c>
      <c r="B64" s="34">
        <v>1</v>
      </c>
      <c r="C64" s="34">
        <v>79</v>
      </c>
      <c r="D64" s="34">
        <v>260</v>
      </c>
      <c r="E64" s="34">
        <v>0</v>
      </c>
      <c r="F64" s="40"/>
      <c r="G64" s="34"/>
      <c r="H64" s="34">
        <v>1</v>
      </c>
      <c r="I64" s="34"/>
      <c r="J64" s="34"/>
      <c r="K64" s="40"/>
      <c r="L64" s="34"/>
      <c r="M64" s="34">
        <v>1</v>
      </c>
      <c r="N64" s="34"/>
      <c r="O64" s="34"/>
      <c r="P64" s="40"/>
      <c r="Q64" s="34"/>
      <c r="R64" s="34">
        <v>1</v>
      </c>
      <c r="S64" s="34"/>
      <c r="T64" s="34"/>
      <c r="U64" s="40"/>
      <c r="V64" s="34"/>
      <c r="W64" s="34">
        <v>1</v>
      </c>
      <c r="X64" s="34"/>
      <c r="Y64" s="34"/>
      <c r="Z64" s="40"/>
      <c r="AA64" s="34">
        <f t="shared" si="3"/>
        <v>1</v>
      </c>
      <c r="AB64" s="38">
        <f t="shared" si="4"/>
        <v>1.4635536290949281E-3</v>
      </c>
      <c r="AC64" s="38">
        <f t="shared" si="5"/>
        <v>0</v>
      </c>
    </row>
    <row r="65" spans="1:29" x14ac:dyDescent="0.25">
      <c r="A65" t="s">
        <v>83</v>
      </c>
      <c r="B65" s="34">
        <v>3</v>
      </c>
      <c r="C65" s="34">
        <v>7</v>
      </c>
      <c r="D65" s="34">
        <v>2</v>
      </c>
      <c r="E65" s="34">
        <v>1</v>
      </c>
      <c r="F65" s="40"/>
      <c r="G65" s="34"/>
      <c r="H65" s="34">
        <v>1</v>
      </c>
      <c r="I65" s="34"/>
      <c r="J65" s="34"/>
      <c r="K65" s="40"/>
      <c r="L65" s="34"/>
      <c r="M65" s="34">
        <v>1</v>
      </c>
      <c r="N65" s="34"/>
      <c r="O65" s="34"/>
      <c r="P65" s="40"/>
      <c r="Q65" s="34"/>
      <c r="R65" s="34">
        <v>1</v>
      </c>
      <c r="S65" s="34"/>
      <c r="T65" s="34"/>
      <c r="U65" s="40"/>
      <c r="V65" s="34"/>
      <c r="W65" s="34">
        <v>1</v>
      </c>
      <c r="X65" s="34"/>
      <c r="Y65" s="34"/>
      <c r="Z65" s="40"/>
      <c r="AA65" s="34">
        <f t="shared" si="3"/>
        <v>3</v>
      </c>
      <c r="AB65" s="38">
        <f t="shared" si="4"/>
        <v>1.3155330344961995E-3</v>
      </c>
      <c r="AC65" s="38">
        <f t="shared" si="5"/>
        <v>0.33333333333333331</v>
      </c>
    </row>
    <row r="66" spans="1:29" x14ac:dyDescent="0.25">
      <c r="A66" t="s">
        <v>125</v>
      </c>
      <c r="B66" s="34"/>
      <c r="C66" s="34">
        <v>1</v>
      </c>
      <c r="D66" s="34"/>
      <c r="E66" s="34"/>
      <c r="F66" s="40"/>
      <c r="G66" s="34">
        <v>2</v>
      </c>
      <c r="H66" s="34">
        <v>16</v>
      </c>
      <c r="I66" s="34">
        <v>11</v>
      </c>
      <c r="J66" s="34">
        <v>2</v>
      </c>
      <c r="K66" s="40"/>
      <c r="L66" s="34"/>
      <c r="M66" s="34">
        <v>1</v>
      </c>
      <c r="N66" s="34"/>
      <c r="O66" s="34"/>
      <c r="P66" s="40"/>
      <c r="Q66" s="34"/>
      <c r="R66" s="34">
        <v>1</v>
      </c>
      <c r="S66" s="34"/>
      <c r="T66" s="34"/>
      <c r="U66" s="40"/>
      <c r="V66" s="34"/>
      <c r="W66" s="34">
        <v>1</v>
      </c>
      <c r="X66" s="34"/>
      <c r="Y66" s="34"/>
      <c r="Z66" s="40"/>
      <c r="AA66" s="34">
        <f t="shared" si="3"/>
        <v>2</v>
      </c>
      <c r="AB66" s="38">
        <f t="shared" si="4"/>
        <v>1.1510914051841745E-3</v>
      </c>
      <c r="AC66" s="38">
        <f t="shared" si="5"/>
        <v>1</v>
      </c>
    </row>
    <row r="67" spans="1:29" x14ac:dyDescent="0.25">
      <c r="A67" t="s">
        <v>149</v>
      </c>
      <c r="B67" s="34"/>
      <c r="C67" s="34">
        <v>1</v>
      </c>
      <c r="D67" s="34"/>
      <c r="E67" s="34"/>
      <c r="F67" s="40"/>
      <c r="G67" s="34"/>
      <c r="H67" s="34">
        <v>1</v>
      </c>
      <c r="I67" s="34"/>
      <c r="J67" s="34"/>
      <c r="K67" s="40"/>
      <c r="L67" s="34">
        <v>1</v>
      </c>
      <c r="M67" s="34">
        <v>148</v>
      </c>
      <c r="N67" s="34">
        <v>338</v>
      </c>
      <c r="O67" s="34">
        <v>1</v>
      </c>
      <c r="P67" s="40"/>
      <c r="Q67" s="34"/>
      <c r="R67" s="34">
        <v>1</v>
      </c>
      <c r="S67" s="34"/>
      <c r="T67" s="34"/>
      <c r="U67" s="40"/>
      <c r="V67" s="34"/>
      <c r="W67" s="34">
        <v>1</v>
      </c>
      <c r="X67" s="34"/>
      <c r="Y67" s="34"/>
      <c r="Z67" s="40"/>
      <c r="AA67" s="34">
        <f t="shared" ref="AA67:AA81" si="6">B67+G67+L67+Q67+V67</f>
        <v>1</v>
      </c>
      <c r="AB67" s="38">
        <f t="shared" ref="AB67:AB81" si="7">(AA67+(B67/C67*D67+G67/H67*I67+L67/M67*N67+Q67/R67*S67+V67/W67*X67))/($D$1+$I$1+$N$1+$S$1+$X$1)</f>
        <v>1.1199808266656834E-3</v>
      </c>
      <c r="AC67" s="38">
        <f t="shared" ref="AC67:AC81" si="8">(E67+J67+O67+T67+Y67)/(AA67)</f>
        <v>1</v>
      </c>
    </row>
    <row r="68" spans="1:29" x14ac:dyDescent="0.25">
      <c r="A68" t="s">
        <v>145</v>
      </c>
      <c r="B68" s="34"/>
      <c r="C68" s="34">
        <v>1</v>
      </c>
      <c r="D68" s="34"/>
      <c r="E68" s="34"/>
      <c r="F68" s="40"/>
      <c r="G68" s="34"/>
      <c r="H68" s="34">
        <v>1</v>
      </c>
      <c r="I68" s="34"/>
      <c r="J68" s="34"/>
      <c r="K68" s="40"/>
      <c r="L68" s="34"/>
      <c r="M68" s="34">
        <v>1</v>
      </c>
      <c r="N68" s="34"/>
      <c r="O68" s="34"/>
      <c r="P68" s="40"/>
      <c r="Q68" s="34">
        <v>1</v>
      </c>
      <c r="R68" s="34">
        <v>145</v>
      </c>
      <c r="S68" s="34">
        <v>297</v>
      </c>
      <c r="T68" s="34">
        <v>0</v>
      </c>
      <c r="U68" s="40"/>
      <c r="V68" s="34"/>
      <c r="W68" s="34">
        <v>1</v>
      </c>
      <c r="X68" s="34"/>
      <c r="Y68" s="34"/>
      <c r="Z68" s="40"/>
      <c r="AA68" s="34">
        <f t="shared" si="6"/>
        <v>1</v>
      </c>
      <c r="AB68" s="38">
        <f t="shared" si="7"/>
        <v>1.0396575245801383E-3</v>
      </c>
      <c r="AC68" s="38">
        <f t="shared" si="8"/>
        <v>0</v>
      </c>
    </row>
    <row r="69" spans="1:29" x14ac:dyDescent="0.25">
      <c r="A69" t="s">
        <v>100</v>
      </c>
      <c r="B69" s="34">
        <v>3</v>
      </c>
      <c r="C69" s="34">
        <v>3</v>
      </c>
      <c r="D69" s="34">
        <v>0</v>
      </c>
      <c r="E69" s="34">
        <v>0</v>
      </c>
      <c r="F69" s="40"/>
      <c r="G69" s="34"/>
      <c r="H69" s="34">
        <v>1</v>
      </c>
      <c r="I69" s="34"/>
      <c r="J69" s="34"/>
      <c r="K69" s="40"/>
      <c r="L69" s="34"/>
      <c r="M69" s="34">
        <v>1</v>
      </c>
      <c r="N69" s="34"/>
      <c r="O69" s="34"/>
      <c r="P69" s="40"/>
      <c r="Q69" s="34"/>
      <c r="R69" s="34">
        <v>1</v>
      </c>
      <c r="S69" s="34"/>
      <c r="T69" s="34"/>
      <c r="U69" s="40"/>
      <c r="V69" s="34"/>
      <c r="W69" s="34">
        <v>1</v>
      </c>
      <c r="X69" s="34"/>
      <c r="Y69" s="34"/>
      <c r="Z69" s="40"/>
      <c r="AA69" s="34">
        <f t="shared" si="6"/>
        <v>3</v>
      </c>
      <c r="AB69" s="38">
        <f t="shared" si="7"/>
        <v>1.0231923601637107E-3</v>
      </c>
      <c r="AC69" s="38">
        <f t="shared" si="8"/>
        <v>0</v>
      </c>
    </row>
    <row r="70" spans="1:29" x14ac:dyDescent="0.25">
      <c r="A70" t="s">
        <v>61</v>
      </c>
      <c r="B70" s="34">
        <v>1</v>
      </c>
      <c r="C70" s="34">
        <v>25</v>
      </c>
      <c r="D70" s="34">
        <v>31</v>
      </c>
      <c r="E70" s="34">
        <v>1</v>
      </c>
      <c r="F70" s="40"/>
      <c r="G70" s="34"/>
      <c r="H70" s="34">
        <v>1</v>
      </c>
      <c r="I70" s="34"/>
      <c r="J70" s="34"/>
      <c r="K70" s="40"/>
      <c r="L70" s="34"/>
      <c r="M70" s="34">
        <v>1</v>
      </c>
      <c r="N70" s="34"/>
      <c r="O70" s="34"/>
      <c r="P70" s="40"/>
      <c r="Q70" s="34"/>
      <c r="R70" s="34">
        <v>1</v>
      </c>
      <c r="S70" s="34"/>
      <c r="T70" s="34"/>
      <c r="U70" s="40"/>
      <c r="V70" s="34"/>
      <c r="W70" s="34">
        <v>1</v>
      </c>
      <c r="X70" s="34"/>
      <c r="Y70" s="34"/>
      <c r="Z70" s="40"/>
      <c r="AA70" s="34">
        <f t="shared" si="6"/>
        <v>1</v>
      </c>
      <c r="AB70" s="38">
        <f t="shared" si="7"/>
        <v>7.639836289222374E-4</v>
      </c>
      <c r="AC70" s="38">
        <f t="shared" si="8"/>
        <v>1</v>
      </c>
    </row>
    <row r="71" spans="1:29" x14ac:dyDescent="0.25">
      <c r="A71" t="s">
        <v>45</v>
      </c>
      <c r="B71" s="34"/>
      <c r="C71" s="34">
        <v>1</v>
      </c>
      <c r="D71" s="34"/>
      <c r="E71" s="34"/>
      <c r="F71" s="40"/>
      <c r="G71" s="34">
        <v>1</v>
      </c>
      <c r="H71" s="34">
        <v>45</v>
      </c>
      <c r="I71" s="34">
        <v>51</v>
      </c>
      <c r="J71" s="34">
        <v>0</v>
      </c>
      <c r="K71" s="40"/>
      <c r="L71" s="34"/>
      <c r="M71" s="34">
        <v>1</v>
      </c>
      <c r="N71" s="34"/>
      <c r="O71" s="34"/>
      <c r="P71" s="40"/>
      <c r="Q71" s="34"/>
      <c r="R71" s="34">
        <v>1</v>
      </c>
      <c r="S71" s="34"/>
      <c r="T71" s="34"/>
      <c r="U71" s="40"/>
      <c r="V71" s="34"/>
      <c r="W71" s="34">
        <v>1</v>
      </c>
      <c r="X71" s="34"/>
      <c r="Y71" s="34"/>
      <c r="Z71" s="40"/>
      <c r="AA71" s="34">
        <f t="shared" si="6"/>
        <v>1</v>
      </c>
      <c r="AB71" s="38">
        <f t="shared" si="7"/>
        <v>7.2760345611641651E-4</v>
      </c>
      <c r="AC71" s="38">
        <f t="shared" si="8"/>
        <v>0</v>
      </c>
    </row>
    <row r="72" spans="1:29" x14ac:dyDescent="0.25">
      <c r="A72" t="s">
        <v>259</v>
      </c>
      <c r="B72" s="34"/>
      <c r="C72" s="34">
        <v>1</v>
      </c>
      <c r="D72" s="34"/>
      <c r="E72" s="34"/>
      <c r="F72" s="40"/>
      <c r="G72" s="34"/>
      <c r="H72" s="34">
        <v>1</v>
      </c>
      <c r="I72" s="34"/>
      <c r="J72" s="34"/>
      <c r="K72" s="40"/>
      <c r="L72" s="34"/>
      <c r="M72" s="34">
        <v>1</v>
      </c>
      <c r="N72" s="34"/>
      <c r="O72" s="34"/>
      <c r="P72" s="40"/>
      <c r="Q72" s="34">
        <v>1</v>
      </c>
      <c r="R72" s="34">
        <v>1</v>
      </c>
      <c r="S72" s="34">
        <v>1</v>
      </c>
      <c r="T72" s="34">
        <v>0</v>
      </c>
      <c r="U72" s="40"/>
      <c r="V72" s="34"/>
      <c r="W72" s="34">
        <v>1</v>
      </c>
      <c r="X72" s="34"/>
      <c r="Y72" s="34"/>
      <c r="Z72" s="40"/>
      <c r="AA72" s="34">
        <f t="shared" si="6"/>
        <v>1</v>
      </c>
      <c r="AB72" s="38">
        <f t="shared" si="7"/>
        <v>6.8212824010914052E-4</v>
      </c>
      <c r="AC72" s="38">
        <f t="shared" si="8"/>
        <v>0</v>
      </c>
    </row>
    <row r="73" spans="1:29" x14ac:dyDescent="0.25">
      <c r="A73" t="s">
        <v>107</v>
      </c>
      <c r="B73" s="34"/>
      <c r="C73" s="34">
        <v>1</v>
      </c>
      <c r="D73" s="34"/>
      <c r="E73" s="34"/>
      <c r="F73" s="40"/>
      <c r="G73" s="34">
        <v>1</v>
      </c>
      <c r="H73" s="34">
        <v>117</v>
      </c>
      <c r="I73" s="34">
        <v>91</v>
      </c>
      <c r="J73" s="34">
        <v>0</v>
      </c>
      <c r="K73" s="40"/>
      <c r="L73" s="34"/>
      <c r="M73" s="34">
        <v>1</v>
      </c>
      <c r="N73" s="34"/>
      <c r="O73" s="34"/>
      <c r="P73" s="40"/>
      <c r="Q73" s="34"/>
      <c r="R73" s="34">
        <v>1</v>
      </c>
      <c r="S73" s="34"/>
      <c r="T73" s="34"/>
      <c r="U73" s="40"/>
      <c r="V73" s="34"/>
      <c r="W73" s="34">
        <v>1</v>
      </c>
      <c r="X73" s="34"/>
      <c r="Y73" s="34"/>
      <c r="Z73" s="40"/>
      <c r="AA73" s="34">
        <f t="shared" si="6"/>
        <v>1</v>
      </c>
      <c r="AB73" s="38">
        <f t="shared" si="7"/>
        <v>6.0633621343034714E-4</v>
      </c>
      <c r="AC73" s="38">
        <f t="shared" si="8"/>
        <v>0</v>
      </c>
    </row>
    <row r="74" spans="1:29" x14ac:dyDescent="0.25">
      <c r="A74" t="s">
        <v>74</v>
      </c>
      <c r="B74" s="34"/>
      <c r="C74" s="34">
        <v>1</v>
      </c>
      <c r="D74" s="34"/>
      <c r="E74" s="34"/>
      <c r="F74" s="40"/>
      <c r="G74" s="34"/>
      <c r="H74" s="34">
        <v>1</v>
      </c>
      <c r="I74" s="34"/>
      <c r="J74" s="34"/>
      <c r="K74" s="40"/>
      <c r="L74" s="34"/>
      <c r="M74" s="34">
        <v>1</v>
      </c>
      <c r="N74" s="34"/>
      <c r="O74" s="34"/>
      <c r="P74" s="40"/>
      <c r="Q74" s="34">
        <v>1</v>
      </c>
      <c r="R74" s="34">
        <v>2</v>
      </c>
      <c r="S74" s="34">
        <v>1</v>
      </c>
      <c r="T74" s="34">
        <v>0</v>
      </c>
      <c r="U74" s="40"/>
      <c r="V74" s="34"/>
      <c r="W74" s="34">
        <v>1</v>
      </c>
      <c r="X74" s="34"/>
      <c r="Y74" s="34"/>
      <c r="Z74" s="40"/>
      <c r="AA74" s="34">
        <f t="shared" si="6"/>
        <v>1</v>
      </c>
      <c r="AB74" s="38">
        <f t="shared" si="7"/>
        <v>5.1159618008185536E-4</v>
      </c>
      <c r="AC74" s="38">
        <f t="shared" si="8"/>
        <v>0</v>
      </c>
    </row>
    <row r="75" spans="1:29" x14ac:dyDescent="0.25">
      <c r="A75" t="s">
        <v>234</v>
      </c>
      <c r="B75" s="34"/>
      <c r="C75" s="34">
        <v>1</v>
      </c>
      <c r="D75" s="34"/>
      <c r="E75" s="34"/>
      <c r="F75" s="40"/>
      <c r="G75" s="34"/>
      <c r="H75" s="34">
        <v>1</v>
      </c>
      <c r="I75" s="34"/>
      <c r="J75" s="34"/>
      <c r="K75" s="40"/>
      <c r="L75" s="34"/>
      <c r="M75" s="34">
        <v>1</v>
      </c>
      <c r="N75" s="34"/>
      <c r="O75" s="34"/>
      <c r="P75" s="40"/>
      <c r="Q75" s="34">
        <v>1</v>
      </c>
      <c r="R75" s="34">
        <v>2</v>
      </c>
      <c r="S75" s="34">
        <v>1</v>
      </c>
      <c r="T75" s="34">
        <v>0</v>
      </c>
      <c r="U75" s="40"/>
      <c r="V75" s="34"/>
      <c r="W75" s="34">
        <v>1</v>
      </c>
      <c r="X75" s="34"/>
      <c r="Y75" s="34"/>
      <c r="Z75" s="40"/>
      <c r="AA75" s="34">
        <f t="shared" si="6"/>
        <v>1</v>
      </c>
      <c r="AB75" s="38">
        <f t="shared" si="7"/>
        <v>5.1159618008185536E-4</v>
      </c>
      <c r="AC75" s="38">
        <f t="shared" si="8"/>
        <v>0</v>
      </c>
    </row>
    <row r="76" spans="1:29" x14ac:dyDescent="0.25">
      <c r="A76" t="s">
        <v>139</v>
      </c>
      <c r="B76" s="34"/>
      <c r="C76" s="34">
        <v>1</v>
      </c>
      <c r="D76" s="34"/>
      <c r="E76" s="34"/>
      <c r="F76" s="40"/>
      <c r="G76" s="34"/>
      <c r="H76" s="34">
        <v>1</v>
      </c>
      <c r="I76" s="34"/>
      <c r="J76" s="34"/>
      <c r="K76" s="40"/>
      <c r="L76" s="34">
        <v>1</v>
      </c>
      <c r="M76" s="34">
        <v>158</v>
      </c>
      <c r="N76" s="34">
        <v>60</v>
      </c>
      <c r="O76" s="34">
        <v>0</v>
      </c>
      <c r="P76" s="40"/>
      <c r="Q76" s="34"/>
      <c r="R76" s="34">
        <v>1</v>
      </c>
      <c r="S76" s="34"/>
      <c r="T76" s="34"/>
      <c r="U76" s="40"/>
      <c r="V76" s="34"/>
      <c r="W76" s="34">
        <v>1</v>
      </c>
      <c r="X76" s="34"/>
      <c r="Y76" s="34"/>
      <c r="Z76" s="40"/>
      <c r="AA76" s="34">
        <f t="shared" si="6"/>
        <v>1</v>
      </c>
      <c r="AB76" s="38">
        <f t="shared" si="7"/>
        <v>4.7058214032845772E-4</v>
      </c>
      <c r="AC76" s="38">
        <f t="shared" si="8"/>
        <v>0</v>
      </c>
    </row>
    <row r="77" spans="1:29" x14ac:dyDescent="0.25">
      <c r="A77" t="s">
        <v>127</v>
      </c>
      <c r="B77" s="34">
        <v>1</v>
      </c>
      <c r="C77" s="34">
        <v>11</v>
      </c>
      <c r="D77" s="34">
        <v>3</v>
      </c>
      <c r="E77" s="34">
        <v>0</v>
      </c>
      <c r="F77" s="40"/>
      <c r="G77" s="34"/>
      <c r="H77" s="34">
        <v>1</v>
      </c>
      <c r="I77" s="34"/>
      <c r="J77" s="34"/>
      <c r="K77" s="40"/>
      <c r="L77" s="34"/>
      <c r="M77" s="34">
        <v>1</v>
      </c>
      <c r="N77" s="34"/>
      <c r="O77" s="34"/>
      <c r="P77" s="40"/>
      <c r="Q77" s="34"/>
      <c r="R77" s="34">
        <v>1</v>
      </c>
      <c r="S77" s="34"/>
      <c r="T77" s="34"/>
      <c r="U77" s="40"/>
      <c r="V77" s="34"/>
      <c r="W77" s="34">
        <v>1</v>
      </c>
      <c r="X77" s="34"/>
      <c r="Y77" s="34"/>
      <c r="Z77" s="40"/>
      <c r="AA77" s="34">
        <f t="shared" si="6"/>
        <v>1</v>
      </c>
      <c r="AB77" s="38">
        <f t="shared" si="7"/>
        <v>4.340816073421803E-4</v>
      </c>
      <c r="AC77" s="38">
        <f t="shared" si="8"/>
        <v>0</v>
      </c>
    </row>
    <row r="78" spans="1:29" x14ac:dyDescent="0.25">
      <c r="A78" t="s">
        <v>62</v>
      </c>
      <c r="B78" s="34"/>
      <c r="C78" s="34">
        <v>1</v>
      </c>
      <c r="D78" s="34"/>
      <c r="E78" s="34"/>
      <c r="F78" s="40"/>
      <c r="G78" s="34">
        <v>1</v>
      </c>
      <c r="H78" s="34">
        <v>1</v>
      </c>
      <c r="I78" s="34">
        <v>0</v>
      </c>
      <c r="J78" s="34">
        <v>0</v>
      </c>
      <c r="K78" s="40"/>
      <c r="L78" s="34"/>
      <c r="M78" s="34">
        <v>1</v>
      </c>
      <c r="N78" s="34"/>
      <c r="O78" s="34"/>
      <c r="P78" s="40"/>
      <c r="Q78" s="34"/>
      <c r="R78" s="34">
        <v>1</v>
      </c>
      <c r="S78" s="34"/>
      <c r="T78" s="34"/>
      <c r="U78" s="40"/>
      <c r="V78" s="34"/>
      <c r="W78" s="34">
        <v>1</v>
      </c>
      <c r="X78" s="34"/>
      <c r="Y78" s="34"/>
      <c r="Z78" s="40"/>
      <c r="AA78" s="34">
        <f t="shared" si="6"/>
        <v>1</v>
      </c>
      <c r="AB78" s="38">
        <f t="shared" si="7"/>
        <v>3.4106412005457026E-4</v>
      </c>
      <c r="AC78" s="38">
        <f t="shared" si="8"/>
        <v>0</v>
      </c>
    </row>
    <row r="79" spans="1:29" x14ac:dyDescent="0.25">
      <c r="A79" t="s">
        <v>248</v>
      </c>
      <c r="B79" s="34">
        <v>1</v>
      </c>
      <c r="C79" s="34">
        <v>1</v>
      </c>
      <c r="D79" s="34">
        <v>0</v>
      </c>
      <c r="E79" s="34">
        <v>0</v>
      </c>
      <c r="F79" s="40"/>
      <c r="G79" s="34"/>
      <c r="H79" s="34">
        <v>1</v>
      </c>
      <c r="I79" s="34"/>
      <c r="J79" s="34"/>
      <c r="K79" s="40"/>
      <c r="L79" s="34"/>
      <c r="M79" s="34">
        <v>1</v>
      </c>
      <c r="N79" s="34"/>
      <c r="O79" s="34"/>
      <c r="P79" s="40"/>
      <c r="Q79" s="34"/>
      <c r="R79" s="34">
        <v>1</v>
      </c>
      <c r="S79" s="34"/>
      <c r="T79" s="34"/>
      <c r="U79" s="40"/>
      <c r="V79" s="34"/>
      <c r="W79" s="34">
        <v>1</v>
      </c>
      <c r="X79" s="34"/>
      <c r="Y79" s="34"/>
      <c r="Z79" s="40"/>
      <c r="AA79" s="34">
        <f t="shared" si="6"/>
        <v>1</v>
      </c>
      <c r="AB79" s="38">
        <f t="shared" si="7"/>
        <v>3.4106412005457026E-4</v>
      </c>
      <c r="AC79" s="38">
        <f t="shared" si="8"/>
        <v>0</v>
      </c>
    </row>
    <row r="80" spans="1:29" x14ac:dyDescent="0.25">
      <c r="A80" t="s">
        <v>249</v>
      </c>
      <c r="B80" s="34">
        <v>1</v>
      </c>
      <c r="C80" s="34">
        <v>1</v>
      </c>
      <c r="D80" s="34">
        <v>0</v>
      </c>
      <c r="E80" s="34">
        <v>0</v>
      </c>
      <c r="F80" s="40"/>
      <c r="G80" s="34"/>
      <c r="H80" s="34">
        <v>1</v>
      </c>
      <c r="I80" s="34"/>
      <c r="J80" s="34"/>
      <c r="K80" s="40"/>
      <c r="L80" s="34"/>
      <c r="M80" s="34">
        <v>1</v>
      </c>
      <c r="N80" s="34"/>
      <c r="O80" s="34"/>
      <c r="P80" s="40"/>
      <c r="Q80" s="34"/>
      <c r="R80" s="34">
        <v>1</v>
      </c>
      <c r="S80" s="34"/>
      <c r="T80" s="34"/>
      <c r="U80" s="40"/>
      <c r="V80" s="34"/>
      <c r="W80" s="34">
        <v>1</v>
      </c>
      <c r="X80" s="34"/>
      <c r="Y80" s="34"/>
      <c r="Z80" s="40"/>
      <c r="AA80" s="34">
        <f t="shared" si="6"/>
        <v>1</v>
      </c>
      <c r="AB80" s="38">
        <f t="shared" si="7"/>
        <v>3.4106412005457026E-4</v>
      </c>
      <c r="AC80" s="38">
        <f t="shared" si="8"/>
        <v>0</v>
      </c>
    </row>
    <row r="81" spans="1:29" x14ac:dyDescent="0.25">
      <c r="A81" t="s">
        <v>67</v>
      </c>
      <c r="B81" s="34"/>
      <c r="C81" s="34">
        <v>1</v>
      </c>
      <c r="D81" s="34"/>
      <c r="E81" s="34"/>
      <c r="F81" s="40"/>
      <c r="G81" s="34">
        <v>1</v>
      </c>
      <c r="H81" s="34">
        <v>1</v>
      </c>
      <c r="I81" s="34">
        <v>0</v>
      </c>
      <c r="J81" s="34">
        <v>0</v>
      </c>
      <c r="K81" s="40"/>
      <c r="L81" s="34"/>
      <c r="M81" s="34">
        <v>1</v>
      </c>
      <c r="N81" s="34"/>
      <c r="O81" s="34"/>
      <c r="P81" s="40"/>
      <c r="Q81" s="34"/>
      <c r="R81" s="34">
        <v>1</v>
      </c>
      <c r="S81" s="34"/>
      <c r="T81" s="34"/>
      <c r="U81" s="40"/>
      <c r="V81" s="34"/>
      <c r="W81" s="34">
        <v>1</v>
      </c>
      <c r="X81" s="34"/>
      <c r="Y81" s="34"/>
      <c r="Z81" s="40"/>
      <c r="AA81" s="34">
        <f t="shared" si="6"/>
        <v>1</v>
      </c>
      <c r="AB81" s="38">
        <f t="shared" si="7"/>
        <v>3.4106412005457026E-4</v>
      </c>
      <c r="AC81" s="38">
        <f t="shared" si="8"/>
        <v>0</v>
      </c>
    </row>
    <row r="82" spans="1:29" x14ac:dyDescent="0.25">
      <c r="B82" s="34"/>
      <c r="C82" s="34"/>
      <c r="D82" s="34"/>
      <c r="E82" s="34"/>
      <c r="F82" s="40"/>
      <c r="G82" s="34"/>
      <c r="H82" s="34"/>
      <c r="I82" s="34"/>
      <c r="J82" s="34"/>
      <c r="K82" s="40"/>
      <c r="L82" s="34"/>
      <c r="M82" s="34"/>
      <c r="N82" s="34"/>
      <c r="O82" s="34"/>
      <c r="P82" s="40"/>
      <c r="Q82" s="34"/>
      <c r="R82" s="34"/>
      <c r="S82" s="34"/>
      <c r="T82" s="34"/>
      <c r="U82" s="40"/>
      <c r="V82" s="34"/>
      <c r="W82" s="34"/>
      <c r="X82" s="34"/>
      <c r="Y82" s="34"/>
      <c r="Z82" s="40"/>
      <c r="AA82" s="34"/>
      <c r="AB82" s="38"/>
      <c r="AC82" s="38"/>
    </row>
    <row r="83" spans="1:29" x14ac:dyDescent="0.25">
      <c r="B83" s="34"/>
      <c r="C83" s="34"/>
      <c r="D83" s="34"/>
      <c r="E83" s="34"/>
      <c r="F83" s="40"/>
      <c r="G83" s="34"/>
      <c r="H83" s="34"/>
      <c r="I83" s="34"/>
      <c r="J83" s="34"/>
      <c r="K83" s="40"/>
      <c r="L83" s="34"/>
      <c r="M83" s="34"/>
      <c r="N83" s="34"/>
      <c r="O83" s="34"/>
      <c r="P83" s="40"/>
      <c r="Q83" s="34"/>
      <c r="R83" s="34"/>
      <c r="S83" s="34"/>
      <c r="T83" s="34"/>
      <c r="U83" s="40"/>
      <c r="V83" s="34"/>
      <c r="W83" s="34"/>
      <c r="X83" s="34"/>
      <c r="Y83" s="34"/>
      <c r="Z83" s="40"/>
      <c r="AA83" s="34"/>
      <c r="AB83" s="38"/>
      <c r="AC83" s="38"/>
    </row>
    <row r="84" spans="1:29" x14ac:dyDescent="0.25">
      <c r="B84" s="34"/>
      <c r="C84" s="34"/>
      <c r="D84" s="34"/>
      <c r="E84" s="34"/>
      <c r="F84" s="40"/>
      <c r="G84" s="34"/>
      <c r="H84" s="34"/>
      <c r="I84" s="34"/>
      <c r="J84" s="34"/>
      <c r="K84" s="40"/>
      <c r="L84" s="34"/>
      <c r="M84" s="34"/>
      <c r="N84" s="34"/>
      <c r="O84" s="34"/>
      <c r="P84" s="40"/>
      <c r="Q84" s="34"/>
      <c r="R84" s="34"/>
      <c r="S84" s="34"/>
      <c r="T84" s="34"/>
      <c r="U84" s="40"/>
      <c r="V84" s="34"/>
      <c r="W84" s="34"/>
      <c r="X84" s="34"/>
      <c r="Y84" s="34"/>
      <c r="Z84" s="40"/>
      <c r="AA84" s="34"/>
      <c r="AB84" s="38"/>
      <c r="AC84" s="38"/>
    </row>
    <row r="85" spans="1:29" x14ac:dyDescent="0.25">
      <c r="B85" s="34"/>
      <c r="C85" s="34"/>
      <c r="D85" s="34"/>
      <c r="E85" s="34"/>
      <c r="F85" s="40"/>
      <c r="G85" s="34"/>
      <c r="H85" s="34"/>
      <c r="I85" s="34"/>
      <c r="J85" s="34"/>
      <c r="K85" s="40"/>
      <c r="L85" s="34"/>
      <c r="M85" s="34"/>
      <c r="N85" s="34"/>
      <c r="O85" s="34"/>
      <c r="P85" s="40"/>
      <c r="Q85" s="34"/>
      <c r="R85" s="34"/>
      <c r="S85" s="34"/>
      <c r="T85" s="34"/>
      <c r="U85" s="40"/>
      <c r="V85" s="34"/>
      <c r="W85" s="34"/>
      <c r="X85" s="34"/>
      <c r="Y85" s="34"/>
      <c r="Z85" s="40"/>
      <c r="AA85" s="34"/>
      <c r="AB85" s="38"/>
      <c r="AC85" s="38"/>
    </row>
    <row r="86" spans="1:29" x14ac:dyDescent="0.25">
      <c r="B86" s="34"/>
      <c r="C86" s="34"/>
      <c r="D86" s="34"/>
      <c r="E86" s="34"/>
      <c r="F86" s="40"/>
      <c r="G86" s="34"/>
      <c r="H86" s="34"/>
      <c r="I86" s="34"/>
      <c r="J86" s="34"/>
      <c r="K86" s="40"/>
      <c r="L86" s="34"/>
      <c r="M86" s="34"/>
      <c r="N86" s="34"/>
      <c r="O86" s="34"/>
      <c r="P86" s="40"/>
      <c r="Q86" s="34"/>
      <c r="R86" s="34"/>
      <c r="S86" s="34"/>
      <c r="T86" s="34"/>
      <c r="U86" s="40"/>
      <c r="V86" s="34"/>
      <c r="W86" s="34"/>
      <c r="X86" s="34"/>
      <c r="Y86" s="34"/>
      <c r="Z86" s="40"/>
      <c r="AA86" s="34"/>
      <c r="AB86" s="38"/>
      <c r="AC86" s="38"/>
    </row>
    <row r="87" spans="1:29" x14ac:dyDescent="0.25">
      <c r="B87" s="34"/>
      <c r="C87" s="34"/>
      <c r="D87" s="34"/>
      <c r="E87" s="34"/>
      <c r="F87" s="40"/>
      <c r="G87" s="34"/>
      <c r="H87" s="34"/>
      <c r="I87" s="34"/>
      <c r="J87" s="34"/>
      <c r="K87" s="40"/>
      <c r="L87" s="34"/>
      <c r="M87" s="34"/>
      <c r="N87" s="34"/>
      <c r="O87" s="34"/>
      <c r="P87" s="40"/>
      <c r="Q87" s="34"/>
      <c r="R87" s="34"/>
      <c r="S87" s="34"/>
      <c r="T87" s="34"/>
      <c r="U87" s="40"/>
      <c r="V87" s="34"/>
      <c r="W87" s="34"/>
      <c r="X87" s="34"/>
      <c r="Y87" s="34"/>
      <c r="Z87" s="40"/>
      <c r="AA87" s="34"/>
      <c r="AB87" s="38"/>
      <c r="AC87" s="38"/>
    </row>
    <row r="88" spans="1:29" x14ac:dyDescent="0.25">
      <c r="B88" s="34"/>
      <c r="C88" s="34"/>
      <c r="D88" s="34"/>
      <c r="E88" s="34"/>
      <c r="F88" s="40"/>
      <c r="G88" s="34"/>
      <c r="H88" s="34"/>
      <c r="I88" s="34"/>
      <c r="J88" s="34"/>
      <c r="K88" s="40"/>
      <c r="L88" s="34"/>
      <c r="M88" s="34"/>
      <c r="N88" s="34"/>
      <c r="O88" s="34"/>
      <c r="P88" s="40"/>
      <c r="Q88" s="34"/>
      <c r="R88" s="34"/>
      <c r="S88" s="34"/>
      <c r="T88" s="34"/>
      <c r="U88" s="40"/>
      <c r="V88" s="34"/>
      <c r="W88" s="34"/>
      <c r="X88" s="34"/>
      <c r="Y88" s="34"/>
      <c r="Z88" s="40"/>
      <c r="AA88" s="34"/>
      <c r="AB88" s="38"/>
      <c r="AC88" s="38"/>
    </row>
    <row r="89" spans="1:29" x14ac:dyDescent="0.25">
      <c r="B89" s="34"/>
      <c r="C89" s="34"/>
      <c r="D89" s="34"/>
      <c r="E89" s="34"/>
      <c r="F89" s="40"/>
      <c r="G89" s="34"/>
      <c r="H89" s="34"/>
      <c r="I89" s="34"/>
      <c r="J89" s="34"/>
      <c r="K89" s="40"/>
      <c r="L89" s="34"/>
      <c r="M89" s="34"/>
      <c r="N89" s="34"/>
      <c r="O89" s="34"/>
      <c r="P89" s="40"/>
      <c r="Q89" s="34"/>
      <c r="R89" s="34"/>
      <c r="S89" s="34"/>
      <c r="T89" s="34"/>
      <c r="U89" s="40"/>
      <c r="V89" s="34"/>
      <c r="W89" s="34"/>
      <c r="X89" s="34"/>
      <c r="Y89" s="34"/>
      <c r="Z89" s="40"/>
      <c r="AA89" s="34"/>
      <c r="AB89" s="38"/>
      <c r="AC89" s="38"/>
    </row>
    <row r="90" spans="1:29" x14ac:dyDescent="0.25">
      <c r="B90" s="34"/>
      <c r="C90" s="34"/>
      <c r="D90" s="34"/>
      <c r="E90" s="34"/>
      <c r="F90" s="40"/>
      <c r="G90" s="34"/>
      <c r="H90" s="34"/>
      <c r="I90" s="34"/>
      <c r="J90" s="34"/>
      <c r="K90" s="40"/>
      <c r="L90" s="34"/>
      <c r="M90" s="34"/>
      <c r="N90" s="34"/>
      <c r="O90" s="34"/>
      <c r="P90" s="40"/>
      <c r="Q90" s="34"/>
      <c r="R90" s="34"/>
      <c r="S90" s="34"/>
      <c r="T90" s="34"/>
      <c r="U90" s="40"/>
      <c r="V90" s="34"/>
      <c r="W90" s="34"/>
      <c r="X90" s="34"/>
      <c r="Y90" s="34"/>
      <c r="Z90" s="40"/>
      <c r="AA90" s="34"/>
      <c r="AB90" s="38"/>
      <c r="AC90" s="38"/>
    </row>
    <row r="91" spans="1:29" x14ac:dyDescent="0.25">
      <c r="B91" s="34"/>
      <c r="C91" s="34"/>
      <c r="D91" s="34"/>
      <c r="E91" s="34"/>
      <c r="F91" s="40"/>
      <c r="G91" s="34"/>
      <c r="H91" s="34"/>
      <c r="I91" s="34"/>
      <c r="J91" s="34"/>
      <c r="K91" s="40"/>
      <c r="L91" s="34"/>
      <c r="M91" s="34"/>
      <c r="N91" s="34"/>
      <c r="O91" s="34"/>
      <c r="P91" s="40"/>
      <c r="Q91" s="34"/>
      <c r="R91" s="34"/>
      <c r="S91" s="34"/>
      <c r="T91" s="34"/>
      <c r="U91" s="40"/>
      <c r="V91" s="34"/>
      <c r="W91" s="34"/>
      <c r="X91" s="34"/>
      <c r="Y91" s="34"/>
      <c r="Z91" s="40"/>
      <c r="AA91" s="34"/>
      <c r="AB91" s="38"/>
      <c r="AC91" s="38"/>
    </row>
    <row r="92" spans="1:29" x14ac:dyDescent="0.25">
      <c r="B92" s="34"/>
      <c r="C92" s="34"/>
      <c r="D92" s="34"/>
      <c r="E92" s="34"/>
      <c r="F92" s="40"/>
      <c r="G92" s="34"/>
      <c r="H92" s="34"/>
      <c r="I92" s="34"/>
      <c r="J92" s="34"/>
      <c r="K92" s="40"/>
      <c r="L92" s="34"/>
      <c r="M92" s="34"/>
      <c r="N92" s="34"/>
      <c r="O92" s="34"/>
      <c r="P92" s="40"/>
      <c r="Q92" s="34"/>
      <c r="R92" s="34"/>
      <c r="S92" s="34"/>
      <c r="T92" s="34"/>
      <c r="U92" s="40"/>
      <c r="V92" s="34"/>
      <c r="W92" s="34"/>
      <c r="X92" s="34"/>
      <c r="Y92" s="34"/>
      <c r="Z92" s="40"/>
      <c r="AA92" s="34"/>
      <c r="AB92" s="38"/>
      <c r="AC92" s="38"/>
    </row>
    <row r="93" spans="1:29" x14ac:dyDescent="0.25">
      <c r="B93" s="34"/>
      <c r="C93" s="34"/>
      <c r="D93" s="34"/>
      <c r="E93" s="34"/>
      <c r="F93" s="40"/>
      <c r="G93" s="34"/>
      <c r="H93" s="34"/>
      <c r="I93" s="34"/>
      <c r="J93" s="34"/>
      <c r="K93" s="40"/>
      <c r="L93" s="34"/>
      <c r="M93" s="34"/>
      <c r="N93" s="34"/>
      <c r="O93" s="34"/>
      <c r="P93" s="40"/>
      <c r="Q93" s="34"/>
      <c r="R93" s="34"/>
      <c r="S93" s="34"/>
      <c r="T93" s="34"/>
      <c r="U93" s="40"/>
      <c r="V93" s="34"/>
      <c r="W93" s="34"/>
      <c r="X93" s="34"/>
      <c r="Y93" s="34"/>
      <c r="Z93" s="40"/>
      <c r="AA93" s="34"/>
      <c r="AB93" s="38"/>
      <c r="AC93" s="38"/>
    </row>
    <row r="94" spans="1:29" x14ac:dyDescent="0.25">
      <c r="B94" s="34"/>
      <c r="C94" s="34"/>
      <c r="D94" s="34"/>
      <c r="E94" s="34"/>
      <c r="F94" s="40"/>
      <c r="G94" s="34"/>
      <c r="H94" s="34"/>
      <c r="I94" s="34"/>
      <c r="J94" s="34"/>
      <c r="K94" s="40"/>
      <c r="L94" s="34"/>
      <c r="M94" s="34"/>
      <c r="N94" s="34"/>
      <c r="O94" s="34"/>
      <c r="P94" s="40"/>
      <c r="Q94" s="34"/>
      <c r="R94" s="34"/>
      <c r="S94" s="34"/>
      <c r="T94" s="34"/>
      <c r="U94" s="40"/>
      <c r="V94" s="34"/>
      <c r="W94" s="34"/>
      <c r="X94" s="34"/>
      <c r="Y94" s="34"/>
      <c r="Z94" s="40"/>
      <c r="AA94" s="34"/>
      <c r="AB94" s="38"/>
      <c r="AC94" s="38"/>
    </row>
    <row r="95" spans="1:29" x14ac:dyDescent="0.25">
      <c r="B95" s="34"/>
      <c r="C95" s="34"/>
      <c r="D95" s="34"/>
      <c r="E95" s="34"/>
      <c r="F95" s="40"/>
      <c r="G95" s="34"/>
      <c r="H95" s="34"/>
      <c r="I95" s="34"/>
      <c r="J95" s="34"/>
      <c r="K95" s="40"/>
      <c r="L95" s="34"/>
      <c r="M95" s="34"/>
      <c r="N95" s="34"/>
      <c r="O95" s="34"/>
      <c r="P95" s="40"/>
      <c r="Q95" s="34"/>
      <c r="R95" s="34"/>
      <c r="S95" s="34"/>
      <c r="T95" s="34"/>
      <c r="U95" s="40"/>
      <c r="V95" s="34"/>
      <c r="W95" s="34"/>
      <c r="X95" s="34"/>
      <c r="Y95" s="34"/>
      <c r="Z95" s="40"/>
      <c r="AA95" s="34"/>
      <c r="AB95" s="38"/>
      <c r="AC95" s="38"/>
    </row>
    <row r="96" spans="1:29" x14ac:dyDescent="0.25">
      <c r="B96" s="34"/>
      <c r="C96" s="34"/>
      <c r="D96" s="34"/>
      <c r="E96" s="34"/>
      <c r="F96" s="40"/>
      <c r="G96" s="34"/>
      <c r="H96" s="34"/>
      <c r="I96" s="34"/>
      <c r="J96" s="34"/>
      <c r="K96" s="40"/>
      <c r="L96" s="34"/>
      <c r="M96" s="34"/>
      <c r="N96" s="34"/>
      <c r="O96" s="34"/>
      <c r="P96" s="40"/>
      <c r="Q96" s="34"/>
      <c r="R96" s="34"/>
      <c r="S96" s="34"/>
      <c r="T96" s="34"/>
      <c r="U96" s="40"/>
      <c r="V96" s="34"/>
      <c r="W96" s="34"/>
      <c r="X96" s="34"/>
      <c r="Y96" s="34"/>
      <c r="Z96" s="40"/>
      <c r="AA96" s="34"/>
      <c r="AB96" s="38"/>
      <c r="AC96" s="38"/>
    </row>
    <row r="97" spans="2:29" x14ac:dyDescent="0.25">
      <c r="B97" s="34"/>
      <c r="C97" s="34"/>
      <c r="D97" s="34"/>
      <c r="E97" s="34"/>
      <c r="F97" s="40"/>
      <c r="G97" s="34"/>
      <c r="H97" s="34"/>
      <c r="I97" s="34"/>
      <c r="J97" s="34"/>
      <c r="K97" s="40"/>
      <c r="L97" s="34"/>
      <c r="M97" s="34"/>
      <c r="N97" s="34"/>
      <c r="O97" s="34"/>
      <c r="P97" s="40"/>
      <c r="Q97" s="34"/>
      <c r="R97" s="34"/>
      <c r="S97" s="34"/>
      <c r="T97" s="34"/>
      <c r="U97" s="40"/>
      <c r="V97" s="34"/>
      <c r="W97" s="34"/>
      <c r="X97" s="34"/>
      <c r="Y97" s="34"/>
      <c r="Z97" s="40"/>
      <c r="AA97" s="34"/>
      <c r="AB97" s="38"/>
      <c r="AC97" s="38"/>
    </row>
    <row r="98" spans="2:29" x14ac:dyDescent="0.25">
      <c r="B98" s="34"/>
      <c r="C98" s="34"/>
      <c r="D98" s="34"/>
      <c r="E98" s="34"/>
      <c r="F98" s="40"/>
      <c r="G98" s="34"/>
      <c r="H98" s="34"/>
      <c r="I98" s="34"/>
      <c r="J98" s="34"/>
      <c r="K98" s="40"/>
      <c r="L98" s="34"/>
      <c r="M98" s="34"/>
      <c r="N98" s="34"/>
      <c r="O98" s="34"/>
      <c r="P98" s="40"/>
      <c r="Q98" s="34"/>
      <c r="R98" s="34"/>
      <c r="S98" s="34"/>
      <c r="T98" s="34"/>
      <c r="U98" s="40"/>
      <c r="V98" s="34"/>
      <c r="W98" s="34"/>
      <c r="X98" s="34"/>
      <c r="Y98" s="34"/>
      <c r="Z98" s="40"/>
      <c r="AA98" s="34"/>
      <c r="AB98" s="38"/>
      <c r="AC98" s="38"/>
    </row>
    <row r="99" spans="2:29" x14ac:dyDescent="0.25">
      <c r="B99" s="34"/>
      <c r="C99" s="34"/>
      <c r="D99" s="34"/>
      <c r="E99" s="34"/>
      <c r="F99" s="40"/>
      <c r="G99" s="34"/>
      <c r="H99" s="34"/>
      <c r="I99" s="34"/>
      <c r="J99" s="34"/>
      <c r="K99" s="40"/>
      <c r="L99" s="34"/>
      <c r="M99" s="34"/>
      <c r="N99" s="34"/>
      <c r="O99" s="34"/>
      <c r="P99" s="40"/>
      <c r="Q99" s="34"/>
      <c r="R99" s="34"/>
      <c r="S99" s="34"/>
      <c r="T99" s="34"/>
      <c r="U99" s="40"/>
      <c r="V99" s="34"/>
      <c r="W99" s="34"/>
      <c r="X99" s="34"/>
      <c r="Y99" s="34"/>
      <c r="Z99" s="40"/>
      <c r="AA99" s="34"/>
      <c r="AB99" s="38"/>
      <c r="AC99" s="38"/>
    </row>
    <row r="100" spans="2:29" x14ac:dyDescent="0.25">
      <c r="B100" s="34"/>
      <c r="C100" s="34"/>
      <c r="D100" s="34"/>
      <c r="E100" s="34"/>
      <c r="F100" s="40"/>
      <c r="G100" s="34"/>
      <c r="H100" s="34"/>
      <c r="I100" s="34"/>
      <c r="J100" s="34"/>
      <c r="K100" s="40"/>
      <c r="L100" s="34"/>
      <c r="M100" s="34"/>
      <c r="N100" s="34"/>
      <c r="O100" s="34"/>
      <c r="P100" s="40"/>
      <c r="Q100" s="34"/>
      <c r="R100" s="34"/>
      <c r="S100" s="34"/>
      <c r="T100" s="34"/>
      <c r="U100" s="40"/>
      <c r="V100" s="34"/>
      <c r="W100" s="34"/>
      <c r="X100" s="34"/>
      <c r="Y100" s="34"/>
      <c r="Z100" s="40"/>
      <c r="AA100" s="34"/>
      <c r="AB100" s="38"/>
      <c r="AC100" s="38"/>
    </row>
    <row r="101" spans="2:29" x14ac:dyDescent="0.25">
      <c r="B101" s="34"/>
      <c r="C101" s="34"/>
      <c r="D101" s="34"/>
      <c r="E101" s="34"/>
      <c r="F101" s="40"/>
      <c r="G101" s="34"/>
      <c r="H101" s="34"/>
      <c r="I101" s="34"/>
      <c r="J101" s="34"/>
      <c r="K101" s="40"/>
      <c r="L101" s="34"/>
      <c r="M101" s="34"/>
      <c r="N101" s="34"/>
      <c r="O101" s="34"/>
      <c r="P101" s="40"/>
      <c r="Q101" s="34"/>
      <c r="R101" s="34"/>
      <c r="S101" s="34"/>
      <c r="T101" s="34"/>
      <c r="U101" s="40"/>
      <c r="V101" s="34"/>
      <c r="W101" s="34"/>
      <c r="X101" s="34"/>
      <c r="Y101" s="34"/>
      <c r="Z101" s="40"/>
      <c r="AA101" s="34"/>
      <c r="AB101" s="38"/>
      <c r="AC101" s="38"/>
    </row>
    <row r="102" spans="2:29" x14ac:dyDescent="0.25">
      <c r="B102" s="34"/>
      <c r="C102" s="34"/>
      <c r="D102" s="34"/>
      <c r="E102" s="34"/>
      <c r="F102" s="40"/>
      <c r="G102" s="34"/>
      <c r="H102" s="34"/>
      <c r="I102" s="34"/>
      <c r="J102" s="34"/>
      <c r="K102" s="40"/>
      <c r="L102" s="34"/>
      <c r="M102" s="34"/>
      <c r="N102" s="34"/>
      <c r="O102" s="34"/>
      <c r="P102" s="40"/>
      <c r="Q102" s="34"/>
      <c r="R102" s="34"/>
      <c r="S102" s="34"/>
      <c r="T102" s="34"/>
      <c r="U102" s="40"/>
      <c r="V102" s="34"/>
      <c r="W102" s="34"/>
      <c r="X102" s="34"/>
      <c r="Y102" s="34"/>
      <c r="Z102" s="40"/>
      <c r="AA102" s="34"/>
      <c r="AB102" s="38"/>
      <c r="AC102" s="38"/>
    </row>
    <row r="103" spans="2:29" x14ac:dyDescent="0.25">
      <c r="B103" s="34"/>
      <c r="C103" s="34"/>
      <c r="D103" s="34"/>
      <c r="E103" s="34"/>
      <c r="F103" s="40"/>
      <c r="G103" s="34"/>
      <c r="H103" s="34"/>
      <c r="I103" s="34"/>
      <c r="J103" s="34"/>
      <c r="K103" s="40"/>
      <c r="L103" s="34"/>
      <c r="M103" s="34"/>
      <c r="N103" s="34"/>
      <c r="O103" s="34"/>
      <c r="P103" s="40"/>
      <c r="Q103" s="34"/>
      <c r="R103" s="34"/>
      <c r="S103" s="34"/>
      <c r="T103" s="34"/>
      <c r="U103" s="40"/>
      <c r="V103" s="34"/>
      <c r="W103" s="34"/>
      <c r="X103" s="34"/>
      <c r="Y103" s="34"/>
      <c r="Z103" s="40"/>
      <c r="AA103" s="34"/>
      <c r="AB103" s="38"/>
      <c r="AC103" s="38"/>
    </row>
    <row r="104" spans="2:29" x14ac:dyDescent="0.25">
      <c r="B104" s="34"/>
      <c r="C104" s="34"/>
      <c r="D104" s="34"/>
      <c r="E104" s="34"/>
      <c r="F104" s="40"/>
      <c r="G104" s="34"/>
      <c r="H104" s="34"/>
      <c r="I104" s="34"/>
      <c r="J104" s="34"/>
      <c r="K104" s="40"/>
      <c r="L104" s="34"/>
      <c r="M104" s="34"/>
      <c r="N104" s="34"/>
      <c r="O104" s="34"/>
      <c r="P104" s="40"/>
      <c r="Q104" s="34"/>
      <c r="R104" s="34"/>
      <c r="S104" s="34"/>
      <c r="T104" s="34"/>
      <c r="U104" s="40"/>
      <c r="V104" s="34"/>
      <c r="W104" s="34"/>
      <c r="X104" s="34"/>
      <c r="Y104" s="34"/>
      <c r="Z104" s="40"/>
      <c r="AA104" s="34"/>
      <c r="AB104" s="38"/>
      <c r="AC104" s="38"/>
    </row>
    <row r="105" spans="2:29" x14ac:dyDescent="0.25">
      <c r="B105" s="34"/>
      <c r="C105" s="34"/>
      <c r="D105" s="34"/>
      <c r="E105" s="34"/>
      <c r="F105" s="40"/>
      <c r="G105" s="34"/>
      <c r="H105" s="34"/>
      <c r="I105" s="34"/>
      <c r="J105" s="34"/>
      <c r="K105" s="40"/>
      <c r="L105" s="34"/>
      <c r="M105" s="34"/>
      <c r="N105" s="34"/>
      <c r="O105" s="34"/>
      <c r="P105" s="40"/>
      <c r="Q105" s="34"/>
      <c r="R105" s="34"/>
      <c r="S105" s="34"/>
      <c r="T105" s="34"/>
      <c r="U105" s="40"/>
      <c r="V105" s="34"/>
      <c r="W105" s="34"/>
      <c r="X105" s="34"/>
      <c r="Y105" s="34"/>
      <c r="Z105" s="40"/>
      <c r="AA105" s="34"/>
      <c r="AB105" s="38"/>
      <c r="AC105" s="38"/>
    </row>
    <row r="106" spans="2:29" x14ac:dyDescent="0.25">
      <c r="B106" s="34"/>
      <c r="C106" s="34"/>
      <c r="D106" s="34"/>
      <c r="E106" s="34"/>
      <c r="F106" s="40"/>
      <c r="G106" s="34"/>
      <c r="H106" s="34"/>
      <c r="I106" s="34"/>
      <c r="J106" s="34"/>
      <c r="K106" s="40"/>
      <c r="L106" s="34"/>
      <c r="M106" s="34"/>
      <c r="N106" s="34"/>
      <c r="O106" s="34"/>
      <c r="P106" s="40"/>
      <c r="Q106" s="34"/>
      <c r="R106" s="34"/>
      <c r="S106" s="34"/>
      <c r="T106" s="34"/>
      <c r="U106" s="40"/>
      <c r="V106" s="34"/>
      <c r="W106" s="34"/>
      <c r="X106" s="34"/>
      <c r="Y106" s="34"/>
      <c r="Z106" s="40"/>
      <c r="AA106" s="34"/>
      <c r="AB106" s="38"/>
      <c r="AC106" s="38"/>
    </row>
    <row r="107" spans="2:29" x14ac:dyDescent="0.25">
      <c r="B107" s="34"/>
      <c r="C107" s="34"/>
      <c r="D107" s="34"/>
      <c r="E107" s="34"/>
      <c r="F107" s="40"/>
      <c r="G107" s="34"/>
      <c r="H107" s="34"/>
      <c r="I107" s="34"/>
      <c r="J107" s="34"/>
      <c r="K107" s="40"/>
      <c r="L107" s="34"/>
      <c r="M107" s="34"/>
      <c r="N107" s="34"/>
      <c r="O107" s="34"/>
      <c r="P107" s="40"/>
      <c r="Q107" s="34"/>
      <c r="R107" s="34"/>
      <c r="S107" s="34"/>
      <c r="T107" s="34"/>
      <c r="U107" s="40"/>
      <c r="V107" s="34"/>
      <c r="W107" s="34"/>
      <c r="X107" s="34"/>
      <c r="Y107" s="34"/>
      <c r="Z107" s="40"/>
      <c r="AA107" s="34"/>
      <c r="AB107" s="38"/>
      <c r="AC107" s="38"/>
    </row>
    <row r="108" spans="2:29" x14ac:dyDescent="0.25">
      <c r="B108" s="34"/>
      <c r="C108" s="34"/>
      <c r="D108" s="34"/>
      <c r="E108" s="34"/>
      <c r="F108" s="40"/>
      <c r="G108" s="34"/>
      <c r="H108" s="34"/>
      <c r="I108" s="34"/>
      <c r="J108" s="34"/>
      <c r="K108" s="40"/>
      <c r="L108" s="34"/>
      <c r="M108" s="34"/>
      <c r="N108" s="34"/>
      <c r="O108" s="34"/>
      <c r="P108" s="40"/>
      <c r="Q108" s="34"/>
      <c r="R108" s="34"/>
      <c r="S108" s="34"/>
      <c r="T108" s="34"/>
      <c r="U108" s="40"/>
      <c r="V108" s="34"/>
      <c r="W108" s="34"/>
      <c r="X108" s="34"/>
      <c r="Y108" s="34"/>
      <c r="Z108" s="40"/>
      <c r="AA108" s="34"/>
      <c r="AB108" s="38"/>
      <c r="AC108" s="38"/>
    </row>
    <row r="109" spans="2:29" x14ac:dyDescent="0.25">
      <c r="B109" s="34"/>
      <c r="C109" s="34"/>
      <c r="D109" s="34"/>
      <c r="E109" s="34"/>
      <c r="F109" s="40"/>
      <c r="G109" s="34"/>
      <c r="H109" s="34"/>
      <c r="I109" s="34"/>
      <c r="J109" s="34"/>
      <c r="K109" s="40"/>
      <c r="L109" s="34"/>
      <c r="M109" s="34"/>
      <c r="N109" s="34"/>
      <c r="O109" s="34"/>
      <c r="P109" s="40"/>
      <c r="Q109" s="34"/>
      <c r="R109" s="34"/>
      <c r="S109" s="34"/>
      <c r="T109" s="34"/>
      <c r="U109" s="40"/>
      <c r="V109" s="34"/>
      <c r="W109" s="34"/>
      <c r="X109" s="34"/>
      <c r="Y109" s="34"/>
      <c r="Z109" s="40"/>
      <c r="AA109" s="34"/>
      <c r="AB109" s="38"/>
      <c r="AC109" s="38"/>
    </row>
    <row r="110" spans="2:29" x14ac:dyDescent="0.25">
      <c r="B110" s="34"/>
      <c r="C110" s="34"/>
      <c r="D110" s="34"/>
      <c r="E110" s="34"/>
      <c r="F110" s="40"/>
      <c r="G110" s="34"/>
      <c r="H110" s="34"/>
      <c r="I110" s="34"/>
      <c r="J110" s="34"/>
      <c r="K110" s="40"/>
      <c r="L110" s="34"/>
      <c r="M110" s="34"/>
      <c r="N110" s="34"/>
      <c r="O110" s="34"/>
      <c r="P110" s="40"/>
      <c r="Q110" s="34"/>
      <c r="R110" s="34"/>
      <c r="S110" s="34"/>
      <c r="T110" s="34"/>
      <c r="U110" s="40"/>
      <c r="V110" s="34"/>
      <c r="W110" s="34"/>
      <c r="X110" s="34"/>
      <c r="Y110" s="34"/>
      <c r="Z110" s="40"/>
      <c r="AA110" s="34"/>
      <c r="AB110" s="38"/>
      <c r="AC110" s="38"/>
    </row>
    <row r="111" spans="2:29" x14ac:dyDescent="0.25">
      <c r="B111" s="34"/>
      <c r="C111" s="34"/>
      <c r="D111" s="34"/>
      <c r="E111" s="34"/>
      <c r="F111" s="40"/>
      <c r="G111" s="34"/>
      <c r="H111" s="34"/>
      <c r="I111" s="34"/>
      <c r="J111" s="34"/>
      <c r="K111" s="40"/>
      <c r="L111" s="34"/>
      <c r="M111" s="34"/>
      <c r="N111" s="34"/>
      <c r="O111" s="34"/>
      <c r="P111" s="40"/>
      <c r="Q111" s="34"/>
      <c r="R111" s="34"/>
      <c r="S111" s="34"/>
      <c r="T111" s="34"/>
      <c r="U111" s="40"/>
      <c r="V111" s="34"/>
      <c r="W111" s="34"/>
      <c r="X111" s="34"/>
      <c r="Y111" s="34"/>
      <c r="Z111" s="40"/>
      <c r="AA111" s="34"/>
      <c r="AB111" s="38"/>
      <c r="AC111" s="38"/>
    </row>
    <row r="112" spans="2:29" x14ac:dyDescent="0.25">
      <c r="B112" s="34"/>
      <c r="C112" s="34"/>
      <c r="D112" s="34"/>
      <c r="E112" s="34"/>
      <c r="F112" s="40"/>
      <c r="G112" s="34"/>
      <c r="H112" s="34"/>
      <c r="I112" s="34"/>
      <c r="J112" s="34"/>
      <c r="K112" s="40"/>
      <c r="L112" s="34"/>
      <c r="M112" s="34"/>
      <c r="N112" s="34"/>
      <c r="O112" s="34"/>
      <c r="P112" s="40"/>
      <c r="Q112" s="34"/>
      <c r="R112" s="34"/>
      <c r="S112" s="34"/>
      <c r="T112" s="34"/>
      <c r="U112" s="40"/>
      <c r="V112" s="34"/>
      <c r="W112" s="34"/>
      <c r="X112" s="34"/>
      <c r="Y112" s="34"/>
      <c r="Z112" s="40"/>
      <c r="AA112" s="34"/>
      <c r="AB112" s="38"/>
      <c r="AC112" s="38"/>
    </row>
    <row r="113" spans="2:29" x14ac:dyDescent="0.25">
      <c r="B113" s="34"/>
      <c r="C113" s="34"/>
      <c r="D113" s="34"/>
      <c r="E113" s="34"/>
      <c r="F113" s="40"/>
      <c r="G113" s="34"/>
      <c r="H113" s="34"/>
      <c r="I113" s="34"/>
      <c r="J113" s="34"/>
      <c r="K113" s="40"/>
      <c r="L113" s="34"/>
      <c r="M113" s="34"/>
      <c r="N113" s="34"/>
      <c r="O113" s="34"/>
      <c r="P113" s="40"/>
      <c r="Q113" s="34"/>
      <c r="R113" s="34"/>
      <c r="S113" s="34"/>
      <c r="T113" s="34"/>
      <c r="U113" s="40"/>
      <c r="V113" s="34"/>
      <c r="W113" s="34"/>
      <c r="X113" s="34"/>
      <c r="Y113" s="34"/>
      <c r="Z113" s="40"/>
      <c r="AA113" s="34"/>
      <c r="AB113" s="38"/>
      <c r="AC113" s="38"/>
    </row>
    <row r="114" spans="2:29" x14ac:dyDescent="0.25">
      <c r="B114" s="34"/>
      <c r="C114" s="34"/>
      <c r="D114" s="34"/>
      <c r="E114" s="34"/>
      <c r="F114" s="40"/>
      <c r="G114" s="34"/>
      <c r="H114" s="34"/>
      <c r="I114" s="34"/>
      <c r="J114" s="34"/>
      <c r="K114" s="40"/>
      <c r="L114" s="34"/>
      <c r="M114" s="34"/>
      <c r="N114" s="34"/>
      <c r="O114" s="34"/>
      <c r="P114" s="40"/>
      <c r="Q114" s="34"/>
      <c r="R114" s="34"/>
      <c r="S114" s="34"/>
      <c r="T114" s="34"/>
      <c r="U114" s="40"/>
      <c r="V114" s="34"/>
      <c r="W114" s="34"/>
      <c r="X114" s="34"/>
      <c r="Y114" s="34"/>
      <c r="Z114" s="40"/>
      <c r="AA114" s="34"/>
      <c r="AB114" s="38"/>
      <c r="AC114" s="38"/>
    </row>
    <row r="115" spans="2:29" x14ac:dyDescent="0.25">
      <c r="B115" s="34"/>
      <c r="C115" s="34"/>
      <c r="D115" s="34"/>
      <c r="E115" s="34"/>
      <c r="F115" s="40"/>
      <c r="G115" s="34"/>
      <c r="H115" s="34"/>
      <c r="I115" s="34"/>
      <c r="J115" s="34"/>
      <c r="K115" s="40"/>
      <c r="L115" s="34"/>
      <c r="M115" s="34"/>
      <c r="N115" s="34"/>
      <c r="O115" s="34"/>
      <c r="P115" s="40"/>
      <c r="Q115" s="34"/>
      <c r="R115" s="34"/>
      <c r="S115" s="34"/>
      <c r="T115" s="34"/>
      <c r="U115" s="40"/>
      <c r="V115" s="34"/>
      <c r="W115" s="34"/>
      <c r="X115" s="34"/>
      <c r="Y115" s="34"/>
      <c r="Z115" s="40"/>
      <c r="AA115" s="34"/>
      <c r="AB115" s="38"/>
      <c r="AC115" s="38"/>
    </row>
    <row r="116" spans="2:29" x14ac:dyDescent="0.25">
      <c r="B116" s="34"/>
      <c r="C116" s="34"/>
      <c r="D116" s="34"/>
      <c r="E116" s="34"/>
      <c r="F116" s="40"/>
      <c r="G116" s="34"/>
      <c r="H116" s="34"/>
      <c r="I116" s="34"/>
      <c r="J116" s="34"/>
      <c r="K116" s="40"/>
      <c r="L116" s="34"/>
      <c r="M116" s="34"/>
      <c r="N116" s="34"/>
      <c r="O116" s="34"/>
      <c r="P116" s="40"/>
      <c r="Q116" s="34"/>
      <c r="R116" s="34"/>
      <c r="S116" s="34"/>
      <c r="T116" s="34"/>
      <c r="U116" s="40"/>
      <c r="V116" s="34"/>
      <c r="W116" s="34"/>
      <c r="X116" s="34"/>
      <c r="Y116" s="34"/>
      <c r="Z116" s="40"/>
      <c r="AA116" s="34"/>
      <c r="AB116" s="38"/>
      <c r="AC116" s="38"/>
    </row>
    <row r="117" spans="2:29" x14ac:dyDescent="0.25">
      <c r="B117" s="34"/>
      <c r="C117" s="34"/>
      <c r="D117" s="34"/>
      <c r="E117" s="34"/>
      <c r="F117" s="40"/>
      <c r="G117" s="34"/>
      <c r="H117" s="34"/>
      <c r="I117" s="34"/>
      <c r="J117" s="34"/>
      <c r="K117" s="40"/>
      <c r="L117" s="34"/>
      <c r="M117" s="34"/>
      <c r="N117" s="34"/>
      <c r="O117" s="34"/>
      <c r="P117" s="40"/>
      <c r="Q117" s="34"/>
      <c r="R117" s="34"/>
      <c r="S117" s="34"/>
      <c r="T117" s="34"/>
      <c r="U117" s="40"/>
      <c r="V117" s="34"/>
      <c r="W117" s="34"/>
      <c r="X117" s="34"/>
      <c r="Y117" s="34"/>
      <c r="Z117" s="40"/>
      <c r="AA117" s="34"/>
      <c r="AB117" s="38"/>
      <c r="AC117" s="38"/>
    </row>
    <row r="118" spans="2:29" x14ac:dyDescent="0.25">
      <c r="B118" s="34"/>
      <c r="C118" s="34"/>
      <c r="D118" s="34"/>
      <c r="E118" s="34"/>
      <c r="F118" s="40"/>
      <c r="G118" s="34"/>
      <c r="H118" s="34"/>
      <c r="I118" s="34"/>
      <c r="J118" s="34"/>
      <c r="K118" s="40"/>
      <c r="L118" s="34"/>
      <c r="M118" s="34"/>
      <c r="N118" s="34"/>
      <c r="O118" s="34"/>
      <c r="P118" s="40"/>
      <c r="Q118" s="34"/>
      <c r="R118" s="34"/>
      <c r="S118" s="34"/>
      <c r="T118" s="34"/>
      <c r="U118" s="40"/>
      <c r="V118" s="34"/>
      <c r="W118" s="34"/>
      <c r="X118" s="34"/>
      <c r="Y118" s="34"/>
      <c r="Z118" s="40"/>
      <c r="AA118" s="34"/>
      <c r="AB118" s="38"/>
      <c r="AC118" s="38"/>
    </row>
    <row r="119" spans="2:29" x14ac:dyDescent="0.25">
      <c r="B119" s="34"/>
      <c r="C119" s="34"/>
      <c r="D119" s="34"/>
      <c r="E119" s="34"/>
      <c r="F119" s="40"/>
      <c r="G119" s="34"/>
      <c r="H119" s="34"/>
      <c r="I119" s="34"/>
      <c r="J119" s="34"/>
      <c r="K119" s="40"/>
      <c r="L119" s="34"/>
      <c r="M119" s="34"/>
      <c r="N119" s="34"/>
      <c r="O119" s="34"/>
      <c r="P119" s="40"/>
      <c r="Q119" s="34"/>
      <c r="R119" s="34"/>
      <c r="S119" s="34"/>
      <c r="T119" s="34"/>
      <c r="U119" s="40"/>
      <c r="V119" s="34"/>
      <c r="W119" s="34"/>
      <c r="X119" s="34"/>
      <c r="Y119" s="34"/>
      <c r="Z119" s="40"/>
      <c r="AA119" s="34"/>
      <c r="AB119" s="38"/>
      <c r="AC119" s="38"/>
    </row>
    <row r="120" spans="2:29" x14ac:dyDescent="0.25">
      <c r="B120" s="34"/>
      <c r="C120" s="34"/>
      <c r="D120" s="34"/>
      <c r="E120" s="34"/>
      <c r="F120" s="40"/>
      <c r="G120" s="34"/>
      <c r="H120" s="34"/>
      <c r="I120" s="34"/>
      <c r="J120" s="34"/>
      <c r="K120" s="40"/>
      <c r="L120" s="34"/>
      <c r="M120" s="34"/>
      <c r="N120" s="34"/>
      <c r="O120" s="34"/>
      <c r="P120" s="40"/>
      <c r="Q120" s="34"/>
      <c r="R120" s="34"/>
      <c r="S120" s="34"/>
      <c r="T120" s="34"/>
      <c r="U120" s="40"/>
      <c r="V120" s="34"/>
      <c r="W120" s="34"/>
      <c r="X120" s="34"/>
      <c r="Y120" s="34"/>
      <c r="Z120" s="40"/>
      <c r="AA120" s="34"/>
      <c r="AB120" s="38"/>
      <c r="AC120" s="38"/>
    </row>
    <row r="121" spans="2:29" x14ac:dyDescent="0.25">
      <c r="B121" s="34"/>
      <c r="C121" s="34"/>
      <c r="D121" s="34"/>
      <c r="E121" s="34"/>
      <c r="F121" s="40"/>
      <c r="G121" s="34"/>
      <c r="H121" s="34"/>
      <c r="I121" s="34"/>
      <c r="J121" s="34"/>
      <c r="K121" s="40"/>
      <c r="L121" s="34"/>
      <c r="M121" s="34"/>
      <c r="N121" s="34"/>
      <c r="O121" s="34"/>
      <c r="P121" s="40"/>
      <c r="Q121" s="34"/>
      <c r="R121" s="34"/>
      <c r="S121" s="34"/>
      <c r="T121" s="34"/>
      <c r="U121" s="40"/>
      <c r="V121" s="34"/>
      <c r="W121" s="34"/>
      <c r="X121" s="34"/>
      <c r="Y121" s="34"/>
      <c r="Z121" s="40"/>
      <c r="AA121" s="34"/>
      <c r="AB121" s="38"/>
      <c r="AC121" s="38"/>
    </row>
    <row r="122" spans="2:29" x14ac:dyDescent="0.25">
      <c r="B122" s="34"/>
      <c r="C122" s="34"/>
      <c r="D122" s="34"/>
      <c r="E122" s="34"/>
      <c r="F122" s="40"/>
      <c r="G122" s="34"/>
      <c r="H122" s="34"/>
      <c r="I122" s="34"/>
      <c r="J122" s="34"/>
      <c r="K122" s="40"/>
      <c r="L122" s="34"/>
      <c r="M122" s="34"/>
      <c r="N122" s="34"/>
      <c r="O122" s="34"/>
      <c r="P122" s="40"/>
      <c r="Q122" s="34"/>
      <c r="R122" s="34"/>
      <c r="S122" s="34"/>
      <c r="T122" s="34"/>
      <c r="U122" s="40"/>
      <c r="V122" s="34"/>
      <c r="W122" s="34"/>
      <c r="X122" s="34"/>
      <c r="Y122" s="34"/>
      <c r="Z122" s="40"/>
      <c r="AA122" s="34"/>
      <c r="AB122" s="38"/>
      <c r="AC122" s="38"/>
    </row>
    <row r="123" spans="2:29" x14ac:dyDescent="0.25">
      <c r="B123" s="34"/>
      <c r="C123" s="34"/>
      <c r="D123" s="34"/>
      <c r="E123" s="34"/>
      <c r="F123" s="40"/>
      <c r="G123" s="34"/>
      <c r="H123" s="34"/>
      <c r="I123" s="34"/>
      <c r="J123" s="34"/>
      <c r="K123" s="40"/>
      <c r="L123" s="34"/>
      <c r="M123" s="34"/>
      <c r="N123" s="34"/>
      <c r="O123" s="34"/>
      <c r="P123" s="40"/>
      <c r="Q123" s="34"/>
      <c r="R123" s="34"/>
      <c r="S123" s="34"/>
      <c r="T123" s="34"/>
      <c r="U123" s="40"/>
      <c r="V123" s="34"/>
      <c r="W123" s="34"/>
      <c r="X123" s="34"/>
      <c r="Y123" s="34"/>
      <c r="Z123" s="40"/>
      <c r="AA123" s="34"/>
      <c r="AB123" s="38"/>
      <c r="AC123" s="38"/>
    </row>
    <row r="124" spans="2:29" x14ac:dyDescent="0.25">
      <c r="B124" s="34"/>
      <c r="C124" s="34"/>
      <c r="D124" s="34"/>
      <c r="E124" s="34"/>
      <c r="F124" s="40"/>
      <c r="G124" s="34"/>
      <c r="H124" s="34"/>
      <c r="I124" s="34"/>
      <c r="J124" s="34"/>
      <c r="K124" s="40"/>
      <c r="L124" s="34"/>
      <c r="M124" s="34"/>
      <c r="N124" s="34"/>
      <c r="O124" s="34"/>
      <c r="P124" s="40"/>
      <c r="Q124" s="34"/>
      <c r="R124" s="34"/>
      <c r="S124" s="34"/>
      <c r="T124" s="34"/>
      <c r="U124" s="40"/>
      <c r="V124" s="34"/>
      <c r="W124" s="34"/>
      <c r="X124" s="34"/>
      <c r="Y124" s="34"/>
      <c r="Z124" s="40"/>
      <c r="AA124" s="34"/>
      <c r="AB124" s="38"/>
      <c r="AC124" s="38"/>
    </row>
    <row r="125" spans="2:29" x14ac:dyDescent="0.25">
      <c r="B125" s="34"/>
      <c r="C125" s="34"/>
      <c r="D125" s="34"/>
      <c r="E125" s="34"/>
      <c r="F125" s="40"/>
      <c r="G125" s="34"/>
      <c r="H125" s="34"/>
      <c r="I125" s="34"/>
      <c r="J125" s="34"/>
      <c r="K125" s="40"/>
      <c r="L125" s="34"/>
      <c r="M125" s="34"/>
      <c r="N125" s="34"/>
      <c r="O125" s="34"/>
      <c r="P125" s="40"/>
      <c r="Q125" s="34"/>
      <c r="R125" s="34"/>
      <c r="S125" s="34"/>
      <c r="T125" s="34"/>
      <c r="U125" s="40"/>
      <c r="V125" s="34"/>
      <c r="W125" s="34"/>
      <c r="X125" s="34"/>
      <c r="Y125" s="34"/>
      <c r="Z125" s="40"/>
      <c r="AA125" s="34"/>
      <c r="AB125" s="38"/>
      <c r="AC125" s="38"/>
    </row>
    <row r="126" spans="2:29" x14ac:dyDescent="0.25">
      <c r="B126" s="34"/>
      <c r="C126" s="34"/>
      <c r="D126" s="34"/>
      <c r="E126" s="34"/>
      <c r="F126" s="40"/>
      <c r="G126" s="34"/>
      <c r="H126" s="34"/>
      <c r="I126" s="34"/>
      <c r="J126" s="34"/>
      <c r="K126" s="40"/>
      <c r="L126" s="34"/>
      <c r="M126" s="34"/>
      <c r="N126" s="34"/>
      <c r="O126" s="34"/>
      <c r="P126" s="40"/>
      <c r="Q126" s="34"/>
      <c r="R126" s="34"/>
      <c r="S126" s="34"/>
      <c r="T126" s="34"/>
      <c r="U126" s="40"/>
      <c r="V126" s="34"/>
      <c r="W126" s="34"/>
      <c r="X126" s="34"/>
      <c r="Y126" s="34"/>
      <c r="Z126" s="40"/>
      <c r="AA126" s="34"/>
      <c r="AB126" s="38"/>
      <c r="AC126" s="38"/>
    </row>
    <row r="127" spans="2:29" x14ac:dyDescent="0.25">
      <c r="B127" s="34"/>
      <c r="C127" s="34"/>
      <c r="D127" s="34"/>
      <c r="E127" s="34"/>
      <c r="F127" s="40"/>
      <c r="G127" s="34"/>
      <c r="H127" s="34"/>
      <c r="I127" s="34"/>
      <c r="J127" s="34"/>
      <c r="K127" s="40"/>
      <c r="L127" s="34"/>
      <c r="M127" s="34"/>
      <c r="N127" s="34"/>
      <c r="O127" s="34"/>
      <c r="P127" s="40"/>
      <c r="Q127" s="34"/>
      <c r="R127" s="34"/>
      <c r="S127" s="34"/>
      <c r="T127" s="34"/>
      <c r="U127" s="40"/>
      <c r="V127" s="34"/>
      <c r="W127" s="34"/>
      <c r="X127" s="34"/>
      <c r="Y127" s="34"/>
      <c r="Z127" s="40"/>
      <c r="AA127" s="34"/>
      <c r="AB127" s="38"/>
      <c r="AC127" s="38"/>
    </row>
    <row r="128" spans="2:29" x14ac:dyDescent="0.25">
      <c r="B128" s="34"/>
      <c r="C128" s="34"/>
      <c r="D128" s="34"/>
      <c r="E128" s="34"/>
      <c r="F128" s="40"/>
      <c r="G128" s="34"/>
      <c r="H128" s="34"/>
      <c r="I128" s="34"/>
      <c r="J128" s="34"/>
      <c r="K128" s="40"/>
      <c r="L128" s="34"/>
      <c r="M128" s="34"/>
      <c r="N128" s="34"/>
      <c r="O128" s="34"/>
      <c r="P128" s="40"/>
      <c r="Q128" s="34"/>
      <c r="R128" s="34"/>
      <c r="S128" s="34"/>
      <c r="T128" s="34"/>
      <c r="U128" s="40"/>
      <c r="V128" s="34"/>
      <c r="W128" s="34"/>
      <c r="X128" s="34"/>
      <c r="Y128" s="34"/>
      <c r="Z128" s="40"/>
      <c r="AA128" s="34"/>
      <c r="AB128" s="38"/>
      <c r="AC128" s="38"/>
    </row>
    <row r="129" spans="2:29" x14ac:dyDescent="0.25">
      <c r="B129" s="34"/>
      <c r="C129" s="34"/>
      <c r="D129" s="34"/>
      <c r="E129" s="34"/>
      <c r="F129" s="40"/>
      <c r="G129" s="34"/>
      <c r="H129" s="34"/>
      <c r="I129" s="34"/>
      <c r="J129" s="34"/>
      <c r="K129" s="40"/>
      <c r="L129" s="34"/>
      <c r="M129" s="34"/>
      <c r="N129" s="34"/>
      <c r="O129" s="34"/>
      <c r="P129" s="40"/>
      <c r="Q129" s="34"/>
      <c r="R129" s="34"/>
      <c r="S129" s="34"/>
      <c r="T129" s="34"/>
      <c r="U129" s="40"/>
      <c r="V129" s="34"/>
      <c r="W129" s="34"/>
      <c r="X129" s="34"/>
      <c r="Y129" s="34"/>
      <c r="Z129" s="40"/>
      <c r="AA129" s="34"/>
      <c r="AB129" s="38"/>
      <c r="AC129" s="38"/>
    </row>
    <row r="130" spans="2:29" x14ac:dyDescent="0.25">
      <c r="B130" s="34"/>
      <c r="C130" s="34"/>
      <c r="D130" s="34"/>
      <c r="E130" s="34"/>
      <c r="F130" s="40"/>
      <c r="G130" s="34"/>
      <c r="H130" s="34"/>
      <c r="I130" s="34"/>
      <c r="J130" s="34"/>
      <c r="K130" s="40"/>
      <c r="L130" s="34"/>
      <c r="M130" s="34"/>
      <c r="N130" s="34"/>
      <c r="O130" s="34"/>
      <c r="P130" s="40"/>
      <c r="Q130" s="34"/>
      <c r="R130" s="34"/>
      <c r="S130" s="34"/>
      <c r="T130" s="34"/>
      <c r="U130" s="40"/>
      <c r="V130" s="34"/>
      <c r="W130" s="34"/>
      <c r="X130" s="34"/>
      <c r="Y130" s="34"/>
      <c r="Z130" s="40"/>
      <c r="AA130" s="34"/>
      <c r="AB130" s="38"/>
      <c r="AC130" s="38"/>
    </row>
    <row r="131" spans="2:29" x14ac:dyDescent="0.25">
      <c r="B131" s="34"/>
      <c r="C131" s="34"/>
      <c r="D131" s="34"/>
      <c r="E131" s="34"/>
      <c r="F131" s="40"/>
      <c r="G131" s="34"/>
      <c r="H131" s="34"/>
      <c r="I131" s="34"/>
      <c r="J131" s="34"/>
      <c r="K131" s="40"/>
      <c r="L131" s="34"/>
      <c r="M131" s="34"/>
      <c r="N131" s="34"/>
      <c r="O131" s="34"/>
      <c r="P131" s="40"/>
      <c r="Q131" s="34"/>
      <c r="R131" s="34"/>
      <c r="S131" s="34"/>
      <c r="T131" s="34"/>
      <c r="U131" s="40"/>
      <c r="V131" s="34"/>
      <c r="W131" s="34"/>
      <c r="X131" s="34"/>
      <c r="Y131" s="34"/>
      <c r="Z131" s="40"/>
      <c r="AA131" s="34"/>
      <c r="AB131" s="38"/>
      <c r="AC131" s="38"/>
    </row>
    <row r="132" spans="2:29" x14ac:dyDescent="0.25">
      <c r="B132" s="34"/>
      <c r="C132" s="34"/>
      <c r="D132" s="34"/>
      <c r="E132" s="34"/>
      <c r="F132" s="40"/>
      <c r="G132" s="34"/>
      <c r="H132" s="34"/>
      <c r="I132" s="34"/>
      <c r="J132" s="34"/>
      <c r="K132" s="40"/>
      <c r="L132" s="34"/>
      <c r="M132" s="34"/>
      <c r="N132" s="34"/>
      <c r="O132" s="34"/>
      <c r="P132" s="40"/>
      <c r="Q132" s="34"/>
      <c r="R132" s="34"/>
      <c r="S132" s="34"/>
      <c r="T132" s="34"/>
      <c r="U132" s="40"/>
      <c r="V132" s="34"/>
      <c r="W132" s="34"/>
      <c r="X132" s="34"/>
      <c r="Y132" s="34"/>
      <c r="Z132" s="40"/>
      <c r="AA132" s="34"/>
      <c r="AB132" s="38"/>
      <c r="AC132" s="38"/>
    </row>
    <row r="133" spans="2:29" x14ac:dyDescent="0.25">
      <c r="B133" s="34"/>
      <c r="C133" s="34"/>
      <c r="D133" s="34"/>
      <c r="E133" s="34"/>
      <c r="F133" s="40"/>
      <c r="G133" s="34"/>
      <c r="H133" s="34"/>
      <c r="I133" s="34"/>
      <c r="J133" s="34"/>
      <c r="K133" s="40"/>
      <c r="L133" s="34"/>
      <c r="M133" s="34"/>
      <c r="N133" s="34"/>
      <c r="O133" s="34"/>
      <c r="P133" s="40"/>
      <c r="Q133" s="34"/>
      <c r="R133" s="34"/>
      <c r="S133" s="34"/>
      <c r="T133" s="34"/>
      <c r="U133" s="40"/>
      <c r="V133" s="34"/>
      <c r="W133" s="34"/>
      <c r="X133" s="34"/>
      <c r="Y133" s="34"/>
      <c r="Z133" s="40"/>
      <c r="AA133" s="34"/>
      <c r="AB133" s="38"/>
      <c r="AC133" s="38"/>
    </row>
    <row r="134" spans="2:29" x14ac:dyDescent="0.25">
      <c r="B134" s="34"/>
      <c r="C134" s="34"/>
      <c r="D134" s="34"/>
      <c r="E134" s="34"/>
      <c r="F134" s="40"/>
      <c r="G134" s="34"/>
      <c r="H134" s="34"/>
      <c r="I134" s="34"/>
      <c r="J134" s="34"/>
      <c r="K134" s="40"/>
      <c r="L134" s="34"/>
      <c r="M134" s="34"/>
      <c r="N134" s="34"/>
      <c r="O134" s="34"/>
      <c r="P134" s="40"/>
      <c r="Q134" s="34"/>
      <c r="R134" s="34"/>
      <c r="S134" s="34"/>
      <c r="T134" s="34"/>
      <c r="U134" s="40"/>
      <c r="V134" s="34"/>
      <c r="W134" s="34"/>
      <c r="X134" s="34"/>
      <c r="Y134" s="34"/>
      <c r="Z134" s="40"/>
      <c r="AA134" s="34"/>
      <c r="AB134" s="38"/>
      <c r="AC134" s="38"/>
    </row>
    <row r="135" spans="2:29" x14ac:dyDescent="0.25">
      <c r="B135" s="34"/>
      <c r="C135" s="34"/>
      <c r="D135" s="34"/>
      <c r="E135" s="34"/>
      <c r="F135" s="40"/>
      <c r="G135" s="34"/>
      <c r="H135" s="34"/>
      <c r="I135" s="34"/>
      <c r="J135" s="34"/>
      <c r="K135" s="40"/>
      <c r="L135" s="34"/>
      <c r="M135" s="34"/>
      <c r="N135" s="34"/>
      <c r="O135" s="34"/>
      <c r="P135" s="40"/>
      <c r="Q135" s="34"/>
      <c r="R135" s="34"/>
      <c r="S135" s="34"/>
      <c r="T135" s="34"/>
      <c r="U135" s="40"/>
      <c r="V135" s="34"/>
      <c r="W135" s="34"/>
      <c r="X135" s="34"/>
      <c r="Y135" s="34"/>
      <c r="Z135" s="40"/>
      <c r="AA135" s="34"/>
      <c r="AB135" s="38"/>
      <c r="AC135" s="38"/>
    </row>
    <row r="136" spans="2:29" x14ac:dyDescent="0.25">
      <c r="B136" s="34"/>
      <c r="C136" s="34"/>
      <c r="D136" s="34"/>
      <c r="E136" s="34"/>
      <c r="F136" s="40"/>
      <c r="G136" s="34"/>
      <c r="H136" s="34"/>
      <c r="I136" s="34"/>
      <c r="J136" s="34"/>
      <c r="K136" s="40"/>
      <c r="L136" s="34"/>
      <c r="M136" s="34"/>
      <c r="N136" s="34"/>
      <c r="O136" s="34"/>
      <c r="P136" s="40"/>
      <c r="Q136" s="34"/>
      <c r="R136" s="34"/>
      <c r="S136" s="34"/>
      <c r="T136" s="34"/>
      <c r="U136" s="40"/>
      <c r="V136" s="34"/>
      <c r="W136" s="34"/>
      <c r="X136" s="34"/>
      <c r="Y136" s="34"/>
      <c r="Z136" s="40"/>
      <c r="AA136" s="34"/>
      <c r="AB136" s="38"/>
      <c r="AC136" s="38"/>
    </row>
    <row r="137" spans="2:29" x14ac:dyDescent="0.25">
      <c r="B137" s="34"/>
      <c r="C137" s="34"/>
      <c r="D137" s="34"/>
      <c r="E137" s="34"/>
      <c r="F137" s="40"/>
      <c r="G137" s="34"/>
      <c r="H137" s="34"/>
      <c r="I137" s="34"/>
      <c r="J137" s="34"/>
      <c r="K137" s="40"/>
      <c r="L137" s="34"/>
      <c r="M137" s="34"/>
      <c r="N137" s="34"/>
      <c r="O137" s="34"/>
      <c r="P137" s="40"/>
      <c r="Q137" s="34"/>
      <c r="R137" s="34"/>
      <c r="S137" s="34"/>
      <c r="T137" s="34"/>
      <c r="U137" s="40"/>
      <c r="V137" s="34"/>
      <c r="W137" s="34"/>
      <c r="X137" s="34"/>
      <c r="Y137" s="34"/>
      <c r="Z137" s="40"/>
      <c r="AA137" s="34"/>
      <c r="AB137" s="38"/>
      <c r="AC137" s="38"/>
    </row>
    <row r="138" spans="2:29" x14ac:dyDescent="0.25">
      <c r="B138" s="34"/>
      <c r="C138" s="34"/>
      <c r="D138" s="34"/>
      <c r="E138" s="34"/>
      <c r="F138" s="40"/>
      <c r="G138" s="34"/>
      <c r="H138" s="34"/>
      <c r="I138" s="34"/>
      <c r="J138" s="34"/>
      <c r="K138" s="40"/>
      <c r="L138" s="34"/>
      <c r="M138" s="34"/>
      <c r="N138" s="34"/>
      <c r="O138" s="34"/>
      <c r="P138" s="40"/>
      <c r="Q138" s="34"/>
      <c r="R138" s="34"/>
      <c r="S138" s="34"/>
      <c r="T138" s="34"/>
      <c r="U138" s="40"/>
      <c r="V138" s="34"/>
      <c r="W138" s="34"/>
      <c r="X138" s="34"/>
      <c r="Y138" s="34"/>
      <c r="Z138" s="40"/>
      <c r="AA138" s="34"/>
      <c r="AB138" s="38"/>
      <c r="AC138" s="38"/>
    </row>
    <row r="139" spans="2:29" x14ac:dyDescent="0.25">
      <c r="B139" s="34"/>
      <c r="C139" s="34"/>
      <c r="D139" s="34"/>
      <c r="E139" s="34"/>
      <c r="F139" s="40"/>
      <c r="G139" s="34"/>
      <c r="H139" s="34"/>
      <c r="I139" s="34"/>
      <c r="J139" s="34"/>
      <c r="K139" s="40"/>
      <c r="L139" s="34"/>
      <c r="M139" s="34"/>
      <c r="N139" s="34"/>
      <c r="O139" s="34"/>
      <c r="P139" s="40"/>
      <c r="Q139" s="34"/>
      <c r="R139" s="34"/>
      <c r="S139" s="34"/>
      <c r="T139" s="34"/>
      <c r="U139" s="40"/>
      <c r="V139" s="34"/>
      <c r="W139" s="34"/>
      <c r="X139" s="34"/>
      <c r="Y139" s="34"/>
      <c r="Z139" s="40"/>
      <c r="AA139" s="34"/>
      <c r="AB139" s="38"/>
      <c r="AC139" s="38"/>
    </row>
    <row r="140" spans="2:29" x14ac:dyDescent="0.25">
      <c r="B140" s="34"/>
      <c r="C140" s="34"/>
      <c r="D140" s="34"/>
      <c r="E140" s="34"/>
      <c r="F140" s="40"/>
      <c r="G140" s="34"/>
      <c r="H140" s="34"/>
      <c r="I140" s="34"/>
      <c r="J140" s="34"/>
      <c r="K140" s="40"/>
      <c r="L140" s="34"/>
      <c r="M140" s="34"/>
      <c r="N140" s="34"/>
      <c r="O140" s="34"/>
      <c r="P140" s="40"/>
      <c r="Q140" s="34"/>
      <c r="R140" s="34"/>
      <c r="S140" s="34"/>
      <c r="T140" s="34"/>
      <c r="U140" s="40"/>
      <c r="V140" s="34"/>
      <c r="W140" s="34"/>
      <c r="X140" s="34"/>
      <c r="Y140" s="34"/>
      <c r="Z140" s="40"/>
      <c r="AA140" s="34"/>
      <c r="AB140" s="38"/>
      <c r="AC140" s="38"/>
    </row>
    <row r="141" spans="2:29" x14ac:dyDescent="0.25">
      <c r="B141" s="34"/>
      <c r="C141" s="34"/>
      <c r="D141" s="34"/>
      <c r="E141" s="34"/>
      <c r="F141" s="40"/>
      <c r="G141" s="34"/>
      <c r="H141" s="34"/>
      <c r="I141" s="34"/>
      <c r="J141" s="34"/>
      <c r="K141" s="40"/>
      <c r="L141" s="34"/>
      <c r="M141" s="34"/>
      <c r="N141" s="34"/>
      <c r="O141" s="34"/>
      <c r="P141" s="40"/>
      <c r="Q141" s="34"/>
      <c r="R141" s="34"/>
      <c r="S141" s="34"/>
      <c r="T141" s="34"/>
      <c r="U141" s="40"/>
      <c r="V141" s="34"/>
      <c r="W141" s="34"/>
      <c r="X141" s="34"/>
      <c r="Y141" s="34"/>
      <c r="Z141" s="40"/>
      <c r="AA141" s="34"/>
      <c r="AB141" s="38"/>
      <c r="AC141" s="38"/>
    </row>
    <row r="142" spans="2:29" x14ac:dyDescent="0.25">
      <c r="B142" s="34"/>
      <c r="C142" s="34"/>
      <c r="D142" s="34"/>
      <c r="E142" s="34"/>
      <c r="F142" s="40"/>
      <c r="G142" s="34"/>
      <c r="H142" s="34"/>
      <c r="I142" s="34"/>
      <c r="J142" s="34"/>
      <c r="K142" s="40"/>
      <c r="L142" s="34"/>
      <c r="M142" s="34"/>
      <c r="N142" s="34"/>
      <c r="O142" s="34"/>
      <c r="P142" s="40"/>
      <c r="Q142" s="34"/>
      <c r="R142" s="34"/>
      <c r="S142" s="34"/>
      <c r="T142" s="34"/>
      <c r="U142" s="40"/>
      <c r="V142" s="34"/>
      <c r="W142" s="34"/>
      <c r="X142" s="34"/>
      <c r="Y142" s="34"/>
      <c r="Z142" s="40"/>
      <c r="AA142" s="34"/>
      <c r="AB142" s="38"/>
      <c r="AC142" s="38"/>
    </row>
    <row r="143" spans="2:29" x14ac:dyDescent="0.25">
      <c r="B143" s="34"/>
      <c r="C143" s="34"/>
      <c r="D143" s="34"/>
      <c r="E143" s="34"/>
      <c r="F143" s="40"/>
      <c r="G143" s="34"/>
      <c r="H143" s="34"/>
      <c r="I143" s="34"/>
      <c r="J143" s="34"/>
      <c r="K143" s="40"/>
      <c r="L143" s="34"/>
      <c r="M143" s="34"/>
      <c r="N143" s="34"/>
      <c r="O143" s="34"/>
      <c r="P143" s="40"/>
      <c r="Q143" s="34"/>
      <c r="R143" s="34"/>
      <c r="S143" s="34"/>
      <c r="T143" s="34"/>
      <c r="U143" s="40"/>
      <c r="V143" s="34"/>
      <c r="W143" s="34"/>
      <c r="X143" s="34"/>
      <c r="Y143" s="34"/>
      <c r="Z143" s="40"/>
      <c r="AA143" s="34"/>
      <c r="AB143" s="38"/>
      <c r="AC143" s="38"/>
    </row>
    <row r="144" spans="2:29" x14ac:dyDescent="0.25">
      <c r="B144" s="34"/>
      <c r="C144" s="34"/>
      <c r="D144" s="34"/>
      <c r="E144" s="34"/>
      <c r="F144" s="40"/>
      <c r="G144" s="34"/>
      <c r="H144" s="34"/>
      <c r="I144" s="34"/>
      <c r="J144" s="34"/>
      <c r="K144" s="40"/>
      <c r="L144" s="34"/>
      <c r="M144" s="34"/>
      <c r="N144" s="34"/>
      <c r="O144" s="34"/>
      <c r="P144" s="40"/>
      <c r="Q144" s="34"/>
      <c r="R144" s="34"/>
      <c r="S144" s="34"/>
      <c r="T144" s="34"/>
      <c r="U144" s="40"/>
      <c r="V144" s="34"/>
      <c r="W144" s="34"/>
      <c r="X144" s="34"/>
      <c r="Y144" s="34"/>
      <c r="Z144" s="40"/>
      <c r="AA144" s="34"/>
      <c r="AB144" s="38"/>
      <c r="AC144" s="38"/>
    </row>
    <row r="145" spans="2:29" x14ac:dyDescent="0.25">
      <c r="B145" s="34"/>
      <c r="C145" s="34"/>
      <c r="D145" s="34"/>
      <c r="E145" s="34"/>
      <c r="F145" s="40"/>
      <c r="G145" s="34"/>
      <c r="H145" s="34"/>
      <c r="I145" s="34"/>
      <c r="J145" s="34"/>
      <c r="K145" s="40"/>
      <c r="L145" s="34"/>
      <c r="M145" s="34"/>
      <c r="N145" s="34"/>
      <c r="O145" s="34"/>
      <c r="P145" s="40"/>
      <c r="Q145" s="34"/>
      <c r="R145" s="34"/>
      <c r="S145" s="34"/>
      <c r="T145" s="34"/>
      <c r="U145" s="40"/>
      <c r="V145" s="34"/>
      <c r="W145" s="34"/>
      <c r="X145" s="34"/>
      <c r="Y145" s="34"/>
      <c r="Z145" s="40"/>
      <c r="AA145" s="34"/>
      <c r="AB145" s="38"/>
      <c r="AC145" s="38"/>
    </row>
    <row r="146" spans="2:29" x14ac:dyDescent="0.25">
      <c r="B146" s="34"/>
      <c r="C146" s="34"/>
      <c r="D146" s="34"/>
      <c r="E146" s="34"/>
      <c r="F146" s="40"/>
      <c r="G146" s="34"/>
      <c r="H146" s="34"/>
      <c r="I146" s="34"/>
      <c r="J146" s="34"/>
      <c r="K146" s="40"/>
      <c r="L146" s="34"/>
      <c r="M146" s="34"/>
      <c r="N146" s="34"/>
      <c r="O146" s="34"/>
      <c r="P146" s="40"/>
      <c r="Q146" s="34"/>
      <c r="R146" s="34"/>
      <c r="S146" s="34"/>
      <c r="T146" s="34"/>
      <c r="U146" s="40"/>
      <c r="V146" s="34"/>
      <c r="W146" s="34"/>
      <c r="X146" s="34"/>
      <c r="Y146" s="34"/>
      <c r="Z146" s="40"/>
      <c r="AA146" s="34"/>
      <c r="AB146" s="38"/>
      <c r="AC146" s="38"/>
    </row>
    <row r="147" spans="2:29" x14ac:dyDescent="0.25">
      <c r="B147" s="34"/>
      <c r="C147" s="34"/>
      <c r="D147" s="34"/>
      <c r="E147" s="34"/>
      <c r="F147" s="40"/>
      <c r="G147" s="34"/>
      <c r="H147" s="34"/>
      <c r="I147" s="34"/>
      <c r="J147" s="34"/>
      <c r="K147" s="40"/>
      <c r="L147" s="34"/>
      <c r="M147" s="34"/>
      <c r="N147" s="34"/>
      <c r="O147" s="34"/>
      <c r="P147" s="40"/>
      <c r="Q147" s="34"/>
      <c r="R147" s="34"/>
      <c r="S147" s="34"/>
      <c r="T147" s="34"/>
      <c r="U147" s="40"/>
      <c r="V147" s="34"/>
      <c r="W147" s="34"/>
      <c r="X147" s="34"/>
      <c r="Y147" s="34"/>
      <c r="Z147" s="40"/>
      <c r="AA147" s="34"/>
      <c r="AB147" s="38"/>
      <c r="AC147" s="38"/>
    </row>
    <row r="148" spans="2:29" x14ac:dyDescent="0.25">
      <c r="B148" s="34"/>
      <c r="C148" s="34"/>
      <c r="D148" s="34"/>
      <c r="E148" s="34"/>
      <c r="F148" s="40"/>
      <c r="G148" s="34"/>
      <c r="H148" s="34"/>
      <c r="I148" s="34"/>
      <c r="J148" s="34"/>
      <c r="K148" s="40"/>
      <c r="L148" s="34"/>
      <c r="M148" s="34"/>
      <c r="N148" s="34"/>
      <c r="O148" s="34"/>
      <c r="P148" s="40"/>
      <c r="Q148" s="34"/>
      <c r="R148" s="34"/>
      <c r="S148" s="34"/>
      <c r="T148" s="34"/>
      <c r="U148" s="40"/>
      <c r="V148" s="34"/>
      <c r="W148" s="34"/>
      <c r="X148" s="34"/>
      <c r="Y148" s="34"/>
      <c r="Z148" s="40"/>
      <c r="AA148" s="34"/>
      <c r="AB148" s="38"/>
      <c r="AC148" s="38"/>
    </row>
    <row r="149" spans="2:29" x14ac:dyDescent="0.25">
      <c r="B149" s="34"/>
      <c r="C149" s="34"/>
      <c r="D149" s="34"/>
      <c r="E149" s="34"/>
      <c r="F149" s="40"/>
      <c r="G149" s="34"/>
      <c r="H149" s="34"/>
      <c r="I149" s="34"/>
      <c r="J149" s="34"/>
      <c r="K149" s="40"/>
      <c r="L149" s="34"/>
      <c r="M149" s="34"/>
      <c r="N149" s="34"/>
      <c r="O149" s="34"/>
      <c r="P149" s="40"/>
      <c r="Q149" s="34"/>
      <c r="R149" s="34"/>
      <c r="S149" s="34"/>
      <c r="T149" s="34"/>
      <c r="U149" s="40"/>
      <c r="V149" s="34"/>
      <c r="W149" s="34"/>
      <c r="X149" s="34"/>
      <c r="Y149" s="34"/>
      <c r="Z149" s="40"/>
      <c r="AA149" s="34"/>
      <c r="AB149" s="38"/>
      <c r="AC149" s="38"/>
    </row>
    <row r="150" spans="2:29" x14ac:dyDescent="0.25">
      <c r="B150" s="34"/>
      <c r="C150" s="34"/>
      <c r="D150" s="34"/>
      <c r="E150" s="34"/>
      <c r="F150" s="40"/>
      <c r="G150" s="34"/>
      <c r="H150" s="34"/>
      <c r="I150" s="34"/>
      <c r="J150" s="34"/>
      <c r="K150" s="40"/>
      <c r="L150" s="34"/>
      <c r="M150" s="34"/>
      <c r="N150" s="34"/>
      <c r="O150" s="34"/>
      <c r="P150" s="40"/>
      <c r="Q150" s="34"/>
      <c r="R150" s="34"/>
      <c r="S150" s="34"/>
      <c r="T150" s="34"/>
      <c r="U150" s="40"/>
      <c r="V150" s="34"/>
      <c r="W150" s="34"/>
      <c r="X150" s="34"/>
      <c r="Y150" s="34"/>
      <c r="Z150" s="40"/>
      <c r="AA150" s="34"/>
      <c r="AB150" s="38"/>
      <c r="AC150" s="38"/>
    </row>
    <row r="151" spans="2:29" x14ac:dyDescent="0.25">
      <c r="B151" s="34"/>
      <c r="C151" s="34"/>
      <c r="D151" s="34"/>
      <c r="E151" s="34"/>
      <c r="F151" s="40"/>
      <c r="G151" s="34"/>
      <c r="H151" s="34"/>
      <c r="I151" s="34"/>
      <c r="J151" s="34"/>
      <c r="K151" s="40"/>
      <c r="L151" s="34"/>
      <c r="M151" s="34"/>
      <c r="N151" s="34"/>
      <c r="O151" s="34"/>
      <c r="P151" s="40"/>
      <c r="Q151" s="34"/>
      <c r="R151" s="34"/>
      <c r="S151" s="34"/>
      <c r="T151" s="34"/>
      <c r="U151" s="40"/>
      <c r="V151" s="34"/>
      <c r="W151" s="34"/>
      <c r="X151" s="34"/>
      <c r="Y151" s="34"/>
      <c r="Z151" s="40"/>
      <c r="AA151" s="34"/>
      <c r="AB151" s="38"/>
      <c r="AC151" s="38"/>
    </row>
    <row r="152" spans="2:29" x14ac:dyDescent="0.25">
      <c r="B152" s="34"/>
      <c r="C152" s="34"/>
      <c r="D152" s="34"/>
      <c r="E152" s="34"/>
      <c r="F152" s="40"/>
      <c r="G152" s="34"/>
      <c r="H152" s="34"/>
      <c r="I152" s="34"/>
      <c r="J152" s="34"/>
      <c r="K152" s="40"/>
      <c r="L152" s="34"/>
      <c r="M152" s="34"/>
      <c r="N152" s="34"/>
      <c r="O152" s="34"/>
      <c r="P152" s="40"/>
      <c r="Q152" s="34"/>
      <c r="R152" s="34"/>
      <c r="S152" s="34"/>
      <c r="T152" s="34"/>
      <c r="U152" s="40"/>
      <c r="V152" s="34"/>
      <c r="W152" s="34"/>
      <c r="X152" s="34"/>
      <c r="Y152" s="34"/>
      <c r="Z152" s="40"/>
      <c r="AA152" s="34"/>
      <c r="AB152" s="38"/>
      <c r="AC152" s="38"/>
    </row>
    <row r="153" spans="2:29" x14ac:dyDescent="0.25">
      <c r="B153" s="34"/>
      <c r="C153" s="34"/>
      <c r="D153" s="34"/>
      <c r="E153" s="34"/>
      <c r="F153" s="40"/>
      <c r="G153" s="34"/>
      <c r="H153" s="34"/>
      <c r="I153" s="34"/>
      <c r="J153" s="34"/>
      <c r="K153" s="40"/>
      <c r="L153" s="34"/>
      <c r="M153" s="34"/>
      <c r="N153" s="34"/>
      <c r="O153" s="34"/>
      <c r="P153" s="40"/>
      <c r="Q153" s="34"/>
      <c r="R153" s="34"/>
      <c r="S153" s="34"/>
      <c r="T153" s="34"/>
      <c r="U153" s="40"/>
      <c r="V153" s="34"/>
      <c r="W153" s="34"/>
      <c r="X153" s="34"/>
      <c r="Y153" s="34"/>
      <c r="Z153" s="40"/>
      <c r="AA153" s="34"/>
      <c r="AB153" s="38"/>
      <c r="AC153" s="38"/>
    </row>
    <row r="154" spans="2:29" x14ac:dyDescent="0.25">
      <c r="B154" s="34"/>
      <c r="C154" s="34"/>
      <c r="D154" s="34"/>
      <c r="E154" s="34"/>
      <c r="F154" s="40"/>
      <c r="G154" s="34"/>
      <c r="H154" s="34"/>
      <c r="I154" s="34"/>
      <c r="J154" s="34"/>
      <c r="K154" s="40"/>
      <c r="L154" s="34"/>
      <c r="M154" s="34"/>
      <c r="N154" s="34"/>
      <c r="O154" s="34"/>
      <c r="P154" s="40"/>
      <c r="Q154" s="34"/>
      <c r="R154" s="34"/>
      <c r="S154" s="34"/>
      <c r="T154" s="34"/>
      <c r="U154" s="40"/>
      <c r="V154" s="34"/>
      <c r="W154" s="34"/>
      <c r="X154" s="34"/>
      <c r="Y154" s="34"/>
      <c r="Z154" s="40"/>
      <c r="AA154" s="34"/>
      <c r="AB154" s="38"/>
      <c r="AC154" s="38"/>
    </row>
    <row r="155" spans="2:29" x14ac:dyDescent="0.25">
      <c r="B155" s="34"/>
      <c r="C155" s="34"/>
      <c r="D155" s="34"/>
      <c r="E155" s="34"/>
      <c r="F155" s="40"/>
      <c r="G155" s="34"/>
      <c r="H155" s="34"/>
      <c r="I155" s="34"/>
      <c r="J155" s="34"/>
      <c r="K155" s="40"/>
      <c r="L155" s="34"/>
      <c r="M155" s="34"/>
      <c r="N155" s="34"/>
      <c r="O155" s="34"/>
      <c r="P155" s="40"/>
      <c r="Q155" s="34"/>
      <c r="R155" s="34"/>
      <c r="S155" s="34"/>
      <c r="T155" s="34"/>
      <c r="U155" s="40"/>
      <c r="V155" s="34"/>
      <c r="W155" s="34"/>
      <c r="X155" s="34"/>
      <c r="Y155" s="34"/>
      <c r="Z155" s="40"/>
      <c r="AA155" s="34"/>
      <c r="AB155" s="38"/>
      <c r="AC155" s="38"/>
    </row>
    <row r="156" spans="2:29" x14ac:dyDescent="0.25">
      <c r="B156" s="34"/>
      <c r="C156" s="34"/>
      <c r="D156" s="34"/>
      <c r="E156" s="34"/>
      <c r="F156" s="40"/>
      <c r="G156" s="34"/>
      <c r="H156" s="34"/>
      <c r="I156" s="34"/>
      <c r="J156" s="34"/>
      <c r="K156" s="40"/>
      <c r="L156" s="34"/>
      <c r="M156" s="34"/>
      <c r="N156" s="34"/>
      <c r="O156" s="34"/>
      <c r="P156" s="40"/>
      <c r="Q156" s="34"/>
      <c r="R156" s="34"/>
      <c r="S156" s="34"/>
      <c r="T156" s="34"/>
      <c r="U156" s="40"/>
      <c r="V156" s="34"/>
      <c r="W156" s="34"/>
      <c r="X156" s="34"/>
      <c r="Y156" s="34"/>
      <c r="Z156" s="40"/>
      <c r="AA156" s="34"/>
      <c r="AB156" s="38"/>
      <c r="AC156" s="38"/>
    </row>
    <row r="157" spans="2:29" x14ac:dyDescent="0.25">
      <c r="B157" s="34"/>
      <c r="C157" s="34"/>
      <c r="D157" s="34"/>
      <c r="E157" s="34"/>
      <c r="F157" s="40"/>
      <c r="G157" s="34"/>
      <c r="H157" s="34"/>
      <c r="I157" s="34"/>
      <c r="J157" s="34"/>
      <c r="K157" s="40"/>
      <c r="L157" s="34"/>
      <c r="M157" s="34"/>
      <c r="N157" s="34"/>
      <c r="O157" s="34"/>
      <c r="P157" s="40"/>
      <c r="Q157" s="34"/>
      <c r="R157" s="34"/>
      <c r="S157" s="34"/>
      <c r="T157" s="34"/>
      <c r="U157" s="40"/>
      <c r="V157" s="34"/>
      <c r="W157" s="34"/>
      <c r="X157" s="34"/>
      <c r="Y157" s="34"/>
      <c r="Z157" s="40"/>
      <c r="AA157" s="34"/>
      <c r="AB157" s="38"/>
      <c r="AC157" s="38"/>
    </row>
    <row r="158" spans="2:29" x14ac:dyDescent="0.25">
      <c r="B158" s="34"/>
      <c r="C158" s="34"/>
      <c r="D158" s="34"/>
      <c r="E158" s="34"/>
      <c r="F158" s="40"/>
      <c r="G158" s="34"/>
      <c r="H158" s="34"/>
      <c r="I158" s="34"/>
      <c r="J158" s="34"/>
      <c r="K158" s="40"/>
      <c r="L158" s="34"/>
      <c r="M158" s="34"/>
      <c r="N158" s="34"/>
      <c r="O158" s="34"/>
      <c r="P158" s="40"/>
      <c r="Q158" s="34"/>
      <c r="R158" s="34"/>
      <c r="S158" s="34"/>
      <c r="T158" s="34"/>
      <c r="U158" s="40"/>
      <c r="V158" s="34"/>
      <c r="W158" s="34"/>
      <c r="X158" s="34"/>
      <c r="Y158" s="34"/>
      <c r="Z158" s="40"/>
      <c r="AA158" s="34"/>
      <c r="AB158" s="38"/>
      <c r="AC158" s="38"/>
    </row>
    <row r="159" spans="2:29" x14ac:dyDescent="0.25">
      <c r="B159" s="34"/>
      <c r="C159" s="34"/>
      <c r="D159" s="34"/>
      <c r="E159" s="34"/>
      <c r="F159" s="40"/>
      <c r="G159" s="34"/>
      <c r="H159" s="34"/>
      <c r="I159" s="34"/>
      <c r="J159" s="34"/>
      <c r="K159" s="40"/>
      <c r="L159" s="34"/>
      <c r="M159" s="34"/>
      <c r="N159" s="34"/>
      <c r="O159" s="34"/>
      <c r="P159" s="40"/>
      <c r="Q159" s="34"/>
      <c r="R159" s="34"/>
      <c r="S159" s="34"/>
      <c r="T159" s="34"/>
      <c r="U159" s="40"/>
      <c r="V159" s="34"/>
      <c r="W159" s="34"/>
      <c r="X159" s="34"/>
      <c r="Y159" s="34"/>
      <c r="Z159" s="40"/>
      <c r="AA159" s="34"/>
      <c r="AB159" s="38"/>
      <c r="AC159" s="38"/>
    </row>
    <row r="160" spans="2:29" x14ac:dyDescent="0.25">
      <c r="B160" s="34"/>
      <c r="C160" s="34"/>
      <c r="D160" s="34"/>
      <c r="E160" s="34"/>
      <c r="F160" s="40"/>
      <c r="G160" s="34"/>
      <c r="H160" s="34"/>
      <c r="I160" s="34"/>
      <c r="J160" s="34"/>
      <c r="K160" s="40"/>
      <c r="L160" s="34"/>
      <c r="M160" s="34"/>
      <c r="N160" s="34"/>
      <c r="O160" s="34"/>
      <c r="P160" s="40"/>
      <c r="Q160" s="34"/>
      <c r="R160" s="34"/>
      <c r="S160" s="34"/>
      <c r="T160" s="34"/>
      <c r="U160" s="40"/>
      <c r="V160" s="34"/>
      <c r="W160" s="34"/>
      <c r="X160" s="34"/>
      <c r="Y160" s="34"/>
      <c r="Z160" s="40"/>
      <c r="AA160" s="34"/>
      <c r="AB160" s="38"/>
      <c r="AC160" s="38"/>
    </row>
    <row r="161" spans="2:29" x14ac:dyDescent="0.25">
      <c r="B161" s="34"/>
      <c r="C161" s="34"/>
      <c r="D161" s="34"/>
      <c r="E161" s="34"/>
      <c r="F161" s="40"/>
      <c r="G161" s="34"/>
      <c r="H161" s="34"/>
      <c r="I161" s="34"/>
      <c r="J161" s="34"/>
      <c r="K161" s="40"/>
      <c r="L161" s="34"/>
      <c r="M161" s="34"/>
      <c r="N161" s="34"/>
      <c r="O161" s="34"/>
      <c r="P161" s="40"/>
      <c r="Q161" s="34"/>
      <c r="R161" s="34"/>
      <c r="S161" s="34"/>
      <c r="T161" s="34"/>
      <c r="U161" s="40"/>
      <c r="V161" s="34"/>
      <c r="W161" s="34"/>
      <c r="X161" s="34"/>
      <c r="Y161" s="34"/>
      <c r="Z161" s="40"/>
      <c r="AA161" s="34"/>
      <c r="AB161" s="38"/>
      <c r="AC161" s="38"/>
    </row>
    <row r="162" spans="2:29" x14ac:dyDescent="0.25">
      <c r="B162" s="34"/>
      <c r="C162" s="34"/>
      <c r="D162" s="34"/>
      <c r="E162" s="34"/>
      <c r="F162" s="40"/>
      <c r="G162" s="34"/>
      <c r="H162" s="34"/>
      <c r="I162" s="34"/>
      <c r="J162" s="34"/>
      <c r="K162" s="40"/>
      <c r="L162" s="34"/>
      <c r="M162" s="34"/>
      <c r="N162" s="34"/>
      <c r="O162" s="34"/>
      <c r="P162" s="40"/>
      <c r="Q162" s="34"/>
      <c r="R162" s="34"/>
      <c r="S162" s="34"/>
      <c r="T162" s="34"/>
      <c r="U162" s="40"/>
      <c r="V162" s="34"/>
      <c r="W162" s="34"/>
      <c r="X162" s="34"/>
      <c r="Y162" s="34"/>
      <c r="Z162" s="40"/>
      <c r="AA162" s="34"/>
      <c r="AB162" s="38"/>
      <c r="AC162" s="38"/>
    </row>
    <row r="163" spans="2:29" x14ac:dyDescent="0.25">
      <c r="B163" s="34"/>
      <c r="C163" s="34"/>
      <c r="D163" s="34"/>
      <c r="E163" s="34"/>
      <c r="F163" s="40"/>
      <c r="G163" s="34"/>
      <c r="H163" s="34"/>
      <c r="I163" s="34"/>
      <c r="J163" s="34"/>
      <c r="K163" s="40"/>
      <c r="L163" s="34"/>
      <c r="M163" s="34"/>
      <c r="N163" s="34"/>
      <c r="O163" s="34"/>
      <c r="P163" s="40"/>
      <c r="Q163" s="34"/>
      <c r="R163" s="34"/>
      <c r="S163" s="34"/>
      <c r="T163" s="34"/>
      <c r="U163" s="40"/>
      <c r="V163" s="34"/>
      <c r="W163" s="34"/>
      <c r="X163" s="34"/>
      <c r="Y163" s="34"/>
      <c r="Z163" s="40"/>
      <c r="AA163" s="34"/>
      <c r="AB163" s="38"/>
      <c r="AC163" s="38"/>
    </row>
    <row r="164" spans="2:29" x14ac:dyDescent="0.25">
      <c r="B164" s="34"/>
      <c r="C164" s="34"/>
      <c r="D164" s="34"/>
      <c r="E164" s="34"/>
      <c r="F164" s="40"/>
      <c r="G164" s="34"/>
      <c r="H164" s="34"/>
      <c r="I164" s="34"/>
      <c r="J164" s="34"/>
      <c r="K164" s="40"/>
      <c r="L164" s="34"/>
      <c r="M164" s="34"/>
      <c r="N164" s="34"/>
      <c r="O164" s="34"/>
      <c r="P164" s="40"/>
      <c r="Q164" s="34"/>
      <c r="R164" s="34"/>
      <c r="S164" s="34"/>
      <c r="T164" s="34"/>
      <c r="U164" s="40"/>
      <c r="V164" s="34"/>
      <c r="W164" s="34"/>
      <c r="X164" s="34"/>
      <c r="Y164" s="34"/>
      <c r="Z164" s="40"/>
      <c r="AA164" s="34"/>
      <c r="AB164" s="38"/>
      <c r="AC164" s="38"/>
    </row>
    <row r="165" spans="2:29" x14ac:dyDescent="0.25">
      <c r="B165" s="34"/>
      <c r="C165" s="34"/>
      <c r="D165" s="34"/>
      <c r="E165" s="34"/>
      <c r="F165" s="40"/>
      <c r="G165" s="34"/>
      <c r="H165" s="34"/>
      <c r="I165" s="34"/>
      <c r="J165" s="34"/>
      <c r="K165" s="40"/>
      <c r="L165" s="34"/>
      <c r="M165" s="34"/>
      <c r="N165" s="34"/>
      <c r="O165" s="34"/>
      <c r="P165" s="40"/>
      <c r="Q165" s="34"/>
      <c r="R165" s="34"/>
      <c r="S165" s="34"/>
      <c r="T165" s="34"/>
      <c r="U165" s="40"/>
      <c r="V165" s="34"/>
      <c r="W165" s="34"/>
      <c r="X165" s="34"/>
      <c r="Y165" s="34"/>
      <c r="Z165" s="40"/>
      <c r="AA165" s="34"/>
      <c r="AB165" s="38"/>
      <c r="AC165" s="38"/>
    </row>
    <row r="166" spans="2:29" x14ac:dyDescent="0.25">
      <c r="B166" s="34"/>
      <c r="C166" s="34"/>
      <c r="D166" s="34"/>
      <c r="E166" s="34"/>
      <c r="F166" s="40"/>
      <c r="G166" s="34"/>
      <c r="H166" s="34"/>
      <c r="I166" s="34"/>
      <c r="J166" s="34"/>
      <c r="K166" s="40"/>
      <c r="L166" s="34"/>
      <c r="M166" s="34"/>
      <c r="N166" s="34"/>
      <c r="O166" s="34"/>
      <c r="P166" s="40"/>
      <c r="Q166" s="34"/>
      <c r="R166" s="34"/>
      <c r="S166" s="34"/>
      <c r="T166" s="34"/>
      <c r="U166" s="40"/>
      <c r="V166" s="34"/>
      <c r="W166" s="34"/>
      <c r="X166" s="34"/>
      <c r="Y166" s="34"/>
      <c r="Z166" s="40"/>
      <c r="AA166" s="34"/>
      <c r="AB166" s="38"/>
      <c r="AC166" s="38"/>
    </row>
    <row r="167" spans="2:29" x14ac:dyDescent="0.25">
      <c r="B167" s="34"/>
      <c r="C167" s="34"/>
      <c r="D167" s="34"/>
      <c r="E167" s="34"/>
      <c r="F167" s="40"/>
      <c r="G167" s="34"/>
      <c r="H167" s="34"/>
      <c r="I167" s="34"/>
      <c r="J167" s="34"/>
      <c r="K167" s="40"/>
      <c r="L167" s="34"/>
      <c r="M167" s="34"/>
      <c r="N167" s="34"/>
      <c r="O167" s="34"/>
      <c r="P167" s="40"/>
      <c r="Q167" s="34"/>
      <c r="R167" s="34"/>
      <c r="S167" s="34"/>
      <c r="T167" s="34"/>
      <c r="U167" s="40"/>
      <c r="V167" s="34"/>
      <c r="W167" s="34"/>
      <c r="X167" s="34"/>
      <c r="Y167" s="34"/>
      <c r="Z167" s="40"/>
      <c r="AA167" s="34"/>
      <c r="AB167" s="38"/>
      <c r="AC167" s="38"/>
    </row>
    <row r="168" spans="2:29" x14ac:dyDescent="0.25">
      <c r="B168" s="34"/>
      <c r="C168" s="34"/>
      <c r="D168" s="34"/>
      <c r="E168" s="34"/>
      <c r="F168" s="40"/>
      <c r="G168" s="34"/>
      <c r="H168" s="34"/>
      <c r="I168" s="34"/>
      <c r="J168" s="34"/>
      <c r="K168" s="40"/>
      <c r="L168" s="34"/>
      <c r="M168" s="34"/>
      <c r="N168" s="34"/>
      <c r="O168" s="34"/>
      <c r="P168" s="40"/>
      <c r="Q168" s="34"/>
      <c r="R168" s="34"/>
      <c r="S168" s="34"/>
      <c r="T168" s="34"/>
      <c r="U168" s="40"/>
      <c r="V168" s="34"/>
      <c r="W168" s="34"/>
      <c r="X168" s="34"/>
      <c r="Y168" s="34"/>
      <c r="Z168" s="40"/>
      <c r="AA168" s="34"/>
      <c r="AB168" s="38"/>
      <c r="AC168" s="38"/>
    </row>
    <row r="169" spans="2:29" x14ac:dyDescent="0.25">
      <c r="B169" s="34"/>
      <c r="C169" s="34"/>
      <c r="D169" s="34"/>
      <c r="E169" s="34"/>
      <c r="F169" s="40"/>
      <c r="G169" s="34"/>
      <c r="H169" s="34"/>
      <c r="I169" s="34"/>
      <c r="J169" s="34"/>
      <c r="K169" s="40"/>
      <c r="L169" s="34"/>
      <c r="M169" s="34"/>
      <c r="N169" s="34"/>
      <c r="O169" s="34"/>
      <c r="P169" s="40"/>
      <c r="Q169" s="34"/>
      <c r="R169" s="34"/>
      <c r="S169" s="34"/>
      <c r="T169" s="34"/>
      <c r="U169" s="40"/>
      <c r="V169" s="34"/>
      <c r="W169" s="34"/>
      <c r="X169" s="34"/>
      <c r="Y169" s="34"/>
      <c r="Z169" s="40"/>
      <c r="AA169" s="34"/>
      <c r="AB169" s="38"/>
      <c r="AC169" s="38"/>
    </row>
    <row r="170" spans="2:29" x14ac:dyDescent="0.25">
      <c r="B170" s="34"/>
      <c r="C170" s="34"/>
      <c r="D170" s="34"/>
      <c r="E170" s="34"/>
      <c r="F170" s="40"/>
      <c r="G170" s="34"/>
      <c r="H170" s="34"/>
      <c r="I170" s="34"/>
      <c r="J170" s="34"/>
      <c r="K170" s="40"/>
      <c r="L170" s="34"/>
      <c r="M170" s="34"/>
      <c r="N170" s="34"/>
      <c r="O170" s="34"/>
      <c r="P170" s="40"/>
      <c r="Q170" s="34"/>
      <c r="R170" s="34"/>
      <c r="S170" s="34"/>
      <c r="T170" s="34"/>
      <c r="U170" s="40"/>
      <c r="V170" s="34"/>
      <c r="W170" s="34"/>
      <c r="X170" s="34"/>
      <c r="Y170" s="34"/>
      <c r="Z170" s="40"/>
      <c r="AA170" s="34"/>
      <c r="AB170" s="38"/>
      <c r="AC170" s="38"/>
    </row>
    <row r="171" spans="2:29" x14ac:dyDescent="0.25">
      <c r="B171" s="34"/>
      <c r="C171" s="34"/>
      <c r="D171" s="34"/>
      <c r="E171" s="34"/>
      <c r="F171" s="40"/>
      <c r="G171" s="34"/>
      <c r="H171" s="34"/>
      <c r="I171" s="34"/>
      <c r="J171" s="34"/>
      <c r="K171" s="40"/>
      <c r="L171" s="34"/>
      <c r="M171" s="34"/>
      <c r="N171" s="34"/>
      <c r="O171" s="34"/>
      <c r="P171" s="40"/>
      <c r="Q171" s="34"/>
      <c r="R171" s="34"/>
      <c r="S171" s="34"/>
      <c r="T171" s="34"/>
      <c r="U171" s="40"/>
      <c r="V171" s="34"/>
      <c r="W171" s="34"/>
      <c r="X171" s="34"/>
      <c r="Y171" s="34"/>
      <c r="Z171" s="40"/>
      <c r="AA171" s="34"/>
      <c r="AB171" s="38"/>
      <c r="AC171" s="38"/>
    </row>
    <row r="172" spans="2:29" x14ac:dyDescent="0.25">
      <c r="B172" s="34"/>
      <c r="C172" s="34"/>
      <c r="D172" s="34"/>
      <c r="E172" s="34"/>
      <c r="F172" s="40"/>
      <c r="G172" s="34"/>
      <c r="H172" s="34"/>
      <c r="I172" s="34"/>
      <c r="J172" s="34"/>
      <c r="K172" s="40"/>
      <c r="L172" s="34"/>
      <c r="M172" s="34"/>
      <c r="N172" s="34"/>
      <c r="O172" s="34"/>
      <c r="P172" s="40"/>
      <c r="Q172" s="34"/>
      <c r="R172" s="34"/>
      <c r="S172" s="34"/>
      <c r="T172" s="34"/>
      <c r="U172" s="40"/>
      <c r="V172" s="34"/>
      <c r="W172" s="34"/>
      <c r="X172" s="34"/>
      <c r="Y172" s="34"/>
      <c r="Z172" s="40"/>
      <c r="AA172" s="34"/>
      <c r="AB172" s="38"/>
      <c r="AC172" s="38"/>
    </row>
    <row r="173" spans="2:29" x14ac:dyDescent="0.25">
      <c r="B173" s="34"/>
      <c r="C173" s="34"/>
      <c r="D173" s="34"/>
      <c r="E173" s="34"/>
      <c r="F173" s="40"/>
      <c r="G173" s="34"/>
      <c r="H173" s="34"/>
      <c r="I173" s="34"/>
      <c r="J173" s="34"/>
      <c r="K173" s="40"/>
      <c r="L173" s="34"/>
      <c r="M173" s="34"/>
      <c r="N173" s="34"/>
      <c r="O173" s="34"/>
      <c r="P173" s="40"/>
      <c r="Q173" s="34"/>
      <c r="R173" s="34"/>
      <c r="S173" s="34"/>
      <c r="T173" s="34"/>
      <c r="U173" s="40"/>
      <c r="V173" s="34"/>
      <c r="W173" s="34"/>
      <c r="X173" s="34"/>
      <c r="Y173" s="34"/>
      <c r="Z173" s="40"/>
      <c r="AA173" s="34"/>
      <c r="AB173" s="38"/>
      <c r="AC173" s="38"/>
    </row>
    <row r="174" spans="2:29" x14ac:dyDescent="0.25">
      <c r="B174" s="34"/>
      <c r="C174" s="34"/>
      <c r="D174" s="34"/>
      <c r="E174" s="34"/>
      <c r="F174" s="40"/>
      <c r="G174" s="34"/>
      <c r="H174" s="34"/>
      <c r="I174" s="34"/>
      <c r="J174" s="34"/>
      <c r="K174" s="40"/>
      <c r="L174" s="34"/>
      <c r="M174" s="34"/>
      <c r="N174" s="34"/>
      <c r="O174" s="34"/>
      <c r="P174" s="40"/>
      <c r="Q174" s="34"/>
      <c r="R174" s="34"/>
      <c r="S174" s="34"/>
      <c r="T174" s="34"/>
      <c r="U174" s="40"/>
      <c r="V174" s="34"/>
      <c r="W174" s="34"/>
      <c r="X174" s="34"/>
      <c r="Y174" s="34"/>
      <c r="Z174" s="40"/>
      <c r="AA174" s="34"/>
      <c r="AB174" s="38"/>
      <c r="AC174" s="38"/>
    </row>
    <row r="175" spans="2:29" x14ac:dyDescent="0.25">
      <c r="B175" s="34"/>
      <c r="C175" s="34"/>
      <c r="D175" s="34"/>
      <c r="E175" s="34"/>
      <c r="F175" s="40"/>
      <c r="G175" s="34"/>
      <c r="H175" s="34"/>
      <c r="I175" s="34"/>
      <c r="J175" s="34"/>
      <c r="K175" s="40"/>
      <c r="L175" s="34"/>
      <c r="M175" s="34"/>
      <c r="N175" s="34"/>
      <c r="O175" s="34"/>
      <c r="P175" s="40"/>
      <c r="Q175" s="34"/>
      <c r="R175" s="34"/>
      <c r="S175" s="34"/>
      <c r="T175" s="34"/>
      <c r="U175" s="40"/>
      <c r="V175" s="34"/>
      <c r="W175" s="34"/>
      <c r="X175" s="34"/>
      <c r="Y175" s="34"/>
      <c r="Z175" s="40"/>
      <c r="AA175" s="34"/>
      <c r="AB175" s="38"/>
      <c r="AC175" s="38"/>
    </row>
    <row r="176" spans="2:29" x14ac:dyDescent="0.25">
      <c r="B176" s="34"/>
      <c r="C176" s="34"/>
      <c r="D176" s="34"/>
      <c r="E176" s="34"/>
      <c r="F176" s="40"/>
      <c r="G176" s="34"/>
      <c r="H176" s="34"/>
      <c r="I176" s="34"/>
      <c r="J176" s="34"/>
      <c r="K176" s="40"/>
      <c r="L176" s="34"/>
      <c r="M176" s="34"/>
      <c r="N176" s="34"/>
      <c r="O176" s="34"/>
      <c r="P176" s="40"/>
      <c r="Q176" s="34"/>
      <c r="R176" s="34"/>
      <c r="S176" s="34"/>
      <c r="T176" s="34"/>
      <c r="U176" s="40"/>
      <c r="V176" s="34"/>
      <c r="W176" s="34"/>
      <c r="X176" s="34"/>
      <c r="Y176" s="34"/>
      <c r="Z176" s="40"/>
      <c r="AA176" s="34"/>
      <c r="AB176" s="38"/>
      <c r="AC176" s="38"/>
    </row>
    <row r="177" spans="2:29" x14ac:dyDescent="0.25">
      <c r="B177" s="34"/>
      <c r="C177" s="34"/>
      <c r="D177" s="34"/>
      <c r="E177" s="34"/>
      <c r="F177" s="40"/>
      <c r="G177" s="34"/>
      <c r="H177" s="34"/>
      <c r="I177" s="34"/>
      <c r="J177" s="34"/>
      <c r="K177" s="40"/>
      <c r="L177" s="34"/>
      <c r="M177" s="34"/>
      <c r="N177" s="34"/>
      <c r="O177" s="34"/>
      <c r="P177" s="40"/>
      <c r="Q177" s="34"/>
      <c r="R177" s="34"/>
      <c r="S177" s="34"/>
      <c r="T177" s="34"/>
      <c r="U177" s="40"/>
      <c r="V177" s="34"/>
      <c r="W177" s="34"/>
      <c r="X177" s="34"/>
      <c r="Y177" s="34"/>
      <c r="Z177" s="40"/>
      <c r="AA177" s="34"/>
      <c r="AB177" s="38"/>
      <c r="AC177" s="38"/>
    </row>
    <row r="178" spans="2:29" x14ac:dyDescent="0.25">
      <c r="B178" s="34"/>
      <c r="C178" s="34"/>
      <c r="D178" s="34"/>
      <c r="E178" s="34"/>
      <c r="F178" s="40"/>
      <c r="G178" s="34"/>
      <c r="H178" s="34"/>
      <c r="I178" s="34"/>
      <c r="J178" s="34"/>
      <c r="K178" s="40"/>
      <c r="L178" s="34"/>
      <c r="M178" s="34"/>
      <c r="N178" s="34"/>
      <c r="O178" s="34"/>
      <c r="P178" s="40"/>
      <c r="Q178" s="34"/>
      <c r="R178" s="34"/>
      <c r="S178" s="34"/>
      <c r="T178" s="34"/>
      <c r="U178" s="40"/>
      <c r="V178" s="34"/>
      <c r="W178" s="34"/>
      <c r="X178" s="34"/>
      <c r="Y178" s="34"/>
      <c r="Z178" s="40"/>
      <c r="AA178" s="34"/>
      <c r="AB178" s="38"/>
      <c r="AC178" s="38"/>
    </row>
    <row r="179" spans="2:29" x14ac:dyDescent="0.25">
      <c r="B179" s="34"/>
      <c r="C179" s="34"/>
      <c r="D179" s="34"/>
      <c r="E179" s="34"/>
      <c r="F179" s="40"/>
      <c r="G179" s="34"/>
      <c r="H179" s="34"/>
      <c r="I179" s="34"/>
      <c r="J179" s="34"/>
      <c r="K179" s="40"/>
      <c r="L179" s="34"/>
      <c r="M179" s="34"/>
      <c r="N179" s="34"/>
      <c r="O179" s="34"/>
      <c r="P179" s="40"/>
      <c r="Q179" s="34"/>
      <c r="R179" s="34"/>
      <c r="S179" s="34"/>
      <c r="T179" s="34"/>
      <c r="U179" s="40"/>
      <c r="V179" s="34"/>
      <c r="W179" s="34"/>
      <c r="X179" s="34"/>
      <c r="Y179" s="34"/>
      <c r="Z179" s="40"/>
      <c r="AA179" s="34"/>
      <c r="AB179" s="38"/>
      <c r="AC179" s="38"/>
    </row>
    <row r="180" spans="2:29" x14ac:dyDescent="0.25">
      <c r="B180" s="34"/>
      <c r="C180" s="34"/>
      <c r="D180" s="34"/>
      <c r="E180" s="34"/>
      <c r="F180" s="40"/>
      <c r="G180" s="34"/>
      <c r="H180" s="34"/>
      <c r="I180" s="34"/>
      <c r="J180" s="34"/>
      <c r="K180" s="40"/>
      <c r="L180" s="34"/>
      <c r="M180" s="34"/>
      <c r="N180" s="34"/>
      <c r="O180" s="34"/>
      <c r="P180" s="40"/>
      <c r="Q180" s="34"/>
      <c r="R180" s="34"/>
      <c r="S180" s="34"/>
      <c r="T180" s="34"/>
      <c r="U180" s="40"/>
      <c r="V180" s="34"/>
      <c r="W180" s="34"/>
      <c r="X180" s="34"/>
      <c r="Y180" s="34"/>
      <c r="Z180" s="40"/>
      <c r="AA180" s="34"/>
      <c r="AB180" s="38"/>
      <c r="AC180" s="38"/>
    </row>
    <row r="181" spans="2:29" x14ac:dyDescent="0.25">
      <c r="B181" s="34"/>
      <c r="C181" s="34"/>
      <c r="D181" s="34"/>
      <c r="E181" s="34"/>
      <c r="F181" s="40"/>
      <c r="G181" s="34"/>
      <c r="H181" s="34"/>
      <c r="I181" s="34"/>
      <c r="J181" s="34"/>
      <c r="K181" s="40"/>
      <c r="L181" s="34"/>
      <c r="M181" s="34"/>
      <c r="N181" s="34"/>
      <c r="O181" s="34"/>
      <c r="P181" s="40"/>
      <c r="Q181" s="34"/>
      <c r="R181" s="34"/>
      <c r="S181" s="34"/>
      <c r="T181" s="34"/>
      <c r="U181" s="40"/>
      <c r="V181" s="34"/>
      <c r="W181" s="34"/>
      <c r="X181" s="34"/>
      <c r="Y181" s="34"/>
      <c r="Z181" s="40"/>
      <c r="AA181" s="34"/>
      <c r="AB181" s="38"/>
      <c r="AC181" s="38"/>
    </row>
    <row r="182" spans="2:29" x14ac:dyDescent="0.25">
      <c r="B182" s="34"/>
      <c r="C182" s="34"/>
      <c r="D182" s="34"/>
      <c r="E182" s="34"/>
      <c r="F182" s="40"/>
      <c r="G182" s="34"/>
      <c r="H182" s="34"/>
      <c r="I182" s="34"/>
      <c r="J182" s="34"/>
      <c r="K182" s="40"/>
      <c r="L182" s="34"/>
      <c r="M182" s="34"/>
      <c r="N182" s="34"/>
      <c r="O182" s="34"/>
      <c r="P182" s="40"/>
      <c r="Q182" s="34"/>
      <c r="R182" s="34"/>
      <c r="S182" s="34"/>
      <c r="T182" s="34"/>
      <c r="U182" s="40"/>
      <c r="V182" s="34"/>
      <c r="W182" s="34"/>
      <c r="X182" s="34"/>
      <c r="Y182" s="34"/>
      <c r="Z182" s="40"/>
      <c r="AA182" s="34"/>
      <c r="AB182" s="38"/>
      <c r="AC182" s="38"/>
    </row>
    <row r="183" spans="2:29" x14ac:dyDescent="0.25">
      <c r="B183" s="34"/>
      <c r="C183" s="34"/>
      <c r="D183" s="34"/>
      <c r="E183" s="34"/>
      <c r="F183" s="40"/>
      <c r="G183" s="34"/>
      <c r="H183" s="34"/>
      <c r="I183" s="34"/>
      <c r="J183" s="34"/>
      <c r="K183" s="40"/>
      <c r="L183" s="34"/>
      <c r="M183" s="34"/>
      <c r="N183" s="34"/>
      <c r="O183" s="34"/>
      <c r="P183" s="40"/>
      <c r="Q183" s="34"/>
      <c r="R183" s="34"/>
      <c r="S183" s="34"/>
      <c r="T183" s="34"/>
      <c r="U183" s="40"/>
      <c r="V183" s="34"/>
      <c r="W183" s="34"/>
      <c r="X183" s="34"/>
      <c r="Y183" s="34"/>
      <c r="Z183" s="40"/>
      <c r="AA183" s="34"/>
      <c r="AB183" s="38"/>
      <c r="AC183" s="38"/>
    </row>
    <row r="184" spans="2:29" x14ac:dyDescent="0.25">
      <c r="B184" s="34"/>
      <c r="C184" s="34"/>
      <c r="D184" s="34"/>
      <c r="E184" s="34"/>
      <c r="F184" s="40"/>
      <c r="G184" s="34"/>
      <c r="H184" s="34"/>
      <c r="I184" s="34"/>
      <c r="J184" s="34"/>
      <c r="K184" s="40"/>
      <c r="L184" s="34"/>
      <c r="M184" s="34"/>
      <c r="N184" s="34"/>
      <c r="O184" s="34"/>
      <c r="P184" s="40"/>
      <c r="Q184" s="34"/>
      <c r="R184" s="34"/>
      <c r="S184" s="34"/>
      <c r="T184" s="34"/>
      <c r="U184" s="40"/>
      <c r="V184" s="34"/>
      <c r="W184" s="34"/>
      <c r="X184" s="34"/>
      <c r="Y184" s="34"/>
      <c r="Z184" s="40"/>
      <c r="AA184" s="34"/>
      <c r="AB184" s="38"/>
      <c r="AC184" s="38"/>
    </row>
    <row r="185" spans="2:29" x14ac:dyDescent="0.25">
      <c r="B185" s="34"/>
      <c r="C185" s="34"/>
      <c r="D185" s="34"/>
      <c r="E185" s="34"/>
      <c r="F185" s="40"/>
      <c r="G185" s="34"/>
      <c r="H185" s="34"/>
      <c r="I185" s="34"/>
      <c r="J185" s="34"/>
      <c r="K185" s="40"/>
      <c r="L185" s="34"/>
      <c r="M185" s="34"/>
      <c r="N185" s="34"/>
      <c r="O185" s="34"/>
      <c r="P185" s="40"/>
      <c r="Q185" s="34"/>
      <c r="R185" s="34"/>
      <c r="S185" s="34"/>
      <c r="T185" s="34"/>
      <c r="U185" s="40"/>
      <c r="V185" s="34"/>
      <c r="W185" s="34"/>
      <c r="X185" s="34"/>
      <c r="Y185" s="34"/>
      <c r="Z185" s="40"/>
      <c r="AA185" s="34"/>
      <c r="AB185" s="38"/>
      <c r="AC185" s="38"/>
    </row>
    <row r="186" spans="2:29" x14ac:dyDescent="0.25">
      <c r="B186" s="34"/>
      <c r="C186" s="34"/>
      <c r="D186" s="34"/>
      <c r="E186" s="34"/>
      <c r="F186" s="40"/>
      <c r="G186" s="34"/>
      <c r="H186" s="34"/>
      <c r="I186" s="34"/>
      <c r="J186" s="34"/>
      <c r="K186" s="40"/>
      <c r="L186" s="34"/>
      <c r="M186" s="34"/>
      <c r="N186" s="34"/>
      <c r="O186" s="34"/>
      <c r="P186" s="40"/>
      <c r="Q186" s="34"/>
      <c r="R186" s="34"/>
      <c r="S186" s="34"/>
      <c r="T186" s="34"/>
      <c r="U186" s="40"/>
      <c r="V186" s="34"/>
      <c r="W186" s="34"/>
      <c r="X186" s="34"/>
      <c r="Y186" s="34"/>
      <c r="Z186" s="40"/>
      <c r="AA186" s="34"/>
      <c r="AB186" s="38"/>
      <c r="AC186" s="38"/>
    </row>
    <row r="187" spans="2:29" x14ac:dyDescent="0.25">
      <c r="B187" s="34"/>
      <c r="C187" s="34"/>
      <c r="D187" s="34"/>
      <c r="E187" s="34"/>
      <c r="F187" s="40"/>
      <c r="G187" s="34"/>
      <c r="H187" s="34"/>
      <c r="I187" s="34"/>
      <c r="J187" s="34"/>
      <c r="K187" s="40"/>
      <c r="L187" s="34"/>
      <c r="M187" s="34"/>
      <c r="N187" s="34"/>
      <c r="O187" s="34"/>
      <c r="P187" s="40"/>
      <c r="Q187" s="34"/>
      <c r="R187" s="34"/>
      <c r="S187" s="34"/>
      <c r="T187" s="34"/>
      <c r="U187" s="40"/>
      <c r="V187" s="34"/>
      <c r="W187" s="34"/>
      <c r="X187" s="34"/>
      <c r="Y187" s="34"/>
      <c r="Z187" s="40"/>
      <c r="AA187" s="34"/>
      <c r="AB187" s="38"/>
      <c r="AC187" s="38"/>
    </row>
    <row r="188" spans="2:29" x14ac:dyDescent="0.25">
      <c r="B188" s="34"/>
      <c r="C188" s="34"/>
      <c r="D188" s="34"/>
      <c r="E188" s="34"/>
      <c r="F188" s="40"/>
      <c r="G188" s="34"/>
      <c r="H188" s="34"/>
      <c r="I188" s="34"/>
      <c r="J188" s="34"/>
      <c r="K188" s="40"/>
      <c r="L188" s="34"/>
      <c r="M188" s="34"/>
      <c r="N188" s="34"/>
      <c r="O188" s="34"/>
      <c r="P188" s="40"/>
      <c r="Q188" s="34"/>
      <c r="R188" s="34"/>
      <c r="S188" s="34"/>
      <c r="T188" s="34"/>
      <c r="U188" s="40"/>
      <c r="V188" s="34"/>
      <c r="W188" s="34"/>
      <c r="X188" s="34"/>
      <c r="Y188" s="34"/>
      <c r="Z188" s="40"/>
      <c r="AA188" s="34"/>
      <c r="AB188" s="38"/>
      <c r="AC188" s="38"/>
    </row>
    <row r="189" spans="2:29" x14ac:dyDescent="0.25">
      <c r="B189" s="34"/>
      <c r="C189" s="34"/>
      <c r="D189" s="34"/>
      <c r="E189" s="34"/>
      <c r="F189" s="40"/>
      <c r="G189" s="34"/>
      <c r="H189" s="34"/>
      <c r="I189" s="34"/>
      <c r="J189" s="34"/>
      <c r="K189" s="40"/>
      <c r="L189" s="34"/>
      <c r="M189" s="34"/>
      <c r="N189" s="34"/>
      <c r="O189" s="34"/>
      <c r="P189" s="40"/>
      <c r="Q189" s="34"/>
      <c r="R189" s="34"/>
      <c r="S189" s="34"/>
      <c r="T189" s="34"/>
      <c r="U189" s="40"/>
      <c r="V189" s="34"/>
      <c r="W189" s="34"/>
      <c r="X189" s="34"/>
      <c r="Y189" s="34"/>
      <c r="Z189" s="40"/>
      <c r="AA189" s="34"/>
      <c r="AB189" s="38"/>
      <c r="AC189" s="38"/>
    </row>
    <row r="190" spans="2:29" x14ac:dyDescent="0.25">
      <c r="B190" s="34"/>
      <c r="C190" s="34"/>
      <c r="D190" s="34"/>
      <c r="E190" s="34"/>
      <c r="F190" s="40"/>
      <c r="G190" s="34"/>
      <c r="H190" s="34"/>
      <c r="I190" s="34"/>
      <c r="J190" s="34"/>
      <c r="K190" s="40"/>
      <c r="L190" s="34"/>
      <c r="M190" s="34"/>
      <c r="N190" s="34"/>
      <c r="O190" s="34"/>
      <c r="P190" s="40"/>
      <c r="Q190" s="34"/>
      <c r="R190" s="34"/>
      <c r="S190" s="34"/>
      <c r="T190" s="34"/>
      <c r="U190" s="40"/>
      <c r="V190" s="34"/>
      <c r="W190" s="34"/>
      <c r="X190" s="34"/>
      <c r="Y190" s="34"/>
      <c r="Z190" s="40"/>
      <c r="AA190" s="34"/>
      <c r="AB190" s="38"/>
      <c r="AC190" s="38"/>
    </row>
    <row r="191" spans="2:29" x14ac:dyDescent="0.25">
      <c r="B191" s="34"/>
      <c r="C191" s="34"/>
      <c r="D191" s="34"/>
      <c r="E191" s="34"/>
      <c r="F191" s="40"/>
      <c r="G191" s="34"/>
      <c r="H191" s="34"/>
      <c r="I191" s="34"/>
      <c r="J191" s="34"/>
      <c r="K191" s="40"/>
      <c r="L191" s="34"/>
      <c r="M191" s="34"/>
      <c r="N191" s="34"/>
      <c r="O191" s="34"/>
      <c r="P191" s="40"/>
      <c r="Q191" s="34"/>
      <c r="R191" s="34"/>
      <c r="S191" s="34"/>
      <c r="T191" s="34"/>
      <c r="U191" s="40"/>
      <c r="V191" s="34"/>
      <c r="W191" s="34"/>
      <c r="X191" s="34"/>
      <c r="Y191" s="34"/>
      <c r="Z191" s="40"/>
      <c r="AA191" s="34"/>
      <c r="AB191" s="38"/>
      <c r="AC191" s="38"/>
    </row>
    <row r="192" spans="2:29" x14ac:dyDescent="0.25">
      <c r="B192" s="34"/>
      <c r="C192" s="34"/>
      <c r="D192" s="34"/>
      <c r="E192" s="34"/>
      <c r="F192" s="40"/>
      <c r="G192" s="34"/>
      <c r="H192" s="34"/>
      <c r="I192" s="34"/>
      <c r="J192" s="34"/>
      <c r="K192" s="40"/>
      <c r="L192" s="34"/>
      <c r="M192" s="34"/>
      <c r="N192" s="34"/>
      <c r="O192" s="34"/>
      <c r="P192" s="40"/>
      <c r="Q192" s="34"/>
      <c r="R192" s="34"/>
      <c r="S192" s="34"/>
      <c r="T192" s="34"/>
      <c r="U192" s="40"/>
      <c r="V192" s="34"/>
      <c r="W192" s="34"/>
      <c r="X192" s="34"/>
      <c r="Y192" s="34"/>
      <c r="Z192" s="40"/>
      <c r="AA192" s="34"/>
      <c r="AB192" s="38"/>
      <c r="AC192" s="38"/>
    </row>
    <row r="193" spans="2:29" x14ac:dyDescent="0.25">
      <c r="B193" s="34"/>
      <c r="C193" s="34"/>
      <c r="D193" s="34"/>
      <c r="E193" s="34"/>
      <c r="F193" s="40"/>
      <c r="G193" s="34"/>
      <c r="H193" s="34"/>
      <c r="I193" s="34"/>
      <c r="J193" s="34"/>
      <c r="K193" s="40"/>
      <c r="L193" s="34"/>
      <c r="M193" s="34"/>
      <c r="N193" s="34"/>
      <c r="O193" s="34"/>
      <c r="P193" s="40"/>
      <c r="Q193" s="34"/>
      <c r="R193" s="34"/>
      <c r="S193" s="34"/>
      <c r="T193" s="34"/>
      <c r="U193" s="40"/>
      <c r="V193" s="34"/>
      <c r="W193" s="34"/>
      <c r="X193" s="34"/>
      <c r="Y193" s="34"/>
      <c r="Z193" s="40"/>
      <c r="AA193" s="34"/>
      <c r="AB193" s="38"/>
      <c r="AC193" s="38"/>
    </row>
    <row r="194" spans="2:29" x14ac:dyDescent="0.25">
      <c r="B194" s="34"/>
      <c r="C194" s="34"/>
      <c r="D194" s="34"/>
      <c r="E194" s="34"/>
      <c r="F194" s="40"/>
      <c r="G194" s="34"/>
      <c r="H194" s="34"/>
      <c r="I194" s="34"/>
      <c r="J194" s="34"/>
      <c r="K194" s="40"/>
      <c r="L194" s="34"/>
      <c r="M194" s="34"/>
      <c r="N194" s="34"/>
      <c r="O194" s="34"/>
      <c r="P194" s="40"/>
      <c r="Q194" s="34"/>
      <c r="R194" s="34"/>
      <c r="S194" s="34"/>
      <c r="T194" s="34"/>
      <c r="U194" s="40"/>
      <c r="V194" s="34"/>
      <c r="W194" s="34"/>
      <c r="X194" s="34"/>
      <c r="Y194" s="34"/>
      <c r="Z194" s="40"/>
      <c r="AA194" s="34"/>
      <c r="AB194" s="38"/>
      <c r="AC194" s="38"/>
    </row>
    <row r="195" spans="2:29" x14ac:dyDescent="0.25">
      <c r="B195" s="34"/>
      <c r="C195" s="34"/>
      <c r="D195" s="34"/>
      <c r="E195" s="34"/>
      <c r="F195" s="40"/>
      <c r="G195" s="34"/>
      <c r="H195" s="34"/>
      <c r="I195" s="34"/>
      <c r="J195" s="34"/>
      <c r="K195" s="40"/>
      <c r="L195" s="34"/>
      <c r="M195" s="34"/>
      <c r="N195" s="34"/>
      <c r="O195" s="34"/>
      <c r="P195" s="40"/>
      <c r="Q195" s="34"/>
      <c r="R195" s="34"/>
      <c r="S195" s="34"/>
      <c r="T195" s="34"/>
      <c r="U195" s="40"/>
      <c r="V195" s="34"/>
      <c r="W195" s="34"/>
      <c r="X195" s="34"/>
      <c r="Y195" s="34"/>
      <c r="Z195" s="40"/>
      <c r="AA195" s="34"/>
      <c r="AB195" s="38"/>
      <c r="AC195" s="38"/>
    </row>
    <row r="196" spans="2:29" x14ac:dyDescent="0.25">
      <c r="B196" s="34"/>
      <c r="C196" s="34"/>
      <c r="D196" s="34"/>
      <c r="E196" s="34"/>
      <c r="F196" s="40"/>
      <c r="G196" s="34"/>
      <c r="H196" s="34"/>
      <c r="I196" s="34"/>
      <c r="J196" s="34"/>
      <c r="K196" s="40"/>
      <c r="L196" s="34"/>
      <c r="M196" s="34"/>
      <c r="N196" s="34"/>
      <c r="O196" s="34"/>
      <c r="P196" s="40"/>
      <c r="Q196" s="34"/>
      <c r="R196" s="34"/>
      <c r="S196" s="34"/>
      <c r="T196" s="34"/>
      <c r="U196" s="40"/>
      <c r="V196" s="34"/>
      <c r="W196" s="34"/>
      <c r="X196" s="34"/>
      <c r="Y196" s="34"/>
      <c r="Z196" s="40"/>
      <c r="AA196" s="34"/>
      <c r="AB196" s="38"/>
      <c r="AC196" s="38"/>
    </row>
    <row r="197" spans="2:29" x14ac:dyDescent="0.25">
      <c r="B197" s="34"/>
      <c r="C197" s="34"/>
      <c r="D197" s="34"/>
      <c r="E197" s="34"/>
      <c r="F197" s="40"/>
      <c r="G197" s="34"/>
      <c r="H197" s="34"/>
      <c r="I197" s="34"/>
      <c r="J197" s="34"/>
      <c r="K197" s="40"/>
      <c r="L197" s="34"/>
      <c r="M197" s="34"/>
      <c r="N197" s="34"/>
      <c r="O197" s="34"/>
      <c r="P197" s="40"/>
      <c r="Q197" s="34"/>
      <c r="R197" s="34"/>
      <c r="S197" s="34"/>
      <c r="T197" s="34"/>
      <c r="U197" s="40"/>
      <c r="V197" s="34"/>
      <c r="W197" s="34"/>
      <c r="X197" s="34"/>
      <c r="Y197" s="34"/>
      <c r="Z197" s="40"/>
      <c r="AA197" s="34"/>
      <c r="AB197" s="38"/>
      <c r="AC197" s="38"/>
    </row>
    <row r="198" spans="2:29" x14ac:dyDescent="0.25">
      <c r="B198" s="34"/>
      <c r="C198" s="34"/>
      <c r="D198" s="34"/>
      <c r="E198" s="34"/>
      <c r="F198" s="40"/>
      <c r="G198" s="34"/>
      <c r="H198" s="34"/>
      <c r="I198" s="34"/>
      <c r="J198" s="34"/>
      <c r="K198" s="40"/>
      <c r="L198" s="34"/>
      <c r="M198" s="34"/>
      <c r="N198" s="34"/>
      <c r="O198" s="34"/>
      <c r="P198" s="40"/>
      <c r="Q198" s="34"/>
      <c r="R198" s="34"/>
      <c r="S198" s="34"/>
      <c r="T198" s="34"/>
      <c r="U198" s="40"/>
      <c r="V198" s="34"/>
      <c r="W198" s="34"/>
      <c r="X198" s="34"/>
      <c r="Y198" s="34"/>
      <c r="Z198" s="40"/>
      <c r="AA198" s="34"/>
      <c r="AB198" s="38"/>
      <c r="AC198" s="38"/>
    </row>
    <row r="199" spans="2:29" x14ac:dyDescent="0.25">
      <c r="B199" s="34"/>
      <c r="C199" s="34"/>
      <c r="D199" s="34"/>
      <c r="E199" s="34"/>
      <c r="F199" s="40"/>
      <c r="G199" s="34"/>
      <c r="H199" s="34"/>
      <c r="I199" s="34"/>
      <c r="J199" s="34"/>
      <c r="K199" s="40"/>
      <c r="L199" s="34"/>
      <c r="M199" s="34"/>
      <c r="N199" s="34"/>
      <c r="O199" s="34"/>
      <c r="P199" s="40"/>
      <c r="Q199" s="34"/>
      <c r="R199" s="34"/>
      <c r="S199" s="34"/>
      <c r="T199" s="34"/>
      <c r="U199" s="40"/>
      <c r="V199" s="34"/>
      <c r="W199" s="34"/>
      <c r="X199" s="34"/>
      <c r="Y199" s="34"/>
      <c r="Z199" s="40"/>
      <c r="AA199" s="34"/>
      <c r="AB199" s="38"/>
      <c r="AC199" s="38"/>
    </row>
    <row r="200" spans="2:29" x14ac:dyDescent="0.25">
      <c r="B200" s="34"/>
      <c r="C200" s="34"/>
      <c r="D200" s="34"/>
      <c r="E200" s="34"/>
      <c r="F200" s="40"/>
      <c r="G200" s="34"/>
      <c r="H200" s="34"/>
      <c r="I200" s="34"/>
      <c r="J200" s="34"/>
      <c r="K200" s="40"/>
      <c r="L200" s="34"/>
      <c r="M200" s="34"/>
      <c r="N200" s="34"/>
      <c r="O200" s="34"/>
      <c r="P200" s="40"/>
      <c r="Q200" s="34"/>
      <c r="R200" s="34"/>
      <c r="S200" s="34"/>
      <c r="T200" s="34"/>
      <c r="U200" s="40"/>
      <c r="V200" s="34"/>
      <c r="W200" s="34"/>
      <c r="X200" s="34"/>
      <c r="Y200" s="34"/>
      <c r="Z200" s="40"/>
      <c r="AA200" s="34"/>
      <c r="AB200" s="38"/>
      <c r="AC200" s="38"/>
    </row>
    <row r="201" spans="2:29" x14ac:dyDescent="0.25">
      <c r="B201" s="34"/>
      <c r="C201" s="34"/>
      <c r="D201" s="34"/>
      <c r="E201" s="34"/>
      <c r="F201" s="40"/>
      <c r="G201" s="34"/>
      <c r="H201" s="34"/>
      <c r="I201" s="34"/>
      <c r="J201" s="34"/>
      <c r="K201" s="40"/>
      <c r="L201" s="34"/>
      <c r="M201" s="34"/>
      <c r="N201" s="34"/>
      <c r="O201" s="34"/>
      <c r="P201" s="40"/>
      <c r="Q201" s="34"/>
      <c r="R201" s="34"/>
      <c r="S201" s="34"/>
      <c r="T201" s="34"/>
      <c r="U201" s="40"/>
      <c r="V201" s="34"/>
      <c r="W201" s="34"/>
      <c r="X201" s="34"/>
      <c r="Y201" s="34"/>
      <c r="Z201" s="40"/>
      <c r="AA201" s="34"/>
      <c r="AB201" s="38"/>
      <c r="AC201" s="38"/>
    </row>
    <row r="202" spans="2:29" x14ac:dyDescent="0.25">
      <c r="B202" s="34"/>
      <c r="C202" s="34"/>
      <c r="D202" s="34"/>
      <c r="E202" s="34"/>
      <c r="F202" s="40"/>
      <c r="G202" s="34"/>
      <c r="H202" s="34"/>
      <c r="I202" s="34"/>
      <c r="J202" s="34"/>
      <c r="K202" s="40"/>
      <c r="L202" s="34"/>
      <c r="M202" s="34"/>
      <c r="N202" s="34"/>
      <c r="O202" s="34"/>
      <c r="P202" s="40"/>
      <c r="Q202" s="34"/>
      <c r="R202" s="34"/>
      <c r="S202" s="34"/>
      <c r="T202" s="34"/>
      <c r="U202" s="40"/>
      <c r="V202" s="34"/>
      <c r="W202" s="34"/>
      <c r="X202" s="34"/>
      <c r="Y202" s="34"/>
      <c r="Z202" s="40"/>
      <c r="AA202" s="34"/>
      <c r="AB202" s="38"/>
      <c r="AC202" s="38"/>
    </row>
    <row r="203" spans="2:29" x14ac:dyDescent="0.25">
      <c r="B203" s="34"/>
      <c r="C203" s="34"/>
      <c r="D203" s="34"/>
      <c r="E203" s="34"/>
      <c r="F203" s="40"/>
      <c r="G203" s="34"/>
      <c r="H203" s="34"/>
      <c r="I203" s="34"/>
      <c r="J203" s="34"/>
      <c r="K203" s="40"/>
      <c r="L203" s="34"/>
      <c r="M203" s="34"/>
      <c r="N203" s="34"/>
      <c r="O203" s="34"/>
      <c r="P203" s="40"/>
      <c r="Q203" s="34"/>
      <c r="R203" s="34"/>
      <c r="S203" s="34"/>
      <c r="T203" s="34"/>
      <c r="U203" s="40"/>
      <c r="V203" s="34"/>
      <c r="W203" s="34"/>
      <c r="X203" s="34"/>
      <c r="Y203" s="34"/>
      <c r="Z203" s="40"/>
      <c r="AA203" s="34"/>
      <c r="AB203" s="38"/>
      <c r="AC203" s="38"/>
    </row>
    <row r="204" spans="2:29" x14ac:dyDescent="0.25">
      <c r="B204" s="34"/>
      <c r="C204" s="34"/>
      <c r="D204" s="34"/>
      <c r="E204" s="34"/>
      <c r="F204" s="40"/>
      <c r="G204" s="34"/>
      <c r="H204" s="34"/>
      <c r="I204" s="34"/>
      <c r="J204" s="34"/>
      <c r="K204" s="40"/>
      <c r="L204" s="34"/>
      <c r="M204" s="34"/>
      <c r="N204" s="34"/>
      <c r="O204" s="34"/>
      <c r="P204" s="40"/>
      <c r="Q204" s="34"/>
      <c r="R204" s="34"/>
      <c r="S204" s="34"/>
      <c r="T204" s="34"/>
      <c r="U204" s="40"/>
      <c r="V204" s="34"/>
      <c r="W204" s="34"/>
      <c r="X204" s="34"/>
      <c r="Y204" s="34"/>
      <c r="Z204" s="40"/>
      <c r="AA204" s="34"/>
      <c r="AB204" s="38"/>
      <c r="AC204" s="38"/>
    </row>
    <row r="205" spans="2:29" x14ac:dyDescent="0.25">
      <c r="B205" s="34"/>
      <c r="C205" s="34"/>
      <c r="D205" s="34"/>
      <c r="E205" s="34"/>
      <c r="F205" s="40"/>
      <c r="G205" s="34"/>
      <c r="H205" s="34"/>
      <c r="I205" s="34"/>
      <c r="J205" s="34"/>
      <c r="K205" s="40"/>
      <c r="L205" s="34"/>
      <c r="M205" s="34"/>
      <c r="N205" s="34"/>
      <c r="O205" s="34"/>
      <c r="P205" s="40"/>
      <c r="Q205" s="34"/>
      <c r="R205" s="34"/>
      <c r="S205" s="34"/>
      <c r="T205" s="34"/>
      <c r="U205" s="40"/>
      <c r="V205" s="34"/>
      <c r="W205" s="34"/>
      <c r="X205" s="34"/>
      <c r="Y205" s="34"/>
      <c r="Z205" s="40"/>
      <c r="AA205" s="34"/>
      <c r="AB205" s="38"/>
      <c r="AC205" s="38"/>
    </row>
    <row r="206" spans="2:29" x14ac:dyDescent="0.25">
      <c r="B206" s="34"/>
      <c r="C206" s="34"/>
      <c r="D206" s="34"/>
      <c r="E206" s="34"/>
      <c r="F206" s="40"/>
      <c r="G206" s="34"/>
      <c r="H206" s="34"/>
      <c r="I206" s="34"/>
      <c r="J206" s="34"/>
      <c r="K206" s="40"/>
      <c r="L206" s="34"/>
      <c r="M206" s="34"/>
      <c r="N206" s="34"/>
      <c r="O206" s="34"/>
      <c r="P206" s="40"/>
      <c r="Q206" s="34"/>
      <c r="R206" s="34"/>
      <c r="S206" s="34"/>
      <c r="T206" s="34"/>
      <c r="U206" s="40"/>
      <c r="V206" s="34"/>
      <c r="W206" s="34"/>
      <c r="X206" s="34"/>
      <c r="Y206" s="34"/>
      <c r="Z206" s="40"/>
      <c r="AA206" s="34"/>
      <c r="AB206" s="38"/>
      <c r="AC206" s="38"/>
    </row>
    <row r="207" spans="2:29" x14ac:dyDescent="0.25">
      <c r="B207" s="34"/>
      <c r="C207" s="34"/>
      <c r="D207" s="34"/>
      <c r="E207" s="34"/>
      <c r="F207" s="40"/>
      <c r="G207" s="34"/>
      <c r="H207" s="34"/>
      <c r="I207" s="34"/>
      <c r="J207" s="34"/>
      <c r="K207" s="40"/>
      <c r="L207" s="34"/>
      <c r="M207" s="34"/>
      <c r="N207" s="34"/>
      <c r="O207" s="34"/>
      <c r="P207" s="40"/>
      <c r="Q207" s="34"/>
      <c r="R207" s="34"/>
      <c r="S207" s="34"/>
      <c r="T207" s="34"/>
      <c r="U207" s="40"/>
      <c r="V207" s="34"/>
      <c r="W207" s="34"/>
      <c r="X207" s="34"/>
      <c r="Y207" s="34"/>
      <c r="Z207" s="40"/>
      <c r="AA207" s="34"/>
      <c r="AB207" s="38"/>
      <c r="AC207" s="38"/>
    </row>
    <row r="208" spans="2:29" x14ac:dyDescent="0.25">
      <c r="B208" s="34"/>
      <c r="C208" s="34"/>
      <c r="D208" s="34"/>
      <c r="E208" s="34"/>
      <c r="F208" s="40"/>
      <c r="G208" s="34"/>
      <c r="H208" s="34"/>
      <c r="I208" s="34"/>
      <c r="J208" s="34"/>
      <c r="K208" s="40"/>
      <c r="L208" s="34"/>
      <c r="M208" s="34"/>
      <c r="N208" s="34"/>
      <c r="O208" s="34"/>
      <c r="P208" s="40"/>
      <c r="Q208" s="34"/>
      <c r="R208" s="34"/>
      <c r="S208" s="34"/>
      <c r="T208" s="34"/>
      <c r="U208" s="40"/>
      <c r="V208" s="34"/>
      <c r="W208" s="34"/>
      <c r="X208" s="34"/>
      <c r="Y208" s="34"/>
      <c r="Z208" s="40"/>
      <c r="AA208" s="34"/>
      <c r="AB208" s="38"/>
      <c r="AC208" s="38"/>
    </row>
    <row r="209" spans="2:29" x14ac:dyDescent="0.25">
      <c r="B209" s="34"/>
      <c r="C209" s="34"/>
      <c r="D209" s="34"/>
      <c r="E209" s="34"/>
      <c r="F209" s="40"/>
      <c r="G209" s="34"/>
      <c r="H209" s="34"/>
      <c r="I209" s="34"/>
      <c r="J209" s="34"/>
      <c r="K209" s="40"/>
      <c r="L209" s="34"/>
      <c r="M209" s="34"/>
      <c r="N209" s="34"/>
      <c r="O209" s="34"/>
      <c r="P209" s="40"/>
      <c r="Q209" s="34"/>
      <c r="R209" s="34"/>
      <c r="S209" s="34"/>
      <c r="T209" s="34"/>
      <c r="U209" s="40"/>
      <c r="V209" s="34"/>
      <c r="W209" s="34"/>
      <c r="X209" s="34"/>
      <c r="Y209" s="34"/>
      <c r="Z209" s="40"/>
      <c r="AA209" s="34"/>
      <c r="AB209" s="38"/>
      <c r="AC209" s="38"/>
    </row>
    <row r="210" spans="2:29" x14ac:dyDescent="0.25">
      <c r="B210" s="34"/>
      <c r="C210" s="34"/>
      <c r="D210" s="34"/>
      <c r="E210" s="34"/>
      <c r="F210" s="40"/>
      <c r="G210" s="34"/>
      <c r="H210" s="34"/>
      <c r="I210" s="34"/>
      <c r="J210" s="34"/>
      <c r="K210" s="40"/>
      <c r="L210" s="34"/>
      <c r="M210" s="34"/>
      <c r="N210" s="34"/>
      <c r="O210" s="34"/>
      <c r="P210" s="40"/>
      <c r="Q210" s="34"/>
      <c r="R210" s="34"/>
      <c r="S210" s="34"/>
      <c r="T210" s="34"/>
      <c r="U210" s="40"/>
      <c r="V210" s="34"/>
      <c r="W210" s="34"/>
      <c r="X210" s="34"/>
      <c r="Y210" s="34"/>
      <c r="Z210" s="40"/>
      <c r="AA210" s="34"/>
      <c r="AB210" s="38"/>
      <c r="AC210" s="38"/>
    </row>
    <row r="211" spans="2:29" x14ac:dyDescent="0.25">
      <c r="B211" s="34"/>
      <c r="C211" s="34"/>
      <c r="D211" s="34"/>
      <c r="E211" s="34"/>
      <c r="F211" s="40"/>
      <c r="G211" s="34"/>
      <c r="H211" s="34"/>
      <c r="I211" s="34"/>
      <c r="J211" s="34"/>
      <c r="K211" s="40"/>
      <c r="L211" s="34"/>
      <c r="M211" s="34"/>
      <c r="N211" s="34"/>
      <c r="O211" s="34"/>
      <c r="P211" s="40"/>
      <c r="Q211" s="34"/>
      <c r="R211" s="34"/>
      <c r="S211" s="34"/>
      <c r="T211" s="34"/>
      <c r="U211" s="40"/>
      <c r="V211" s="34"/>
      <c r="W211" s="34"/>
      <c r="X211" s="34"/>
      <c r="Y211" s="34"/>
      <c r="Z211" s="40"/>
      <c r="AA211" s="34"/>
      <c r="AB211" s="34"/>
      <c r="AC211" s="34"/>
    </row>
    <row r="212" spans="2:29" x14ac:dyDescent="0.25">
      <c r="B212" s="34"/>
      <c r="C212" s="34"/>
      <c r="D212" s="34"/>
      <c r="E212" s="34"/>
      <c r="F212" s="40"/>
      <c r="G212" s="34"/>
      <c r="H212" s="34"/>
      <c r="I212" s="34"/>
      <c r="J212" s="34"/>
      <c r="K212" s="40"/>
      <c r="L212" s="34"/>
      <c r="M212" s="34"/>
      <c r="N212" s="34"/>
      <c r="O212" s="34"/>
      <c r="P212" s="40"/>
      <c r="Q212" s="34"/>
      <c r="R212" s="34"/>
      <c r="S212" s="34"/>
      <c r="T212" s="34"/>
      <c r="U212" s="40"/>
      <c r="V212" s="34"/>
      <c r="W212" s="34"/>
      <c r="X212" s="34"/>
      <c r="Y212" s="34"/>
      <c r="Z212" s="40"/>
      <c r="AA212" s="34"/>
      <c r="AB212" s="34"/>
      <c r="AC212" s="34"/>
    </row>
    <row r="213" spans="2:29" x14ac:dyDescent="0.25">
      <c r="B213" s="34"/>
      <c r="C213" s="34"/>
      <c r="D213" s="34"/>
      <c r="E213" s="34"/>
      <c r="F213" s="40"/>
      <c r="G213" s="34"/>
      <c r="H213" s="34"/>
      <c r="I213" s="34"/>
      <c r="J213" s="34"/>
      <c r="K213" s="40"/>
      <c r="L213" s="34"/>
      <c r="M213" s="34"/>
      <c r="N213" s="34"/>
      <c r="O213" s="34"/>
      <c r="P213" s="40"/>
      <c r="Q213" s="34"/>
      <c r="R213" s="34"/>
      <c r="S213" s="34"/>
      <c r="T213" s="34"/>
      <c r="U213" s="40"/>
      <c r="V213" s="34"/>
      <c r="W213" s="34"/>
      <c r="X213" s="34"/>
      <c r="Y213" s="34"/>
      <c r="Z213" s="40"/>
      <c r="AA213" s="34"/>
      <c r="AB213" s="34"/>
      <c r="AC213" s="34"/>
    </row>
    <row r="214" spans="2:29" x14ac:dyDescent="0.25">
      <c r="B214" s="34"/>
      <c r="C214" s="34"/>
      <c r="D214" s="34"/>
      <c r="E214" s="34"/>
      <c r="F214" s="40"/>
      <c r="G214" s="34"/>
      <c r="H214" s="34"/>
      <c r="I214" s="34"/>
      <c r="J214" s="34"/>
      <c r="K214" s="40"/>
      <c r="L214" s="34"/>
      <c r="M214" s="34"/>
      <c r="N214" s="34"/>
      <c r="O214" s="34"/>
      <c r="P214" s="40"/>
      <c r="Q214" s="34"/>
      <c r="R214" s="34"/>
      <c r="S214" s="34"/>
      <c r="T214" s="34"/>
      <c r="U214" s="40"/>
      <c r="V214" s="34"/>
      <c r="W214" s="34"/>
      <c r="X214" s="34"/>
      <c r="Y214" s="34"/>
      <c r="Z214" s="40"/>
      <c r="AA214" s="34"/>
      <c r="AB214" s="34"/>
      <c r="AC214" s="34"/>
    </row>
    <row r="215" spans="2:29" x14ac:dyDescent="0.25">
      <c r="B215" s="34"/>
      <c r="C215" s="34"/>
      <c r="D215" s="34"/>
      <c r="E215" s="34"/>
      <c r="F215" s="40"/>
      <c r="G215" s="34"/>
      <c r="H215" s="34"/>
      <c r="I215" s="34"/>
      <c r="J215" s="34"/>
      <c r="K215" s="40"/>
      <c r="L215" s="34"/>
      <c r="M215" s="34"/>
      <c r="N215" s="34"/>
      <c r="O215" s="34"/>
      <c r="P215" s="40"/>
      <c r="Q215" s="34"/>
      <c r="R215" s="34"/>
      <c r="S215" s="34"/>
      <c r="T215" s="34"/>
      <c r="U215" s="40"/>
      <c r="V215" s="34"/>
      <c r="W215" s="34"/>
      <c r="X215" s="34"/>
      <c r="Y215" s="34"/>
      <c r="Z215" s="40"/>
      <c r="AA215" s="34"/>
      <c r="AB215" s="34"/>
      <c r="AC215" s="34"/>
    </row>
    <row r="216" spans="2:29" x14ac:dyDescent="0.25">
      <c r="B216" s="34"/>
      <c r="C216" s="34"/>
      <c r="D216" s="34"/>
      <c r="E216" s="34"/>
      <c r="F216" s="40"/>
      <c r="G216" s="34"/>
      <c r="H216" s="34"/>
      <c r="I216" s="34"/>
      <c r="J216" s="34"/>
      <c r="K216" s="40"/>
      <c r="L216" s="34"/>
      <c r="M216" s="34"/>
      <c r="N216" s="34"/>
      <c r="O216" s="34"/>
      <c r="P216" s="40"/>
      <c r="Q216" s="34"/>
      <c r="R216" s="34"/>
      <c r="S216" s="34"/>
      <c r="T216" s="34"/>
      <c r="U216" s="40"/>
      <c r="V216" s="34"/>
      <c r="W216" s="34"/>
      <c r="X216" s="34"/>
      <c r="Y216" s="34"/>
      <c r="Z216" s="40"/>
      <c r="AA216" s="34"/>
      <c r="AB216" s="34"/>
      <c r="AC216" s="34"/>
    </row>
    <row r="217" spans="2:29" x14ac:dyDescent="0.25">
      <c r="B217" s="34"/>
      <c r="C217" s="34"/>
      <c r="D217" s="34"/>
      <c r="E217" s="34"/>
      <c r="F217" s="40"/>
      <c r="G217" s="34"/>
      <c r="H217" s="34"/>
      <c r="I217" s="34"/>
      <c r="J217" s="34"/>
      <c r="K217" s="40"/>
      <c r="L217" s="34"/>
      <c r="M217" s="34"/>
      <c r="N217" s="34"/>
      <c r="O217" s="34"/>
      <c r="P217" s="40"/>
      <c r="Q217" s="34"/>
      <c r="R217" s="34"/>
      <c r="S217" s="34"/>
      <c r="T217" s="34"/>
      <c r="U217" s="40"/>
      <c r="V217" s="34"/>
      <c r="W217" s="34"/>
      <c r="X217" s="34"/>
      <c r="Y217" s="34"/>
      <c r="Z217" s="40"/>
      <c r="AA217" s="34"/>
      <c r="AB217" s="34"/>
      <c r="AC217" s="34"/>
    </row>
    <row r="218" spans="2:29" x14ac:dyDescent="0.25">
      <c r="B218" s="34"/>
      <c r="C218" s="34"/>
      <c r="D218" s="34"/>
      <c r="E218" s="34"/>
      <c r="F218" s="40"/>
      <c r="G218" s="34"/>
      <c r="H218" s="34"/>
      <c r="I218" s="34"/>
      <c r="J218" s="34"/>
      <c r="K218" s="40"/>
      <c r="L218" s="34"/>
      <c r="M218" s="34"/>
      <c r="N218" s="34"/>
      <c r="O218" s="34"/>
      <c r="P218" s="40"/>
      <c r="Q218" s="34"/>
      <c r="R218" s="34"/>
      <c r="S218" s="34"/>
      <c r="T218" s="34"/>
      <c r="U218" s="40"/>
      <c r="V218" s="34"/>
      <c r="W218" s="34"/>
      <c r="X218" s="34"/>
      <c r="Y218" s="34"/>
      <c r="Z218" s="40"/>
      <c r="AA218" s="34"/>
      <c r="AB218" s="34"/>
      <c r="AC218" s="34"/>
    </row>
    <row r="219" spans="2:29" x14ac:dyDescent="0.25">
      <c r="B219" s="34"/>
      <c r="C219" s="34"/>
      <c r="D219" s="34"/>
      <c r="E219" s="34"/>
      <c r="F219" s="40"/>
      <c r="G219" s="34"/>
      <c r="H219" s="34"/>
      <c r="I219" s="34"/>
      <c r="J219" s="34"/>
      <c r="K219" s="40"/>
      <c r="L219" s="34"/>
      <c r="M219" s="34"/>
      <c r="N219" s="34"/>
      <c r="O219" s="34"/>
      <c r="P219" s="40"/>
      <c r="Q219" s="34"/>
      <c r="R219" s="34"/>
      <c r="S219" s="34"/>
      <c r="T219" s="34"/>
      <c r="U219" s="40"/>
      <c r="V219" s="34"/>
      <c r="W219" s="34"/>
      <c r="X219" s="34"/>
      <c r="Y219" s="34"/>
      <c r="Z219" s="40"/>
      <c r="AA219" s="34"/>
      <c r="AB219" s="34"/>
      <c r="AC219" s="34"/>
    </row>
    <row r="220" spans="2:29" x14ac:dyDescent="0.25">
      <c r="B220" s="34"/>
      <c r="C220" s="34"/>
      <c r="D220" s="34"/>
      <c r="E220" s="34"/>
      <c r="F220" s="40"/>
      <c r="G220" s="34"/>
      <c r="H220" s="34"/>
      <c r="I220" s="34"/>
      <c r="J220" s="34"/>
      <c r="K220" s="40"/>
      <c r="L220" s="34"/>
      <c r="M220" s="34"/>
      <c r="N220" s="34"/>
      <c r="O220" s="34"/>
      <c r="P220" s="40"/>
      <c r="Q220" s="34"/>
      <c r="R220" s="34"/>
      <c r="S220" s="34"/>
      <c r="T220" s="34"/>
      <c r="U220" s="40"/>
      <c r="V220" s="34"/>
      <c r="W220" s="34"/>
      <c r="X220" s="34"/>
      <c r="Y220" s="34"/>
      <c r="Z220" s="40"/>
      <c r="AA220" s="34"/>
      <c r="AB220" s="34"/>
      <c r="AC220" s="34"/>
    </row>
    <row r="221" spans="2:29" x14ac:dyDescent="0.25">
      <c r="B221" s="34"/>
      <c r="C221" s="34"/>
      <c r="D221" s="34"/>
      <c r="E221" s="34"/>
      <c r="F221" s="40"/>
      <c r="G221" s="34"/>
      <c r="H221" s="34"/>
      <c r="I221" s="34"/>
      <c r="J221" s="34"/>
      <c r="K221" s="40"/>
      <c r="L221" s="34"/>
      <c r="M221" s="34"/>
      <c r="N221" s="34"/>
      <c r="O221" s="34"/>
      <c r="P221" s="40"/>
      <c r="Q221" s="34"/>
      <c r="R221" s="34"/>
      <c r="S221" s="34"/>
      <c r="T221" s="34"/>
      <c r="U221" s="40"/>
      <c r="V221" s="34"/>
      <c r="W221" s="34"/>
      <c r="X221" s="34"/>
      <c r="Y221" s="34"/>
      <c r="Z221" s="40"/>
      <c r="AA221" s="34"/>
      <c r="AB221" s="34"/>
      <c r="AC221" s="34"/>
    </row>
    <row r="222" spans="2:29" x14ac:dyDescent="0.25">
      <c r="B222" s="34"/>
      <c r="C222" s="34"/>
      <c r="D222" s="34"/>
      <c r="E222" s="34"/>
      <c r="F222" s="40"/>
      <c r="G222" s="34"/>
      <c r="H222" s="34"/>
      <c r="I222" s="34"/>
      <c r="J222" s="34"/>
      <c r="K222" s="40"/>
      <c r="L222" s="34"/>
      <c r="M222" s="34"/>
      <c r="N222" s="34"/>
      <c r="O222" s="34"/>
      <c r="P222" s="40"/>
      <c r="Q222" s="34"/>
      <c r="R222" s="34"/>
      <c r="S222" s="34"/>
      <c r="T222" s="34"/>
      <c r="U222" s="40"/>
      <c r="V222" s="34"/>
      <c r="W222" s="34"/>
      <c r="X222" s="34"/>
      <c r="Y222" s="34"/>
      <c r="Z222" s="40"/>
      <c r="AA222" s="34"/>
      <c r="AB222" s="34"/>
      <c r="AC222" s="34"/>
    </row>
    <row r="223" spans="2:29" x14ac:dyDescent="0.25">
      <c r="B223" s="34"/>
      <c r="C223" s="34"/>
      <c r="D223" s="34"/>
      <c r="E223" s="34"/>
      <c r="F223" s="40"/>
      <c r="G223" s="34"/>
      <c r="H223" s="34"/>
      <c r="I223" s="34"/>
      <c r="J223" s="34"/>
      <c r="K223" s="40"/>
      <c r="L223" s="34"/>
      <c r="M223" s="34"/>
      <c r="N223" s="34"/>
      <c r="O223" s="34"/>
      <c r="P223" s="40"/>
      <c r="Q223" s="34"/>
      <c r="R223" s="34"/>
      <c r="S223" s="34"/>
      <c r="T223" s="34"/>
      <c r="U223" s="40"/>
      <c r="V223" s="34"/>
      <c r="W223" s="34"/>
      <c r="X223" s="34"/>
      <c r="Y223" s="34"/>
      <c r="Z223" s="40"/>
      <c r="AA223" s="34"/>
      <c r="AB223" s="34"/>
      <c r="AC223" s="34"/>
    </row>
    <row r="224" spans="2:29" x14ac:dyDescent="0.25">
      <c r="B224" s="34"/>
      <c r="C224" s="34"/>
      <c r="D224" s="34"/>
      <c r="E224" s="34"/>
      <c r="F224" s="40"/>
      <c r="G224" s="34"/>
      <c r="H224" s="34"/>
      <c r="I224" s="34"/>
      <c r="J224" s="34"/>
      <c r="K224" s="40"/>
      <c r="L224" s="34"/>
      <c r="M224" s="34"/>
      <c r="N224" s="34"/>
      <c r="O224" s="34"/>
      <c r="P224" s="40"/>
      <c r="Q224" s="34"/>
      <c r="R224" s="34"/>
      <c r="S224" s="34"/>
      <c r="T224" s="34"/>
      <c r="U224" s="40"/>
      <c r="V224" s="34"/>
      <c r="W224" s="34"/>
      <c r="X224" s="34"/>
      <c r="Y224" s="34"/>
      <c r="Z224" s="40"/>
      <c r="AA224" s="34"/>
      <c r="AB224" s="34"/>
      <c r="AC224" s="34"/>
    </row>
    <row r="225" spans="2:29" x14ac:dyDescent="0.25">
      <c r="B225" s="34"/>
      <c r="C225" s="34"/>
      <c r="D225" s="34"/>
      <c r="E225" s="34"/>
      <c r="F225" s="40"/>
      <c r="G225" s="34"/>
      <c r="H225" s="34"/>
      <c r="I225" s="34"/>
      <c r="J225" s="34"/>
      <c r="K225" s="40"/>
      <c r="L225" s="34"/>
      <c r="M225" s="34"/>
      <c r="N225" s="34"/>
      <c r="O225" s="34"/>
      <c r="P225" s="40"/>
      <c r="Q225" s="34"/>
      <c r="R225" s="34"/>
      <c r="S225" s="34"/>
      <c r="T225" s="34"/>
      <c r="U225" s="40"/>
      <c r="V225" s="34"/>
      <c r="W225" s="34"/>
      <c r="X225" s="34"/>
      <c r="Y225" s="34"/>
      <c r="Z225" s="40"/>
      <c r="AA225" s="34"/>
      <c r="AB225" s="34"/>
      <c r="AC225" s="34"/>
    </row>
    <row r="226" spans="2:29" x14ac:dyDescent="0.25">
      <c r="B226" s="34"/>
      <c r="C226" s="34"/>
      <c r="D226" s="34"/>
      <c r="E226" s="34"/>
      <c r="F226" s="40"/>
      <c r="G226" s="34"/>
      <c r="H226" s="34"/>
      <c r="I226" s="34"/>
      <c r="J226" s="34"/>
      <c r="K226" s="40"/>
      <c r="L226" s="34"/>
      <c r="M226" s="34"/>
      <c r="N226" s="34"/>
      <c r="O226" s="34"/>
      <c r="P226" s="40"/>
      <c r="Q226" s="34"/>
      <c r="R226" s="34"/>
      <c r="S226" s="34"/>
      <c r="T226" s="34"/>
      <c r="U226" s="40"/>
      <c r="V226" s="34"/>
      <c r="W226" s="34"/>
      <c r="X226" s="34"/>
      <c r="Y226" s="34"/>
      <c r="Z226" s="40"/>
      <c r="AA226" s="34"/>
      <c r="AB226" s="34"/>
      <c r="AC226" s="34"/>
    </row>
    <row r="227" spans="2:29" x14ac:dyDescent="0.25">
      <c r="B227" s="34"/>
      <c r="C227" s="34"/>
      <c r="D227" s="34"/>
      <c r="E227" s="34"/>
      <c r="F227" s="40"/>
      <c r="G227" s="34"/>
      <c r="H227" s="34"/>
      <c r="I227" s="34"/>
      <c r="J227" s="34"/>
      <c r="K227" s="40"/>
      <c r="L227" s="34"/>
      <c r="M227" s="34"/>
      <c r="N227" s="34"/>
      <c r="O227" s="34"/>
      <c r="P227" s="40"/>
      <c r="Q227" s="34"/>
      <c r="R227" s="34"/>
      <c r="S227" s="34"/>
      <c r="T227" s="34"/>
      <c r="U227" s="40"/>
      <c r="V227" s="34"/>
      <c r="W227" s="34"/>
      <c r="X227" s="34"/>
      <c r="Y227" s="34"/>
      <c r="Z227" s="40"/>
      <c r="AA227" s="34"/>
      <c r="AB227" s="34"/>
      <c r="AC227" s="34"/>
    </row>
  </sheetData>
  <sortState xmlns:xlrd2="http://schemas.microsoft.com/office/spreadsheetml/2017/richdata2" ref="A3:AC81">
    <sortCondition descending="1" ref="AB3:AB81"/>
  </sortState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A5AC3-588B-47E4-86BE-544E5EC2D77F}">
  <sheetPr>
    <tabColor theme="6" tint="0.59999389629810485"/>
  </sheetPr>
  <dimension ref="A1:AC227"/>
  <sheetViews>
    <sheetView workbookViewId="0">
      <selection activeCell="AC17" sqref="AC17"/>
    </sheetView>
  </sheetViews>
  <sheetFormatPr baseColWidth="10" defaultColWidth="8.5703125" defaultRowHeight="15" x14ac:dyDescent="0.25"/>
  <cols>
    <col min="1" max="1" width="11.42578125" customWidth="1"/>
    <col min="2" max="5" width="10" customWidth="1"/>
    <col min="6" max="6" width="4.28515625" style="39" customWidth="1"/>
    <col min="7" max="10" width="10" customWidth="1"/>
    <col min="11" max="11" width="4.28515625" style="39" customWidth="1"/>
    <col min="12" max="15" width="10" customWidth="1"/>
    <col min="16" max="16" width="4.28515625" style="39" customWidth="1"/>
    <col min="17" max="20" width="10" customWidth="1"/>
    <col min="21" max="21" width="4.28515625" style="39" customWidth="1"/>
    <col min="22" max="25" width="10" customWidth="1"/>
    <col min="26" max="26" width="4.28515625" style="39" customWidth="1"/>
    <col min="27" max="29" width="10" customWidth="1"/>
  </cols>
  <sheetData>
    <row r="1" spans="1:29" ht="15.75" x14ac:dyDescent="0.25">
      <c r="A1" s="36" t="s">
        <v>225</v>
      </c>
      <c r="B1" s="34">
        <v>2022</v>
      </c>
      <c r="C1" s="35" t="s">
        <v>244</v>
      </c>
      <c r="D1" s="37">
        <v>686</v>
      </c>
      <c r="G1" s="34">
        <v>2023</v>
      </c>
      <c r="H1" s="35" t="s">
        <v>244</v>
      </c>
      <c r="I1" s="37">
        <v>688</v>
      </c>
      <c r="L1" s="34">
        <v>2024</v>
      </c>
      <c r="M1" s="35" t="s">
        <v>244</v>
      </c>
      <c r="N1" s="37">
        <v>679</v>
      </c>
      <c r="Q1" s="34">
        <v>2025</v>
      </c>
      <c r="R1" s="35" t="s">
        <v>244</v>
      </c>
      <c r="S1" s="37">
        <v>754</v>
      </c>
      <c r="V1" s="34">
        <v>2026</v>
      </c>
      <c r="W1" s="35" t="s">
        <v>244</v>
      </c>
      <c r="X1" s="37">
        <v>125</v>
      </c>
    </row>
    <row r="2" spans="1:29" x14ac:dyDescent="0.25">
      <c r="A2" s="33" t="s">
        <v>3</v>
      </c>
      <c r="B2" s="33" t="s">
        <v>245</v>
      </c>
      <c r="C2" s="33" t="s">
        <v>246</v>
      </c>
      <c r="D2" s="33" t="s">
        <v>247</v>
      </c>
      <c r="E2" s="33" t="s">
        <v>6</v>
      </c>
      <c r="G2" s="33" t="s">
        <v>245</v>
      </c>
      <c r="H2" s="33" t="s">
        <v>246</v>
      </c>
      <c r="I2" s="33" t="s">
        <v>247</v>
      </c>
      <c r="J2" s="33" t="s">
        <v>6</v>
      </c>
      <c r="L2" s="33" t="s">
        <v>245</v>
      </c>
      <c r="M2" s="33" t="s">
        <v>246</v>
      </c>
      <c r="N2" s="33" t="s">
        <v>247</v>
      </c>
      <c r="O2" s="33" t="s">
        <v>6</v>
      </c>
      <c r="Q2" s="33" t="s">
        <v>245</v>
      </c>
      <c r="R2" s="33" t="s">
        <v>246</v>
      </c>
      <c r="S2" s="33" t="s">
        <v>247</v>
      </c>
      <c r="T2" s="33" t="s">
        <v>6</v>
      </c>
      <c r="V2" s="33" t="s">
        <v>245</v>
      </c>
      <c r="W2" s="33" t="s">
        <v>246</v>
      </c>
      <c r="X2" s="33" t="s">
        <v>247</v>
      </c>
      <c r="Y2" s="33" t="s">
        <v>6</v>
      </c>
      <c r="AA2" s="37" t="s">
        <v>251</v>
      </c>
      <c r="AB2" s="37" t="s">
        <v>250</v>
      </c>
      <c r="AC2" s="37" t="s">
        <v>5</v>
      </c>
    </row>
    <row r="3" spans="1:29" x14ac:dyDescent="0.25">
      <c r="A3" t="s">
        <v>73</v>
      </c>
      <c r="B3" s="34">
        <v>63</v>
      </c>
      <c r="C3" s="34">
        <v>63</v>
      </c>
      <c r="D3" s="34">
        <v>56</v>
      </c>
      <c r="E3" s="34">
        <v>30</v>
      </c>
      <c r="F3" s="40"/>
      <c r="G3" s="34">
        <v>183</v>
      </c>
      <c r="H3" s="34">
        <v>183</v>
      </c>
      <c r="I3" s="34">
        <v>293</v>
      </c>
      <c r="J3" s="34">
        <v>87</v>
      </c>
      <c r="K3" s="40"/>
      <c r="L3" s="34">
        <v>155</v>
      </c>
      <c r="M3" s="34">
        <v>155</v>
      </c>
      <c r="N3" s="34">
        <v>308</v>
      </c>
      <c r="O3" s="34">
        <v>80</v>
      </c>
      <c r="P3" s="40"/>
      <c r="Q3" s="34">
        <v>128</v>
      </c>
      <c r="R3" s="34">
        <v>128</v>
      </c>
      <c r="S3" s="34">
        <v>354</v>
      </c>
      <c r="T3" s="34">
        <v>57</v>
      </c>
      <c r="U3" s="40"/>
      <c r="V3" s="34">
        <v>27</v>
      </c>
      <c r="W3" s="34">
        <v>27</v>
      </c>
      <c r="X3" s="34">
        <v>40</v>
      </c>
      <c r="Y3" s="34">
        <v>14</v>
      </c>
      <c r="Z3" s="40"/>
      <c r="AA3" s="34">
        <f t="shared" ref="AA3:AA34" si="0">B3+G3+L3+Q3+V3</f>
        <v>556</v>
      </c>
      <c r="AB3" s="38">
        <f t="shared" ref="AB3:AB34" si="1">(AA3+(B3/C3*D3+G3/H3*I3+L3/M3*N3+Q3/R3*S3+V3/W3*X3))/($D$1+$I$1+$N$1+$S$1+$X$1)</f>
        <v>0.54809004092769442</v>
      </c>
      <c r="AC3" s="38">
        <f t="shared" ref="AC3:AC34" si="2">(E3+J3+O3+T3+Y3)/(AA3)</f>
        <v>0.48201438848920863</v>
      </c>
    </row>
    <row r="4" spans="1:29" x14ac:dyDescent="0.25">
      <c r="A4" t="s">
        <v>26</v>
      </c>
      <c r="B4" s="34">
        <v>51</v>
      </c>
      <c r="C4" s="34">
        <v>123</v>
      </c>
      <c r="D4" s="34">
        <v>97</v>
      </c>
      <c r="E4" s="34">
        <v>27</v>
      </c>
      <c r="F4" s="40"/>
      <c r="G4" s="34">
        <v>253</v>
      </c>
      <c r="H4" s="34">
        <v>258</v>
      </c>
      <c r="I4" s="34">
        <v>221</v>
      </c>
      <c r="J4" s="34">
        <v>118</v>
      </c>
      <c r="K4" s="40"/>
      <c r="L4" s="34">
        <v>223</v>
      </c>
      <c r="M4" s="34">
        <v>226</v>
      </c>
      <c r="N4" s="34">
        <v>209</v>
      </c>
      <c r="O4" s="34">
        <v>106</v>
      </c>
      <c r="P4" s="40"/>
      <c r="Q4" s="34">
        <v>103</v>
      </c>
      <c r="R4" s="34">
        <v>103</v>
      </c>
      <c r="S4" s="34">
        <v>91</v>
      </c>
      <c r="T4" s="34">
        <v>43</v>
      </c>
      <c r="U4" s="40"/>
      <c r="V4" s="34">
        <v>5</v>
      </c>
      <c r="W4" s="34">
        <v>5</v>
      </c>
      <c r="X4" s="34">
        <v>1</v>
      </c>
      <c r="Y4" s="34">
        <v>0</v>
      </c>
      <c r="Z4" s="40"/>
      <c r="AA4" s="34">
        <f t="shared" si="0"/>
        <v>635</v>
      </c>
      <c r="AB4" s="38">
        <f t="shared" si="1"/>
        <v>0.40592163375699247</v>
      </c>
      <c r="AC4" s="38">
        <f t="shared" si="2"/>
        <v>0.46299212598425199</v>
      </c>
    </row>
    <row r="5" spans="1:29" x14ac:dyDescent="0.25">
      <c r="A5" t="s">
        <v>71</v>
      </c>
      <c r="B5" s="34">
        <v>146</v>
      </c>
      <c r="C5" s="34">
        <v>147</v>
      </c>
      <c r="D5" s="34">
        <v>138</v>
      </c>
      <c r="E5" s="34">
        <v>73</v>
      </c>
      <c r="F5" s="40"/>
      <c r="G5" s="34">
        <v>173</v>
      </c>
      <c r="H5" s="34">
        <v>173</v>
      </c>
      <c r="I5" s="34">
        <v>104</v>
      </c>
      <c r="J5" s="34">
        <v>82</v>
      </c>
      <c r="K5" s="40"/>
      <c r="L5" s="34">
        <v>32</v>
      </c>
      <c r="M5" s="34">
        <v>32</v>
      </c>
      <c r="N5" s="34">
        <v>26</v>
      </c>
      <c r="O5" s="34">
        <v>15</v>
      </c>
      <c r="P5" s="40"/>
      <c r="Q5" s="34">
        <v>175</v>
      </c>
      <c r="R5" s="34">
        <v>175</v>
      </c>
      <c r="S5" s="34">
        <v>111</v>
      </c>
      <c r="T5" s="34">
        <v>97</v>
      </c>
      <c r="U5" s="40"/>
      <c r="V5" s="34">
        <v>28</v>
      </c>
      <c r="W5" s="34">
        <v>28</v>
      </c>
      <c r="X5" s="34">
        <v>10</v>
      </c>
      <c r="Y5" s="34">
        <v>13</v>
      </c>
      <c r="Z5" s="40"/>
      <c r="AA5" s="34">
        <f t="shared" si="0"/>
        <v>554</v>
      </c>
      <c r="AB5" s="38">
        <f t="shared" si="1"/>
        <v>0.32130328256814322</v>
      </c>
      <c r="AC5" s="38">
        <f t="shared" si="2"/>
        <v>0.50541516245487361</v>
      </c>
    </row>
    <row r="6" spans="1:29" x14ac:dyDescent="0.25">
      <c r="A6" t="s">
        <v>30</v>
      </c>
      <c r="B6" s="34">
        <v>26</v>
      </c>
      <c r="C6" s="34">
        <v>43</v>
      </c>
      <c r="D6" s="34">
        <v>48</v>
      </c>
      <c r="E6" s="34">
        <v>16</v>
      </c>
      <c r="F6" s="40"/>
      <c r="G6" s="34">
        <v>181</v>
      </c>
      <c r="H6" s="34">
        <v>196</v>
      </c>
      <c r="I6" s="34">
        <v>282</v>
      </c>
      <c r="J6" s="34">
        <v>98</v>
      </c>
      <c r="K6" s="40"/>
      <c r="L6" s="34">
        <v>141</v>
      </c>
      <c r="M6" s="34">
        <v>164</v>
      </c>
      <c r="N6" s="34">
        <v>207</v>
      </c>
      <c r="O6" s="34">
        <v>80</v>
      </c>
      <c r="P6" s="40"/>
      <c r="Q6" s="34">
        <v>51</v>
      </c>
      <c r="R6" s="34">
        <v>60</v>
      </c>
      <c r="S6" s="34">
        <v>61</v>
      </c>
      <c r="T6" s="34">
        <v>25</v>
      </c>
      <c r="U6" s="40"/>
      <c r="V6" s="34">
        <v>2</v>
      </c>
      <c r="W6" s="34">
        <v>2</v>
      </c>
      <c r="X6" s="34">
        <v>0</v>
      </c>
      <c r="Y6" s="34">
        <v>2</v>
      </c>
      <c r="Z6" s="40"/>
      <c r="AA6" s="34">
        <f t="shared" si="0"/>
        <v>401</v>
      </c>
      <c r="AB6" s="38">
        <f t="shared" si="1"/>
        <v>0.31386805435061876</v>
      </c>
      <c r="AC6" s="38">
        <f t="shared" si="2"/>
        <v>0.55112219451371569</v>
      </c>
    </row>
    <row r="7" spans="1:29" x14ac:dyDescent="0.25">
      <c r="A7" t="s">
        <v>57</v>
      </c>
      <c r="B7" s="34">
        <v>207</v>
      </c>
      <c r="C7" s="34">
        <v>218</v>
      </c>
      <c r="D7" s="34">
        <v>112</v>
      </c>
      <c r="E7" s="34">
        <v>104</v>
      </c>
      <c r="F7" s="40"/>
      <c r="G7" s="34">
        <v>100</v>
      </c>
      <c r="H7" s="34">
        <v>101</v>
      </c>
      <c r="I7" s="34">
        <v>58</v>
      </c>
      <c r="J7" s="34">
        <v>50</v>
      </c>
      <c r="K7" s="40"/>
      <c r="L7" s="34">
        <v>96</v>
      </c>
      <c r="M7" s="34">
        <v>98</v>
      </c>
      <c r="N7" s="34">
        <v>89</v>
      </c>
      <c r="O7" s="34">
        <v>44</v>
      </c>
      <c r="P7" s="40"/>
      <c r="Q7" s="34">
        <v>34</v>
      </c>
      <c r="R7" s="34">
        <v>35</v>
      </c>
      <c r="S7" s="34">
        <v>40</v>
      </c>
      <c r="T7" s="34">
        <v>16</v>
      </c>
      <c r="U7" s="40"/>
      <c r="V7" s="34">
        <v>8</v>
      </c>
      <c r="W7" s="34">
        <v>8</v>
      </c>
      <c r="X7" s="34">
        <v>11</v>
      </c>
      <c r="Y7" s="34">
        <v>6</v>
      </c>
      <c r="Z7" s="40"/>
      <c r="AA7" s="34">
        <f t="shared" si="0"/>
        <v>445</v>
      </c>
      <c r="AB7" s="38">
        <f t="shared" si="1"/>
        <v>0.25437079902933118</v>
      </c>
      <c r="AC7" s="38">
        <f t="shared" si="2"/>
        <v>0.4943820224719101</v>
      </c>
    </row>
    <row r="8" spans="1:29" x14ac:dyDescent="0.25">
      <c r="A8" t="s">
        <v>31</v>
      </c>
      <c r="B8" s="34">
        <v>103</v>
      </c>
      <c r="C8" s="34">
        <v>104</v>
      </c>
      <c r="D8" s="34">
        <v>163</v>
      </c>
      <c r="E8" s="34">
        <v>56</v>
      </c>
      <c r="F8" s="40"/>
      <c r="G8" s="34">
        <v>55</v>
      </c>
      <c r="H8" s="34">
        <v>84</v>
      </c>
      <c r="I8" s="34">
        <v>196</v>
      </c>
      <c r="J8" s="34">
        <v>28</v>
      </c>
      <c r="K8" s="40"/>
      <c r="L8" s="34">
        <v>57</v>
      </c>
      <c r="M8" s="34">
        <v>118</v>
      </c>
      <c r="N8" s="34">
        <v>148</v>
      </c>
      <c r="O8" s="34">
        <v>32</v>
      </c>
      <c r="P8" s="40"/>
      <c r="Q8" s="34">
        <v>46</v>
      </c>
      <c r="R8" s="34">
        <v>133</v>
      </c>
      <c r="S8" s="34">
        <v>301</v>
      </c>
      <c r="T8" s="34">
        <v>26</v>
      </c>
      <c r="U8" s="40"/>
      <c r="V8" s="34">
        <v>1</v>
      </c>
      <c r="W8" s="34">
        <v>7</v>
      </c>
      <c r="X8" s="34">
        <v>28</v>
      </c>
      <c r="Y8" s="34">
        <v>0</v>
      </c>
      <c r="Z8" s="40"/>
      <c r="AA8" s="34">
        <f t="shared" si="0"/>
        <v>262</v>
      </c>
      <c r="AB8" s="38">
        <f t="shared" si="1"/>
        <v>0.24944161467348197</v>
      </c>
      <c r="AC8" s="38">
        <f t="shared" si="2"/>
        <v>0.5419847328244275</v>
      </c>
    </row>
    <row r="9" spans="1:29" x14ac:dyDescent="0.25">
      <c r="A9" t="s">
        <v>70</v>
      </c>
      <c r="B9" s="34">
        <v>134</v>
      </c>
      <c r="C9" s="34">
        <v>134</v>
      </c>
      <c r="D9" s="34">
        <v>73</v>
      </c>
      <c r="E9" s="34">
        <v>64</v>
      </c>
      <c r="F9" s="40"/>
      <c r="G9" s="34">
        <v>7</v>
      </c>
      <c r="H9" s="34">
        <v>7</v>
      </c>
      <c r="I9" s="34">
        <v>1</v>
      </c>
      <c r="J9" s="34">
        <v>3</v>
      </c>
      <c r="K9" s="40"/>
      <c r="L9" s="34">
        <v>94</v>
      </c>
      <c r="M9" s="34">
        <v>94</v>
      </c>
      <c r="N9" s="34">
        <v>50</v>
      </c>
      <c r="O9" s="34">
        <v>44</v>
      </c>
      <c r="P9" s="40"/>
      <c r="Q9" s="34">
        <v>228</v>
      </c>
      <c r="R9" s="34">
        <v>228</v>
      </c>
      <c r="S9" s="34">
        <v>87</v>
      </c>
      <c r="T9" s="34">
        <v>124</v>
      </c>
      <c r="U9" s="40"/>
      <c r="V9" s="34">
        <v>34</v>
      </c>
      <c r="W9" s="34">
        <v>34</v>
      </c>
      <c r="X9" s="34">
        <v>9</v>
      </c>
      <c r="Y9" s="34">
        <v>15</v>
      </c>
      <c r="Z9" s="40"/>
      <c r="AA9" s="34">
        <f t="shared" si="0"/>
        <v>497</v>
      </c>
      <c r="AB9" s="38">
        <f t="shared" si="1"/>
        <v>0.24454297407912687</v>
      </c>
      <c r="AC9" s="38">
        <f t="shared" si="2"/>
        <v>0.50301810865191143</v>
      </c>
    </row>
    <row r="10" spans="1:29" x14ac:dyDescent="0.25">
      <c r="A10" t="s">
        <v>69</v>
      </c>
      <c r="B10" s="34">
        <v>205</v>
      </c>
      <c r="C10" s="34">
        <v>205</v>
      </c>
      <c r="D10" s="34">
        <v>88</v>
      </c>
      <c r="E10" s="34">
        <v>103</v>
      </c>
      <c r="F10" s="40"/>
      <c r="G10" s="34">
        <v>116</v>
      </c>
      <c r="H10" s="34">
        <v>116</v>
      </c>
      <c r="I10" s="34">
        <v>97</v>
      </c>
      <c r="J10" s="34">
        <v>58</v>
      </c>
      <c r="K10" s="40"/>
      <c r="L10" s="34">
        <v>88</v>
      </c>
      <c r="M10" s="34">
        <v>88</v>
      </c>
      <c r="N10" s="34">
        <v>49</v>
      </c>
      <c r="O10" s="34">
        <v>42</v>
      </c>
      <c r="P10" s="40"/>
      <c r="Q10" s="34">
        <v>40</v>
      </c>
      <c r="R10" s="34">
        <v>42</v>
      </c>
      <c r="S10" s="34">
        <v>13</v>
      </c>
      <c r="T10" s="34">
        <v>17</v>
      </c>
      <c r="U10" s="40"/>
      <c r="V10" s="34"/>
      <c r="W10" s="34">
        <v>1</v>
      </c>
      <c r="X10" s="34"/>
      <c r="Y10" s="34"/>
      <c r="Z10" s="40"/>
      <c r="AA10" s="34">
        <f t="shared" si="0"/>
        <v>449</v>
      </c>
      <c r="AB10" s="38">
        <f t="shared" si="1"/>
        <v>0.23716949262651857</v>
      </c>
      <c r="AC10" s="38">
        <f t="shared" si="2"/>
        <v>0.48997772828507796</v>
      </c>
    </row>
    <row r="11" spans="1:29" x14ac:dyDescent="0.25">
      <c r="A11" t="s">
        <v>72</v>
      </c>
      <c r="B11" s="34">
        <v>23</v>
      </c>
      <c r="C11" s="34">
        <v>23</v>
      </c>
      <c r="D11" s="34">
        <v>20</v>
      </c>
      <c r="E11" s="34">
        <v>14</v>
      </c>
      <c r="F11" s="40"/>
      <c r="G11" s="34">
        <v>34</v>
      </c>
      <c r="H11" s="34">
        <v>34</v>
      </c>
      <c r="I11" s="34">
        <v>48</v>
      </c>
      <c r="J11" s="34">
        <v>17</v>
      </c>
      <c r="K11" s="40"/>
      <c r="L11" s="34">
        <v>45</v>
      </c>
      <c r="M11" s="34">
        <v>45</v>
      </c>
      <c r="N11" s="34">
        <v>56</v>
      </c>
      <c r="O11" s="34">
        <v>20</v>
      </c>
      <c r="P11" s="40"/>
      <c r="Q11" s="34">
        <v>63</v>
      </c>
      <c r="R11" s="34">
        <v>63</v>
      </c>
      <c r="S11" s="34">
        <v>108</v>
      </c>
      <c r="T11" s="34">
        <v>33</v>
      </c>
      <c r="U11" s="40"/>
      <c r="V11" s="34">
        <v>16</v>
      </c>
      <c r="W11" s="34">
        <v>16</v>
      </c>
      <c r="X11" s="34">
        <v>36</v>
      </c>
      <c r="Y11" s="34">
        <v>8</v>
      </c>
      <c r="Z11" s="40"/>
      <c r="AA11" s="34">
        <f t="shared" si="0"/>
        <v>181</v>
      </c>
      <c r="AB11" s="38">
        <f t="shared" si="1"/>
        <v>0.15313778990450205</v>
      </c>
      <c r="AC11" s="38">
        <f t="shared" si="2"/>
        <v>0.50828729281767959</v>
      </c>
    </row>
    <row r="12" spans="1:29" x14ac:dyDescent="0.25">
      <c r="A12" t="s">
        <v>45</v>
      </c>
      <c r="B12" s="34">
        <v>57</v>
      </c>
      <c r="C12" s="34">
        <v>60</v>
      </c>
      <c r="D12" s="34">
        <v>60</v>
      </c>
      <c r="E12" s="34">
        <v>23</v>
      </c>
      <c r="F12" s="40"/>
      <c r="G12" s="34">
        <v>42</v>
      </c>
      <c r="H12" s="34">
        <v>45</v>
      </c>
      <c r="I12" s="34">
        <v>51</v>
      </c>
      <c r="J12" s="34">
        <v>21</v>
      </c>
      <c r="K12" s="40"/>
      <c r="L12" s="34">
        <v>24</v>
      </c>
      <c r="M12" s="34">
        <v>24</v>
      </c>
      <c r="N12" s="34">
        <v>24</v>
      </c>
      <c r="O12" s="34">
        <v>11</v>
      </c>
      <c r="P12" s="40"/>
      <c r="Q12" s="34">
        <v>85</v>
      </c>
      <c r="R12" s="34">
        <v>85</v>
      </c>
      <c r="S12" s="34">
        <v>28</v>
      </c>
      <c r="T12" s="34">
        <v>49</v>
      </c>
      <c r="U12" s="40"/>
      <c r="V12" s="34">
        <v>33</v>
      </c>
      <c r="W12" s="34">
        <v>33</v>
      </c>
      <c r="X12" s="34">
        <v>21</v>
      </c>
      <c r="Y12" s="34">
        <v>17</v>
      </c>
      <c r="Z12" s="40"/>
      <c r="AA12" s="34">
        <f t="shared" si="0"/>
        <v>241</v>
      </c>
      <c r="AB12" s="38">
        <f t="shared" si="1"/>
        <v>0.14276944065484312</v>
      </c>
      <c r="AC12" s="38">
        <f t="shared" si="2"/>
        <v>0.50207468879668049</v>
      </c>
    </row>
    <row r="13" spans="1:29" x14ac:dyDescent="0.25">
      <c r="A13" t="s">
        <v>95</v>
      </c>
      <c r="B13" s="34">
        <v>14</v>
      </c>
      <c r="C13" s="34">
        <v>14</v>
      </c>
      <c r="D13" s="34">
        <v>14</v>
      </c>
      <c r="E13" s="34">
        <v>8</v>
      </c>
      <c r="F13" s="40"/>
      <c r="G13" s="34">
        <v>7</v>
      </c>
      <c r="H13" s="34">
        <v>7</v>
      </c>
      <c r="I13" s="34">
        <v>7</v>
      </c>
      <c r="J13" s="34">
        <v>4</v>
      </c>
      <c r="K13" s="40"/>
      <c r="L13" s="34">
        <v>50</v>
      </c>
      <c r="M13" s="34">
        <v>97</v>
      </c>
      <c r="N13" s="34">
        <v>82</v>
      </c>
      <c r="O13" s="34">
        <v>34</v>
      </c>
      <c r="P13" s="40"/>
      <c r="Q13" s="34">
        <v>96</v>
      </c>
      <c r="R13" s="34">
        <v>96</v>
      </c>
      <c r="S13" s="34">
        <v>155</v>
      </c>
      <c r="T13" s="34">
        <v>42</v>
      </c>
      <c r="U13" s="40"/>
      <c r="V13" s="34"/>
      <c r="W13" s="34">
        <v>1</v>
      </c>
      <c r="X13" s="34"/>
      <c r="Y13" s="34"/>
      <c r="Z13" s="40"/>
      <c r="AA13" s="34">
        <f t="shared" si="0"/>
        <v>167</v>
      </c>
      <c r="AB13" s="38">
        <f t="shared" si="1"/>
        <v>0.13140110546968398</v>
      </c>
      <c r="AC13" s="38">
        <f t="shared" si="2"/>
        <v>0.52694610778443118</v>
      </c>
    </row>
    <row r="14" spans="1:29" x14ac:dyDescent="0.25">
      <c r="A14" t="s">
        <v>67</v>
      </c>
      <c r="B14" s="34">
        <v>86</v>
      </c>
      <c r="C14" s="34">
        <v>87</v>
      </c>
      <c r="D14" s="34">
        <v>79</v>
      </c>
      <c r="E14" s="34">
        <v>40</v>
      </c>
      <c r="F14" s="40"/>
      <c r="G14" s="34"/>
      <c r="H14" s="34">
        <v>1</v>
      </c>
      <c r="I14" s="34"/>
      <c r="J14" s="34"/>
      <c r="K14" s="40"/>
      <c r="L14" s="34">
        <v>3</v>
      </c>
      <c r="M14" s="34">
        <v>3</v>
      </c>
      <c r="N14" s="34">
        <v>2</v>
      </c>
      <c r="O14" s="34">
        <v>1</v>
      </c>
      <c r="P14" s="40"/>
      <c r="Q14" s="34">
        <v>100</v>
      </c>
      <c r="R14" s="34">
        <v>100</v>
      </c>
      <c r="S14" s="34">
        <v>88</v>
      </c>
      <c r="T14" s="34">
        <v>45</v>
      </c>
      <c r="U14" s="40"/>
      <c r="V14" s="34">
        <v>7</v>
      </c>
      <c r="W14" s="34">
        <v>7</v>
      </c>
      <c r="X14" s="34">
        <v>6</v>
      </c>
      <c r="Y14" s="34">
        <v>6</v>
      </c>
      <c r="Z14" s="40"/>
      <c r="AA14" s="34">
        <f t="shared" si="0"/>
        <v>196</v>
      </c>
      <c r="AB14" s="38">
        <f t="shared" si="1"/>
        <v>0.12622508663812704</v>
      </c>
      <c r="AC14" s="38">
        <f t="shared" si="2"/>
        <v>0.46938775510204084</v>
      </c>
    </row>
    <row r="15" spans="1:29" x14ac:dyDescent="0.25">
      <c r="A15" t="s">
        <v>77</v>
      </c>
      <c r="B15" s="34">
        <v>2</v>
      </c>
      <c r="C15" s="34">
        <v>3</v>
      </c>
      <c r="D15" s="34">
        <v>6</v>
      </c>
      <c r="E15" s="34">
        <v>0</v>
      </c>
      <c r="F15" s="40"/>
      <c r="G15" s="34"/>
      <c r="H15" s="34">
        <v>1</v>
      </c>
      <c r="I15" s="34"/>
      <c r="J15" s="34"/>
      <c r="K15" s="40"/>
      <c r="L15" s="34"/>
      <c r="M15" s="34">
        <v>1</v>
      </c>
      <c r="N15" s="34"/>
      <c r="O15" s="34"/>
      <c r="P15" s="40"/>
      <c r="Q15" s="34">
        <v>108</v>
      </c>
      <c r="R15" s="34">
        <v>122</v>
      </c>
      <c r="S15" s="34">
        <v>226</v>
      </c>
      <c r="T15" s="34">
        <v>56</v>
      </c>
      <c r="U15" s="40"/>
      <c r="V15" s="34">
        <v>27</v>
      </c>
      <c r="W15" s="34">
        <v>30</v>
      </c>
      <c r="X15" s="34">
        <v>30</v>
      </c>
      <c r="Y15" s="34">
        <v>16</v>
      </c>
      <c r="Z15" s="40"/>
      <c r="AA15" s="34">
        <f t="shared" si="0"/>
        <v>137</v>
      </c>
      <c r="AB15" s="38">
        <f t="shared" si="1"/>
        <v>0.12553396104041331</v>
      </c>
      <c r="AC15" s="38">
        <f t="shared" si="2"/>
        <v>0.52554744525547448</v>
      </c>
    </row>
    <row r="16" spans="1:29" x14ac:dyDescent="0.25">
      <c r="A16" t="s">
        <v>76</v>
      </c>
      <c r="B16" s="34">
        <v>11</v>
      </c>
      <c r="C16" s="34">
        <v>11</v>
      </c>
      <c r="D16" s="34">
        <v>5</v>
      </c>
      <c r="E16" s="34">
        <v>4</v>
      </c>
      <c r="F16" s="40"/>
      <c r="G16" s="34">
        <v>15</v>
      </c>
      <c r="H16" s="34">
        <v>15</v>
      </c>
      <c r="I16" s="34">
        <v>27</v>
      </c>
      <c r="J16" s="34">
        <v>7</v>
      </c>
      <c r="K16" s="40"/>
      <c r="L16" s="34">
        <v>61</v>
      </c>
      <c r="M16" s="34">
        <v>61</v>
      </c>
      <c r="N16" s="34">
        <v>93</v>
      </c>
      <c r="O16" s="34">
        <v>37</v>
      </c>
      <c r="P16" s="40"/>
      <c r="Q16" s="34">
        <v>45</v>
      </c>
      <c r="R16" s="34">
        <v>55</v>
      </c>
      <c r="S16" s="34">
        <v>63</v>
      </c>
      <c r="T16" s="34">
        <v>31</v>
      </c>
      <c r="U16" s="40"/>
      <c r="V16" s="34">
        <v>1</v>
      </c>
      <c r="W16" s="34">
        <v>1</v>
      </c>
      <c r="X16" s="34">
        <v>0</v>
      </c>
      <c r="Y16" s="34">
        <v>1</v>
      </c>
      <c r="Z16" s="40"/>
      <c r="AA16" s="34">
        <f t="shared" si="0"/>
        <v>133</v>
      </c>
      <c r="AB16" s="38">
        <f t="shared" si="1"/>
        <v>0.10557484807143744</v>
      </c>
      <c r="AC16" s="38">
        <f t="shared" si="2"/>
        <v>0.60150375939849621</v>
      </c>
    </row>
    <row r="17" spans="1:29" x14ac:dyDescent="0.25">
      <c r="A17" t="s">
        <v>81</v>
      </c>
      <c r="B17" s="34"/>
      <c r="C17" s="34">
        <v>1</v>
      </c>
      <c r="D17" s="34"/>
      <c r="E17" s="34"/>
      <c r="F17" s="40"/>
      <c r="G17" s="34">
        <v>35</v>
      </c>
      <c r="H17" s="34">
        <v>35</v>
      </c>
      <c r="I17" s="34">
        <v>153</v>
      </c>
      <c r="J17" s="34">
        <v>21</v>
      </c>
      <c r="K17" s="40"/>
      <c r="L17" s="34">
        <v>1</v>
      </c>
      <c r="M17" s="34">
        <v>1</v>
      </c>
      <c r="N17" s="34">
        <v>0</v>
      </c>
      <c r="O17" s="34">
        <v>0</v>
      </c>
      <c r="P17" s="40"/>
      <c r="Q17" s="34"/>
      <c r="R17" s="34">
        <v>1</v>
      </c>
      <c r="S17" s="34"/>
      <c r="T17" s="34"/>
      <c r="U17" s="40"/>
      <c r="V17" s="34"/>
      <c r="W17" s="34">
        <v>1</v>
      </c>
      <c r="X17" s="34"/>
      <c r="Y17" s="34"/>
      <c r="Z17" s="40"/>
      <c r="AA17" s="34">
        <f t="shared" si="0"/>
        <v>36</v>
      </c>
      <c r="AB17" s="38">
        <f t="shared" si="1"/>
        <v>6.4461118690313776E-2</v>
      </c>
      <c r="AC17" s="38">
        <f t="shared" si="2"/>
        <v>0.58333333333333337</v>
      </c>
    </row>
    <row r="18" spans="1:29" x14ac:dyDescent="0.25">
      <c r="A18" t="s">
        <v>82</v>
      </c>
      <c r="B18" s="34"/>
      <c r="C18" s="34">
        <v>1</v>
      </c>
      <c r="D18" s="34"/>
      <c r="E18" s="34"/>
      <c r="F18" s="40"/>
      <c r="G18" s="34">
        <v>18</v>
      </c>
      <c r="H18" s="34">
        <v>18</v>
      </c>
      <c r="I18" s="34">
        <v>33</v>
      </c>
      <c r="J18" s="34">
        <v>8</v>
      </c>
      <c r="K18" s="40"/>
      <c r="L18" s="34">
        <v>34</v>
      </c>
      <c r="M18" s="34">
        <v>34</v>
      </c>
      <c r="N18" s="34">
        <v>67</v>
      </c>
      <c r="O18" s="34">
        <v>17</v>
      </c>
      <c r="P18" s="40"/>
      <c r="Q18" s="34">
        <v>11</v>
      </c>
      <c r="R18" s="34">
        <v>11</v>
      </c>
      <c r="S18" s="34">
        <v>6</v>
      </c>
      <c r="T18" s="34">
        <v>6</v>
      </c>
      <c r="U18" s="40"/>
      <c r="V18" s="34"/>
      <c r="W18" s="34">
        <v>1</v>
      </c>
      <c r="X18" s="34"/>
      <c r="Y18" s="34"/>
      <c r="Z18" s="40"/>
      <c r="AA18" s="34">
        <f t="shared" si="0"/>
        <v>63</v>
      </c>
      <c r="AB18" s="38">
        <f t="shared" si="1"/>
        <v>5.7639836289222375E-2</v>
      </c>
      <c r="AC18" s="38">
        <f t="shared" si="2"/>
        <v>0.49206349206349204</v>
      </c>
    </row>
    <row r="19" spans="1:29" x14ac:dyDescent="0.25">
      <c r="A19" t="s">
        <v>83</v>
      </c>
      <c r="B19" s="34">
        <v>4</v>
      </c>
      <c r="C19" s="34">
        <v>7</v>
      </c>
      <c r="D19" s="34">
        <v>2</v>
      </c>
      <c r="E19" s="34">
        <v>1</v>
      </c>
      <c r="F19" s="40"/>
      <c r="G19" s="34">
        <v>6</v>
      </c>
      <c r="H19" s="34">
        <v>6</v>
      </c>
      <c r="I19" s="34">
        <v>2</v>
      </c>
      <c r="J19" s="34">
        <v>4</v>
      </c>
      <c r="K19" s="40"/>
      <c r="L19" s="34">
        <v>38</v>
      </c>
      <c r="M19" s="34">
        <v>38</v>
      </c>
      <c r="N19" s="34">
        <v>29</v>
      </c>
      <c r="O19" s="34">
        <v>17</v>
      </c>
      <c r="P19" s="40"/>
      <c r="Q19" s="34">
        <v>33</v>
      </c>
      <c r="R19" s="34">
        <v>33</v>
      </c>
      <c r="S19" s="34">
        <v>37</v>
      </c>
      <c r="T19" s="34">
        <v>17</v>
      </c>
      <c r="U19" s="40"/>
      <c r="V19" s="34">
        <v>1</v>
      </c>
      <c r="W19" s="34">
        <v>1</v>
      </c>
      <c r="X19" s="34">
        <v>0</v>
      </c>
      <c r="Y19" s="34">
        <v>1</v>
      </c>
      <c r="Z19" s="40"/>
      <c r="AA19" s="34">
        <f t="shared" si="0"/>
        <v>82</v>
      </c>
      <c r="AB19" s="38">
        <f t="shared" si="1"/>
        <v>5.154940557396219E-2</v>
      </c>
      <c r="AC19" s="38">
        <f t="shared" si="2"/>
        <v>0.48780487804878048</v>
      </c>
    </row>
    <row r="20" spans="1:29" x14ac:dyDescent="0.25">
      <c r="A20" t="s">
        <v>75</v>
      </c>
      <c r="B20" s="34">
        <v>59</v>
      </c>
      <c r="C20" s="34">
        <v>59</v>
      </c>
      <c r="D20" s="34">
        <v>79</v>
      </c>
      <c r="E20" s="34">
        <v>32</v>
      </c>
      <c r="F20" s="40"/>
      <c r="G20" s="34"/>
      <c r="H20" s="34">
        <v>1</v>
      </c>
      <c r="I20" s="34"/>
      <c r="J20" s="34"/>
      <c r="K20" s="40"/>
      <c r="L20" s="34"/>
      <c r="M20" s="34">
        <v>1</v>
      </c>
      <c r="N20" s="34"/>
      <c r="O20" s="34"/>
      <c r="P20" s="40"/>
      <c r="Q20" s="34">
        <v>1</v>
      </c>
      <c r="R20" s="34">
        <v>1</v>
      </c>
      <c r="S20" s="34">
        <v>0</v>
      </c>
      <c r="T20" s="34">
        <v>1</v>
      </c>
      <c r="U20" s="40"/>
      <c r="V20" s="34">
        <v>1</v>
      </c>
      <c r="W20" s="34">
        <v>1</v>
      </c>
      <c r="X20" s="34">
        <v>0</v>
      </c>
      <c r="Y20" s="34">
        <v>0</v>
      </c>
      <c r="Z20" s="40"/>
      <c r="AA20" s="34">
        <f t="shared" si="0"/>
        <v>61</v>
      </c>
      <c r="AB20" s="38">
        <f t="shared" si="1"/>
        <v>4.7748976807639835E-2</v>
      </c>
      <c r="AC20" s="38">
        <f t="shared" si="2"/>
        <v>0.54098360655737709</v>
      </c>
    </row>
    <row r="21" spans="1:29" x14ac:dyDescent="0.25">
      <c r="A21" t="s">
        <v>80</v>
      </c>
      <c r="B21" s="34"/>
      <c r="C21" s="34">
        <v>1</v>
      </c>
      <c r="D21" s="34"/>
      <c r="E21" s="34"/>
      <c r="F21" s="40"/>
      <c r="G21" s="34">
        <v>39</v>
      </c>
      <c r="H21" s="34">
        <v>150</v>
      </c>
      <c r="I21" s="34">
        <v>83</v>
      </c>
      <c r="J21" s="34">
        <v>24</v>
      </c>
      <c r="K21" s="40"/>
      <c r="L21" s="34">
        <v>53</v>
      </c>
      <c r="M21" s="34">
        <v>222</v>
      </c>
      <c r="N21" s="34">
        <v>110</v>
      </c>
      <c r="O21" s="34">
        <v>29</v>
      </c>
      <c r="P21" s="40"/>
      <c r="Q21" s="34"/>
      <c r="R21" s="34">
        <v>1</v>
      </c>
      <c r="S21" s="34"/>
      <c r="T21" s="34"/>
      <c r="U21" s="40"/>
      <c r="V21" s="34"/>
      <c r="W21" s="34">
        <v>1</v>
      </c>
      <c r="X21" s="34"/>
      <c r="Y21" s="34"/>
      <c r="Z21" s="40"/>
      <c r="AA21" s="34">
        <f t="shared" si="0"/>
        <v>92</v>
      </c>
      <c r="AB21" s="38">
        <f t="shared" si="1"/>
        <v>4.7694836719393334E-2</v>
      </c>
      <c r="AC21" s="38">
        <f t="shared" si="2"/>
        <v>0.57608695652173914</v>
      </c>
    </row>
    <row r="22" spans="1:29" x14ac:dyDescent="0.25">
      <c r="A22" t="s">
        <v>195</v>
      </c>
      <c r="B22" s="34"/>
      <c r="C22" s="34">
        <v>1</v>
      </c>
      <c r="D22" s="34"/>
      <c r="E22" s="34"/>
      <c r="F22" s="40"/>
      <c r="G22" s="34"/>
      <c r="H22" s="34">
        <v>1</v>
      </c>
      <c r="I22" s="34"/>
      <c r="J22" s="34"/>
      <c r="K22" s="40"/>
      <c r="L22" s="34">
        <v>42</v>
      </c>
      <c r="M22" s="34">
        <v>43</v>
      </c>
      <c r="N22" s="34">
        <v>32</v>
      </c>
      <c r="O22" s="34">
        <v>16</v>
      </c>
      <c r="P22" s="40"/>
      <c r="Q22" s="34">
        <v>18</v>
      </c>
      <c r="R22" s="34">
        <v>18</v>
      </c>
      <c r="S22" s="34">
        <v>46</v>
      </c>
      <c r="T22" s="34">
        <v>5</v>
      </c>
      <c r="U22" s="40"/>
      <c r="V22" s="34"/>
      <c r="W22" s="34">
        <v>1</v>
      </c>
      <c r="X22" s="34"/>
      <c r="Y22" s="34"/>
      <c r="Z22" s="40"/>
      <c r="AA22" s="34">
        <f t="shared" si="0"/>
        <v>60</v>
      </c>
      <c r="AB22" s="38">
        <f t="shared" si="1"/>
        <v>4.6813033408420315E-2</v>
      </c>
      <c r="AC22" s="38">
        <f t="shared" si="2"/>
        <v>0.35</v>
      </c>
    </row>
    <row r="23" spans="1:29" x14ac:dyDescent="0.25">
      <c r="A23" t="s">
        <v>28</v>
      </c>
      <c r="B23" s="34">
        <v>63</v>
      </c>
      <c r="C23" s="34">
        <v>111</v>
      </c>
      <c r="D23" s="34">
        <v>114</v>
      </c>
      <c r="E23" s="34">
        <v>32</v>
      </c>
      <c r="F23" s="40"/>
      <c r="G23" s="34">
        <v>2</v>
      </c>
      <c r="H23" s="34">
        <v>3</v>
      </c>
      <c r="I23" s="34">
        <v>0</v>
      </c>
      <c r="J23" s="34">
        <v>1</v>
      </c>
      <c r="K23" s="40"/>
      <c r="L23" s="34">
        <v>5</v>
      </c>
      <c r="M23" s="34">
        <v>5</v>
      </c>
      <c r="N23" s="34">
        <v>0</v>
      </c>
      <c r="O23" s="34">
        <v>0</v>
      </c>
      <c r="P23" s="40"/>
      <c r="Q23" s="34"/>
      <c r="R23" s="34">
        <v>1</v>
      </c>
      <c r="S23" s="34"/>
      <c r="T23" s="34"/>
      <c r="U23" s="40"/>
      <c r="V23" s="34"/>
      <c r="W23" s="34">
        <v>1</v>
      </c>
      <c r="X23" s="34"/>
      <c r="Y23" s="34"/>
      <c r="Z23" s="40"/>
      <c r="AA23" s="34">
        <f t="shared" si="0"/>
        <v>70</v>
      </c>
      <c r="AB23" s="38">
        <f t="shared" si="1"/>
        <v>4.5942258766269679E-2</v>
      </c>
      <c r="AC23" s="38">
        <f t="shared" si="2"/>
        <v>0.47142857142857142</v>
      </c>
    </row>
    <row r="24" spans="1:29" x14ac:dyDescent="0.25">
      <c r="A24" t="s">
        <v>211</v>
      </c>
      <c r="B24" s="34"/>
      <c r="C24" s="34">
        <v>1</v>
      </c>
      <c r="D24" s="34"/>
      <c r="E24" s="34"/>
      <c r="F24" s="40"/>
      <c r="G24" s="34"/>
      <c r="H24" s="34">
        <v>1</v>
      </c>
      <c r="I24" s="34"/>
      <c r="J24" s="34"/>
      <c r="K24" s="40"/>
      <c r="L24" s="34"/>
      <c r="M24" s="34">
        <v>1</v>
      </c>
      <c r="N24" s="34"/>
      <c r="O24" s="34"/>
      <c r="P24" s="40"/>
      <c r="Q24" s="34">
        <v>72</v>
      </c>
      <c r="R24" s="34">
        <v>72</v>
      </c>
      <c r="S24" s="34">
        <v>53</v>
      </c>
      <c r="T24" s="34">
        <v>30</v>
      </c>
      <c r="U24" s="40"/>
      <c r="V24" s="34">
        <v>3</v>
      </c>
      <c r="W24" s="34">
        <v>3</v>
      </c>
      <c r="X24" s="34">
        <v>1</v>
      </c>
      <c r="Y24" s="34">
        <v>1</v>
      </c>
      <c r="Z24" s="40"/>
      <c r="AA24" s="34">
        <f t="shared" si="0"/>
        <v>75</v>
      </c>
      <c r="AB24" s="38">
        <f t="shared" si="1"/>
        <v>4.3997271487039566E-2</v>
      </c>
      <c r="AC24" s="38">
        <f t="shared" si="2"/>
        <v>0.41333333333333333</v>
      </c>
    </row>
    <row r="25" spans="1:29" x14ac:dyDescent="0.25">
      <c r="A25" t="s">
        <v>74</v>
      </c>
      <c r="B25" s="34">
        <v>24</v>
      </c>
      <c r="C25" s="34">
        <v>24</v>
      </c>
      <c r="D25" s="34">
        <v>51</v>
      </c>
      <c r="E25" s="34">
        <v>14</v>
      </c>
      <c r="F25" s="40"/>
      <c r="G25" s="34">
        <v>1</v>
      </c>
      <c r="H25" s="34">
        <v>1</v>
      </c>
      <c r="I25" s="34">
        <v>0</v>
      </c>
      <c r="J25" s="34">
        <v>0</v>
      </c>
      <c r="K25" s="40"/>
      <c r="L25" s="34">
        <v>2</v>
      </c>
      <c r="M25" s="34">
        <v>3</v>
      </c>
      <c r="N25" s="34">
        <v>2</v>
      </c>
      <c r="O25" s="34">
        <v>1</v>
      </c>
      <c r="P25" s="40"/>
      <c r="Q25" s="34">
        <v>1</v>
      </c>
      <c r="R25" s="34">
        <v>2</v>
      </c>
      <c r="S25" s="34">
        <v>1</v>
      </c>
      <c r="T25" s="34">
        <v>0</v>
      </c>
      <c r="U25" s="40"/>
      <c r="V25" s="34"/>
      <c r="W25" s="34">
        <v>1</v>
      </c>
      <c r="X25" s="34"/>
      <c r="Y25" s="34"/>
      <c r="Z25" s="40"/>
      <c r="AA25" s="34">
        <f t="shared" si="0"/>
        <v>28</v>
      </c>
      <c r="AB25" s="38">
        <f t="shared" si="1"/>
        <v>2.7569349704411099E-2</v>
      </c>
      <c r="AC25" s="38">
        <f t="shared" si="2"/>
        <v>0.5357142857142857</v>
      </c>
    </row>
    <row r="26" spans="1:29" x14ac:dyDescent="0.25">
      <c r="A26" t="s">
        <v>58</v>
      </c>
      <c r="B26" s="34">
        <v>35</v>
      </c>
      <c r="C26" s="34">
        <v>36</v>
      </c>
      <c r="D26" s="34">
        <v>22</v>
      </c>
      <c r="E26" s="34">
        <v>15</v>
      </c>
      <c r="F26" s="40"/>
      <c r="G26" s="34">
        <v>6</v>
      </c>
      <c r="H26" s="34">
        <v>8</v>
      </c>
      <c r="I26" s="34">
        <v>8</v>
      </c>
      <c r="J26" s="34">
        <v>4</v>
      </c>
      <c r="K26" s="40"/>
      <c r="L26" s="34">
        <v>5</v>
      </c>
      <c r="M26" s="34">
        <v>7</v>
      </c>
      <c r="N26" s="34">
        <v>8</v>
      </c>
      <c r="O26" s="34">
        <v>1</v>
      </c>
      <c r="P26" s="40"/>
      <c r="Q26" s="34"/>
      <c r="R26" s="34">
        <v>1</v>
      </c>
      <c r="S26" s="34"/>
      <c r="T26" s="34"/>
      <c r="U26" s="40"/>
      <c r="V26" s="34"/>
      <c r="W26" s="34">
        <v>1</v>
      </c>
      <c r="X26" s="34"/>
      <c r="Y26" s="34"/>
      <c r="Z26" s="40"/>
      <c r="AA26" s="34">
        <f t="shared" si="0"/>
        <v>46</v>
      </c>
      <c r="AB26" s="38">
        <f t="shared" si="1"/>
        <v>2.6979254639554778E-2</v>
      </c>
      <c r="AC26" s="38">
        <f t="shared" si="2"/>
        <v>0.43478260869565216</v>
      </c>
    </row>
    <row r="27" spans="1:29" x14ac:dyDescent="0.25">
      <c r="A27" t="s">
        <v>230</v>
      </c>
      <c r="B27" s="34">
        <v>8</v>
      </c>
      <c r="C27" s="34">
        <v>8</v>
      </c>
      <c r="D27" s="34">
        <v>8</v>
      </c>
      <c r="E27" s="34">
        <v>8</v>
      </c>
      <c r="F27" s="40"/>
      <c r="G27" s="34">
        <v>17</v>
      </c>
      <c r="H27" s="34">
        <v>17</v>
      </c>
      <c r="I27" s="34">
        <v>19</v>
      </c>
      <c r="J27" s="34">
        <v>6</v>
      </c>
      <c r="K27" s="40"/>
      <c r="L27" s="34">
        <v>6</v>
      </c>
      <c r="M27" s="34">
        <v>6</v>
      </c>
      <c r="N27" s="34">
        <v>7</v>
      </c>
      <c r="O27" s="34">
        <v>4</v>
      </c>
      <c r="P27" s="40"/>
      <c r="Q27" s="34">
        <v>8</v>
      </c>
      <c r="R27" s="34">
        <v>8</v>
      </c>
      <c r="S27" s="34">
        <v>3</v>
      </c>
      <c r="T27" s="34">
        <v>2</v>
      </c>
      <c r="U27" s="40"/>
      <c r="V27" s="34"/>
      <c r="W27" s="34">
        <v>1</v>
      </c>
      <c r="X27" s="34"/>
      <c r="Y27" s="34"/>
      <c r="Z27" s="40"/>
      <c r="AA27" s="34">
        <f t="shared" si="0"/>
        <v>39</v>
      </c>
      <c r="AB27" s="38">
        <f t="shared" si="1"/>
        <v>2.5920873124147339E-2</v>
      </c>
      <c r="AC27" s="38">
        <f t="shared" si="2"/>
        <v>0.51282051282051277</v>
      </c>
    </row>
    <row r="28" spans="1:29" x14ac:dyDescent="0.25">
      <c r="A28" t="s">
        <v>36</v>
      </c>
      <c r="B28" s="34"/>
      <c r="C28" s="34">
        <v>1</v>
      </c>
      <c r="D28" s="34"/>
      <c r="E28" s="34"/>
      <c r="F28" s="40"/>
      <c r="G28" s="34"/>
      <c r="H28" s="34">
        <v>1</v>
      </c>
      <c r="I28" s="34"/>
      <c r="J28" s="34"/>
      <c r="K28" s="40"/>
      <c r="L28" s="34"/>
      <c r="M28" s="34">
        <v>1</v>
      </c>
      <c r="N28" s="34"/>
      <c r="O28" s="34"/>
      <c r="P28" s="40"/>
      <c r="Q28" s="34"/>
      <c r="R28" s="34">
        <v>1</v>
      </c>
      <c r="S28" s="34"/>
      <c r="T28" s="34"/>
      <c r="U28" s="40"/>
      <c r="V28" s="34">
        <v>6</v>
      </c>
      <c r="W28" s="34">
        <v>6</v>
      </c>
      <c r="X28" s="34">
        <v>64</v>
      </c>
      <c r="Y28" s="34">
        <v>1</v>
      </c>
      <c r="Z28" s="40"/>
      <c r="AA28" s="34">
        <f t="shared" si="0"/>
        <v>6</v>
      </c>
      <c r="AB28" s="38">
        <f t="shared" si="1"/>
        <v>2.3874488403819918E-2</v>
      </c>
      <c r="AC28" s="38">
        <f t="shared" si="2"/>
        <v>0.16666666666666666</v>
      </c>
    </row>
    <row r="29" spans="1:29" x14ac:dyDescent="0.25">
      <c r="A29" t="s">
        <v>79</v>
      </c>
      <c r="B29" s="34"/>
      <c r="C29" s="34">
        <v>1</v>
      </c>
      <c r="D29" s="34"/>
      <c r="E29" s="34"/>
      <c r="F29" s="40"/>
      <c r="G29" s="34">
        <v>43</v>
      </c>
      <c r="H29" s="34">
        <v>43</v>
      </c>
      <c r="I29" s="34">
        <v>13</v>
      </c>
      <c r="J29" s="34">
        <v>28</v>
      </c>
      <c r="K29" s="40"/>
      <c r="L29" s="34">
        <v>5</v>
      </c>
      <c r="M29" s="34">
        <v>5</v>
      </c>
      <c r="N29" s="34">
        <v>1</v>
      </c>
      <c r="O29" s="34">
        <v>3</v>
      </c>
      <c r="P29" s="40"/>
      <c r="Q29" s="34">
        <v>1</v>
      </c>
      <c r="R29" s="34">
        <v>1</v>
      </c>
      <c r="S29" s="34">
        <v>0</v>
      </c>
      <c r="T29" s="34">
        <v>0</v>
      </c>
      <c r="U29" s="40"/>
      <c r="V29" s="34">
        <v>1</v>
      </c>
      <c r="W29" s="34">
        <v>1</v>
      </c>
      <c r="X29" s="34">
        <v>1</v>
      </c>
      <c r="Y29" s="34">
        <v>0</v>
      </c>
      <c r="Z29" s="40"/>
      <c r="AA29" s="34">
        <f t="shared" si="0"/>
        <v>50</v>
      </c>
      <c r="AB29" s="38">
        <f t="shared" si="1"/>
        <v>2.2169167803547066E-2</v>
      </c>
      <c r="AC29" s="38">
        <f t="shared" si="2"/>
        <v>0.62</v>
      </c>
    </row>
    <row r="30" spans="1:29" x14ac:dyDescent="0.25">
      <c r="A30" t="s">
        <v>88</v>
      </c>
      <c r="B30" s="34">
        <v>1</v>
      </c>
      <c r="C30" s="34">
        <v>1</v>
      </c>
      <c r="D30" s="34">
        <v>0</v>
      </c>
      <c r="E30" s="34">
        <v>0</v>
      </c>
      <c r="F30" s="40"/>
      <c r="G30" s="34"/>
      <c r="H30" s="34">
        <v>1</v>
      </c>
      <c r="I30" s="34"/>
      <c r="J30" s="34"/>
      <c r="K30" s="40"/>
      <c r="L30" s="34"/>
      <c r="M30" s="34">
        <v>1</v>
      </c>
      <c r="N30" s="34"/>
      <c r="O30" s="34"/>
      <c r="P30" s="40"/>
      <c r="Q30" s="34">
        <v>21</v>
      </c>
      <c r="R30" s="34">
        <v>21</v>
      </c>
      <c r="S30" s="34">
        <v>31</v>
      </c>
      <c r="T30" s="34">
        <v>7</v>
      </c>
      <c r="U30" s="40"/>
      <c r="V30" s="34">
        <v>3</v>
      </c>
      <c r="W30" s="34">
        <v>3</v>
      </c>
      <c r="X30" s="34">
        <v>5</v>
      </c>
      <c r="Y30" s="34">
        <v>0</v>
      </c>
      <c r="Z30" s="40"/>
      <c r="AA30" s="34">
        <f t="shared" si="0"/>
        <v>25</v>
      </c>
      <c r="AB30" s="38">
        <f t="shared" si="1"/>
        <v>2.0804911323328786E-2</v>
      </c>
      <c r="AC30" s="38">
        <f t="shared" si="2"/>
        <v>0.28000000000000003</v>
      </c>
    </row>
    <row r="31" spans="1:29" x14ac:dyDescent="0.25">
      <c r="A31" t="s">
        <v>92</v>
      </c>
      <c r="B31" s="34"/>
      <c r="C31" s="34">
        <v>1</v>
      </c>
      <c r="D31" s="34"/>
      <c r="E31" s="34"/>
      <c r="F31" s="40"/>
      <c r="G31" s="34"/>
      <c r="H31" s="34">
        <v>1</v>
      </c>
      <c r="I31" s="34"/>
      <c r="J31" s="34"/>
      <c r="K31" s="40"/>
      <c r="L31" s="34">
        <v>23</v>
      </c>
      <c r="M31" s="34">
        <v>23</v>
      </c>
      <c r="N31" s="34">
        <v>21</v>
      </c>
      <c r="O31" s="34">
        <v>9</v>
      </c>
      <c r="P31" s="40"/>
      <c r="Q31" s="34">
        <v>2</v>
      </c>
      <c r="R31" s="34">
        <v>2</v>
      </c>
      <c r="S31" s="34">
        <v>1</v>
      </c>
      <c r="T31" s="34">
        <v>0</v>
      </c>
      <c r="U31" s="40"/>
      <c r="V31" s="34"/>
      <c r="W31" s="34">
        <v>1</v>
      </c>
      <c r="X31" s="34"/>
      <c r="Y31" s="34"/>
      <c r="Z31" s="40"/>
      <c r="AA31" s="34">
        <f t="shared" si="0"/>
        <v>25</v>
      </c>
      <c r="AB31" s="38">
        <f t="shared" si="1"/>
        <v>1.6030013642564803E-2</v>
      </c>
      <c r="AC31" s="38">
        <f t="shared" si="2"/>
        <v>0.36</v>
      </c>
    </row>
    <row r="32" spans="1:29" x14ac:dyDescent="0.25">
      <c r="A32" t="s">
        <v>87</v>
      </c>
      <c r="B32" s="34">
        <v>4</v>
      </c>
      <c r="C32" s="34">
        <v>56</v>
      </c>
      <c r="D32" s="34">
        <v>97</v>
      </c>
      <c r="E32" s="34">
        <v>3</v>
      </c>
      <c r="F32" s="40"/>
      <c r="G32" s="34">
        <v>6</v>
      </c>
      <c r="H32" s="34">
        <v>84</v>
      </c>
      <c r="I32" s="34">
        <v>54</v>
      </c>
      <c r="J32" s="34">
        <v>1</v>
      </c>
      <c r="K32" s="40"/>
      <c r="L32" s="34">
        <v>12</v>
      </c>
      <c r="M32" s="34">
        <v>155</v>
      </c>
      <c r="N32" s="34">
        <v>140</v>
      </c>
      <c r="O32" s="34">
        <v>5</v>
      </c>
      <c r="P32" s="40"/>
      <c r="Q32" s="34"/>
      <c r="R32" s="34">
        <v>1</v>
      </c>
      <c r="S32" s="34"/>
      <c r="T32" s="34"/>
      <c r="U32" s="40"/>
      <c r="V32" s="34"/>
      <c r="W32" s="34">
        <v>1</v>
      </c>
      <c r="X32" s="34"/>
      <c r="Y32" s="34"/>
      <c r="Z32" s="40"/>
      <c r="AA32" s="34">
        <f t="shared" si="0"/>
        <v>22</v>
      </c>
      <c r="AB32" s="38">
        <f t="shared" si="1"/>
        <v>1.4878725771873682E-2</v>
      </c>
      <c r="AC32" s="38">
        <f t="shared" si="2"/>
        <v>0.40909090909090912</v>
      </c>
    </row>
    <row r="33" spans="1:29" x14ac:dyDescent="0.25">
      <c r="A33" t="s">
        <v>16</v>
      </c>
      <c r="B33" s="34"/>
      <c r="C33" s="34">
        <v>1</v>
      </c>
      <c r="D33" s="34"/>
      <c r="E33" s="34"/>
      <c r="F33" s="40"/>
      <c r="G33" s="34">
        <v>1</v>
      </c>
      <c r="H33" s="34">
        <v>189</v>
      </c>
      <c r="I33" s="34">
        <v>185</v>
      </c>
      <c r="J33" s="34">
        <v>0</v>
      </c>
      <c r="K33" s="40"/>
      <c r="L33" s="34">
        <v>18</v>
      </c>
      <c r="M33" s="34">
        <v>121</v>
      </c>
      <c r="N33" s="34">
        <v>105</v>
      </c>
      <c r="O33" s="34">
        <v>11</v>
      </c>
      <c r="P33" s="40"/>
      <c r="Q33" s="34">
        <v>2</v>
      </c>
      <c r="R33" s="34">
        <v>78</v>
      </c>
      <c r="S33" s="34">
        <v>55</v>
      </c>
      <c r="T33" s="34">
        <v>2</v>
      </c>
      <c r="U33" s="40"/>
      <c r="V33" s="34">
        <v>2</v>
      </c>
      <c r="W33" s="34">
        <v>11</v>
      </c>
      <c r="X33" s="34">
        <v>8</v>
      </c>
      <c r="Y33" s="34">
        <v>2</v>
      </c>
      <c r="Z33" s="40"/>
      <c r="AA33" s="34">
        <f t="shared" si="0"/>
        <v>23</v>
      </c>
      <c r="AB33" s="38">
        <f t="shared" si="1"/>
        <v>1.4482766901221569E-2</v>
      </c>
      <c r="AC33" s="38">
        <f t="shared" si="2"/>
        <v>0.65217391304347827</v>
      </c>
    </row>
    <row r="34" spans="1:29" x14ac:dyDescent="0.25">
      <c r="A34" t="s">
        <v>84</v>
      </c>
      <c r="B34" s="34">
        <v>13</v>
      </c>
      <c r="C34" s="34">
        <v>13</v>
      </c>
      <c r="D34" s="34">
        <v>9</v>
      </c>
      <c r="E34" s="34">
        <v>4</v>
      </c>
      <c r="F34" s="40"/>
      <c r="G34" s="34">
        <v>8</v>
      </c>
      <c r="H34" s="34">
        <v>8</v>
      </c>
      <c r="I34" s="34">
        <v>5</v>
      </c>
      <c r="J34" s="34">
        <v>3</v>
      </c>
      <c r="K34" s="40"/>
      <c r="L34" s="34">
        <v>2</v>
      </c>
      <c r="M34" s="34">
        <v>2</v>
      </c>
      <c r="N34" s="34">
        <v>2</v>
      </c>
      <c r="O34" s="34">
        <v>0</v>
      </c>
      <c r="P34" s="40"/>
      <c r="Q34" s="34"/>
      <c r="R34" s="34">
        <v>1</v>
      </c>
      <c r="S34" s="34"/>
      <c r="T34" s="34"/>
      <c r="U34" s="40"/>
      <c r="V34" s="34"/>
      <c r="W34" s="34">
        <v>1</v>
      </c>
      <c r="X34" s="34"/>
      <c r="Y34" s="34"/>
      <c r="Z34" s="40"/>
      <c r="AA34" s="34">
        <f t="shared" si="0"/>
        <v>23</v>
      </c>
      <c r="AB34" s="38">
        <f t="shared" si="1"/>
        <v>1.330150068212824E-2</v>
      </c>
      <c r="AC34" s="38">
        <f t="shared" si="2"/>
        <v>0.30434782608695654</v>
      </c>
    </row>
    <row r="35" spans="1:29" x14ac:dyDescent="0.25">
      <c r="A35" t="s">
        <v>8</v>
      </c>
      <c r="B35" s="34"/>
      <c r="C35" s="34">
        <v>1</v>
      </c>
      <c r="D35" s="34"/>
      <c r="E35" s="34"/>
      <c r="F35" s="40"/>
      <c r="G35" s="34"/>
      <c r="H35" s="34">
        <v>1</v>
      </c>
      <c r="I35" s="34"/>
      <c r="J35" s="34"/>
      <c r="K35" s="40"/>
      <c r="L35" s="34"/>
      <c r="M35" s="34">
        <v>1</v>
      </c>
      <c r="N35" s="34"/>
      <c r="O35" s="34"/>
      <c r="P35" s="40"/>
      <c r="Q35" s="34"/>
      <c r="R35" s="34">
        <v>1</v>
      </c>
      <c r="S35" s="34"/>
      <c r="T35" s="34"/>
      <c r="U35" s="40"/>
      <c r="V35" s="34">
        <v>5</v>
      </c>
      <c r="W35" s="34">
        <v>11</v>
      </c>
      <c r="X35" s="34">
        <v>74</v>
      </c>
      <c r="Y35" s="34">
        <v>1</v>
      </c>
      <c r="Z35" s="40"/>
      <c r="AA35" s="34">
        <f t="shared" ref="AA35:AA62" si="3">B35+G35+L35+Q35+V35</f>
        <v>5</v>
      </c>
      <c r="AB35" s="38">
        <f t="shared" ref="AB35:AB62" si="4">(AA35+(B35/C35*D35+G35/H35*I35+L35/M35*N35+Q35/R35*S35+V35/W35*X35))/($D$1+$I$1+$N$1+$S$1+$X$1)</f>
        <v>1.3177477365744759E-2</v>
      </c>
      <c r="AC35" s="38">
        <f t="shared" ref="AC35:AC62" si="5">(E35+J35+O35+T35+Y35)/(AA35)</f>
        <v>0.2</v>
      </c>
    </row>
    <row r="36" spans="1:29" x14ac:dyDescent="0.25">
      <c r="A36" t="s">
        <v>215</v>
      </c>
      <c r="B36" s="34"/>
      <c r="C36" s="34">
        <v>1</v>
      </c>
      <c r="D36" s="34"/>
      <c r="E36" s="34"/>
      <c r="F36" s="40"/>
      <c r="G36" s="34"/>
      <c r="H36" s="34">
        <v>1</v>
      </c>
      <c r="I36" s="34"/>
      <c r="J36" s="34"/>
      <c r="K36" s="40"/>
      <c r="L36" s="34"/>
      <c r="M36" s="34">
        <v>1</v>
      </c>
      <c r="N36" s="34"/>
      <c r="O36" s="34"/>
      <c r="P36" s="40"/>
      <c r="Q36" s="34">
        <v>14</v>
      </c>
      <c r="R36" s="34">
        <v>15</v>
      </c>
      <c r="S36" s="34">
        <v>13</v>
      </c>
      <c r="T36" s="34">
        <v>8</v>
      </c>
      <c r="U36" s="40"/>
      <c r="V36" s="34"/>
      <c r="W36" s="34">
        <v>1</v>
      </c>
      <c r="X36" s="34"/>
      <c r="Y36" s="34"/>
      <c r="Z36" s="40"/>
      <c r="AA36" s="34">
        <f t="shared" si="3"/>
        <v>14</v>
      </c>
      <c r="AB36" s="38">
        <f t="shared" si="4"/>
        <v>8.9131423374261033E-3</v>
      </c>
      <c r="AC36" s="38">
        <f t="shared" si="5"/>
        <v>0.5714285714285714</v>
      </c>
    </row>
    <row r="37" spans="1:29" x14ac:dyDescent="0.25">
      <c r="A37" t="s">
        <v>260</v>
      </c>
      <c r="B37" s="34"/>
      <c r="C37" s="34">
        <v>1</v>
      </c>
      <c r="D37" s="34"/>
      <c r="E37" s="34"/>
      <c r="F37" s="40"/>
      <c r="G37" s="34"/>
      <c r="H37" s="34">
        <v>1</v>
      </c>
      <c r="I37" s="34"/>
      <c r="J37" s="34"/>
      <c r="K37" s="40"/>
      <c r="L37" s="34"/>
      <c r="M37" s="34">
        <v>1</v>
      </c>
      <c r="N37" s="34"/>
      <c r="O37" s="34"/>
      <c r="P37" s="40"/>
      <c r="Q37" s="34">
        <v>6</v>
      </c>
      <c r="R37" s="34">
        <v>6</v>
      </c>
      <c r="S37" s="34">
        <v>2</v>
      </c>
      <c r="T37" s="34">
        <v>5</v>
      </c>
      <c r="U37" s="40"/>
      <c r="V37" s="34">
        <v>10</v>
      </c>
      <c r="W37" s="34">
        <v>10</v>
      </c>
      <c r="X37" s="34">
        <v>7</v>
      </c>
      <c r="Y37" s="34">
        <v>6</v>
      </c>
      <c r="Z37" s="40"/>
      <c r="AA37" s="34">
        <f t="shared" si="3"/>
        <v>16</v>
      </c>
      <c r="AB37" s="38">
        <f t="shared" si="4"/>
        <v>8.5266030013642566E-3</v>
      </c>
      <c r="AC37" s="38">
        <f t="shared" si="5"/>
        <v>0.6875</v>
      </c>
    </row>
    <row r="38" spans="1:29" x14ac:dyDescent="0.25">
      <c r="A38" t="s">
        <v>38</v>
      </c>
      <c r="B38" s="34">
        <v>8</v>
      </c>
      <c r="C38" s="34">
        <v>8</v>
      </c>
      <c r="D38" s="34">
        <v>3</v>
      </c>
      <c r="E38" s="34">
        <v>3</v>
      </c>
      <c r="F38" s="40"/>
      <c r="G38" s="34">
        <v>1</v>
      </c>
      <c r="H38" s="34">
        <v>1</v>
      </c>
      <c r="I38" s="34">
        <v>0</v>
      </c>
      <c r="J38" s="34">
        <v>0</v>
      </c>
      <c r="K38" s="40"/>
      <c r="L38" s="34">
        <v>6</v>
      </c>
      <c r="M38" s="34">
        <v>21</v>
      </c>
      <c r="N38" s="34">
        <v>23</v>
      </c>
      <c r="O38" s="34">
        <v>3</v>
      </c>
      <c r="P38" s="40"/>
      <c r="Q38" s="34"/>
      <c r="R38" s="34">
        <v>1</v>
      </c>
      <c r="S38" s="34"/>
      <c r="T38" s="34"/>
      <c r="U38" s="40"/>
      <c r="V38" s="34"/>
      <c r="W38" s="34">
        <v>1</v>
      </c>
      <c r="X38" s="34"/>
      <c r="Y38" s="34"/>
      <c r="Z38" s="40"/>
      <c r="AA38" s="34">
        <f t="shared" si="3"/>
        <v>15</v>
      </c>
      <c r="AB38" s="38">
        <f t="shared" si="4"/>
        <v>8.380432664198011E-3</v>
      </c>
      <c r="AC38" s="38">
        <f t="shared" si="5"/>
        <v>0.4</v>
      </c>
    </row>
    <row r="39" spans="1:29" x14ac:dyDescent="0.25">
      <c r="A39" t="s">
        <v>208</v>
      </c>
      <c r="B39" s="34"/>
      <c r="C39" s="34">
        <v>1</v>
      </c>
      <c r="D39" s="34"/>
      <c r="E39" s="34"/>
      <c r="F39" s="40"/>
      <c r="G39" s="34"/>
      <c r="H39" s="34">
        <v>1</v>
      </c>
      <c r="I39" s="34"/>
      <c r="J39" s="34"/>
      <c r="K39" s="40"/>
      <c r="L39" s="34"/>
      <c r="M39" s="34">
        <v>1</v>
      </c>
      <c r="N39" s="34"/>
      <c r="O39" s="34"/>
      <c r="P39" s="40"/>
      <c r="Q39" s="34"/>
      <c r="R39" s="34">
        <v>1</v>
      </c>
      <c r="S39" s="34"/>
      <c r="T39" s="34"/>
      <c r="U39" s="40"/>
      <c r="V39" s="34">
        <v>11</v>
      </c>
      <c r="W39" s="34">
        <v>31</v>
      </c>
      <c r="X39" s="34">
        <v>33</v>
      </c>
      <c r="Y39" s="34">
        <v>7</v>
      </c>
      <c r="Z39" s="40"/>
      <c r="AA39" s="34">
        <f t="shared" si="3"/>
        <v>11</v>
      </c>
      <c r="AB39" s="38">
        <f t="shared" si="4"/>
        <v>7.7454561457554021E-3</v>
      </c>
      <c r="AC39" s="38">
        <f t="shared" si="5"/>
        <v>0.63636363636363635</v>
      </c>
    </row>
    <row r="40" spans="1:29" x14ac:dyDescent="0.25">
      <c r="A40" t="s">
        <v>91</v>
      </c>
      <c r="B40" s="34"/>
      <c r="C40" s="34">
        <v>1</v>
      </c>
      <c r="D40" s="34"/>
      <c r="E40" s="34"/>
      <c r="F40" s="40"/>
      <c r="G40" s="34">
        <v>4</v>
      </c>
      <c r="H40" s="34">
        <v>54</v>
      </c>
      <c r="I40" s="34">
        <v>244</v>
      </c>
      <c r="J40" s="34">
        <v>3</v>
      </c>
      <c r="K40" s="40"/>
      <c r="L40" s="34"/>
      <c r="M40" s="34">
        <v>1</v>
      </c>
      <c r="N40" s="34"/>
      <c r="O40" s="34"/>
      <c r="P40" s="40"/>
      <c r="Q40" s="34"/>
      <c r="R40" s="34">
        <v>1</v>
      </c>
      <c r="S40" s="34"/>
      <c r="T40" s="34"/>
      <c r="U40" s="40"/>
      <c r="V40" s="34"/>
      <c r="W40" s="34">
        <v>1</v>
      </c>
      <c r="X40" s="34"/>
      <c r="Y40" s="34"/>
      <c r="Z40" s="40"/>
      <c r="AA40" s="34">
        <f t="shared" si="3"/>
        <v>4</v>
      </c>
      <c r="AB40" s="38">
        <f t="shared" si="4"/>
        <v>7.5286746500934764E-3</v>
      </c>
      <c r="AC40" s="38">
        <f t="shared" si="5"/>
        <v>0.75</v>
      </c>
    </row>
    <row r="41" spans="1:29" x14ac:dyDescent="0.25">
      <c r="A41" t="s">
        <v>100</v>
      </c>
      <c r="B41" s="34"/>
      <c r="C41" s="34">
        <v>1</v>
      </c>
      <c r="D41" s="34"/>
      <c r="E41" s="34"/>
      <c r="F41" s="40"/>
      <c r="G41" s="34"/>
      <c r="H41" s="34">
        <v>1</v>
      </c>
      <c r="I41" s="34"/>
      <c r="J41" s="34"/>
      <c r="K41" s="40"/>
      <c r="L41" s="34">
        <v>10</v>
      </c>
      <c r="M41" s="34">
        <v>10</v>
      </c>
      <c r="N41" s="34">
        <v>11</v>
      </c>
      <c r="O41" s="34">
        <v>3</v>
      </c>
      <c r="P41" s="40"/>
      <c r="Q41" s="34"/>
      <c r="R41" s="34">
        <v>1</v>
      </c>
      <c r="S41" s="34"/>
      <c r="T41" s="34"/>
      <c r="U41" s="40"/>
      <c r="V41" s="34"/>
      <c r="W41" s="34">
        <v>1</v>
      </c>
      <c r="X41" s="34"/>
      <c r="Y41" s="34"/>
      <c r="Z41" s="40"/>
      <c r="AA41" s="34">
        <f t="shared" si="3"/>
        <v>10</v>
      </c>
      <c r="AB41" s="38">
        <f t="shared" si="4"/>
        <v>7.1623465211459753E-3</v>
      </c>
      <c r="AC41" s="38">
        <f t="shared" si="5"/>
        <v>0.3</v>
      </c>
    </row>
    <row r="42" spans="1:29" x14ac:dyDescent="0.25">
      <c r="A42" t="s">
        <v>89</v>
      </c>
      <c r="B42" s="34">
        <v>4</v>
      </c>
      <c r="C42" s="34">
        <v>5</v>
      </c>
      <c r="D42" s="34">
        <v>7</v>
      </c>
      <c r="E42" s="34">
        <v>2</v>
      </c>
      <c r="F42" s="40"/>
      <c r="G42" s="34"/>
      <c r="H42" s="34">
        <v>1</v>
      </c>
      <c r="I42" s="34"/>
      <c r="J42" s="34"/>
      <c r="K42" s="40"/>
      <c r="L42" s="34">
        <v>4</v>
      </c>
      <c r="M42" s="34">
        <v>4</v>
      </c>
      <c r="N42" s="34">
        <v>4</v>
      </c>
      <c r="O42" s="34">
        <v>4</v>
      </c>
      <c r="P42" s="40"/>
      <c r="Q42" s="34">
        <v>3</v>
      </c>
      <c r="R42" s="34">
        <v>3</v>
      </c>
      <c r="S42" s="34">
        <v>0</v>
      </c>
      <c r="T42" s="34">
        <v>2</v>
      </c>
      <c r="U42" s="40"/>
      <c r="V42" s="34"/>
      <c r="W42" s="34">
        <v>1</v>
      </c>
      <c r="X42" s="34"/>
      <c r="Y42" s="34"/>
      <c r="Z42" s="40"/>
      <c r="AA42" s="34">
        <f t="shared" si="3"/>
        <v>11</v>
      </c>
      <c r="AB42" s="38">
        <f t="shared" si="4"/>
        <v>7.0259208731241482E-3</v>
      </c>
      <c r="AC42" s="38">
        <f t="shared" si="5"/>
        <v>0.72727272727272729</v>
      </c>
    </row>
    <row r="43" spans="1:29" x14ac:dyDescent="0.25">
      <c r="A43" t="s">
        <v>90</v>
      </c>
      <c r="B43" s="34"/>
      <c r="C43" s="34">
        <v>1</v>
      </c>
      <c r="D43" s="34"/>
      <c r="E43" s="34"/>
      <c r="F43" s="40"/>
      <c r="G43" s="34">
        <v>7</v>
      </c>
      <c r="H43" s="34">
        <v>139</v>
      </c>
      <c r="I43" s="34">
        <v>130</v>
      </c>
      <c r="J43" s="34">
        <v>5</v>
      </c>
      <c r="K43" s="40"/>
      <c r="L43" s="34">
        <v>1</v>
      </c>
      <c r="M43" s="34">
        <v>163</v>
      </c>
      <c r="N43" s="34">
        <v>165</v>
      </c>
      <c r="O43" s="34">
        <v>0</v>
      </c>
      <c r="P43" s="40"/>
      <c r="Q43" s="34"/>
      <c r="R43" s="34">
        <v>1</v>
      </c>
      <c r="S43" s="34"/>
      <c r="T43" s="34"/>
      <c r="U43" s="40"/>
      <c r="V43" s="34">
        <v>1</v>
      </c>
      <c r="W43" s="34">
        <v>21</v>
      </c>
      <c r="X43" s="34">
        <v>37</v>
      </c>
      <c r="Y43" s="34">
        <v>1</v>
      </c>
      <c r="Z43" s="40"/>
      <c r="AA43" s="34">
        <f t="shared" si="3"/>
        <v>9</v>
      </c>
      <c r="AB43" s="38">
        <f t="shared" si="4"/>
        <v>6.2486143555535905E-3</v>
      </c>
      <c r="AC43" s="38">
        <f t="shared" si="5"/>
        <v>0.66666666666666663</v>
      </c>
    </row>
    <row r="44" spans="1:29" x14ac:dyDescent="0.25">
      <c r="A44" t="s">
        <v>50</v>
      </c>
      <c r="B44" s="34">
        <v>4</v>
      </c>
      <c r="C44" s="34">
        <v>8</v>
      </c>
      <c r="D44" s="34">
        <v>8</v>
      </c>
      <c r="E44" s="34">
        <v>2</v>
      </c>
      <c r="F44" s="40"/>
      <c r="G44" s="34">
        <v>1</v>
      </c>
      <c r="H44" s="34">
        <v>8</v>
      </c>
      <c r="I44" s="34">
        <v>30</v>
      </c>
      <c r="J44" s="34">
        <v>0</v>
      </c>
      <c r="K44" s="40"/>
      <c r="L44" s="34"/>
      <c r="M44" s="34">
        <v>1</v>
      </c>
      <c r="N44" s="34"/>
      <c r="O44" s="34"/>
      <c r="P44" s="40"/>
      <c r="Q44" s="34">
        <v>2</v>
      </c>
      <c r="R44" s="34">
        <v>7</v>
      </c>
      <c r="S44" s="34">
        <v>4</v>
      </c>
      <c r="T44" s="34">
        <v>1</v>
      </c>
      <c r="U44" s="40"/>
      <c r="V44" s="34">
        <v>1</v>
      </c>
      <c r="W44" s="34">
        <v>3</v>
      </c>
      <c r="X44" s="34">
        <v>1</v>
      </c>
      <c r="Y44" s="34">
        <v>1</v>
      </c>
      <c r="Z44" s="40"/>
      <c r="AA44" s="34">
        <f t="shared" si="3"/>
        <v>8</v>
      </c>
      <c r="AB44" s="38">
        <f t="shared" si="4"/>
        <v>5.8752354966543231E-3</v>
      </c>
      <c r="AC44" s="38">
        <f t="shared" si="5"/>
        <v>0.5</v>
      </c>
    </row>
    <row r="45" spans="1:29" x14ac:dyDescent="0.25">
      <c r="A45" t="s">
        <v>32</v>
      </c>
      <c r="B45" s="34"/>
      <c r="C45" s="34">
        <v>1</v>
      </c>
      <c r="D45" s="34"/>
      <c r="E45" s="34"/>
      <c r="F45" s="40"/>
      <c r="G45" s="34"/>
      <c r="H45" s="34">
        <v>1</v>
      </c>
      <c r="I45" s="34"/>
      <c r="J45" s="34"/>
      <c r="K45" s="40"/>
      <c r="L45" s="34"/>
      <c r="M45" s="34">
        <v>1</v>
      </c>
      <c r="N45" s="34"/>
      <c r="O45" s="34"/>
      <c r="P45" s="40"/>
      <c r="Q45" s="34">
        <v>6</v>
      </c>
      <c r="R45" s="34">
        <v>69</v>
      </c>
      <c r="S45" s="34">
        <v>49</v>
      </c>
      <c r="T45" s="34">
        <v>3</v>
      </c>
      <c r="U45" s="40"/>
      <c r="V45" s="34">
        <v>2</v>
      </c>
      <c r="W45" s="34">
        <v>8</v>
      </c>
      <c r="X45" s="34">
        <v>9</v>
      </c>
      <c r="Y45" s="34">
        <v>1</v>
      </c>
      <c r="Z45" s="40"/>
      <c r="AA45" s="34">
        <f t="shared" si="3"/>
        <v>8</v>
      </c>
      <c r="AB45" s="38">
        <f t="shared" si="4"/>
        <v>4.9491369594875136E-3</v>
      </c>
      <c r="AC45" s="38">
        <f t="shared" si="5"/>
        <v>0.5</v>
      </c>
    </row>
    <row r="46" spans="1:29" x14ac:dyDescent="0.25">
      <c r="A46" t="s">
        <v>21</v>
      </c>
      <c r="B46" s="34"/>
      <c r="C46" s="34">
        <v>1</v>
      </c>
      <c r="D46" s="34"/>
      <c r="E46" s="34"/>
      <c r="F46" s="40"/>
      <c r="G46" s="34">
        <v>4</v>
      </c>
      <c r="H46" s="34">
        <v>4</v>
      </c>
      <c r="I46" s="34">
        <v>0</v>
      </c>
      <c r="J46" s="34">
        <v>3</v>
      </c>
      <c r="K46" s="40"/>
      <c r="L46" s="34">
        <v>4</v>
      </c>
      <c r="M46" s="34">
        <v>22</v>
      </c>
      <c r="N46" s="34">
        <v>19</v>
      </c>
      <c r="O46" s="34">
        <v>1</v>
      </c>
      <c r="P46" s="40"/>
      <c r="Q46" s="34">
        <v>1</v>
      </c>
      <c r="R46" s="34">
        <v>1</v>
      </c>
      <c r="S46" s="34">
        <v>1</v>
      </c>
      <c r="T46" s="34">
        <v>1</v>
      </c>
      <c r="U46" s="40"/>
      <c r="V46" s="34">
        <v>1</v>
      </c>
      <c r="W46" s="34">
        <v>1</v>
      </c>
      <c r="X46" s="34">
        <v>0</v>
      </c>
      <c r="Y46" s="34">
        <v>1</v>
      </c>
      <c r="Z46" s="40"/>
      <c r="AA46" s="34">
        <f t="shared" si="3"/>
        <v>10</v>
      </c>
      <c r="AB46" s="38">
        <f t="shared" si="4"/>
        <v>4.9299268262433336E-3</v>
      </c>
      <c r="AC46" s="38">
        <f t="shared" si="5"/>
        <v>0.6</v>
      </c>
    </row>
    <row r="47" spans="1:29" x14ac:dyDescent="0.25">
      <c r="A47" t="s">
        <v>10</v>
      </c>
      <c r="B47" s="34"/>
      <c r="C47" s="34">
        <v>1</v>
      </c>
      <c r="D47" s="34"/>
      <c r="E47" s="34"/>
      <c r="F47" s="40"/>
      <c r="G47" s="34">
        <v>5</v>
      </c>
      <c r="H47" s="34">
        <v>118</v>
      </c>
      <c r="I47" s="34">
        <v>77</v>
      </c>
      <c r="J47" s="34">
        <v>1</v>
      </c>
      <c r="K47" s="40"/>
      <c r="L47" s="34">
        <v>3</v>
      </c>
      <c r="M47" s="34">
        <v>15</v>
      </c>
      <c r="N47" s="34">
        <v>3</v>
      </c>
      <c r="O47" s="34">
        <v>1</v>
      </c>
      <c r="P47" s="40"/>
      <c r="Q47" s="34"/>
      <c r="R47" s="34">
        <v>1</v>
      </c>
      <c r="S47" s="34"/>
      <c r="T47" s="34"/>
      <c r="U47" s="40"/>
      <c r="V47" s="34"/>
      <c r="W47" s="34">
        <v>1</v>
      </c>
      <c r="X47" s="34"/>
      <c r="Y47" s="34"/>
      <c r="Z47" s="40"/>
      <c r="AA47" s="34">
        <f t="shared" si="3"/>
        <v>8</v>
      </c>
      <c r="AB47" s="38">
        <f t="shared" si="4"/>
        <v>4.0459453834948093E-3</v>
      </c>
      <c r="AC47" s="38">
        <f t="shared" si="5"/>
        <v>0.25</v>
      </c>
    </row>
    <row r="48" spans="1:29" x14ac:dyDescent="0.25">
      <c r="A48" t="s">
        <v>78</v>
      </c>
      <c r="B48" s="34">
        <v>5</v>
      </c>
      <c r="C48" s="34">
        <v>9</v>
      </c>
      <c r="D48" s="34">
        <v>2</v>
      </c>
      <c r="E48" s="34">
        <v>3</v>
      </c>
      <c r="F48" s="40"/>
      <c r="G48" s="34"/>
      <c r="H48" s="34">
        <v>1</v>
      </c>
      <c r="I48" s="34"/>
      <c r="J48" s="34"/>
      <c r="K48" s="40"/>
      <c r="L48" s="34">
        <v>4</v>
      </c>
      <c r="M48" s="34">
        <v>4</v>
      </c>
      <c r="N48" s="34">
        <v>1</v>
      </c>
      <c r="O48" s="34">
        <v>3</v>
      </c>
      <c r="P48" s="40"/>
      <c r="Q48" s="34"/>
      <c r="R48" s="34">
        <v>1</v>
      </c>
      <c r="S48" s="34"/>
      <c r="T48" s="34"/>
      <c r="U48" s="40"/>
      <c r="V48" s="34"/>
      <c r="W48" s="34">
        <v>1</v>
      </c>
      <c r="X48" s="34"/>
      <c r="Y48" s="34"/>
      <c r="Z48" s="40"/>
      <c r="AA48" s="34">
        <f t="shared" si="3"/>
        <v>9</v>
      </c>
      <c r="AB48" s="38">
        <f t="shared" si="4"/>
        <v>3.7896013339396694E-3</v>
      </c>
      <c r="AC48" s="38">
        <f t="shared" si="5"/>
        <v>0.66666666666666663</v>
      </c>
    </row>
    <row r="49" spans="1:29" x14ac:dyDescent="0.25">
      <c r="A49" t="s">
        <v>23</v>
      </c>
      <c r="B49" s="34"/>
      <c r="C49" s="34">
        <v>1</v>
      </c>
      <c r="D49" s="34"/>
      <c r="E49" s="34"/>
      <c r="F49" s="40"/>
      <c r="G49" s="34">
        <v>2</v>
      </c>
      <c r="H49" s="34">
        <v>48</v>
      </c>
      <c r="I49" s="34">
        <v>104</v>
      </c>
      <c r="J49" s="34">
        <v>1</v>
      </c>
      <c r="K49" s="40"/>
      <c r="L49" s="34">
        <v>1</v>
      </c>
      <c r="M49" s="34">
        <v>121</v>
      </c>
      <c r="N49" s="34">
        <v>314</v>
      </c>
      <c r="O49" s="34">
        <v>0</v>
      </c>
      <c r="P49" s="40"/>
      <c r="Q49" s="34"/>
      <c r="R49" s="34">
        <v>1</v>
      </c>
      <c r="S49" s="34"/>
      <c r="T49" s="34"/>
      <c r="U49" s="40"/>
      <c r="V49" s="34"/>
      <c r="W49" s="34">
        <v>1</v>
      </c>
      <c r="X49" s="34"/>
      <c r="Y49" s="34"/>
      <c r="Z49" s="40"/>
      <c r="AA49" s="34">
        <f t="shared" si="3"/>
        <v>3</v>
      </c>
      <c r="AB49" s="38">
        <f t="shared" si="4"/>
        <v>3.3862123655004719E-3</v>
      </c>
      <c r="AC49" s="38">
        <f t="shared" si="5"/>
        <v>0.33333333333333331</v>
      </c>
    </row>
    <row r="50" spans="1:29" x14ac:dyDescent="0.25">
      <c r="A50" t="s">
        <v>9</v>
      </c>
      <c r="B50" s="34"/>
      <c r="C50" s="34">
        <v>1</v>
      </c>
      <c r="D50" s="34"/>
      <c r="E50" s="34"/>
      <c r="F50" s="40"/>
      <c r="G50" s="34"/>
      <c r="H50" s="34">
        <v>1</v>
      </c>
      <c r="I50" s="34"/>
      <c r="J50" s="34"/>
      <c r="K50" s="40"/>
      <c r="L50" s="34"/>
      <c r="M50" s="34">
        <v>1</v>
      </c>
      <c r="N50" s="34"/>
      <c r="O50" s="34"/>
      <c r="P50" s="40"/>
      <c r="Q50" s="34"/>
      <c r="R50" s="34">
        <v>1</v>
      </c>
      <c r="S50" s="34"/>
      <c r="T50" s="34"/>
      <c r="U50" s="40"/>
      <c r="V50" s="34">
        <v>9</v>
      </c>
      <c r="W50" s="34">
        <v>14</v>
      </c>
      <c r="X50" s="34">
        <v>1</v>
      </c>
      <c r="Y50" s="34">
        <v>3</v>
      </c>
      <c r="Z50" s="40"/>
      <c r="AA50" s="34">
        <f t="shared" si="3"/>
        <v>9</v>
      </c>
      <c r="AB50" s="38">
        <f t="shared" si="4"/>
        <v>3.2888325862404986E-3</v>
      </c>
      <c r="AC50" s="38">
        <f t="shared" si="5"/>
        <v>0.33333333333333331</v>
      </c>
    </row>
    <row r="51" spans="1:29" x14ac:dyDescent="0.25">
      <c r="A51" t="s">
        <v>177</v>
      </c>
      <c r="B51" s="34"/>
      <c r="C51" s="34">
        <v>1</v>
      </c>
      <c r="D51" s="34"/>
      <c r="E51" s="34"/>
      <c r="F51" s="40"/>
      <c r="G51" s="34"/>
      <c r="H51" s="34">
        <v>1</v>
      </c>
      <c r="I51" s="34"/>
      <c r="J51" s="34"/>
      <c r="K51" s="40"/>
      <c r="L51" s="34">
        <v>3</v>
      </c>
      <c r="M51" s="34">
        <v>3</v>
      </c>
      <c r="N51" s="34">
        <v>3</v>
      </c>
      <c r="O51" s="34">
        <v>0</v>
      </c>
      <c r="P51" s="40"/>
      <c r="Q51" s="34">
        <v>1</v>
      </c>
      <c r="R51" s="34">
        <v>1</v>
      </c>
      <c r="S51" s="34">
        <v>0</v>
      </c>
      <c r="T51" s="34">
        <v>1</v>
      </c>
      <c r="U51" s="40"/>
      <c r="V51" s="34"/>
      <c r="W51" s="34">
        <v>1</v>
      </c>
      <c r="X51" s="34"/>
      <c r="Y51" s="34"/>
      <c r="Z51" s="40"/>
      <c r="AA51" s="34">
        <f t="shared" si="3"/>
        <v>4</v>
      </c>
      <c r="AB51" s="38">
        <f t="shared" si="4"/>
        <v>2.3874488403819918E-3</v>
      </c>
      <c r="AC51" s="38">
        <f t="shared" si="5"/>
        <v>0.25</v>
      </c>
    </row>
    <row r="52" spans="1:29" x14ac:dyDescent="0.25">
      <c r="A52" t="s">
        <v>93</v>
      </c>
      <c r="B52" s="34">
        <v>1</v>
      </c>
      <c r="C52" s="34">
        <v>1</v>
      </c>
      <c r="D52" s="34">
        <v>1</v>
      </c>
      <c r="E52" s="34">
        <v>0</v>
      </c>
      <c r="F52" s="40"/>
      <c r="G52" s="34"/>
      <c r="H52" s="34">
        <v>1</v>
      </c>
      <c r="I52" s="34"/>
      <c r="J52" s="34"/>
      <c r="K52" s="40"/>
      <c r="L52" s="34">
        <v>3</v>
      </c>
      <c r="M52" s="34">
        <v>3</v>
      </c>
      <c r="N52" s="34">
        <v>0</v>
      </c>
      <c r="O52" s="34">
        <v>2</v>
      </c>
      <c r="P52" s="40"/>
      <c r="Q52" s="34">
        <v>1</v>
      </c>
      <c r="R52" s="34">
        <v>2</v>
      </c>
      <c r="S52" s="34">
        <v>0</v>
      </c>
      <c r="T52" s="34">
        <v>1</v>
      </c>
      <c r="U52" s="40"/>
      <c r="V52" s="34"/>
      <c r="W52" s="34">
        <v>1</v>
      </c>
      <c r="X52" s="34"/>
      <c r="Y52" s="34"/>
      <c r="Z52" s="40"/>
      <c r="AA52" s="34">
        <f t="shared" si="3"/>
        <v>5</v>
      </c>
      <c r="AB52" s="38">
        <f t="shared" si="4"/>
        <v>2.0463847203274215E-3</v>
      </c>
      <c r="AC52" s="38">
        <f t="shared" si="5"/>
        <v>0.6</v>
      </c>
    </row>
    <row r="53" spans="1:29" x14ac:dyDescent="0.25">
      <c r="A53" t="s">
        <v>96</v>
      </c>
      <c r="B53" s="34">
        <v>2</v>
      </c>
      <c r="C53" s="34">
        <v>2</v>
      </c>
      <c r="D53" s="34">
        <v>2</v>
      </c>
      <c r="E53" s="34">
        <v>2</v>
      </c>
      <c r="F53" s="40"/>
      <c r="G53" s="34"/>
      <c r="H53" s="34">
        <v>1</v>
      </c>
      <c r="I53" s="34"/>
      <c r="J53" s="34"/>
      <c r="K53" s="40"/>
      <c r="L53" s="34"/>
      <c r="M53" s="34">
        <v>1</v>
      </c>
      <c r="N53" s="34"/>
      <c r="O53" s="34"/>
      <c r="P53" s="40"/>
      <c r="Q53" s="34">
        <v>1</v>
      </c>
      <c r="R53" s="34">
        <v>1</v>
      </c>
      <c r="S53" s="34">
        <v>0</v>
      </c>
      <c r="T53" s="34">
        <v>1</v>
      </c>
      <c r="U53" s="40"/>
      <c r="V53" s="34"/>
      <c r="W53" s="34">
        <v>1</v>
      </c>
      <c r="X53" s="34"/>
      <c r="Y53" s="34"/>
      <c r="Z53" s="40"/>
      <c r="AA53" s="34">
        <f t="shared" si="3"/>
        <v>3</v>
      </c>
      <c r="AB53" s="38">
        <f t="shared" si="4"/>
        <v>1.7053206002728514E-3</v>
      </c>
      <c r="AC53" s="38">
        <f t="shared" si="5"/>
        <v>1</v>
      </c>
    </row>
    <row r="54" spans="1:29" x14ac:dyDescent="0.25">
      <c r="A54" t="s">
        <v>17</v>
      </c>
      <c r="B54" s="34"/>
      <c r="C54" s="34">
        <v>1</v>
      </c>
      <c r="D54" s="34"/>
      <c r="E54" s="34"/>
      <c r="F54" s="40"/>
      <c r="G54" s="34">
        <v>3</v>
      </c>
      <c r="H54" s="34">
        <v>63</v>
      </c>
      <c r="I54" s="34">
        <v>30</v>
      </c>
      <c r="J54" s="34">
        <v>2</v>
      </c>
      <c r="K54" s="40"/>
      <c r="L54" s="34"/>
      <c r="M54" s="34">
        <v>1</v>
      </c>
      <c r="N54" s="34"/>
      <c r="O54" s="34"/>
      <c r="P54" s="40"/>
      <c r="Q54" s="34"/>
      <c r="R54" s="34">
        <v>1</v>
      </c>
      <c r="S54" s="34"/>
      <c r="T54" s="34"/>
      <c r="U54" s="40"/>
      <c r="V54" s="34"/>
      <c r="W54" s="34">
        <v>1</v>
      </c>
      <c r="X54" s="34"/>
      <c r="Y54" s="34"/>
      <c r="Z54" s="40"/>
      <c r="AA54" s="34">
        <f t="shared" si="3"/>
        <v>3</v>
      </c>
      <c r="AB54" s="38">
        <f t="shared" si="4"/>
        <v>1.5104268173845256E-3</v>
      </c>
      <c r="AC54" s="38">
        <f t="shared" si="5"/>
        <v>0.66666666666666663</v>
      </c>
    </row>
    <row r="55" spans="1:29" x14ac:dyDescent="0.25">
      <c r="A55" t="s">
        <v>253</v>
      </c>
      <c r="B55" s="34">
        <v>2</v>
      </c>
      <c r="C55" s="34">
        <v>2</v>
      </c>
      <c r="D55" s="34">
        <v>2</v>
      </c>
      <c r="E55" s="34">
        <v>1</v>
      </c>
      <c r="F55" s="40"/>
      <c r="G55" s="34"/>
      <c r="H55" s="34">
        <v>1</v>
      </c>
      <c r="I55" s="34"/>
      <c r="J55" s="34"/>
      <c r="K55" s="40"/>
      <c r="L55" s="34"/>
      <c r="M55" s="34">
        <v>1</v>
      </c>
      <c r="N55" s="34"/>
      <c r="O55" s="34"/>
      <c r="P55" s="40"/>
      <c r="Q55" s="34"/>
      <c r="R55" s="34">
        <v>1</v>
      </c>
      <c r="S55" s="34"/>
      <c r="T55" s="34"/>
      <c r="U55" s="40"/>
      <c r="V55" s="34"/>
      <c r="W55" s="34">
        <v>1</v>
      </c>
      <c r="X55" s="34"/>
      <c r="Y55" s="34"/>
      <c r="Z55" s="40"/>
      <c r="AA55" s="34">
        <f t="shared" si="3"/>
        <v>2</v>
      </c>
      <c r="AB55" s="38">
        <f t="shared" si="4"/>
        <v>1.364256480218281E-3</v>
      </c>
      <c r="AC55" s="38">
        <f t="shared" si="5"/>
        <v>0.5</v>
      </c>
    </row>
    <row r="56" spans="1:29" x14ac:dyDescent="0.25">
      <c r="A56" t="s">
        <v>86</v>
      </c>
      <c r="B56" s="34">
        <v>2</v>
      </c>
      <c r="C56" s="34">
        <v>2</v>
      </c>
      <c r="D56" s="34">
        <v>2</v>
      </c>
      <c r="E56" s="34">
        <v>0</v>
      </c>
      <c r="F56" s="40"/>
      <c r="G56" s="34"/>
      <c r="H56" s="34">
        <v>1</v>
      </c>
      <c r="I56" s="34"/>
      <c r="J56" s="34"/>
      <c r="K56" s="40"/>
      <c r="L56" s="34"/>
      <c r="M56" s="34">
        <v>1</v>
      </c>
      <c r="N56" s="34"/>
      <c r="O56" s="34"/>
      <c r="P56" s="40"/>
      <c r="Q56" s="34"/>
      <c r="R56" s="34">
        <v>1</v>
      </c>
      <c r="S56" s="34"/>
      <c r="T56" s="34"/>
      <c r="U56" s="40"/>
      <c r="V56" s="34"/>
      <c r="W56" s="34">
        <v>1</v>
      </c>
      <c r="X56" s="34"/>
      <c r="Y56" s="34"/>
      <c r="Z56" s="40"/>
      <c r="AA56" s="34">
        <f t="shared" si="3"/>
        <v>2</v>
      </c>
      <c r="AB56" s="38">
        <f t="shared" si="4"/>
        <v>1.364256480218281E-3</v>
      </c>
      <c r="AC56" s="38">
        <f t="shared" si="5"/>
        <v>0</v>
      </c>
    </row>
    <row r="57" spans="1:29" x14ac:dyDescent="0.25">
      <c r="A57" t="s">
        <v>11</v>
      </c>
      <c r="B57" s="34">
        <v>2</v>
      </c>
      <c r="C57" s="34">
        <v>194</v>
      </c>
      <c r="D57" s="34">
        <v>173</v>
      </c>
      <c r="E57" s="34">
        <v>1</v>
      </c>
      <c r="F57" s="40"/>
      <c r="G57" s="34"/>
      <c r="H57" s="34">
        <v>1</v>
      </c>
      <c r="I57" s="34"/>
      <c r="J57" s="34"/>
      <c r="K57" s="40"/>
      <c r="L57" s="34"/>
      <c r="M57" s="34">
        <v>1</v>
      </c>
      <c r="N57" s="34"/>
      <c r="O57" s="34"/>
      <c r="P57" s="40"/>
      <c r="Q57" s="34"/>
      <c r="R57" s="34">
        <v>1</v>
      </c>
      <c r="S57" s="34"/>
      <c r="T57" s="34"/>
      <c r="U57" s="40"/>
      <c r="V57" s="34"/>
      <c r="W57" s="34">
        <v>1</v>
      </c>
      <c r="X57" s="34"/>
      <c r="Y57" s="34"/>
      <c r="Z57" s="40"/>
      <c r="AA57" s="34">
        <f t="shared" si="3"/>
        <v>2</v>
      </c>
      <c r="AB57" s="38">
        <f t="shared" si="4"/>
        <v>1.2904178562889411E-3</v>
      </c>
      <c r="AC57" s="38">
        <f t="shared" si="5"/>
        <v>0.5</v>
      </c>
    </row>
    <row r="58" spans="1:29" x14ac:dyDescent="0.25">
      <c r="A58" t="s">
        <v>261</v>
      </c>
      <c r="B58" s="34"/>
      <c r="C58" s="34">
        <v>1</v>
      </c>
      <c r="D58" s="34"/>
      <c r="E58" s="34"/>
      <c r="F58" s="40"/>
      <c r="G58" s="34"/>
      <c r="H58" s="34">
        <v>1</v>
      </c>
      <c r="I58" s="34"/>
      <c r="J58" s="34"/>
      <c r="K58" s="40"/>
      <c r="L58" s="34"/>
      <c r="M58" s="34">
        <v>1</v>
      </c>
      <c r="N58" s="34"/>
      <c r="O58" s="34"/>
      <c r="P58" s="40"/>
      <c r="Q58" s="34"/>
      <c r="R58" s="34">
        <v>1</v>
      </c>
      <c r="S58" s="34"/>
      <c r="T58" s="34"/>
      <c r="U58" s="40"/>
      <c r="V58" s="34">
        <v>3</v>
      </c>
      <c r="W58" s="34">
        <v>17</v>
      </c>
      <c r="X58" s="34">
        <v>2</v>
      </c>
      <c r="Y58" s="34">
        <v>1</v>
      </c>
      <c r="Z58" s="40"/>
      <c r="AA58" s="34">
        <f t="shared" si="3"/>
        <v>3</v>
      </c>
      <c r="AB58" s="38">
        <f t="shared" si="4"/>
        <v>1.1435679319476769E-3</v>
      </c>
      <c r="AC58" s="38">
        <f t="shared" si="5"/>
        <v>0.33333333333333331</v>
      </c>
    </row>
    <row r="59" spans="1:29" x14ac:dyDescent="0.25">
      <c r="A59" t="s">
        <v>255</v>
      </c>
      <c r="B59" s="34"/>
      <c r="C59" s="34">
        <v>1</v>
      </c>
      <c r="D59" s="34"/>
      <c r="E59" s="34"/>
      <c r="F59" s="40"/>
      <c r="G59" s="34"/>
      <c r="H59" s="34">
        <v>1</v>
      </c>
      <c r="I59" s="34"/>
      <c r="J59" s="34"/>
      <c r="K59" s="40"/>
      <c r="L59" s="34">
        <v>2</v>
      </c>
      <c r="M59" s="34">
        <v>2</v>
      </c>
      <c r="N59" s="34">
        <v>0</v>
      </c>
      <c r="O59" s="34">
        <v>1</v>
      </c>
      <c r="P59" s="40"/>
      <c r="Q59" s="34">
        <v>1</v>
      </c>
      <c r="R59" s="34">
        <v>1</v>
      </c>
      <c r="S59" s="34">
        <v>0</v>
      </c>
      <c r="T59" s="34">
        <v>0</v>
      </c>
      <c r="U59" s="40"/>
      <c r="V59" s="34"/>
      <c r="W59" s="34">
        <v>1</v>
      </c>
      <c r="X59" s="34"/>
      <c r="Y59" s="34"/>
      <c r="Z59" s="40"/>
      <c r="AA59" s="34">
        <f t="shared" si="3"/>
        <v>3</v>
      </c>
      <c r="AB59" s="38">
        <f t="shared" si="4"/>
        <v>1.0231923601637107E-3</v>
      </c>
      <c r="AC59" s="38">
        <f t="shared" si="5"/>
        <v>0.33333333333333331</v>
      </c>
    </row>
    <row r="60" spans="1:29" x14ac:dyDescent="0.25">
      <c r="A60" t="s">
        <v>99</v>
      </c>
      <c r="B60" s="34"/>
      <c r="C60" s="34">
        <v>1</v>
      </c>
      <c r="D60" s="34"/>
      <c r="E60" s="34"/>
      <c r="F60" s="40"/>
      <c r="G60" s="34"/>
      <c r="H60" s="34">
        <v>1</v>
      </c>
      <c r="I60" s="34"/>
      <c r="J60" s="34"/>
      <c r="K60" s="40"/>
      <c r="L60" s="34">
        <v>2</v>
      </c>
      <c r="M60" s="34">
        <v>2</v>
      </c>
      <c r="N60" s="34">
        <v>0</v>
      </c>
      <c r="O60" s="34">
        <v>2</v>
      </c>
      <c r="P60" s="40"/>
      <c r="Q60" s="34"/>
      <c r="R60" s="34">
        <v>1</v>
      </c>
      <c r="S60" s="34"/>
      <c r="T60" s="34"/>
      <c r="U60" s="40"/>
      <c r="V60" s="34">
        <v>1</v>
      </c>
      <c r="W60" s="34">
        <v>1</v>
      </c>
      <c r="X60" s="34">
        <v>0</v>
      </c>
      <c r="Y60" s="34">
        <v>0</v>
      </c>
      <c r="Z60" s="40"/>
      <c r="AA60" s="34">
        <f t="shared" si="3"/>
        <v>3</v>
      </c>
      <c r="AB60" s="38">
        <f t="shared" si="4"/>
        <v>1.0231923601637107E-3</v>
      </c>
      <c r="AC60" s="38">
        <f t="shared" si="5"/>
        <v>0.66666666666666663</v>
      </c>
    </row>
    <row r="61" spans="1:29" x14ac:dyDescent="0.25">
      <c r="A61" t="s">
        <v>254</v>
      </c>
      <c r="B61" s="34"/>
      <c r="C61" s="34">
        <v>1</v>
      </c>
      <c r="D61" s="34"/>
      <c r="E61" s="34"/>
      <c r="F61" s="40"/>
      <c r="G61" s="34">
        <v>1</v>
      </c>
      <c r="H61" s="34">
        <v>1</v>
      </c>
      <c r="I61" s="34">
        <v>0</v>
      </c>
      <c r="J61" s="34">
        <v>0</v>
      </c>
      <c r="K61" s="40"/>
      <c r="L61" s="34"/>
      <c r="M61" s="34">
        <v>1</v>
      </c>
      <c r="N61" s="34"/>
      <c r="O61" s="34"/>
      <c r="P61" s="40"/>
      <c r="Q61" s="34"/>
      <c r="R61" s="34">
        <v>1</v>
      </c>
      <c r="S61" s="34"/>
      <c r="T61" s="34"/>
      <c r="U61" s="40"/>
      <c r="V61" s="34"/>
      <c r="W61" s="34">
        <v>1</v>
      </c>
      <c r="X61" s="34"/>
      <c r="Y61" s="34"/>
      <c r="Z61" s="40"/>
      <c r="AA61" s="34">
        <f t="shared" si="3"/>
        <v>1</v>
      </c>
      <c r="AB61" s="38">
        <f t="shared" si="4"/>
        <v>3.4106412005457026E-4</v>
      </c>
      <c r="AC61" s="38">
        <f t="shared" si="5"/>
        <v>0</v>
      </c>
    </row>
    <row r="62" spans="1:29" x14ac:dyDescent="0.25">
      <c r="A62" t="s">
        <v>40</v>
      </c>
      <c r="B62" s="34">
        <v>1</v>
      </c>
      <c r="C62" s="34">
        <v>1</v>
      </c>
      <c r="D62" s="34">
        <v>0</v>
      </c>
      <c r="E62" s="34">
        <v>0</v>
      </c>
      <c r="F62" s="40"/>
      <c r="G62" s="34"/>
      <c r="H62" s="34">
        <v>1</v>
      </c>
      <c r="I62" s="34"/>
      <c r="J62" s="34"/>
      <c r="K62" s="40"/>
      <c r="L62" s="34"/>
      <c r="M62" s="34">
        <v>1</v>
      </c>
      <c r="N62" s="34"/>
      <c r="O62" s="34"/>
      <c r="P62" s="40"/>
      <c r="Q62" s="34"/>
      <c r="R62" s="34">
        <v>1</v>
      </c>
      <c r="S62" s="34"/>
      <c r="T62" s="34"/>
      <c r="U62" s="40"/>
      <c r="V62" s="34"/>
      <c r="W62" s="34">
        <v>1</v>
      </c>
      <c r="X62" s="34"/>
      <c r="Y62" s="34"/>
      <c r="Z62" s="40"/>
      <c r="AA62" s="34">
        <f t="shared" si="3"/>
        <v>1</v>
      </c>
      <c r="AB62" s="38">
        <f t="shared" si="4"/>
        <v>3.4106412005457026E-4</v>
      </c>
      <c r="AC62" s="38">
        <f t="shared" si="5"/>
        <v>0</v>
      </c>
    </row>
    <row r="63" spans="1:29" x14ac:dyDescent="0.25">
      <c r="B63" s="34"/>
      <c r="C63" s="34">
        <v>1</v>
      </c>
      <c r="D63" s="34"/>
      <c r="E63" s="34"/>
      <c r="F63" s="40"/>
      <c r="G63" s="34"/>
      <c r="H63" s="34">
        <v>1</v>
      </c>
      <c r="I63" s="34"/>
      <c r="J63" s="34"/>
      <c r="K63" s="40"/>
      <c r="L63" s="34"/>
      <c r="M63" s="34">
        <v>1</v>
      </c>
      <c r="N63" s="34"/>
      <c r="O63" s="34"/>
      <c r="P63" s="40"/>
      <c r="Q63" s="34"/>
      <c r="R63" s="34">
        <v>1</v>
      </c>
      <c r="S63" s="34"/>
      <c r="T63" s="34"/>
      <c r="U63" s="40"/>
      <c r="V63" s="34"/>
      <c r="W63" s="34">
        <v>1</v>
      </c>
      <c r="X63" s="34"/>
      <c r="Y63" s="34"/>
      <c r="Z63" s="40"/>
      <c r="AA63" s="34">
        <f t="shared" ref="AA63:AA67" si="6">B63+G63+L63+Q63+V63</f>
        <v>0</v>
      </c>
      <c r="AB63" s="38">
        <f t="shared" ref="AB63:AB67" si="7">(AA63+(B63/C63*D63+G63/H63*I63+L63/M63*N63+Q63/R63*S63+V63/W63*X63))/($D$1+$I$1+$N$1+$S$1+$X$1)</f>
        <v>0</v>
      </c>
      <c r="AC63" s="38" t="e">
        <f t="shared" ref="AC63:AC69" si="8">(E63+J63+O63+T63+Y63)/(AA63)</f>
        <v>#DIV/0!</v>
      </c>
    </row>
    <row r="64" spans="1:29" x14ac:dyDescent="0.25">
      <c r="B64" s="34"/>
      <c r="C64" s="34">
        <v>1</v>
      </c>
      <c r="D64" s="34"/>
      <c r="E64" s="34"/>
      <c r="F64" s="40"/>
      <c r="G64" s="34"/>
      <c r="H64" s="34">
        <v>1</v>
      </c>
      <c r="I64" s="34"/>
      <c r="J64" s="34"/>
      <c r="K64" s="40"/>
      <c r="L64" s="34"/>
      <c r="M64" s="34">
        <v>1</v>
      </c>
      <c r="N64" s="34"/>
      <c r="O64" s="34"/>
      <c r="P64" s="40"/>
      <c r="Q64" s="34"/>
      <c r="R64" s="34">
        <v>1</v>
      </c>
      <c r="S64" s="34"/>
      <c r="T64" s="34"/>
      <c r="U64" s="40"/>
      <c r="V64" s="34"/>
      <c r="W64" s="34">
        <v>1</v>
      </c>
      <c r="X64" s="34"/>
      <c r="Y64" s="34"/>
      <c r="Z64" s="40"/>
      <c r="AA64" s="34">
        <f t="shared" si="6"/>
        <v>0</v>
      </c>
      <c r="AB64" s="38">
        <f t="shared" si="7"/>
        <v>0</v>
      </c>
      <c r="AC64" s="38" t="e">
        <f t="shared" si="8"/>
        <v>#DIV/0!</v>
      </c>
    </row>
    <row r="65" spans="2:29" x14ac:dyDescent="0.25">
      <c r="B65" s="34"/>
      <c r="C65" s="34">
        <v>1</v>
      </c>
      <c r="D65" s="34"/>
      <c r="E65" s="34"/>
      <c r="F65" s="40"/>
      <c r="G65" s="34"/>
      <c r="H65" s="34">
        <v>1</v>
      </c>
      <c r="I65" s="34"/>
      <c r="J65" s="34"/>
      <c r="K65" s="40"/>
      <c r="L65" s="34"/>
      <c r="M65" s="34">
        <v>1</v>
      </c>
      <c r="N65" s="34"/>
      <c r="O65" s="34"/>
      <c r="P65" s="40"/>
      <c r="Q65" s="34"/>
      <c r="R65" s="34">
        <v>1</v>
      </c>
      <c r="S65" s="34"/>
      <c r="T65" s="34"/>
      <c r="U65" s="40"/>
      <c r="V65" s="34"/>
      <c r="W65" s="34">
        <v>1</v>
      </c>
      <c r="X65" s="34"/>
      <c r="Y65" s="34"/>
      <c r="Z65" s="40"/>
      <c r="AA65" s="34">
        <f t="shared" si="6"/>
        <v>0</v>
      </c>
      <c r="AB65" s="38">
        <f t="shared" si="7"/>
        <v>0</v>
      </c>
      <c r="AC65" s="38" t="e">
        <f t="shared" si="8"/>
        <v>#DIV/0!</v>
      </c>
    </row>
    <row r="66" spans="2:29" x14ac:dyDescent="0.25">
      <c r="B66" s="34"/>
      <c r="C66" s="34">
        <v>1</v>
      </c>
      <c r="D66" s="34"/>
      <c r="E66" s="34"/>
      <c r="F66" s="40"/>
      <c r="G66" s="34"/>
      <c r="H66" s="34">
        <v>1</v>
      </c>
      <c r="I66" s="34"/>
      <c r="J66" s="34"/>
      <c r="K66" s="40"/>
      <c r="L66" s="34"/>
      <c r="M66" s="34">
        <v>1</v>
      </c>
      <c r="N66" s="34"/>
      <c r="O66" s="34"/>
      <c r="P66" s="40"/>
      <c r="Q66" s="34"/>
      <c r="R66" s="34">
        <v>1</v>
      </c>
      <c r="S66" s="34"/>
      <c r="T66" s="34"/>
      <c r="U66" s="40"/>
      <c r="V66" s="34"/>
      <c r="W66" s="34">
        <v>1</v>
      </c>
      <c r="X66" s="34"/>
      <c r="Y66" s="34"/>
      <c r="Z66" s="40"/>
      <c r="AA66" s="34">
        <f t="shared" si="6"/>
        <v>0</v>
      </c>
      <c r="AB66" s="38">
        <f t="shared" si="7"/>
        <v>0</v>
      </c>
      <c r="AC66" s="38" t="e">
        <f t="shared" si="8"/>
        <v>#DIV/0!</v>
      </c>
    </row>
    <row r="67" spans="2:29" x14ac:dyDescent="0.25">
      <c r="B67" s="34"/>
      <c r="C67" s="34">
        <v>1</v>
      </c>
      <c r="D67" s="34"/>
      <c r="E67" s="34"/>
      <c r="F67" s="40"/>
      <c r="G67" s="34"/>
      <c r="H67" s="34">
        <v>1</v>
      </c>
      <c r="I67" s="34"/>
      <c r="J67" s="34"/>
      <c r="K67" s="40"/>
      <c r="L67" s="34"/>
      <c r="M67" s="34">
        <v>1</v>
      </c>
      <c r="N67" s="34"/>
      <c r="O67" s="34"/>
      <c r="P67" s="40"/>
      <c r="Q67" s="34"/>
      <c r="R67" s="34">
        <v>1</v>
      </c>
      <c r="S67" s="34"/>
      <c r="T67" s="34"/>
      <c r="U67" s="40"/>
      <c r="V67" s="34"/>
      <c r="W67" s="34">
        <v>1</v>
      </c>
      <c r="X67" s="34"/>
      <c r="Y67" s="34"/>
      <c r="Z67" s="40"/>
      <c r="AA67" s="34">
        <f t="shared" si="6"/>
        <v>0</v>
      </c>
      <c r="AB67" s="38">
        <f t="shared" si="7"/>
        <v>0</v>
      </c>
      <c r="AC67" s="38" t="e">
        <f t="shared" si="8"/>
        <v>#DIV/0!</v>
      </c>
    </row>
    <row r="68" spans="2:29" x14ac:dyDescent="0.25">
      <c r="B68" s="34"/>
      <c r="C68" s="34">
        <v>1</v>
      </c>
      <c r="D68" s="34"/>
      <c r="E68" s="34"/>
      <c r="F68" s="40"/>
      <c r="G68" s="34"/>
      <c r="H68" s="34">
        <v>1</v>
      </c>
      <c r="I68" s="34"/>
      <c r="J68" s="34"/>
      <c r="K68" s="40"/>
      <c r="L68" s="34"/>
      <c r="M68" s="34">
        <v>1</v>
      </c>
      <c r="N68" s="34"/>
      <c r="O68" s="34"/>
      <c r="P68" s="40"/>
      <c r="Q68" s="34"/>
      <c r="R68" s="34">
        <v>1</v>
      </c>
      <c r="S68" s="34"/>
      <c r="T68" s="34"/>
      <c r="U68" s="40"/>
      <c r="V68" s="34"/>
      <c r="W68" s="34">
        <v>1</v>
      </c>
      <c r="X68" s="34"/>
      <c r="Y68" s="34"/>
      <c r="Z68" s="40"/>
      <c r="AA68" s="34">
        <f t="shared" ref="AA68:AA72" si="9">B68+G68+L68+Q68+V68</f>
        <v>0</v>
      </c>
      <c r="AB68" s="38">
        <f t="shared" ref="AB68:AB72" si="10">(AA68+(B68/C68*D68+G68/H68*I68+L68/M68*N68+Q68/R68*S68+V68/W68*X68))/($D$1+$I$1+$N$1+$S$1+$X$1)</f>
        <v>0</v>
      </c>
      <c r="AC68" s="38" t="e">
        <f t="shared" si="8"/>
        <v>#DIV/0!</v>
      </c>
    </row>
    <row r="69" spans="2:29" x14ac:dyDescent="0.25">
      <c r="B69" s="34"/>
      <c r="C69" s="34">
        <v>1</v>
      </c>
      <c r="D69" s="34"/>
      <c r="E69" s="34"/>
      <c r="F69" s="40"/>
      <c r="G69" s="34"/>
      <c r="H69" s="34">
        <v>1</v>
      </c>
      <c r="I69" s="34"/>
      <c r="J69" s="34"/>
      <c r="K69" s="40"/>
      <c r="L69" s="34"/>
      <c r="M69" s="34">
        <v>1</v>
      </c>
      <c r="N69" s="34"/>
      <c r="O69" s="34"/>
      <c r="P69" s="40"/>
      <c r="Q69" s="34"/>
      <c r="R69" s="34">
        <v>1</v>
      </c>
      <c r="S69" s="34"/>
      <c r="T69" s="34"/>
      <c r="U69" s="40"/>
      <c r="V69" s="34"/>
      <c r="W69" s="34">
        <v>1</v>
      </c>
      <c r="X69" s="34"/>
      <c r="Y69" s="34"/>
      <c r="Z69" s="40"/>
      <c r="AA69" s="34">
        <f t="shared" si="9"/>
        <v>0</v>
      </c>
      <c r="AB69" s="38">
        <f t="shared" si="10"/>
        <v>0</v>
      </c>
      <c r="AC69" s="38" t="e">
        <f t="shared" si="8"/>
        <v>#DIV/0!</v>
      </c>
    </row>
    <row r="70" spans="2:29" x14ac:dyDescent="0.25">
      <c r="B70" s="34"/>
      <c r="C70" s="34">
        <v>1</v>
      </c>
      <c r="D70" s="34"/>
      <c r="E70" s="34"/>
      <c r="F70" s="40"/>
      <c r="G70" s="34"/>
      <c r="H70" s="34">
        <v>1</v>
      </c>
      <c r="I70" s="34"/>
      <c r="J70" s="34"/>
      <c r="K70" s="40"/>
      <c r="L70" s="34"/>
      <c r="M70" s="34">
        <v>1</v>
      </c>
      <c r="N70" s="34"/>
      <c r="O70" s="34"/>
      <c r="P70" s="40"/>
      <c r="Q70" s="34"/>
      <c r="R70" s="34">
        <v>1</v>
      </c>
      <c r="S70" s="34"/>
      <c r="T70" s="34"/>
      <c r="U70" s="40"/>
      <c r="V70" s="34"/>
      <c r="W70" s="34">
        <v>1</v>
      </c>
      <c r="X70" s="34"/>
      <c r="Y70" s="34"/>
      <c r="Z70" s="40"/>
      <c r="AA70" s="34">
        <f t="shared" si="9"/>
        <v>0</v>
      </c>
      <c r="AB70" s="38">
        <f t="shared" si="10"/>
        <v>0</v>
      </c>
      <c r="AC70" s="38" t="e">
        <f t="shared" ref="AC70:AC72" si="11">(E70+J70+O70+T70+Y70)/(AA70)</f>
        <v>#DIV/0!</v>
      </c>
    </row>
    <row r="71" spans="2:29" x14ac:dyDescent="0.25">
      <c r="B71" s="34"/>
      <c r="C71" s="34">
        <v>1</v>
      </c>
      <c r="D71" s="34"/>
      <c r="E71" s="34"/>
      <c r="F71" s="40"/>
      <c r="G71" s="34"/>
      <c r="H71" s="34">
        <v>1</v>
      </c>
      <c r="I71" s="34"/>
      <c r="J71" s="34"/>
      <c r="K71" s="40"/>
      <c r="L71" s="34"/>
      <c r="M71" s="34">
        <v>1</v>
      </c>
      <c r="N71" s="34"/>
      <c r="O71" s="34"/>
      <c r="P71" s="40"/>
      <c r="Q71" s="34"/>
      <c r="R71" s="34">
        <v>1</v>
      </c>
      <c r="S71" s="34"/>
      <c r="T71" s="34"/>
      <c r="U71" s="40"/>
      <c r="V71" s="34"/>
      <c r="W71" s="34">
        <v>1</v>
      </c>
      <c r="X71" s="34"/>
      <c r="Y71" s="34"/>
      <c r="Z71" s="40"/>
      <c r="AA71" s="34">
        <f t="shared" si="9"/>
        <v>0</v>
      </c>
      <c r="AB71" s="38">
        <f t="shared" si="10"/>
        <v>0</v>
      </c>
      <c r="AC71" s="38" t="e">
        <f t="shared" si="11"/>
        <v>#DIV/0!</v>
      </c>
    </row>
    <row r="72" spans="2:29" x14ac:dyDescent="0.25">
      <c r="B72" s="34"/>
      <c r="C72" s="34"/>
      <c r="D72" s="34"/>
      <c r="E72" s="34"/>
      <c r="F72" s="40"/>
      <c r="G72" s="34"/>
      <c r="H72" s="34">
        <v>1</v>
      </c>
      <c r="I72" s="34"/>
      <c r="J72" s="34"/>
      <c r="K72" s="40"/>
      <c r="L72" s="34"/>
      <c r="M72" s="34">
        <v>1</v>
      </c>
      <c r="N72" s="34"/>
      <c r="O72" s="34"/>
      <c r="P72" s="40"/>
      <c r="Q72" s="34"/>
      <c r="R72" s="34">
        <v>1</v>
      </c>
      <c r="S72" s="34"/>
      <c r="T72" s="34"/>
      <c r="U72" s="40"/>
      <c r="V72" s="34"/>
      <c r="W72" s="34">
        <v>1</v>
      </c>
      <c r="X72" s="34"/>
      <c r="Y72" s="34"/>
      <c r="Z72" s="40"/>
      <c r="AA72" s="34">
        <f t="shared" si="9"/>
        <v>0</v>
      </c>
      <c r="AB72" s="38" t="e">
        <f t="shared" si="10"/>
        <v>#DIV/0!</v>
      </c>
      <c r="AC72" s="38" t="e">
        <f t="shared" si="11"/>
        <v>#DIV/0!</v>
      </c>
    </row>
    <row r="73" spans="2:29" x14ac:dyDescent="0.25">
      <c r="B73" s="34"/>
      <c r="C73" s="34"/>
      <c r="D73" s="34"/>
      <c r="E73" s="34"/>
      <c r="F73" s="40"/>
      <c r="G73" s="34"/>
      <c r="H73" s="34"/>
      <c r="I73" s="34"/>
      <c r="J73" s="34"/>
      <c r="K73" s="40"/>
      <c r="L73" s="34"/>
      <c r="M73" s="34"/>
      <c r="N73" s="34"/>
      <c r="O73" s="34"/>
      <c r="P73" s="40"/>
      <c r="Q73" s="34"/>
      <c r="R73" s="34"/>
      <c r="S73" s="34"/>
      <c r="T73" s="34"/>
      <c r="U73" s="40"/>
      <c r="V73" s="34"/>
      <c r="W73" s="34"/>
      <c r="X73" s="34"/>
      <c r="Y73" s="34"/>
      <c r="Z73" s="40"/>
      <c r="AA73" s="34"/>
      <c r="AB73" s="38"/>
      <c r="AC73" s="38"/>
    </row>
    <row r="74" spans="2:29" x14ac:dyDescent="0.25">
      <c r="B74" s="34"/>
      <c r="C74" s="34"/>
      <c r="D74" s="34"/>
      <c r="E74" s="34"/>
      <c r="F74" s="40"/>
      <c r="G74" s="34"/>
      <c r="H74" s="34"/>
      <c r="I74" s="34"/>
      <c r="J74" s="34"/>
      <c r="K74" s="40"/>
      <c r="L74" s="34"/>
      <c r="M74" s="34"/>
      <c r="N74" s="34"/>
      <c r="O74" s="34"/>
      <c r="P74" s="40"/>
      <c r="Q74" s="34"/>
      <c r="R74" s="34"/>
      <c r="S74" s="34"/>
      <c r="T74" s="34"/>
      <c r="U74" s="40"/>
      <c r="V74" s="34"/>
      <c r="W74" s="34"/>
      <c r="X74" s="34"/>
      <c r="Y74" s="34"/>
      <c r="Z74" s="40"/>
      <c r="AA74" s="34"/>
      <c r="AB74" s="38"/>
      <c r="AC74" s="38"/>
    </row>
    <row r="75" spans="2:29" x14ac:dyDescent="0.25">
      <c r="B75" s="34"/>
      <c r="C75" s="34"/>
      <c r="D75" s="34"/>
      <c r="E75" s="34"/>
      <c r="F75" s="40"/>
      <c r="G75" s="34"/>
      <c r="H75" s="34"/>
      <c r="I75" s="34"/>
      <c r="J75" s="34"/>
      <c r="K75" s="40"/>
      <c r="L75" s="34"/>
      <c r="M75" s="34"/>
      <c r="N75" s="34"/>
      <c r="O75" s="34"/>
      <c r="P75" s="40"/>
      <c r="Q75" s="34"/>
      <c r="R75" s="34"/>
      <c r="S75" s="34"/>
      <c r="T75" s="34"/>
      <c r="U75" s="40"/>
      <c r="V75" s="34"/>
      <c r="W75" s="34"/>
      <c r="X75" s="34"/>
      <c r="Y75" s="34"/>
      <c r="Z75" s="40"/>
      <c r="AA75" s="34"/>
      <c r="AB75" s="38"/>
      <c r="AC75" s="38"/>
    </row>
    <row r="76" spans="2:29" x14ac:dyDescent="0.25">
      <c r="B76" s="34"/>
      <c r="C76" s="34"/>
      <c r="D76" s="34"/>
      <c r="E76" s="34"/>
      <c r="F76" s="40"/>
      <c r="G76" s="34"/>
      <c r="H76" s="34"/>
      <c r="I76" s="34"/>
      <c r="J76" s="34"/>
      <c r="K76" s="40"/>
      <c r="L76" s="34"/>
      <c r="M76" s="34"/>
      <c r="N76" s="34"/>
      <c r="O76" s="34"/>
      <c r="P76" s="40"/>
      <c r="Q76" s="34"/>
      <c r="R76" s="34"/>
      <c r="S76" s="34"/>
      <c r="T76" s="34"/>
      <c r="U76" s="40"/>
      <c r="V76" s="34"/>
      <c r="W76" s="34"/>
      <c r="X76" s="34"/>
      <c r="Y76" s="34"/>
      <c r="Z76" s="40"/>
      <c r="AA76" s="34"/>
      <c r="AB76" s="38"/>
      <c r="AC76" s="38"/>
    </row>
    <row r="77" spans="2:29" x14ac:dyDescent="0.25">
      <c r="B77" s="34"/>
      <c r="C77" s="34"/>
      <c r="D77" s="34"/>
      <c r="E77" s="34"/>
      <c r="F77" s="40"/>
      <c r="G77" s="34"/>
      <c r="H77" s="34"/>
      <c r="I77" s="34"/>
      <c r="J77" s="34"/>
      <c r="K77" s="40"/>
      <c r="L77" s="34"/>
      <c r="M77" s="34"/>
      <c r="N77" s="34"/>
      <c r="O77" s="34"/>
      <c r="P77" s="40"/>
      <c r="Q77" s="34"/>
      <c r="R77" s="34"/>
      <c r="S77" s="34"/>
      <c r="T77" s="34"/>
      <c r="U77" s="40"/>
      <c r="V77" s="34"/>
      <c r="W77" s="34"/>
      <c r="X77" s="34"/>
      <c r="Y77" s="34"/>
      <c r="Z77" s="40"/>
      <c r="AA77" s="34"/>
      <c r="AB77" s="38"/>
      <c r="AC77" s="38"/>
    </row>
    <row r="78" spans="2:29" x14ac:dyDescent="0.25">
      <c r="B78" s="34"/>
      <c r="C78" s="34"/>
      <c r="D78" s="34"/>
      <c r="E78" s="34"/>
      <c r="F78" s="40"/>
      <c r="G78" s="34"/>
      <c r="H78" s="34"/>
      <c r="I78" s="34"/>
      <c r="J78" s="34"/>
      <c r="K78" s="40"/>
      <c r="L78" s="34"/>
      <c r="M78" s="34"/>
      <c r="N78" s="34"/>
      <c r="O78" s="34"/>
      <c r="P78" s="40"/>
      <c r="Q78" s="34"/>
      <c r="R78" s="34"/>
      <c r="S78" s="34"/>
      <c r="T78" s="34"/>
      <c r="U78" s="40"/>
      <c r="V78" s="34"/>
      <c r="W78" s="34"/>
      <c r="X78" s="34"/>
      <c r="Y78" s="34"/>
      <c r="Z78" s="40"/>
      <c r="AA78" s="34"/>
      <c r="AB78" s="38"/>
      <c r="AC78" s="38"/>
    </row>
    <row r="79" spans="2:29" x14ac:dyDescent="0.25">
      <c r="B79" s="34"/>
      <c r="C79" s="34"/>
      <c r="D79" s="34"/>
      <c r="E79" s="34"/>
      <c r="F79" s="40"/>
      <c r="G79" s="34"/>
      <c r="H79" s="34"/>
      <c r="I79" s="34"/>
      <c r="J79" s="34"/>
      <c r="K79" s="40"/>
      <c r="L79" s="34"/>
      <c r="M79" s="34"/>
      <c r="N79" s="34"/>
      <c r="O79" s="34"/>
      <c r="P79" s="40"/>
      <c r="Q79" s="34"/>
      <c r="R79" s="34"/>
      <c r="S79" s="34"/>
      <c r="T79" s="34"/>
      <c r="U79" s="40"/>
      <c r="V79" s="34"/>
      <c r="W79" s="34"/>
      <c r="X79" s="34"/>
      <c r="Y79" s="34"/>
      <c r="Z79" s="40"/>
      <c r="AA79" s="34"/>
      <c r="AB79" s="38"/>
      <c r="AC79" s="38"/>
    </row>
    <row r="80" spans="2:29" x14ac:dyDescent="0.25">
      <c r="B80" s="34"/>
      <c r="C80" s="34"/>
      <c r="D80" s="34"/>
      <c r="E80" s="34"/>
      <c r="F80" s="40"/>
      <c r="G80" s="34"/>
      <c r="H80" s="34"/>
      <c r="I80" s="34"/>
      <c r="J80" s="34"/>
      <c r="K80" s="40"/>
      <c r="L80" s="34"/>
      <c r="M80" s="34"/>
      <c r="N80" s="34"/>
      <c r="O80" s="34"/>
      <c r="P80" s="40"/>
      <c r="Q80" s="34"/>
      <c r="R80" s="34"/>
      <c r="S80" s="34"/>
      <c r="T80" s="34"/>
      <c r="U80" s="40"/>
      <c r="V80" s="34"/>
      <c r="W80" s="34"/>
      <c r="X80" s="34"/>
      <c r="Y80" s="34"/>
      <c r="Z80" s="40"/>
      <c r="AA80" s="34"/>
      <c r="AB80" s="38"/>
      <c r="AC80" s="38"/>
    </row>
    <row r="81" spans="2:29" x14ac:dyDescent="0.25">
      <c r="B81" s="34"/>
      <c r="C81" s="34"/>
      <c r="D81" s="34"/>
      <c r="E81" s="34"/>
      <c r="F81" s="40"/>
      <c r="G81" s="34"/>
      <c r="H81" s="34"/>
      <c r="I81" s="34"/>
      <c r="J81" s="34"/>
      <c r="K81" s="40"/>
      <c r="L81" s="34"/>
      <c r="M81" s="34"/>
      <c r="N81" s="34"/>
      <c r="O81" s="34"/>
      <c r="P81" s="40"/>
      <c r="Q81" s="34"/>
      <c r="R81" s="34"/>
      <c r="S81" s="34"/>
      <c r="T81" s="34"/>
      <c r="U81" s="40"/>
      <c r="V81" s="34"/>
      <c r="W81" s="34"/>
      <c r="X81" s="34"/>
      <c r="Y81" s="34"/>
      <c r="Z81" s="40"/>
      <c r="AA81" s="34"/>
      <c r="AB81" s="38"/>
      <c r="AC81" s="38"/>
    </row>
    <row r="82" spans="2:29" x14ac:dyDescent="0.25">
      <c r="B82" s="34"/>
      <c r="C82" s="34"/>
      <c r="D82" s="34"/>
      <c r="E82" s="34"/>
      <c r="F82" s="40"/>
      <c r="G82" s="34"/>
      <c r="H82" s="34"/>
      <c r="I82" s="34"/>
      <c r="J82" s="34"/>
      <c r="K82" s="40"/>
      <c r="L82" s="34"/>
      <c r="M82" s="34"/>
      <c r="N82" s="34"/>
      <c r="O82" s="34"/>
      <c r="P82" s="40"/>
      <c r="Q82" s="34"/>
      <c r="R82" s="34"/>
      <c r="S82" s="34"/>
      <c r="T82" s="34"/>
      <c r="U82" s="40"/>
      <c r="V82" s="34"/>
      <c r="W82" s="34"/>
      <c r="X82" s="34"/>
      <c r="Y82" s="34"/>
      <c r="Z82" s="40"/>
      <c r="AA82" s="34"/>
      <c r="AB82" s="38"/>
      <c r="AC82" s="38"/>
    </row>
    <row r="83" spans="2:29" x14ac:dyDescent="0.25">
      <c r="B83" s="34"/>
      <c r="C83" s="34"/>
      <c r="D83" s="34"/>
      <c r="E83" s="34"/>
      <c r="F83" s="40"/>
      <c r="G83" s="34"/>
      <c r="H83" s="34"/>
      <c r="I83" s="34"/>
      <c r="J83" s="34"/>
      <c r="K83" s="40"/>
      <c r="L83" s="34"/>
      <c r="M83" s="34"/>
      <c r="N83" s="34"/>
      <c r="O83" s="34"/>
      <c r="P83" s="40"/>
      <c r="Q83" s="34"/>
      <c r="R83" s="34"/>
      <c r="S83" s="34"/>
      <c r="T83" s="34"/>
      <c r="U83" s="40"/>
      <c r="V83" s="34"/>
      <c r="W83" s="34"/>
      <c r="X83" s="34"/>
      <c r="Y83" s="34"/>
      <c r="Z83" s="40"/>
      <c r="AA83" s="34"/>
      <c r="AB83" s="38"/>
      <c r="AC83" s="38"/>
    </row>
    <row r="84" spans="2:29" x14ac:dyDescent="0.25">
      <c r="B84" s="34"/>
      <c r="C84" s="34"/>
      <c r="D84" s="34"/>
      <c r="E84" s="34"/>
      <c r="F84" s="40"/>
      <c r="G84" s="34"/>
      <c r="H84" s="34"/>
      <c r="I84" s="34"/>
      <c r="J84" s="34"/>
      <c r="K84" s="40"/>
      <c r="L84" s="34"/>
      <c r="M84" s="34"/>
      <c r="N84" s="34"/>
      <c r="O84" s="34"/>
      <c r="P84" s="40"/>
      <c r="Q84" s="34"/>
      <c r="R84" s="34"/>
      <c r="S84" s="34"/>
      <c r="T84" s="34"/>
      <c r="U84" s="40"/>
      <c r="V84" s="34"/>
      <c r="W84" s="34"/>
      <c r="X84" s="34"/>
      <c r="Y84" s="34"/>
      <c r="Z84" s="40"/>
      <c r="AA84" s="34"/>
      <c r="AB84" s="38"/>
      <c r="AC84" s="38"/>
    </row>
    <row r="85" spans="2:29" x14ac:dyDescent="0.25">
      <c r="B85" s="34"/>
      <c r="C85" s="34"/>
      <c r="D85" s="34"/>
      <c r="E85" s="34"/>
      <c r="F85" s="40"/>
      <c r="G85" s="34"/>
      <c r="H85" s="34"/>
      <c r="I85" s="34"/>
      <c r="J85" s="34"/>
      <c r="K85" s="40"/>
      <c r="L85" s="34"/>
      <c r="M85" s="34"/>
      <c r="N85" s="34"/>
      <c r="O85" s="34"/>
      <c r="P85" s="40"/>
      <c r="Q85" s="34"/>
      <c r="R85" s="34"/>
      <c r="S85" s="34"/>
      <c r="T85" s="34"/>
      <c r="U85" s="40"/>
      <c r="V85" s="34"/>
      <c r="W85" s="34"/>
      <c r="X85" s="34"/>
      <c r="Y85" s="34"/>
      <c r="Z85" s="40"/>
      <c r="AA85" s="34"/>
      <c r="AB85" s="38"/>
      <c r="AC85" s="38"/>
    </row>
    <row r="86" spans="2:29" x14ac:dyDescent="0.25">
      <c r="B86" s="34"/>
      <c r="C86" s="34"/>
      <c r="D86" s="34"/>
      <c r="E86" s="34"/>
      <c r="F86" s="40"/>
      <c r="G86" s="34"/>
      <c r="H86" s="34"/>
      <c r="I86" s="34"/>
      <c r="J86" s="34"/>
      <c r="K86" s="40"/>
      <c r="L86" s="34"/>
      <c r="M86" s="34"/>
      <c r="N86" s="34"/>
      <c r="O86" s="34"/>
      <c r="P86" s="40"/>
      <c r="Q86" s="34"/>
      <c r="R86" s="34"/>
      <c r="S86" s="34"/>
      <c r="T86" s="34"/>
      <c r="U86" s="40"/>
      <c r="V86" s="34"/>
      <c r="W86" s="34"/>
      <c r="X86" s="34"/>
      <c r="Y86" s="34"/>
      <c r="Z86" s="40"/>
      <c r="AA86" s="34"/>
      <c r="AB86" s="38"/>
      <c r="AC86" s="38"/>
    </row>
    <row r="87" spans="2:29" x14ac:dyDescent="0.25">
      <c r="B87" s="34"/>
      <c r="C87" s="34"/>
      <c r="D87" s="34"/>
      <c r="E87" s="34"/>
      <c r="F87" s="40"/>
      <c r="G87" s="34"/>
      <c r="H87" s="34"/>
      <c r="I87" s="34"/>
      <c r="J87" s="34"/>
      <c r="K87" s="40"/>
      <c r="L87" s="34"/>
      <c r="M87" s="34"/>
      <c r="N87" s="34"/>
      <c r="O87" s="34"/>
      <c r="P87" s="40"/>
      <c r="Q87" s="34"/>
      <c r="R87" s="34"/>
      <c r="S87" s="34"/>
      <c r="T87" s="34"/>
      <c r="U87" s="40"/>
      <c r="V87" s="34"/>
      <c r="W87" s="34"/>
      <c r="X87" s="34"/>
      <c r="Y87" s="34"/>
      <c r="Z87" s="40"/>
      <c r="AA87" s="34"/>
      <c r="AB87" s="38"/>
      <c r="AC87" s="38"/>
    </row>
    <row r="88" spans="2:29" x14ac:dyDescent="0.25">
      <c r="B88" s="34"/>
      <c r="C88" s="34"/>
      <c r="D88" s="34"/>
      <c r="E88" s="34"/>
      <c r="F88" s="40"/>
      <c r="G88" s="34"/>
      <c r="H88" s="34"/>
      <c r="I88" s="34"/>
      <c r="J88" s="34"/>
      <c r="K88" s="40"/>
      <c r="L88" s="34"/>
      <c r="M88" s="34"/>
      <c r="N88" s="34"/>
      <c r="O88" s="34"/>
      <c r="P88" s="40"/>
      <c r="Q88" s="34"/>
      <c r="R88" s="34"/>
      <c r="S88" s="34"/>
      <c r="T88" s="34"/>
      <c r="U88" s="40"/>
      <c r="V88" s="34"/>
      <c r="W88" s="34"/>
      <c r="X88" s="34"/>
      <c r="Y88" s="34"/>
      <c r="Z88" s="40"/>
      <c r="AA88" s="34"/>
      <c r="AB88" s="38"/>
      <c r="AC88" s="38"/>
    </row>
    <row r="89" spans="2:29" x14ac:dyDescent="0.25">
      <c r="B89" s="34"/>
      <c r="C89" s="34"/>
      <c r="D89" s="34"/>
      <c r="E89" s="34"/>
      <c r="F89" s="40"/>
      <c r="G89" s="34"/>
      <c r="H89" s="34"/>
      <c r="I89" s="34"/>
      <c r="J89" s="34"/>
      <c r="K89" s="40"/>
      <c r="L89" s="34"/>
      <c r="M89" s="34"/>
      <c r="N89" s="34"/>
      <c r="O89" s="34"/>
      <c r="P89" s="40"/>
      <c r="Q89" s="34"/>
      <c r="R89" s="34"/>
      <c r="S89" s="34"/>
      <c r="T89" s="34"/>
      <c r="U89" s="40"/>
      <c r="V89" s="34"/>
      <c r="W89" s="34"/>
      <c r="X89" s="34"/>
      <c r="Y89" s="34"/>
      <c r="Z89" s="40"/>
      <c r="AA89" s="34"/>
      <c r="AB89" s="38"/>
      <c r="AC89" s="38"/>
    </row>
    <row r="90" spans="2:29" x14ac:dyDescent="0.25">
      <c r="B90" s="34"/>
      <c r="C90" s="34"/>
      <c r="D90" s="34"/>
      <c r="E90" s="34"/>
      <c r="F90" s="40"/>
      <c r="G90" s="34"/>
      <c r="H90" s="34"/>
      <c r="I90" s="34"/>
      <c r="J90" s="34"/>
      <c r="K90" s="40"/>
      <c r="L90" s="34"/>
      <c r="M90" s="34"/>
      <c r="N90" s="34"/>
      <c r="O90" s="34"/>
      <c r="P90" s="40"/>
      <c r="Q90" s="34"/>
      <c r="R90" s="34"/>
      <c r="S90" s="34"/>
      <c r="T90" s="34"/>
      <c r="U90" s="40"/>
      <c r="V90" s="34"/>
      <c r="W90" s="34"/>
      <c r="X90" s="34"/>
      <c r="Y90" s="34"/>
      <c r="Z90" s="40"/>
      <c r="AA90" s="34"/>
      <c r="AB90" s="38"/>
      <c r="AC90" s="38"/>
    </row>
    <row r="91" spans="2:29" x14ac:dyDescent="0.25">
      <c r="B91" s="34"/>
      <c r="C91" s="34"/>
      <c r="D91" s="34"/>
      <c r="E91" s="34"/>
      <c r="F91" s="40"/>
      <c r="G91" s="34"/>
      <c r="H91" s="34"/>
      <c r="I91" s="34"/>
      <c r="J91" s="34"/>
      <c r="K91" s="40"/>
      <c r="L91" s="34"/>
      <c r="M91" s="34"/>
      <c r="N91" s="34"/>
      <c r="O91" s="34"/>
      <c r="P91" s="40"/>
      <c r="Q91" s="34"/>
      <c r="R91" s="34"/>
      <c r="S91" s="34"/>
      <c r="T91" s="34"/>
      <c r="U91" s="40"/>
      <c r="V91" s="34"/>
      <c r="W91" s="34"/>
      <c r="X91" s="34"/>
      <c r="Y91" s="34"/>
      <c r="Z91" s="40"/>
      <c r="AA91" s="34"/>
      <c r="AB91" s="38"/>
      <c r="AC91" s="38"/>
    </row>
    <row r="92" spans="2:29" x14ac:dyDescent="0.25">
      <c r="B92" s="34"/>
      <c r="C92" s="34"/>
      <c r="D92" s="34"/>
      <c r="E92" s="34"/>
      <c r="F92" s="40"/>
      <c r="G92" s="34"/>
      <c r="H92" s="34"/>
      <c r="I92" s="34"/>
      <c r="J92" s="34"/>
      <c r="K92" s="40"/>
      <c r="L92" s="34"/>
      <c r="M92" s="34"/>
      <c r="N92" s="34"/>
      <c r="O92" s="34"/>
      <c r="P92" s="40"/>
      <c r="Q92" s="34"/>
      <c r="R92" s="34"/>
      <c r="S92" s="34"/>
      <c r="T92" s="34"/>
      <c r="U92" s="40"/>
      <c r="V92" s="34"/>
      <c r="W92" s="34"/>
      <c r="X92" s="34"/>
      <c r="Y92" s="34"/>
      <c r="Z92" s="40"/>
      <c r="AA92" s="34"/>
      <c r="AB92" s="38"/>
      <c r="AC92" s="38"/>
    </row>
    <row r="93" spans="2:29" x14ac:dyDescent="0.25">
      <c r="B93" s="34"/>
      <c r="C93" s="34"/>
      <c r="D93" s="34"/>
      <c r="E93" s="34"/>
      <c r="F93" s="40"/>
      <c r="G93" s="34"/>
      <c r="H93" s="34"/>
      <c r="I93" s="34"/>
      <c r="J93" s="34"/>
      <c r="K93" s="40"/>
      <c r="L93" s="34"/>
      <c r="M93" s="34"/>
      <c r="N93" s="34"/>
      <c r="O93" s="34"/>
      <c r="P93" s="40"/>
      <c r="Q93" s="34"/>
      <c r="R93" s="34"/>
      <c r="S93" s="34"/>
      <c r="T93" s="34"/>
      <c r="U93" s="40"/>
      <c r="V93" s="34"/>
      <c r="W93" s="34"/>
      <c r="X93" s="34"/>
      <c r="Y93" s="34"/>
      <c r="Z93" s="40"/>
      <c r="AA93" s="34"/>
      <c r="AB93" s="38"/>
      <c r="AC93" s="38"/>
    </row>
    <row r="94" spans="2:29" x14ac:dyDescent="0.25">
      <c r="B94" s="34"/>
      <c r="C94" s="34"/>
      <c r="D94" s="34"/>
      <c r="E94" s="34"/>
      <c r="F94" s="40"/>
      <c r="G94" s="34"/>
      <c r="H94" s="34"/>
      <c r="I94" s="34"/>
      <c r="J94" s="34"/>
      <c r="K94" s="40"/>
      <c r="L94" s="34"/>
      <c r="M94" s="34"/>
      <c r="N94" s="34"/>
      <c r="O94" s="34"/>
      <c r="P94" s="40"/>
      <c r="Q94" s="34"/>
      <c r="R94" s="34"/>
      <c r="S94" s="34"/>
      <c r="T94" s="34"/>
      <c r="U94" s="40"/>
      <c r="V94" s="34"/>
      <c r="W94" s="34"/>
      <c r="X94" s="34"/>
      <c r="Y94" s="34"/>
      <c r="Z94" s="40"/>
      <c r="AA94" s="34"/>
      <c r="AB94" s="38"/>
      <c r="AC94" s="38"/>
    </row>
    <row r="95" spans="2:29" x14ac:dyDescent="0.25">
      <c r="B95" s="34"/>
      <c r="C95" s="34"/>
      <c r="D95" s="34"/>
      <c r="E95" s="34"/>
      <c r="F95" s="40"/>
      <c r="G95" s="34"/>
      <c r="H95" s="34"/>
      <c r="I95" s="34"/>
      <c r="J95" s="34"/>
      <c r="K95" s="40"/>
      <c r="L95" s="34"/>
      <c r="M95" s="34"/>
      <c r="N95" s="34"/>
      <c r="O95" s="34"/>
      <c r="P95" s="40"/>
      <c r="Q95" s="34"/>
      <c r="R95" s="34"/>
      <c r="S95" s="34"/>
      <c r="T95" s="34"/>
      <c r="U95" s="40"/>
      <c r="V95" s="34"/>
      <c r="W95" s="34"/>
      <c r="X95" s="34"/>
      <c r="Y95" s="34"/>
      <c r="Z95" s="40"/>
      <c r="AA95" s="34"/>
      <c r="AB95" s="38"/>
      <c r="AC95" s="38"/>
    </row>
    <row r="96" spans="2:29" x14ac:dyDescent="0.25">
      <c r="B96" s="34"/>
      <c r="C96" s="34"/>
      <c r="D96" s="34"/>
      <c r="E96" s="34"/>
      <c r="F96" s="40"/>
      <c r="G96" s="34"/>
      <c r="H96" s="34"/>
      <c r="I96" s="34"/>
      <c r="J96" s="34"/>
      <c r="K96" s="40"/>
      <c r="L96" s="34"/>
      <c r="M96" s="34"/>
      <c r="N96" s="34"/>
      <c r="O96" s="34"/>
      <c r="P96" s="40"/>
      <c r="Q96" s="34"/>
      <c r="R96" s="34"/>
      <c r="S96" s="34"/>
      <c r="T96" s="34"/>
      <c r="U96" s="40"/>
      <c r="V96" s="34"/>
      <c r="W96" s="34"/>
      <c r="X96" s="34"/>
      <c r="Y96" s="34"/>
      <c r="Z96" s="40"/>
      <c r="AA96" s="34"/>
      <c r="AB96" s="38"/>
      <c r="AC96" s="38"/>
    </row>
    <row r="97" spans="2:29" x14ac:dyDescent="0.25">
      <c r="B97" s="34"/>
      <c r="C97" s="34"/>
      <c r="D97" s="34"/>
      <c r="E97" s="34"/>
      <c r="F97" s="40"/>
      <c r="G97" s="34"/>
      <c r="H97" s="34"/>
      <c r="I97" s="34"/>
      <c r="J97" s="34"/>
      <c r="K97" s="40"/>
      <c r="L97" s="34"/>
      <c r="M97" s="34"/>
      <c r="N97" s="34"/>
      <c r="O97" s="34"/>
      <c r="P97" s="40"/>
      <c r="Q97" s="34"/>
      <c r="R97" s="34"/>
      <c r="S97" s="34"/>
      <c r="T97" s="34"/>
      <c r="U97" s="40"/>
      <c r="V97" s="34"/>
      <c r="W97" s="34"/>
      <c r="X97" s="34"/>
      <c r="Y97" s="34"/>
      <c r="Z97" s="40"/>
      <c r="AA97" s="34"/>
      <c r="AB97" s="38"/>
      <c r="AC97" s="38"/>
    </row>
    <row r="98" spans="2:29" x14ac:dyDescent="0.25">
      <c r="B98" s="34"/>
      <c r="C98" s="34"/>
      <c r="D98" s="34"/>
      <c r="E98" s="34"/>
      <c r="F98" s="40"/>
      <c r="G98" s="34"/>
      <c r="H98" s="34"/>
      <c r="I98" s="34"/>
      <c r="J98" s="34"/>
      <c r="K98" s="40"/>
      <c r="L98" s="34"/>
      <c r="M98" s="34"/>
      <c r="N98" s="34"/>
      <c r="O98" s="34"/>
      <c r="P98" s="40"/>
      <c r="Q98" s="34"/>
      <c r="R98" s="34"/>
      <c r="S98" s="34"/>
      <c r="T98" s="34"/>
      <c r="U98" s="40"/>
      <c r="V98" s="34"/>
      <c r="W98" s="34"/>
      <c r="X98" s="34"/>
      <c r="Y98" s="34"/>
      <c r="Z98" s="40"/>
      <c r="AA98" s="34"/>
      <c r="AB98" s="38"/>
      <c r="AC98" s="38"/>
    </row>
    <row r="99" spans="2:29" x14ac:dyDescent="0.25">
      <c r="B99" s="34"/>
      <c r="C99" s="34"/>
      <c r="D99" s="34"/>
      <c r="E99" s="34"/>
      <c r="F99" s="40"/>
      <c r="G99" s="34"/>
      <c r="H99" s="34"/>
      <c r="I99" s="34"/>
      <c r="J99" s="34"/>
      <c r="K99" s="40"/>
      <c r="L99" s="34"/>
      <c r="M99" s="34"/>
      <c r="N99" s="34"/>
      <c r="O99" s="34"/>
      <c r="P99" s="40"/>
      <c r="Q99" s="34"/>
      <c r="R99" s="34"/>
      <c r="S99" s="34"/>
      <c r="T99" s="34"/>
      <c r="U99" s="40"/>
      <c r="V99" s="34"/>
      <c r="W99" s="34"/>
      <c r="X99" s="34"/>
      <c r="Y99" s="34"/>
      <c r="Z99" s="40"/>
      <c r="AA99" s="34"/>
      <c r="AB99" s="38"/>
      <c r="AC99" s="38"/>
    </row>
    <row r="100" spans="2:29" x14ac:dyDescent="0.25">
      <c r="B100" s="34"/>
      <c r="C100" s="34"/>
      <c r="D100" s="34"/>
      <c r="E100" s="34"/>
      <c r="F100" s="40"/>
      <c r="G100" s="34"/>
      <c r="H100" s="34"/>
      <c r="I100" s="34"/>
      <c r="J100" s="34"/>
      <c r="K100" s="40"/>
      <c r="L100" s="34"/>
      <c r="M100" s="34"/>
      <c r="N100" s="34"/>
      <c r="O100" s="34"/>
      <c r="P100" s="40"/>
      <c r="Q100" s="34"/>
      <c r="R100" s="34"/>
      <c r="S100" s="34"/>
      <c r="T100" s="34"/>
      <c r="U100" s="40"/>
      <c r="V100" s="34"/>
      <c r="W100" s="34"/>
      <c r="X100" s="34"/>
      <c r="Y100" s="34"/>
      <c r="Z100" s="40"/>
      <c r="AA100" s="34"/>
      <c r="AB100" s="38"/>
      <c r="AC100" s="38"/>
    </row>
    <row r="101" spans="2:29" x14ac:dyDescent="0.25">
      <c r="B101" s="34"/>
      <c r="C101" s="34"/>
      <c r="D101" s="34"/>
      <c r="E101" s="34"/>
      <c r="F101" s="40"/>
      <c r="G101" s="34"/>
      <c r="H101" s="34"/>
      <c r="I101" s="34"/>
      <c r="J101" s="34"/>
      <c r="K101" s="40"/>
      <c r="L101" s="34"/>
      <c r="M101" s="34"/>
      <c r="N101" s="34"/>
      <c r="O101" s="34"/>
      <c r="P101" s="40"/>
      <c r="Q101" s="34"/>
      <c r="R101" s="34"/>
      <c r="S101" s="34"/>
      <c r="T101" s="34"/>
      <c r="U101" s="40"/>
      <c r="V101" s="34"/>
      <c r="W101" s="34"/>
      <c r="X101" s="34"/>
      <c r="Y101" s="34"/>
      <c r="Z101" s="40"/>
      <c r="AA101" s="34"/>
      <c r="AB101" s="38"/>
      <c r="AC101" s="38"/>
    </row>
    <row r="102" spans="2:29" x14ac:dyDescent="0.25">
      <c r="B102" s="34"/>
      <c r="C102" s="34"/>
      <c r="D102" s="34"/>
      <c r="E102" s="34"/>
      <c r="F102" s="40"/>
      <c r="G102" s="34"/>
      <c r="H102" s="34"/>
      <c r="I102" s="34"/>
      <c r="J102" s="34"/>
      <c r="K102" s="40"/>
      <c r="L102" s="34"/>
      <c r="M102" s="34"/>
      <c r="N102" s="34"/>
      <c r="O102" s="34"/>
      <c r="P102" s="40"/>
      <c r="Q102" s="34"/>
      <c r="R102" s="34"/>
      <c r="S102" s="34"/>
      <c r="T102" s="34"/>
      <c r="U102" s="40"/>
      <c r="V102" s="34"/>
      <c r="W102" s="34"/>
      <c r="X102" s="34"/>
      <c r="Y102" s="34"/>
      <c r="Z102" s="40"/>
      <c r="AA102" s="34"/>
      <c r="AB102" s="38"/>
      <c r="AC102" s="38"/>
    </row>
    <row r="103" spans="2:29" x14ac:dyDescent="0.25">
      <c r="B103" s="34"/>
      <c r="C103" s="34"/>
      <c r="D103" s="34"/>
      <c r="E103" s="34"/>
      <c r="F103" s="40"/>
      <c r="G103" s="34"/>
      <c r="H103" s="34"/>
      <c r="I103" s="34"/>
      <c r="J103" s="34"/>
      <c r="K103" s="40"/>
      <c r="L103" s="34"/>
      <c r="M103" s="34"/>
      <c r="N103" s="34"/>
      <c r="O103" s="34"/>
      <c r="P103" s="40"/>
      <c r="Q103" s="34"/>
      <c r="R103" s="34"/>
      <c r="S103" s="34"/>
      <c r="T103" s="34"/>
      <c r="U103" s="40"/>
      <c r="V103" s="34"/>
      <c r="W103" s="34"/>
      <c r="X103" s="34"/>
      <c r="Y103" s="34"/>
      <c r="Z103" s="40"/>
      <c r="AA103" s="34"/>
      <c r="AB103" s="38"/>
      <c r="AC103" s="38"/>
    </row>
    <row r="104" spans="2:29" x14ac:dyDescent="0.25">
      <c r="B104" s="34"/>
      <c r="C104" s="34"/>
      <c r="D104" s="34"/>
      <c r="E104" s="34"/>
      <c r="F104" s="40"/>
      <c r="G104" s="34"/>
      <c r="H104" s="34"/>
      <c r="I104" s="34"/>
      <c r="J104" s="34"/>
      <c r="K104" s="40"/>
      <c r="L104" s="34"/>
      <c r="M104" s="34"/>
      <c r="N104" s="34"/>
      <c r="O104" s="34"/>
      <c r="P104" s="40"/>
      <c r="Q104" s="34"/>
      <c r="R104" s="34"/>
      <c r="S104" s="34"/>
      <c r="T104" s="34"/>
      <c r="U104" s="40"/>
      <c r="V104" s="34"/>
      <c r="W104" s="34"/>
      <c r="X104" s="34"/>
      <c r="Y104" s="34"/>
      <c r="Z104" s="40"/>
      <c r="AA104" s="34"/>
      <c r="AB104" s="38"/>
      <c r="AC104" s="38"/>
    </row>
    <row r="105" spans="2:29" x14ac:dyDescent="0.25">
      <c r="B105" s="34"/>
      <c r="C105" s="34"/>
      <c r="D105" s="34"/>
      <c r="E105" s="34"/>
      <c r="F105" s="40"/>
      <c r="G105" s="34"/>
      <c r="H105" s="34"/>
      <c r="I105" s="34"/>
      <c r="J105" s="34"/>
      <c r="K105" s="40"/>
      <c r="L105" s="34"/>
      <c r="M105" s="34"/>
      <c r="N105" s="34"/>
      <c r="O105" s="34"/>
      <c r="P105" s="40"/>
      <c r="Q105" s="34"/>
      <c r="R105" s="34"/>
      <c r="S105" s="34"/>
      <c r="T105" s="34"/>
      <c r="U105" s="40"/>
      <c r="V105" s="34"/>
      <c r="W105" s="34"/>
      <c r="X105" s="34"/>
      <c r="Y105" s="34"/>
      <c r="Z105" s="40"/>
      <c r="AA105" s="34"/>
      <c r="AB105" s="38"/>
      <c r="AC105" s="38"/>
    </row>
    <row r="106" spans="2:29" x14ac:dyDescent="0.25">
      <c r="B106" s="34"/>
      <c r="C106" s="34"/>
      <c r="D106" s="34"/>
      <c r="E106" s="34"/>
      <c r="F106" s="40"/>
      <c r="G106" s="34"/>
      <c r="H106" s="34"/>
      <c r="I106" s="34"/>
      <c r="J106" s="34"/>
      <c r="K106" s="40"/>
      <c r="L106" s="34"/>
      <c r="M106" s="34"/>
      <c r="N106" s="34"/>
      <c r="O106" s="34"/>
      <c r="P106" s="40"/>
      <c r="Q106" s="34"/>
      <c r="R106" s="34"/>
      <c r="S106" s="34"/>
      <c r="T106" s="34"/>
      <c r="U106" s="40"/>
      <c r="V106" s="34"/>
      <c r="W106" s="34"/>
      <c r="X106" s="34"/>
      <c r="Y106" s="34"/>
      <c r="Z106" s="40"/>
      <c r="AA106" s="34"/>
      <c r="AB106" s="38"/>
      <c r="AC106" s="38"/>
    </row>
    <row r="107" spans="2:29" x14ac:dyDescent="0.25">
      <c r="B107" s="34"/>
      <c r="C107" s="34"/>
      <c r="D107" s="34"/>
      <c r="E107" s="34"/>
      <c r="F107" s="40"/>
      <c r="G107" s="34"/>
      <c r="H107" s="34"/>
      <c r="I107" s="34"/>
      <c r="J107" s="34"/>
      <c r="K107" s="40"/>
      <c r="L107" s="34"/>
      <c r="M107" s="34"/>
      <c r="N107" s="34"/>
      <c r="O107" s="34"/>
      <c r="P107" s="40"/>
      <c r="Q107" s="34"/>
      <c r="R107" s="34"/>
      <c r="S107" s="34"/>
      <c r="T107" s="34"/>
      <c r="U107" s="40"/>
      <c r="V107" s="34"/>
      <c r="W107" s="34"/>
      <c r="X107" s="34"/>
      <c r="Y107" s="34"/>
      <c r="Z107" s="40"/>
      <c r="AA107" s="34"/>
      <c r="AB107" s="38"/>
      <c r="AC107" s="38"/>
    </row>
    <row r="108" spans="2:29" x14ac:dyDescent="0.25">
      <c r="B108" s="34"/>
      <c r="C108" s="34"/>
      <c r="D108" s="34"/>
      <c r="E108" s="34"/>
      <c r="F108" s="40"/>
      <c r="G108" s="34"/>
      <c r="H108" s="34"/>
      <c r="I108" s="34"/>
      <c r="J108" s="34"/>
      <c r="K108" s="40"/>
      <c r="L108" s="34"/>
      <c r="M108" s="34"/>
      <c r="N108" s="34"/>
      <c r="O108" s="34"/>
      <c r="P108" s="40"/>
      <c r="Q108" s="34"/>
      <c r="R108" s="34"/>
      <c r="S108" s="34"/>
      <c r="T108" s="34"/>
      <c r="U108" s="40"/>
      <c r="V108" s="34"/>
      <c r="W108" s="34"/>
      <c r="X108" s="34"/>
      <c r="Y108" s="34"/>
      <c r="Z108" s="40"/>
      <c r="AA108" s="34"/>
      <c r="AB108" s="38"/>
      <c r="AC108" s="38"/>
    </row>
    <row r="109" spans="2:29" x14ac:dyDescent="0.25">
      <c r="B109" s="34"/>
      <c r="C109" s="34"/>
      <c r="D109" s="34"/>
      <c r="E109" s="34"/>
      <c r="F109" s="40"/>
      <c r="G109" s="34"/>
      <c r="H109" s="34"/>
      <c r="I109" s="34"/>
      <c r="J109" s="34"/>
      <c r="K109" s="40"/>
      <c r="L109" s="34"/>
      <c r="M109" s="34"/>
      <c r="N109" s="34"/>
      <c r="O109" s="34"/>
      <c r="P109" s="40"/>
      <c r="Q109" s="34"/>
      <c r="R109" s="34"/>
      <c r="S109" s="34"/>
      <c r="T109" s="34"/>
      <c r="U109" s="40"/>
      <c r="V109" s="34"/>
      <c r="W109" s="34"/>
      <c r="X109" s="34"/>
      <c r="Y109" s="34"/>
      <c r="Z109" s="40"/>
      <c r="AA109" s="34"/>
      <c r="AB109" s="38"/>
      <c r="AC109" s="38"/>
    </row>
    <row r="110" spans="2:29" x14ac:dyDescent="0.25">
      <c r="B110" s="34"/>
      <c r="C110" s="34"/>
      <c r="D110" s="34"/>
      <c r="E110" s="34"/>
      <c r="F110" s="40"/>
      <c r="G110" s="34"/>
      <c r="H110" s="34"/>
      <c r="I110" s="34"/>
      <c r="J110" s="34"/>
      <c r="K110" s="40"/>
      <c r="L110" s="34"/>
      <c r="M110" s="34"/>
      <c r="N110" s="34"/>
      <c r="O110" s="34"/>
      <c r="P110" s="40"/>
      <c r="Q110" s="34"/>
      <c r="R110" s="34"/>
      <c r="S110" s="34"/>
      <c r="T110" s="34"/>
      <c r="U110" s="40"/>
      <c r="V110" s="34"/>
      <c r="W110" s="34"/>
      <c r="X110" s="34"/>
      <c r="Y110" s="34"/>
      <c r="Z110" s="40"/>
      <c r="AA110" s="34"/>
      <c r="AB110" s="38"/>
      <c r="AC110" s="38"/>
    </row>
    <row r="111" spans="2:29" x14ac:dyDescent="0.25">
      <c r="B111" s="34"/>
      <c r="C111" s="34"/>
      <c r="D111" s="34"/>
      <c r="E111" s="34"/>
      <c r="F111" s="40"/>
      <c r="G111" s="34"/>
      <c r="H111" s="34"/>
      <c r="I111" s="34"/>
      <c r="J111" s="34"/>
      <c r="K111" s="40"/>
      <c r="L111" s="34"/>
      <c r="M111" s="34"/>
      <c r="N111" s="34"/>
      <c r="O111" s="34"/>
      <c r="P111" s="40"/>
      <c r="Q111" s="34"/>
      <c r="R111" s="34"/>
      <c r="S111" s="34"/>
      <c r="T111" s="34"/>
      <c r="U111" s="40"/>
      <c r="V111" s="34"/>
      <c r="W111" s="34"/>
      <c r="X111" s="34"/>
      <c r="Y111" s="34"/>
      <c r="Z111" s="40"/>
      <c r="AA111" s="34"/>
      <c r="AB111" s="38"/>
      <c r="AC111" s="38"/>
    </row>
    <row r="112" spans="2:29" x14ac:dyDescent="0.25">
      <c r="B112" s="34"/>
      <c r="C112" s="34"/>
      <c r="D112" s="34"/>
      <c r="E112" s="34"/>
      <c r="F112" s="40"/>
      <c r="G112" s="34"/>
      <c r="H112" s="34"/>
      <c r="I112" s="34"/>
      <c r="J112" s="34"/>
      <c r="K112" s="40"/>
      <c r="L112" s="34"/>
      <c r="M112" s="34"/>
      <c r="N112" s="34"/>
      <c r="O112" s="34"/>
      <c r="P112" s="40"/>
      <c r="Q112" s="34"/>
      <c r="R112" s="34"/>
      <c r="S112" s="34"/>
      <c r="T112" s="34"/>
      <c r="U112" s="40"/>
      <c r="V112" s="34"/>
      <c r="W112" s="34"/>
      <c r="X112" s="34"/>
      <c r="Y112" s="34"/>
      <c r="Z112" s="40"/>
      <c r="AA112" s="34"/>
      <c r="AB112" s="38"/>
      <c r="AC112" s="38"/>
    </row>
    <row r="113" spans="2:29" x14ac:dyDescent="0.25">
      <c r="B113" s="34"/>
      <c r="C113" s="34"/>
      <c r="D113" s="34"/>
      <c r="E113" s="34"/>
      <c r="F113" s="40"/>
      <c r="G113" s="34"/>
      <c r="H113" s="34"/>
      <c r="I113" s="34"/>
      <c r="J113" s="34"/>
      <c r="K113" s="40"/>
      <c r="L113" s="34"/>
      <c r="M113" s="34"/>
      <c r="N113" s="34"/>
      <c r="O113" s="34"/>
      <c r="P113" s="40"/>
      <c r="Q113" s="34"/>
      <c r="R113" s="34"/>
      <c r="S113" s="34"/>
      <c r="T113" s="34"/>
      <c r="U113" s="40"/>
      <c r="V113" s="34"/>
      <c r="W113" s="34"/>
      <c r="X113" s="34"/>
      <c r="Y113" s="34"/>
      <c r="Z113" s="40"/>
      <c r="AA113" s="34"/>
      <c r="AB113" s="38"/>
      <c r="AC113" s="38"/>
    </row>
    <row r="114" spans="2:29" x14ac:dyDescent="0.25">
      <c r="B114" s="34"/>
      <c r="C114" s="34"/>
      <c r="D114" s="34"/>
      <c r="E114" s="34"/>
      <c r="F114" s="40"/>
      <c r="G114" s="34"/>
      <c r="H114" s="34"/>
      <c r="I114" s="34"/>
      <c r="J114" s="34"/>
      <c r="K114" s="40"/>
      <c r="L114" s="34"/>
      <c r="M114" s="34"/>
      <c r="N114" s="34"/>
      <c r="O114" s="34"/>
      <c r="P114" s="40"/>
      <c r="Q114" s="34"/>
      <c r="R114" s="34"/>
      <c r="S114" s="34"/>
      <c r="T114" s="34"/>
      <c r="U114" s="40"/>
      <c r="V114" s="34"/>
      <c r="W114" s="34"/>
      <c r="X114" s="34"/>
      <c r="Y114" s="34"/>
      <c r="Z114" s="40"/>
      <c r="AA114" s="34"/>
      <c r="AB114" s="38"/>
      <c r="AC114" s="38"/>
    </row>
    <row r="115" spans="2:29" x14ac:dyDescent="0.25">
      <c r="B115" s="34"/>
      <c r="C115" s="34"/>
      <c r="D115" s="34"/>
      <c r="E115" s="34"/>
      <c r="F115" s="40"/>
      <c r="G115" s="34"/>
      <c r="H115" s="34"/>
      <c r="I115" s="34"/>
      <c r="J115" s="34"/>
      <c r="K115" s="40"/>
      <c r="L115" s="34"/>
      <c r="M115" s="34"/>
      <c r="N115" s="34"/>
      <c r="O115" s="34"/>
      <c r="P115" s="40"/>
      <c r="Q115" s="34"/>
      <c r="R115" s="34"/>
      <c r="S115" s="34"/>
      <c r="T115" s="34"/>
      <c r="U115" s="40"/>
      <c r="V115" s="34"/>
      <c r="W115" s="34"/>
      <c r="X115" s="34"/>
      <c r="Y115" s="34"/>
      <c r="Z115" s="40"/>
      <c r="AA115" s="34"/>
      <c r="AB115" s="38"/>
      <c r="AC115" s="38"/>
    </row>
    <row r="116" spans="2:29" x14ac:dyDescent="0.25">
      <c r="B116" s="34"/>
      <c r="C116" s="34"/>
      <c r="D116" s="34"/>
      <c r="E116" s="34"/>
      <c r="F116" s="40"/>
      <c r="G116" s="34"/>
      <c r="H116" s="34"/>
      <c r="I116" s="34"/>
      <c r="J116" s="34"/>
      <c r="K116" s="40"/>
      <c r="L116" s="34"/>
      <c r="M116" s="34"/>
      <c r="N116" s="34"/>
      <c r="O116" s="34"/>
      <c r="P116" s="40"/>
      <c r="Q116" s="34"/>
      <c r="R116" s="34"/>
      <c r="S116" s="34"/>
      <c r="T116" s="34"/>
      <c r="U116" s="40"/>
      <c r="V116" s="34"/>
      <c r="W116" s="34"/>
      <c r="X116" s="34"/>
      <c r="Y116" s="34"/>
      <c r="Z116" s="40"/>
      <c r="AA116" s="34"/>
      <c r="AB116" s="38"/>
      <c r="AC116" s="38"/>
    </row>
    <row r="117" spans="2:29" x14ac:dyDescent="0.25">
      <c r="B117" s="34"/>
      <c r="C117" s="34"/>
      <c r="D117" s="34"/>
      <c r="E117" s="34"/>
      <c r="F117" s="40"/>
      <c r="G117" s="34"/>
      <c r="H117" s="34"/>
      <c r="I117" s="34"/>
      <c r="J117" s="34"/>
      <c r="K117" s="40"/>
      <c r="L117" s="34"/>
      <c r="M117" s="34"/>
      <c r="N117" s="34"/>
      <c r="O117" s="34"/>
      <c r="P117" s="40"/>
      <c r="Q117" s="34"/>
      <c r="R117" s="34"/>
      <c r="S117" s="34"/>
      <c r="T117" s="34"/>
      <c r="U117" s="40"/>
      <c r="V117" s="34"/>
      <c r="W117" s="34"/>
      <c r="X117" s="34"/>
      <c r="Y117" s="34"/>
      <c r="Z117" s="40"/>
      <c r="AA117" s="34"/>
      <c r="AB117" s="38"/>
      <c r="AC117" s="38"/>
    </row>
    <row r="118" spans="2:29" x14ac:dyDescent="0.25">
      <c r="B118" s="34"/>
      <c r="C118" s="34"/>
      <c r="D118" s="34"/>
      <c r="E118" s="34"/>
      <c r="F118" s="40"/>
      <c r="G118" s="34"/>
      <c r="H118" s="34"/>
      <c r="I118" s="34"/>
      <c r="J118" s="34"/>
      <c r="K118" s="40"/>
      <c r="L118" s="34"/>
      <c r="M118" s="34"/>
      <c r="N118" s="34"/>
      <c r="O118" s="34"/>
      <c r="P118" s="40"/>
      <c r="Q118" s="34"/>
      <c r="R118" s="34"/>
      <c r="S118" s="34"/>
      <c r="T118" s="34"/>
      <c r="U118" s="40"/>
      <c r="V118" s="34"/>
      <c r="W118" s="34"/>
      <c r="X118" s="34"/>
      <c r="Y118" s="34"/>
      <c r="Z118" s="40"/>
      <c r="AA118" s="34"/>
      <c r="AB118" s="38"/>
      <c r="AC118" s="38"/>
    </row>
    <row r="119" spans="2:29" x14ac:dyDescent="0.25">
      <c r="B119" s="34"/>
      <c r="C119" s="34"/>
      <c r="D119" s="34"/>
      <c r="E119" s="34"/>
      <c r="F119" s="40"/>
      <c r="G119" s="34"/>
      <c r="H119" s="34"/>
      <c r="I119" s="34"/>
      <c r="J119" s="34"/>
      <c r="K119" s="40"/>
      <c r="L119" s="34"/>
      <c r="M119" s="34"/>
      <c r="N119" s="34"/>
      <c r="O119" s="34"/>
      <c r="P119" s="40"/>
      <c r="Q119" s="34"/>
      <c r="R119" s="34"/>
      <c r="S119" s="34"/>
      <c r="T119" s="34"/>
      <c r="U119" s="40"/>
      <c r="V119" s="34"/>
      <c r="W119" s="34"/>
      <c r="X119" s="34"/>
      <c r="Y119" s="34"/>
      <c r="Z119" s="40"/>
      <c r="AA119" s="34"/>
      <c r="AB119" s="38"/>
      <c r="AC119" s="38"/>
    </row>
    <row r="120" spans="2:29" x14ac:dyDescent="0.25">
      <c r="B120" s="34"/>
      <c r="C120" s="34"/>
      <c r="D120" s="34"/>
      <c r="E120" s="34"/>
      <c r="F120" s="40"/>
      <c r="G120" s="34"/>
      <c r="H120" s="34"/>
      <c r="I120" s="34"/>
      <c r="J120" s="34"/>
      <c r="K120" s="40"/>
      <c r="L120" s="34"/>
      <c r="M120" s="34"/>
      <c r="N120" s="34"/>
      <c r="O120" s="34"/>
      <c r="P120" s="40"/>
      <c r="Q120" s="34"/>
      <c r="R120" s="34"/>
      <c r="S120" s="34"/>
      <c r="T120" s="34"/>
      <c r="U120" s="40"/>
      <c r="V120" s="34"/>
      <c r="W120" s="34"/>
      <c r="X120" s="34"/>
      <c r="Y120" s="34"/>
      <c r="Z120" s="40"/>
      <c r="AA120" s="34"/>
      <c r="AB120" s="38"/>
      <c r="AC120" s="38"/>
    </row>
    <row r="121" spans="2:29" x14ac:dyDescent="0.25">
      <c r="B121" s="34"/>
      <c r="C121" s="34"/>
      <c r="D121" s="34"/>
      <c r="E121" s="34"/>
      <c r="F121" s="40"/>
      <c r="G121" s="34"/>
      <c r="H121" s="34"/>
      <c r="I121" s="34"/>
      <c r="J121" s="34"/>
      <c r="K121" s="40"/>
      <c r="L121" s="34"/>
      <c r="M121" s="34"/>
      <c r="N121" s="34"/>
      <c r="O121" s="34"/>
      <c r="P121" s="40"/>
      <c r="Q121" s="34"/>
      <c r="R121" s="34"/>
      <c r="S121" s="34"/>
      <c r="T121" s="34"/>
      <c r="U121" s="40"/>
      <c r="V121" s="34"/>
      <c r="W121" s="34"/>
      <c r="X121" s="34"/>
      <c r="Y121" s="34"/>
      <c r="Z121" s="40"/>
      <c r="AA121" s="34"/>
      <c r="AB121" s="38"/>
      <c r="AC121" s="38"/>
    </row>
    <row r="122" spans="2:29" x14ac:dyDescent="0.25">
      <c r="B122" s="34"/>
      <c r="C122" s="34"/>
      <c r="D122" s="34"/>
      <c r="E122" s="34"/>
      <c r="F122" s="40"/>
      <c r="G122" s="34"/>
      <c r="H122" s="34"/>
      <c r="I122" s="34"/>
      <c r="J122" s="34"/>
      <c r="K122" s="40"/>
      <c r="L122" s="34"/>
      <c r="M122" s="34"/>
      <c r="N122" s="34"/>
      <c r="O122" s="34"/>
      <c r="P122" s="40"/>
      <c r="Q122" s="34"/>
      <c r="R122" s="34"/>
      <c r="S122" s="34"/>
      <c r="T122" s="34"/>
      <c r="U122" s="40"/>
      <c r="V122" s="34"/>
      <c r="W122" s="34"/>
      <c r="X122" s="34"/>
      <c r="Y122" s="34"/>
      <c r="Z122" s="40"/>
      <c r="AA122" s="34"/>
      <c r="AB122" s="38"/>
      <c r="AC122" s="38"/>
    </row>
    <row r="123" spans="2:29" x14ac:dyDescent="0.25">
      <c r="B123" s="34"/>
      <c r="C123" s="34"/>
      <c r="D123" s="34"/>
      <c r="E123" s="34"/>
      <c r="F123" s="40"/>
      <c r="G123" s="34"/>
      <c r="H123" s="34"/>
      <c r="I123" s="34"/>
      <c r="J123" s="34"/>
      <c r="K123" s="40"/>
      <c r="L123" s="34"/>
      <c r="M123" s="34"/>
      <c r="N123" s="34"/>
      <c r="O123" s="34"/>
      <c r="P123" s="40"/>
      <c r="Q123" s="34"/>
      <c r="R123" s="34"/>
      <c r="S123" s="34"/>
      <c r="T123" s="34"/>
      <c r="U123" s="40"/>
      <c r="V123" s="34"/>
      <c r="W123" s="34"/>
      <c r="X123" s="34"/>
      <c r="Y123" s="34"/>
      <c r="Z123" s="40"/>
      <c r="AA123" s="34"/>
      <c r="AB123" s="38"/>
      <c r="AC123" s="38"/>
    </row>
    <row r="124" spans="2:29" x14ac:dyDescent="0.25">
      <c r="B124" s="34"/>
      <c r="C124" s="34"/>
      <c r="D124" s="34"/>
      <c r="E124" s="34"/>
      <c r="F124" s="40"/>
      <c r="G124" s="34"/>
      <c r="H124" s="34"/>
      <c r="I124" s="34"/>
      <c r="J124" s="34"/>
      <c r="K124" s="40"/>
      <c r="L124" s="34"/>
      <c r="M124" s="34"/>
      <c r="N124" s="34"/>
      <c r="O124" s="34"/>
      <c r="P124" s="40"/>
      <c r="Q124" s="34"/>
      <c r="R124" s="34"/>
      <c r="S124" s="34"/>
      <c r="T124" s="34"/>
      <c r="U124" s="40"/>
      <c r="V124" s="34"/>
      <c r="W124" s="34"/>
      <c r="X124" s="34"/>
      <c r="Y124" s="34"/>
      <c r="Z124" s="40"/>
      <c r="AA124" s="34"/>
      <c r="AB124" s="38"/>
      <c r="AC124" s="38"/>
    </row>
    <row r="125" spans="2:29" x14ac:dyDescent="0.25">
      <c r="B125" s="34"/>
      <c r="C125" s="34"/>
      <c r="D125" s="34"/>
      <c r="E125" s="34"/>
      <c r="F125" s="40"/>
      <c r="G125" s="34"/>
      <c r="H125" s="34"/>
      <c r="I125" s="34"/>
      <c r="J125" s="34"/>
      <c r="K125" s="40"/>
      <c r="L125" s="34"/>
      <c r="M125" s="34"/>
      <c r="N125" s="34"/>
      <c r="O125" s="34"/>
      <c r="P125" s="40"/>
      <c r="Q125" s="34"/>
      <c r="R125" s="34"/>
      <c r="S125" s="34"/>
      <c r="T125" s="34"/>
      <c r="U125" s="40"/>
      <c r="V125" s="34"/>
      <c r="W125" s="34"/>
      <c r="X125" s="34"/>
      <c r="Y125" s="34"/>
      <c r="Z125" s="40"/>
      <c r="AA125" s="34"/>
      <c r="AB125" s="38"/>
      <c r="AC125" s="38"/>
    </row>
    <row r="126" spans="2:29" x14ac:dyDescent="0.25">
      <c r="B126" s="34"/>
      <c r="C126" s="34"/>
      <c r="D126" s="34"/>
      <c r="E126" s="34"/>
      <c r="F126" s="40"/>
      <c r="G126" s="34"/>
      <c r="H126" s="34"/>
      <c r="I126" s="34"/>
      <c r="J126" s="34"/>
      <c r="K126" s="40"/>
      <c r="L126" s="34"/>
      <c r="M126" s="34"/>
      <c r="N126" s="34"/>
      <c r="O126" s="34"/>
      <c r="P126" s="40"/>
      <c r="Q126" s="34"/>
      <c r="R126" s="34"/>
      <c r="S126" s="34"/>
      <c r="T126" s="34"/>
      <c r="U126" s="40"/>
      <c r="V126" s="34"/>
      <c r="W126" s="34"/>
      <c r="X126" s="34"/>
      <c r="Y126" s="34"/>
      <c r="Z126" s="40"/>
      <c r="AA126" s="34"/>
      <c r="AB126" s="38"/>
      <c r="AC126" s="38"/>
    </row>
    <row r="127" spans="2:29" x14ac:dyDescent="0.25">
      <c r="B127" s="34"/>
      <c r="C127" s="34"/>
      <c r="D127" s="34"/>
      <c r="E127" s="34"/>
      <c r="F127" s="40"/>
      <c r="G127" s="34"/>
      <c r="H127" s="34"/>
      <c r="I127" s="34"/>
      <c r="J127" s="34"/>
      <c r="K127" s="40"/>
      <c r="L127" s="34"/>
      <c r="M127" s="34"/>
      <c r="N127" s="34"/>
      <c r="O127" s="34"/>
      <c r="P127" s="40"/>
      <c r="Q127" s="34"/>
      <c r="R127" s="34"/>
      <c r="S127" s="34"/>
      <c r="T127" s="34"/>
      <c r="U127" s="40"/>
      <c r="V127" s="34"/>
      <c r="W127" s="34"/>
      <c r="X127" s="34"/>
      <c r="Y127" s="34"/>
      <c r="Z127" s="40"/>
      <c r="AA127" s="34"/>
      <c r="AB127" s="38"/>
      <c r="AC127" s="38"/>
    </row>
    <row r="128" spans="2:29" x14ac:dyDescent="0.25">
      <c r="B128" s="34"/>
      <c r="C128" s="34"/>
      <c r="D128" s="34"/>
      <c r="E128" s="34"/>
      <c r="F128" s="40"/>
      <c r="G128" s="34"/>
      <c r="H128" s="34"/>
      <c r="I128" s="34"/>
      <c r="J128" s="34"/>
      <c r="K128" s="40"/>
      <c r="L128" s="34"/>
      <c r="M128" s="34"/>
      <c r="N128" s="34"/>
      <c r="O128" s="34"/>
      <c r="P128" s="40"/>
      <c r="Q128" s="34"/>
      <c r="R128" s="34"/>
      <c r="S128" s="34"/>
      <c r="T128" s="34"/>
      <c r="U128" s="40"/>
      <c r="V128" s="34"/>
      <c r="W128" s="34"/>
      <c r="X128" s="34"/>
      <c r="Y128" s="34"/>
      <c r="Z128" s="40"/>
      <c r="AA128" s="34"/>
      <c r="AB128" s="38"/>
      <c r="AC128" s="38"/>
    </row>
    <row r="129" spans="2:29" x14ac:dyDescent="0.25">
      <c r="B129" s="34"/>
      <c r="C129" s="34"/>
      <c r="D129" s="34"/>
      <c r="E129" s="34"/>
      <c r="F129" s="40"/>
      <c r="G129" s="34"/>
      <c r="H129" s="34"/>
      <c r="I129" s="34"/>
      <c r="J129" s="34"/>
      <c r="K129" s="40"/>
      <c r="L129" s="34"/>
      <c r="M129" s="34"/>
      <c r="N129" s="34"/>
      <c r="O129" s="34"/>
      <c r="P129" s="40"/>
      <c r="Q129" s="34"/>
      <c r="R129" s="34"/>
      <c r="S129" s="34"/>
      <c r="T129" s="34"/>
      <c r="U129" s="40"/>
      <c r="V129" s="34"/>
      <c r="W129" s="34"/>
      <c r="X129" s="34"/>
      <c r="Y129" s="34"/>
      <c r="Z129" s="40"/>
      <c r="AA129" s="34"/>
      <c r="AB129" s="38"/>
      <c r="AC129" s="38"/>
    </row>
    <row r="130" spans="2:29" x14ac:dyDescent="0.25">
      <c r="B130" s="34"/>
      <c r="C130" s="34"/>
      <c r="D130" s="34"/>
      <c r="E130" s="34"/>
      <c r="F130" s="40"/>
      <c r="G130" s="34"/>
      <c r="H130" s="34"/>
      <c r="I130" s="34"/>
      <c r="J130" s="34"/>
      <c r="K130" s="40"/>
      <c r="L130" s="34"/>
      <c r="M130" s="34"/>
      <c r="N130" s="34"/>
      <c r="O130" s="34"/>
      <c r="P130" s="40"/>
      <c r="Q130" s="34"/>
      <c r="R130" s="34"/>
      <c r="S130" s="34"/>
      <c r="T130" s="34"/>
      <c r="U130" s="40"/>
      <c r="V130" s="34"/>
      <c r="W130" s="34"/>
      <c r="X130" s="34"/>
      <c r="Y130" s="34"/>
      <c r="Z130" s="40"/>
      <c r="AA130" s="34"/>
      <c r="AB130" s="38"/>
      <c r="AC130" s="38"/>
    </row>
    <row r="131" spans="2:29" x14ac:dyDescent="0.25">
      <c r="B131" s="34"/>
      <c r="C131" s="34"/>
      <c r="D131" s="34"/>
      <c r="E131" s="34"/>
      <c r="F131" s="40"/>
      <c r="G131" s="34"/>
      <c r="H131" s="34"/>
      <c r="I131" s="34"/>
      <c r="J131" s="34"/>
      <c r="K131" s="40"/>
      <c r="L131" s="34"/>
      <c r="M131" s="34"/>
      <c r="N131" s="34"/>
      <c r="O131" s="34"/>
      <c r="P131" s="40"/>
      <c r="Q131" s="34"/>
      <c r="R131" s="34"/>
      <c r="S131" s="34"/>
      <c r="T131" s="34"/>
      <c r="U131" s="40"/>
      <c r="V131" s="34"/>
      <c r="W131" s="34"/>
      <c r="X131" s="34"/>
      <c r="Y131" s="34"/>
      <c r="Z131" s="40"/>
      <c r="AA131" s="34"/>
      <c r="AB131" s="38"/>
      <c r="AC131" s="38"/>
    </row>
    <row r="132" spans="2:29" x14ac:dyDescent="0.25">
      <c r="B132" s="34"/>
      <c r="C132" s="34"/>
      <c r="D132" s="34"/>
      <c r="E132" s="34"/>
      <c r="F132" s="40"/>
      <c r="G132" s="34"/>
      <c r="H132" s="34"/>
      <c r="I132" s="34"/>
      <c r="J132" s="34"/>
      <c r="K132" s="40"/>
      <c r="L132" s="34"/>
      <c r="M132" s="34"/>
      <c r="N132" s="34"/>
      <c r="O132" s="34"/>
      <c r="P132" s="40"/>
      <c r="Q132" s="34"/>
      <c r="R132" s="34"/>
      <c r="S132" s="34"/>
      <c r="T132" s="34"/>
      <c r="U132" s="40"/>
      <c r="V132" s="34"/>
      <c r="W132" s="34"/>
      <c r="X132" s="34"/>
      <c r="Y132" s="34"/>
      <c r="Z132" s="40"/>
      <c r="AA132" s="34"/>
      <c r="AB132" s="38"/>
      <c r="AC132" s="38"/>
    </row>
    <row r="133" spans="2:29" x14ac:dyDescent="0.25">
      <c r="B133" s="34"/>
      <c r="C133" s="34"/>
      <c r="D133" s="34"/>
      <c r="E133" s="34"/>
      <c r="F133" s="40"/>
      <c r="G133" s="34"/>
      <c r="H133" s="34"/>
      <c r="I133" s="34"/>
      <c r="J133" s="34"/>
      <c r="K133" s="40"/>
      <c r="L133" s="34"/>
      <c r="M133" s="34"/>
      <c r="N133" s="34"/>
      <c r="O133" s="34"/>
      <c r="P133" s="40"/>
      <c r="Q133" s="34"/>
      <c r="R133" s="34"/>
      <c r="S133" s="34"/>
      <c r="T133" s="34"/>
      <c r="U133" s="40"/>
      <c r="V133" s="34"/>
      <c r="W133" s="34"/>
      <c r="X133" s="34"/>
      <c r="Y133" s="34"/>
      <c r="Z133" s="40"/>
      <c r="AA133" s="34"/>
      <c r="AB133" s="38"/>
      <c r="AC133" s="38"/>
    </row>
    <row r="134" spans="2:29" x14ac:dyDescent="0.25">
      <c r="B134" s="34"/>
      <c r="C134" s="34"/>
      <c r="D134" s="34"/>
      <c r="E134" s="34"/>
      <c r="F134" s="40"/>
      <c r="G134" s="34"/>
      <c r="H134" s="34"/>
      <c r="I134" s="34"/>
      <c r="J134" s="34"/>
      <c r="K134" s="40"/>
      <c r="L134" s="34"/>
      <c r="M134" s="34"/>
      <c r="N134" s="34"/>
      <c r="O134" s="34"/>
      <c r="P134" s="40"/>
      <c r="Q134" s="34"/>
      <c r="R134" s="34"/>
      <c r="S134" s="34"/>
      <c r="T134" s="34"/>
      <c r="U134" s="40"/>
      <c r="V134" s="34"/>
      <c r="W134" s="34"/>
      <c r="X134" s="34"/>
      <c r="Y134" s="34"/>
      <c r="Z134" s="40"/>
      <c r="AA134" s="34"/>
      <c r="AB134" s="38"/>
      <c r="AC134" s="38"/>
    </row>
    <row r="135" spans="2:29" x14ac:dyDescent="0.25">
      <c r="B135" s="34"/>
      <c r="C135" s="34"/>
      <c r="D135" s="34"/>
      <c r="E135" s="34"/>
      <c r="F135" s="40"/>
      <c r="G135" s="34"/>
      <c r="H135" s="34"/>
      <c r="I135" s="34"/>
      <c r="J135" s="34"/>
      <c r="K135" s="40"/>
      <c r="L135" s="34"/>
      <c r="M135" s="34"/>
      <c r="N135" s="34"/>
      <c r="O135" s="34"/>
      <c r="P135" s="40"/>
      <c r="Q135" s="34"/>
      <c r="R135" s="34"/>
      <c r="S135" s="34"/>
      <c r="T135" s="34"/>
      <c r="U135" s="40"/>
      <c r="V135" s="34"/>
      <c r="W135" s="34"/>
      <c r="X135" s="34"/>
      <c r="Y135" s="34"/>
      <c r="Z135" s="40"/>
      <c r="AA135" s="34"/>
      <c r="AB135" s="38"/>
      <c r="AC135" s="38"/>
    </row>
    <row r="136" spans="2:29" x14ac:dyDescent="0.25">
      <c r="B136" s="34"/>
      <c r="C136" s="34"/>
      <c r="D136" s="34"/>
      <c r="E136" s="34"/>
      <c r="F136" s="40"/>
      <c r="G136" s="34"/>
      <c r="H136" s="34"/>
      <c r="I136" s="34"/>
      <c r="J136" s="34"/>
      <c r="K136" s="40"/>
      <c r="L136" s="34"/>
      <c r="M136" s="34"/>
      <c r="N136" s="34"/>
      <c r="O136" s="34"/>
      <c r="P136" s="40"/>
      <c r="Q136" s="34"/>
      <c r="R136" s="34"/>
      <c r="S136" s="34"/>
      <c r="T136" s="34"/>
      <c r="U136" s="40"/>
      <c r="V136" s="34"/>
      <c r="W136" s="34"/>
      <c r="X136" s="34"/>
      <c r="Y136" s="34"/>
      <c r="Z136" s="40"/>
      <c r="AA136" s="34"/>
      <c r="AB136" s="38"/>
      <c r="AC136" s="38"/>
    </row>
    <row r="137" spans="2:29" x14ac:dyDescent="0.25">
      <c r="B137" s="34"/>
      <c r="C137" s="34"/>
      <c r="D137" s="34"/>
      <c r="E137" s="34"/>
      <c r="F137" s="40"/>
      <c r="G137" s="34"/>
      <c r="H137" s="34"/>
      <c r="I137" s="34"/>
      <c r="J137" s="34"/>
      <c r="K137" s="40"/>
      <c r="L137" s="34"/>
      <c r="M137" s="34"/>
      <c r="N137" s="34"/>
      <c r="O137" s="34"/>
      <c r="P137" s="40"/>
      <c r="Q137" s="34"/>
      <c r="R137" s="34"/>
      <c r="S137" s="34"/>
      <c r="T137" s="34"/>
      <c r="U137" s="40"/>
      <c r="V137" s="34"/>
      <c r="W137" s="34"/>
      <c r="X137" s="34"/>
      <c r="Y137" s="34"/>
      <c r="Z137" s="40"/>
      <c r="AA137" s="34"/>
      <c r="AB137" s="38"/>
      <c r="AC137" s="38"/>
    </row>
    <row r="138" spans="2:29" x14ac:dyDescent="0.25">
      <c r="B138" s="34"/>
      <c r="C138" s="34"/>
      <c r="D138" s="34"/>
      <c r="E138" s="34"/>
      <c r="F138" s="40"/>
      <c r="G138" s="34"/>
      <c r="H138" s="34"/>
      <c r="I138" s="34"/>
      <c r="J138" s="34"/>
      <c r="K138" s="40"/>
      <c r="L138" s="34"/>
      <c r="M138" s="34"/>
      <c r="N138" s="34"/>
      <c r="O138" s="34"/>
      <c r="P138" s="40"/>
      <c r="Q138" s="34"/>
      <c r="R138" s="34"/>
      <c r="S138" s="34"/>
      <c r="T138" s="34"/>
      <c r="U138" s="40"/>
      <c r="V138" s="34"/>
      <c r="W138" s="34"/>
      <c r="X138" s="34"/>
      <c r="Y138" s="34"/>
      <c r="Z138" s="40"/>
      <c r="AA138" s="34"/>
      <c r="AB138" s="38"/>
      <c r="AC138" s="38"/>
    </row>
    <row r="139" spans="2:29" x14ac:dyDescent="0.25">
      <c r="B139" s="34"/>
      <c r="C139" s="34"/>
      <c r="D139" s="34"/>
      <c r="E139" s="34"/>
      <c r="F139" s="40"/>
      <c r="G139" s="34"/>
      <c r="H139" s="34"/>
      <c r="I139" s="34"/>
      <c r="J139" s="34"/>
      <c r="K139" s="40"/>
      <c r="L139" s="34"/>
      <c r="M139" s="34"/>
      <c r="N139" s="34"/>
      <c r="O139" s="34"/>
      <c r="P139" s="40"/>
      <c r="Q139" s="34"/>
      <c r="R139" s="34"/>
      <c r="S139" s="34"/>
      <c r="T139" s="34"/>
      <c r="U139" s="40"/>
      <c r="V139" s="34"/>
      <c r="W139" s="34"/>
      <c r="X139" s="34"/>
      <c r="Y139" s="34"/>
      <c r="Z139" s="40"/>
      <c r="AA139" s="34"/>
      <c r="AB139" s="38"/>
      <c r="AC139" s="38"/>
    </row>
    <row r="140" spans="2:29" x14ac:dyDescent="0.25">
      <c r="B140" s="34"/>
      <c r="C140" s="34"/>
      <c r="D140" s="34"/>
      <c r="E140" s="34"/>
      <c r="F140" s="40"/>
      <c r="G140" s="34"/>
      <c r="H140" s="34"/>
      <c r="I140" s="34"/>
      <c r="J140" s="34"/>
      <c r="K140" s="40"/>
      <c r="L140" s="34"/>
      <c r="M140" s="34"/>
      <c r="N140" s="34"/>
      <c r="O140" s="34"/>
      <c r="P140" s="40"/>
      <c r="Q140" s="34"/>
      <c r="R140" s="34"/>
      <c r="S140" s="34"/>
      <c r="T140" s="34"/>
      <c r="U140" s="40"/>
      <c r="V140" s="34"/>
      <c r="W140" s="34"/>
      <c r="X140" s="34"/>
      <c r="Y140" s="34"/>
      <c r="Z140" s="40"/>
      <c r="AA140" s="34"/>
      <c r="AB140" s="38"/>
      <c r="AC140" s="38"/>
    </row>
    <row r="141" spans="2:29" x14ac:dyDescent="0.25">
      <c r="B141" s="34"/>
      <c r="C141" s="34"/>
      <c r="D141" s="34"/>
      <c r="E141" s="34"/>
      <c r="F141" s="40"/>
      <c r="G141" s="34"/>
      <c r="H141" s="34"/>
      <c r="I141" s="34"/>
      <c r="J141" s="34"/>
      <c r="K141" s="40"/>
      <c r="L141" s="34"/>
      <c r="M141" s="34"/>
      <c r="N141" s="34"/>
      <c r="O141" s="34"/>
      <c r="P141" s="40"/>
      <c r="Q141" s="34"/>
      <c r="R141" s="34"/>
      <c r="S141" s="34"/>
      <c r="T141" s="34"/>
      <c r="U141" s="40"/>
      <c r="V141" s="34"/>
      <c r="W141" s="34"/>
      <c r="X141" s="34"/>
      <c r="Y141" s="34"/>
      <c r="Z141" s="40"/>
      <c r="AA141" s="34"/>
      <c r="AB141" s="38"/>
      <c r="AC141" s="38"/>
    </row>
    <row r="142" spans="2:29" x14ac:dyDescent="0.25">
      <c r="B142" s="34"/>
      <c r="C142" s="34"/>
      <c r="D142" s="34"/>
      <c r="E142" s="34"/>
      <c r="F142" s="40"/>
      <c r="G142" s="34"/>
      <c r="H142" s="34"/>
      <c r="I142" s="34"/>
      <c r="J142" s="34"/>
      <c r="K142" s="40"/>
      <c r="L142" s="34"/>
      <c r="M142" s="34"/>
      <c r="N142" s="34"/>
      <c r="O142" s="34"/>
      <c r="P142" s="40"/>
      <c r="Q142" s="34"/>
      <c r="R142" s="34"/>
      <c r="S142" s="34"/>
      <c r="T142" s="34"/>
      <c r="U142" s="40"/>
      <c r="V142" s="34"/>
      <c r="W142" s="34"/>
      <c r="X142" s="34"/>
      <c r="Y142" s="34"/>
      <c r="Z142" s="40"/>
      <c r="AA142" s="34"/>
      <c r="AB142" s="38"/>
      <c r="AC142" s="38"/>
    </row>
    <row r="143" spans="2:29" x14ac:dyDescent="0.25">
      <c r="B143" s="34"/>
      <c r="C143" s="34"/>
      <c r="D143" s="34"/>
      <c r="E143" s="34"/>
      <c r="F143" s="40"/>
      <c r="G143" s="34"/>
      <c r="H143" s="34"/>
      <c r="I143" s="34"/>
      <c r="J143" s="34"/>
      <c r="K143" s="40"/>
      <c r="L143" s="34"/>
      <c r="M143" s="34"/>
      <c r="N143" s="34"/>
      <c r="O143" s="34"/>
      <c r="P143" s="40"/>
      <c r="Q143" s="34"/>
      <c r="R143" s="34"/>
      <c r="S143" s="34"/>
      <c r="T143" s="34"/>
      <c r="U143" s="40"/>
      <c r="V143" s="34"/>
      <c r="W143" s="34"/>
      <c r="X143" s="34"/>
      <c r="Y143" s="34"/>
      <c r="Z143" s="40"/>
      <c r="AA143" s="34"/>
      <c r="AB143" s="38"/>
      <c r="AC143" s="38"/>
    </row>
    <row r="144" spans="2:29" x14ac:dyDescent="0.25">
      <c r="B144" s="34"/>
      <c r="C144" s="34"/>
      <c r="D144" s="34"/>
      <c r="E144" s="34"/>
      <c r="F144" s="40"/>
      <c r="G144" s="34"/>
      <c r="H144" s="34"/>
      <c r="I144" s="34"/>
      <c r="J144" s="34"/>
      <c r="K144" s="40"/>
      <c r="L144" s="34"/>
      <c r="M144" s="34"/>
      <c r="N144" s="34"/>
      <c r="O144" s="34"/>
      <c r="P144" s="40"/>
      <c r="Q144" s="34"/>
      <c r="R144" s="34"/>
      <c r="S144" s="34"/>
      <c r="T144" s="34"/>
      <c r="U144" s="40"/>
      <c r="V144" s="34"/>
      <c r="W144" s="34"/>
      <c r="X144" s="34"/>
      <c r="Y144" s="34"/>
      <c r="Z144" s="40"/>
      <c r="AA144" s="34"/>
      <c r="AB144" s="38"/>
      <c r="AC144" s="38"/>
    </row>
    <row r="145" spans="2:29" x14ac:dyDescent="0.25">
      <c r="B145" s="34"/>
      <c r="C145" s="34"/>
      <c r="D145" s="34"/>
      <c r="E145" s="34"/>
      <c r="F145" s="40"/>
      <c r="G145" s="34"/>
      <c r="H145" s="34"/>
      <c r="I145" s="34"/>
      <c r="J145" s="34"/>
      <c r="K145" s="40"/>
      <c r="L145" s="34"/>
      <c r="M145" s="34"/>
      <c r="N145" s="34"/>
      <c r="O145" s="34"/>
      <c r="P145" s="40"/>
      <c r="Q145" s="34"/>
      <c r="R145" s="34"/>
      <c r="S145" s="34"/>
      <c r="T145" s="34"/>
      <c r="U145" s="40"/>
      <c r="V145" s="34"/>
      <c r="W145" s="34"/>
      <c r="X145" s="34"/>
      <c r="Y145" s="34"/>
      <c r="Z145" s="40"/>
      <c r="AA145" s="34"/>
      <c r="AB145" s="38"/>
      <c r="AC145" s="38"/>
    </row>
    <row r="146" spans="2:29" x14ac:dyDescent="0.25">
      <c r="B146" s="34"/>
      <c r="C146" s="34"/>
      <c r="D146" s="34"/>
      <c r="E146" s="34"/>
      <c r="F146" s="40"/>
      <c r="G146" s="34"/>
      <c r="H146" s="34"/>
      <c r="I146" s="34"/>
      <c r="J146" s="34"/>
      <c r="K146" s="40"/>
      <c r="L146" s="34"/>
      <c r="M146" s="34"/>
      <c r="N146" s="34"/>
      <c r="O146" s="34"/>
      <c r="P146" s="40"/>
      <c r="Q146" s="34"/>
      <c r="R146" s="34"/>
      <c r="S146" s="34"/>
      <c r="T146" s="34"/>
      <c r="U146" s="40"/>
      <c r="V146" s="34"/>
      <c r="W146" s="34"/>
      <c r="X146" s="34"/>
      <c r="Y146" s="34"/>
      <c r="Z146" s="40"/>
      <c r="AA146" s="34"/>
      <c r="AB146" s="38"/>
      <c r="AC146" s="38"/>
    </row>
    <row r="147" spans="2:29" x14ac:dyDescent="0.25">
      <c r="B147" s="34"/>
      <c r="C147" s="34"/>
      <c r="D147" s="34"/>
      <c r="E147" s="34"/>
      <c r="F147" s="40"/>
      <c r="G147" s="34"/>
      <c r="H147" s="34"/>
      <c r="I147" s="34"/>
      <c r="J147" s="34"/>
      <c r="K147" s="40"/>
      <c r="L147" s="34"/>
      <c r="M147" s="34"/>
      <c r="N147" s="34"/>
      <c r="O147" s="34"/>
      <c r="P147" s="40"/>
      <c r="Q147" s="34"/>
      <c r="R147" s="34"/>
      <c r="S147" s="34"/>
      <c r="T147" s="34"/>
      <c r="U147" s="40"/>
      <c r="V147" s="34"/>
      <c r="W147" s="34"/>
      <c r="X147" s="34"/>
      <c r="Y147" s="34"/>
      <c r="Z147" s="40"/>
      <c r="AA147" s="34"/>
      <c r="AB147" s="38"/>
      <c r="AC147" s="38"/>
    </row>
    <row r="148" spans="2:29" x14ac:dyDescent="0.25">
      <c r="B148" s="34"/>
      <c r="C148" s="34"/>
      <c r="D148" s="34"/>
      <c r="E148" s="34"/>
      <c r="F148" s="40"/>
      <c r="G148" s="34"/>
      <c r="H148" s="34"/>
      <c r="I148" s="34"/>
      <c r="J148" s="34"/>
      <c r="K148" s="40"/>
      <c r="L148" s="34"/>
      <c r="M148" s="34"/>
      <c r="N148" s="34"/>
      <c r="O148" s="34"/>
      <c r="P148" s="40"/>
      <c r="Q148" s="34"/>
      <c r="R148" s="34"/>
      <c r="S148" s="34"/>
      <c r="T148" s="34"/>
      <c r="U148" s="40"/>
      <c r="V148" s="34"/>
      <c r="W148" s="34"/>
      <c r="X148" s="34"/>
      <c r="Y148" s="34"/>
      <c r="Z148" s="40"/>
      <c r="AA148" s="34"/>
      <c r="AB148" s="38"/>
      <c r="AC148" s="38"/>
    </row>
    <row r="149" spans="2:29" x14ac:dyDescent="0.25">
      <c r="B149" s="34"/>
      <c r="C149" s="34"/>
      <c r="D149" s="34"/>
      <c r="E149" s="34"/>
      <c r="F149" s="40"/>
      <c r="G149" s="34"/>
      <c r="H149" s="34"/>
      <c r="I149" s="34"/>
      <c r="J149" s="34"/>
      <c r="K149" s="40"/>
      <c r="L149" s="34"/>
      <c r="M149" s="34"/>
      <c r="N149" s="34"/>
      <c r="O149" s="34"/>
      <c r="P149" s="40"/>
      <c r="Q149" s="34"/>
      <c r="R149" s="34"/>
      <c r="S149" s="34"/>
      <c r="T149" s="34"/>
      <c r="U149" s="40"/>
      <c r="V149" s="34"/>
      <c r="W149" s="34"/>
      <c r="X149" s="34"/>
      <c r="Y149" s="34"/>
      <c r="Z149" s="40"/>
      <c r="AA149" s="34"/>
      <c r="AB149" s="38"/>
      <c r="AC149" s="38"/>
    </row>
    <row r="150" spans="2:29" x14ac:dyDescent="0.25">
      <c r="B150" s="34"/>
      <c r="C150" s="34"/>
      <c r="D150" s="34"/>
      <c r="E150" s="34"/>
      <c r="F150" s="40"/>
      <c r="G150" s="34"/>
      <c r="H150" s="34"/>
      <c r="I150" s="34"/>
      <c r="J150" s="34"/>
      <c r="K150" s="40"/>
      <c r="L150" s="34"/>
      <c r="M150" s="34"/>
      <c r="N150" s="34"/>
      <c r="O150" s="34"/>
      <c r="P150" s="40"/>
      <c r="Q150" s="34"/>
      <c r="R150" s="34"/>
      <c r="S150" s="34"/>
      <c r="T150" s="34"/>
      <c r="U150" s="40"/>
      <c r="V150" s="34"/>
      <c r="W150" s="34"/>
      <c r="X150" s="34"/>
      <c r="Y150" s="34"/>
      <c r="Z150" s="40"/>
      <c r="AA150" s="34"/>
      <c r="AB150" s="38"/>
      <c r="AC150" s="38"/>
    </row>
    <row r="151" spans="2:29" x14ac:dyDescent="0.25">
      <c r="B151" s="34"/>
      <c r="C151" s="34"/>
      <c r="D151" s="34"/>
      <c r="E151" s="34"/>
      <c r="F151" s="40"/>
      <c r="G151" s="34"/>
      <c r="H151" s="34"/>
      <c r="I151" s="34"/>
      <c r="J151" s="34"/>
      <c r="K151" s="40"/>
      <c r="L151" s="34"/>
      <c r="M151" s="34"/>
      <c r="N151" s="34"/>
      <c r="O151" s="34"/>
      <c r="P151" s="40"/>
      <c r="Q151" s="34"/>
      <c r="R151" s="34"/>
      <c r="S151" s="34"/>
      <c r="T151" s="34"/>
      <c r="U151" s="40"/>
      <c r="V151" s="34"/>
      <c r="W151" s="34"/>
      <c r="X151" s="34"/>
      <c r="Y151" s="34"/>
      <c r="Z151" s="40"/>
      <c r="AA151" s="34"/>
      <c r="AB151" s="38"/>
      <c r="AC151" s="38"/>
    </row>
    <row r="152" spans="2:29" x14ac:dyDescent="0.25">
      <c r="B152" s="34"/>
      <c r="C152" s="34"/>
      <c r="D152" s="34"/>
      <c r="E152" s="34"/>
      <c r="F152" s="40"/>
      <c r="G152" s="34"/>
      <c r="H152" s="34"/>
      <c r="I152" s="34"/>
      <c r="J152" s="34"/>
      <c r="K152" s="40"/>
      <c r="L152" s="34"/>
      <c r="M152" s="34"/>
      <c r="N152" s="34"/>
      <c r="O152" s="34"/>
      <c r="P152" s="40"/>
      <c r="Q152" s="34"/>
      <c r="R152" s="34"/>
      <c r="S152" s="34"/>
      <c r="T152" s="34"/>
      <c r="U152" s="40"/>
      <c r="V152" s="34"/>
      <c r="W152" s="34"/>
      <c r="X152" s="34"/>
      <c r="Y152" s="34"/>
      <c r="Z152" s="40"/>
      <c r="AA152" s="34"/>
      <c r="AB152" s="38"/>
      <c r="AC152" s="38"/>
    </row>
    <row r="153" spans="2:29" x14ac:dyDescent="0.25">
      <c r="B153" s="34"/>
      <c r="C153" s="34"/>
      <c r="D153" s="34"/>
      <c r="E153" s="34"/>
      <c r="F153" s="40"/>
      <c r="G153" s="34"/>
      <c r="H153" s="34"/>
      <c r="I153" s="34"/>
      <c r="J153" s="34"/>
      <c r="K153" s="40"/>
      <c r="L153" s="34"/>
      <c r="M153" s="34"/>
      <c r="N153" s="34"/>
      <c r="O153" s="34"/>
      <c r="P153" s="40"/>
      <c r="Q153" s="34"/>
      <c r="R153" s="34"/>
      <c r="S153" s="34"/>
      <c r="T153" s="34"/>
      <c r="U153" s="40"/>
      <c r="V153" s="34"/>
      <c r="W153" s="34"/>
      <c r="X153" s="34"/>
      <c r="Y153" s="34"/>
      <c r="Z153" s="40"/>
      <c r="AA153" s="34"/>
      <c r="AB153" s="38"/>
      <c r="AC153" s="38"/>
    </row>
    <row r="154" spans="2:29" x14ac:dyDescent="0.25">
      <c r="B154" s="34"/>
      <c r="C154" s="34"/>
      <c r="D154" s="34"/>
      <c r="E154" s="34"/>
      <c r="F154" s="40"/>
      <c r="G154" s="34"/>
      <c r="H154" s="34"/>
      <c r="I154" s="34"/>
      <c r="J154" s="34"/>
      <c r="K154" s="40"/>
      <c r="L154" s="34"/>
      <c r="M154" s="34"/>
      <c r="N154" s="34"/>
      <c r="O154" s="34"/>
      <c r="P154" s="40"/>
      <c r="Q154" s="34"/>
      <c r="R154" s="34"/>
      <c r="S154" s="34"/>
      <c r="T154" s="34"/>
      <c r="U154" s="40"/>
      <c r="V154" s="34"/>
      <c r="W154" s="34"/>
      <c r="X154" s="34"/>
      <c r="Y154" s="34"/>
      <c r="Z154" s="40"/>
      <c r="AA154" s="34"/>
      <c r="AB154" s="38"/>
      <c r="AC154" s="38"/>
    </row>
    <row r="155" spans="2:29" x14ac:dyDescent="0.25">
      <c r="B155" s="34"/>
      <c r="C155" s="34"/>
      <c r="D155" s="34"/>
      <c r="E155" s="34"/>
      <c r="F155" s="40"/>
      <c r="G155" s="34"/>
      <c r="H155" s="34"/>
      <c r="I155" s="34"/>
      <c r="J155" s="34"/>
      <c r="K155" s="40"/>
      <c r="L155" s="34"/>
      <c r="M155" s="34"/>
      <c r="N155" s="34"/>
      <c r="O155" s="34"/>
      <c r="P155" s="40"/>
      <c r="Q155" s="34"/>
      <c r="R155" s="34"/>
      <c r="S155" s="34"/>
      <c r="T155" s="34"/>
      <c r="U155" s="40"/>
      <c r="V155" s="34"/>
      <c r="W155" s="34"/>
      <c r="X155" s="34"/>
      <c r="Y155" s="34"/>
      <c r="Z155" s="40"/>
      <c r="AA155" s="34"/>
      <c r="AB155" s="38"/>
      <c r="AC155" s="38"/>
    </row>
    <row r="156" spans="2:29" x14ac:dyDescent="0.25">
      <c r="B156" s="34"/>
      <c r="C156" s="34"/>
      <c r="D156" s="34"/>
      <c r="E156" s="34"/>
      <c r="F156" s="40"/>
      <c r="G156" s="34"/>
      <c r="H156" s="34"/>
      <c r="I156" s="34"/>
      <c r="J156" s="34"/>
      <c r="K156" s="40"/>
      <c r="L156" s="34"/>
      <c r="M156" s="34"/>
      <c r="N156" s="34"/>
      <c r="O156" s="34"/>
      <c r="P156" s="40"/>
      <c r="Q156" s="34"/>
      <c r="R156" s="34"/>
      <c r="S156" s="34"/>
      <c r="T156" s="34"/>
      <c r="U156" s="40"/>
      <c r="V156" s="34"/>
      <c r="W156" s="34"/>
      <c r="X156" s="34"/>
      <c r="Y156" s="34"/>
      <c r="Z156" s="40"/>
      <c r="AA156" s="34"/>
      <c r="AB156" s="38"/>
      <c r="AC156" s="38"/>
    </row>
    <row r="157" spans="2:29" x14ac:dyDescent="0.25">
      <c r="B157" s="34"/>
      <c r="C157" s="34"/>
      <c r="D157" s="34"/>
      <c r="E157" s="34"/>
      <c r="F157" s="40"/>
      <c r="G157" s="34"/>
      <c r="H157" s="34"/>
      <c r="I157" s="34"/>
      <c r="J157" s="34"/>
      <c r="K157" s="40"/>
      <c r="L157" s="34"/>
      <c r="M157" s="34"/>
      <c r="N157" s="34"/>
      <c r="O157" s="34"/>
      <c r="P157" s="40"/>
      <c r="Q157" s="34"/>
      <c r="R157" s="34"/>
      <c r="S157" s="34"/>
      <c r="T157" s="34"/>
      <c r="U157" s="40"/>
      <c r="V157" s="34"/>
      <c r="W157" s="34"/>
      <c r="X157" s="34"/>
      <c r="Y157" s="34"/>
      <c r="Z157" s="40"/>
      <c r="AA157" s="34"/>
      <c r="AB157" s="38"/>
      <c r="AC157" s="38"/>
    </row>
    <row r="158" spans="2:29" x14ac:dyDescent="0.25">
      <c r="B158" s="34"/>
      <c r="C158" s="34"/>
      <c r="D158" s="34"/>
      <c r="E158" s="34"/>
      <c r="F158" s="40"/>
      <c r="G158" s="34"/>
      <c r="H158" s="34"/>
      <c r="I158" s="34"/>
      <c r="J158" s="34"/>
      <c r="K158" s="40"/>
      <c r="L158" s="34"/>
      <c r="M158" s="34"/>
      <c r="N158" s="34"/>
      <c r="O158" s="34"/>
      <c r="P158" s="40"/>
      <c r="Q158" s="34"/>
      <c r="R158" s="34"/>
      <c r="S158" s="34"/>
      <c r="T158" s="34"/>
      <c r="U158" s="40"/>
      <c r="V158" s="34"/>
      <c r="W158" s="34"/>
      <c r="X158" s="34"/>
      <c r="Y158" s="34"/>
      <c r="Z158" s="40"/>
      <c r="AA158" s="34"/>
      <c r="AB158" s="38"/>
      <c r="AC158" s="38"/>
    </row>
    <row r="159" spans="2:29" x14ac:dyDescent="0.25">
      <c r="B159" s="34"/>
      <c r="C159" s="34"/>
      <c r="D159" s="34"/>
      <c r="E159" s="34"/>
      <c r="F159" s="40"/>
      <c r="G159" s="34"/>
      <c r="H159" s="34"/>
      <c r="I159" s="34"/>
      <c r="J159" s="34"/>
      <c r="K159" s="40"/>
      <c r="L159" s="34"/>
      <c r="M159" s="34"/>
      <c r="N159" s="34"/>
      <c r="O159" s="34"/>
      <c r="P159" s="40"/>
      <c r="Q159" s="34"/>
      <c r="R159" s="34"/>
      <c r="S159" s="34"/>
      <c r="T159" s="34"/>
      <c r="U159" s="40"/>
      <c r="V159" s="34"/>
      <c r="W159" s="34"/>
      <c r="X159" s="34"/>
      <c r="Y159" s="34"/>
      <c r="Z159" s="40"/>
      <c r="AA159" s="34"/>
      <c r="AB159" s="38"/>
      <c r="AC159" s="38"/>
    </row>
    <row r="160" spans="2:29" x14ac:dyDescent="0.25">
      <c r="B160" s="34"/>
      <c r="C160" s="34"/>
      <c r="D160" s="34"/>
      <c r="E160" s="34"/>
      <c r="F160" s="40"/>
      <c r="G160" s="34"/>
      <c r="H160" s="34"/>
      <c r="I160" s="34"/>
      <c r="J160" s="34"/>
      <c r="K160" s="40"/>
      <c r="L160" s="34"/>
      <c r="M160" s="34"/>
      <c r="N160" s="34"/>
      <c r="O160" s="34"/>
      <c r="P160" s="40"/>
      <c r="Q160" s="34"/>
      <c r="R160" s="34"/>
      <c r="S160" s="34"/>
      <c r="T160" s="34"/>
      <c r="U160" s="40"/>
      <c r="V160" s="34"/>
      <c r="W160" s="34"/>
      <c r="X160" s="34"/>
      <c r="Y160" s="34"/>
      <c r="Z160" s="40"/>
      <c r="AA160" s="34"/>
      <c r="AB160" s="38"/>
      <c r="AC160" s="38"/>
    </row>
    <row r="161" spans="2:29" x14ac:dyDescent="0.25">
      <c r="B161" s="34"/>
      <c r="C161" s="34"/>
      <c r="D161" s="34"/>
      <c r="E161" s="34"/>
      <c r="F161" s="40"/>
      <c r="G161" s="34"/>
      <c r="H161" s="34"/>
      <c r="I161" s="34"/>
      <c r="J161" s="34"/>
      <c r="K161" s="40"/>
      <c r="L161" s="34"/>
      <c r="M161" s="34"/>
      <c r="N161" s="34"/>
      <c r="O161" s="34"/>
      <c r="P161" s="40"/>
      <c r="Q161" s="34"/>
      <c r="R161" s="34"/>
      <c r="S161" s="34"/>
      <c r="T161" s="34"/>
      <c r="U161" s="40"/>
      <c r="V161" s="34"/>
      <c r="W161" s="34"/>
      <c r="X161" s="34"/>
      <c r="Y161" s="34"/>
      <c r="Z161" s="40"/>
      <c r="AA161" s="34"/>
      <c r="AB161" s="38"/>
      <c r="AC161" s="38"/>
    </row>
    <row r="162" spans="2:29" x14ac:dyDescent="0.25">
      <c r="B162" s="34"/>
      <c r="C162" s="34"/>
      <c r="D162" s="34"/>
      <c r="E162" s="34"/>
      <c r="F162" s="40"/>
      <c r="G162" s="34"/>
      <c r="H162" s="34"/>
      <c r="I162" s="34"/>
      <c r="J162" s="34"/>
      <c r="K162" s="40"/>
      <c r="L162" s="34"/>
      <c r="M162" s="34"/>
      <c r="N162" s="34"/>
      <c r="O162" s="34"/>
      <c r="P162" s="40"/>
      <c r="Q162" s="34"/>
      <c r="R162" s="34"/>
      <c r="S162" s="34"/>
      <c r="T162" s="34"/>
      <c r="U162" s="40"/>
      <c r="V162" s="34"/>
      <c r="W162" s="34"/>
      <c r="X162" s="34"/>
      <c r="Y162" s="34"/>
      <c r="Z162" s="40"/>
      <c r="AA162" s="34"/>
      <c r="AB162" s="38"/>
      <c r="AC162" s="38"/>
    </row>
    <row r="163" spans="2:29" x14ac:dyDescent="0.25">
      <c r="B163" s="34"/>
      <c r="C163" s="34"/>
      <c r="D163" s="34"/>
      <c r="E163" s="34"/>
      <c r="F163" s="40"/>
      <c r="G163" s="34"/>
      <c r="H163" s="34"/>
      <c r="I163" s="34"/>
      <c r="J163" s="34"/>
      <c r="K163" s="40"/>
      <c r="L163" s="34"/>
      <c r="M163" s="34"/>
      <c r="N163" s="34"/>
      <c r="O163" s="34"/>
      <c r="P163" s="40"/>
      <c r="Q163" s="34"/>
      <c r="R163" s="34"/>
      <c r="S163" s="34"/>
      <c r="T163" s="34"/>
      <c r="U163" s="40"/>
      <c r="V163" s="34"/>
      <c r="W163" s="34"/>
      <c r="X163" s="34"/>
      <c r="Y163" s="34"/>
      <c r="Z163" s="40"/>
      <c r="AA163" s="34"/>
      <c r="AB163" s="38"/>
      <c r="AC163" s="38"/>
    </row>
    <row r="164" spans="2:29" x14ac:dyDescent="0.25">
      <c r="B164" s="34"/>
      <c r="C164" s="34"/>
      <c r="D164" s="34"/>
      <c r="E164" s="34"/>
      <c r="F164" s="40"/>
      <c r="G164" s="34"/>
      <c r="H164" s="34"/>
      <c r="I164" s="34"/>
      <c r="J164" s="34"/>
      <c r="K164" s="40"/>
      <c r="L164" s="34"/>
      <c r="M164" s="34"/>
      <c r="N164" s="34"/>
      <c r="O164" s="34"/>
      <c r="P164" s="40"/>
      <c r="Q164" s="34"/>
      <c r="R164" s="34"/>
      <c r="S164" s="34"/>
      <c r="T164" s="34"/>
      <c r="U164" s="40"/>
      <c r="V164" s="34"/>
      <c r="W164" s="34"/>
      <c r="X164" s="34"/>
      <c r="Y164" s="34"/>
      <c r="Z164" s="40"/>
      <c r="AA164" s="34"/>
      <c r="AB164" s="38"/>
      <c r="AC164" s="38"/>
    </row>
    <row r="165" spans="2:29" x14ac:dyDescent="0.25">
      <c r="B165" s="34"/>
      <c r="C165" s="34"/>
      <c r="D165" s="34"/>
      <c r="E165" s="34"/>
      <c r="F165" s="40"/>
      <c r="G165" s="34"/>
      <c r="H165" s="34"/>
      <c r="I165" s="34"/>
      <c r="J165" s="34"/>
      <c r="K165" s="40"/>
      <c r="L165" s="34"/>
      <c r="M165" s="34"/>
      <c r="N165" s="34"/>
      <c r="O165" s="34"/>
      <c r="P165" s="40"/>
      <c r="Q165" s="34"/>
      <c r="R165" s="34"/>
      <c r="S165" s="34"/>
      <c r="T165" s="34"/>
      <c r="U165" s="40"/>
      <c r="V165" s="34"/>
      <c r="W165" s="34"/>
      <c r="X165" s="34"/>
      <c r="Y165" s="34"/>
      <c r="Z165" s="40"/>
      <c r="AA165" s="34"/>
      <c r="AB165" s="38"/>
      <c r="AC165" s="38"/>
    </row>
    <row r="166" spans="2:29" x14ac:dyDescent="0.25">
      <c r="B166" s="34"/>
      <c r="C166" s="34"/>
      <c r="D166" s="34"/>
      <c r="E166" s="34"/>
      <c r="F166" s="40"/>
      <c r="G166" s="34"/>
      <c r="H166" s="34"/>
      <c r="I166" s="34"/>
      <c r="J166" s="34"/>
      <c r="K166" s="40"/>
      <c r="L166" s="34"/>
      <c r="M166" s="34"/>
      <c r="N166" s="34"/>
      <c r="O166" s="34"/>
      <c r="P166" s="40"/>
      <c r="Q166" s="34"/>
      <c r="R166" s="34"/>
      <c r="S166" s="34"/>
      <c r="T166" s="34"/>
      <c r="U166" s="40"/>
      <c r="V166" s="34"/>
      <c r="W166" s="34"/>
      <c r="X166" s="34"/>
      <c r="Y166" s="34"/>
      <c r="Z166" s="40"/>
      <c r="AA166" s="34"/>
      <c r="AB166" s="38"/>
      <c r="AC166" s="38"/>
    </row>
    <row r="167" spans="2:29" x14ac:dyDescent="0.25">
      <c r="B167" s="34"/>
      <c r="C167" s="34"/>
      <c r="D167" s="34"/>
      <c r="E167" s="34"/>
      <c r="F167" s="40"/>
      <c r="G167" s="34"/>
      <c r="H167" s="34"/>
      <c r="I167" s="34"/>
      <c r="J167" s="34"/>
      <c r="K167" s="40"/>
      <c r="L167" s="34"/>
      <c r="M167" s="34"/>
      <c r="N167" s="34"/>
      <c r="O167" s="34"/>
      <c r="P167" s="40"/>
      <c r="Q167" s="34"/>
      <c r="R167" s="34"/>
      <c r="S167" s="34"/>
      <c r="T167" s="34"/>
      <c r="U167" s="40"/>
      <c r="V167" s="34"/>
      <c r="W167" s="34"/>
      <c r="X167" s="34"/>
      <c r="Y167" s="34"/>
      <c r="Z167" s="40"/>
      <c r="AA167" s="34"/>
      <c r="AB167" s="38"/>
      <c r="AC167" s="38"/>
    </row>
    <row r="168" spans="2:29" x14ac:dyDescent="0.25">
      <c r="B168" s="34"/>
      <c r="C168" s="34"/>
      <c r="D168" s="34"/>
      <c r="E168" s="34"/>
      <c r="F168" s="40"/>
      <c r="G168" s="34"/>
      <c r="H168" s="34"/>
      <c r="I168" s="34"/>
      <c r="J168" s="34"/>
      <c r="K168" s="40"/>
      <c r="L168" s="34"/>
      <c r="M168" s="34"/>
      <c r="N168" s="34"/>
      <c r="O168" s="34"/>
      <c r="P168" s="40"/>
      <c r="Q168" s="34"/>
      <c r="R168" s="34"/>
      <c r="S168" s="34"/>
      <c r="T168" s="34"/>
      <c r="U168" s="40"/>
      <c r="V168" s="34"/>
      <c r="W168" s="34"/>
      <c r="X168" s="34"/>
      <c r="Y168" s="34"/>
      <c r="Z168" s="40"/>
      <c r="AA168" s="34"/>
      <c r="AB168" s="38"/>
      <c r="AC168" s="38"/>
    </row>
    <row r="169" spans="2:29" x14ac:dyDescent="0.25">
      <c r="B169" s="34"/>
      <c r="C169" s="34"/>
      <c r="D169" s="34"/>
      <c r="E169" s="34"/>
      <c r="F169" s="40"/>
      <c r="G169" s="34"/>
      <c r="H169" s="34"/>
      <c r="I169" s="34"/>
      <c r="J169" s="34"/>
      <c r="K169" s="40"/>
      <c r="L169" s="34"/>
      <c r="M169" s="34"/>
      <c r="N169" s="34"/>
      <c r="O169" s="34"/>
      <c r="P169" s="40"/>
      <c r="Q169" s="34"/>
      <c r="R169" s="34"/>
      <c r="S169" s="34"/>
      <c r="T169" s="34"/>
      <c r="U169" s="40"/>
      <c r="V169" s="34"/>
      <c r="W169" s="34"/>
      <c r="X169" s="34"/>
      <c r="Y169" s="34"/>
      <c r="Z169" s="40"/>
      <c r="AA169" s="34"/>
      <c r="AB169" s="38"/>
      <c r="AC169" s="38"/>
    </row>
    <row r="170" spans="2:29" x14ac:dyDescent="0.25">
      <c r="B170" s="34"/>
      <c r="C170" s="34"/>
      <c r="D170" s="34"/>
      <c r="E170" s="34"/>
      <c r="F170" s="40"/>
      <c r="G170" s="34"/>
      <c r="H170" s="34"/>
      <c r="I170" s="34"/>
      <c r="J170" s="34"/>
      <c r="K170" s="40"/>
      <c r="L170" s="34"/>
      <c r="M170" s="34"/>
      <c r="N170" s="34"/>
      <c r="O170" s="34"/>
      <c r="P170" s="40"/>
      <c r="Q170" s="34"/>
      <c r="R170" s="34"/>
      <c r="S170" s="34"/>
      <c r="T170" s="34"/>
      <c r="U170" s="40"/>
      <c r="V170" s="34"/>
      <c r="W170" s="34"/>
      <c r="X170" s="34"/>
      <c r="Y170" s="34"/>
      <c r="Z170" s="40"/>
      <c r="AA170" s="34"/>
      <c r="AB170" s="38"/>
      <c r="AC170" s="38"/>
    </row>
    <row r="171" spans="2:29" x14ac:dyDescent="0.25">
      <c r="B171" s="34"/>
      <c r="C171" s="34"/>
      <c r="D171" s="34"/>
      <c r="E171" s="34"/>
      <c r="F171" s="40"/>
      <c r="G171" s="34"/>
      <c r="H171" s="34"/>
      <c r="I171" s="34"/>
      <c r="J171" s="34"/>
      <c r="K171" s="40"/>
      <c r="L171" s="34"/>
      <c r="M171" s="34"/>
      <c r="N171" s="34"/>
      <c r="O171" s="34"/>
      <c r="P171" s="40"/>
      <c r="Q171" s="34"/>
      <c r="R171" s="34"/>
      <c r="S171" s="34"/>
      <c r="T171" s="34"/>
      <c r="U171" s="40"/>
      <c r="V171" s="34"/>
      <c r="W171" s="34"/>
      <c r="X171" s="34"/>
      <c r="Y171" s="34"/>
      <c r="Z171" s="40"/>
      <c r="AA171" s="34"/>
      <c r="AB171" s="38"/>
      <c r="AC171" s="38"/>
    </row>
    <row r="172" spans="2:29" x14ac:dyDescent="0.25">
      <c r="B172" s="34"/>
      <c r="C172" s="34"/>
      <c r="D172" s="34"/>
      <c r="E172" s="34"/>
      <c r="F172" s="40"/>
      <c r="G172" s="34"/>
      <c r="H172" s="34"/>
      <c r="I172" s="34"/>
      <c r="J172" s="34"/>
      <c r="K172" s="40"/>
      <c r="L172" s="34"/>
      <c r="M172" s="34"/>
      <c r="N172" s="34"/>
      <c r="O172" s="34"/>
      <c r="P172" s="40"/>
      <c r="Q172" s="34"/>
      <c r="R172" s="34"/>
      <c r="S172" s="34"/>
      <c r="T172" s="34"/>
      <c r="U172" s="40"/>
      <c r="V172" s="34"/>
      <c r="W172" s="34"/>
      <c r="X172" s="34"/>
      <c r="Y172" s="34"/>
      <c r="Z172" s="40"/>
      <c r="AA172" s="34"/>
      <c r="AB172" s="38"/>
      <c r="AC172" s="38"/>
    </row>
    <row r="173" spans="2:29" x14ac:dyDescent="0.25">
      <c r="B173" s="34"/>
      <c r="C173" s="34"/>
      <c r="D173" s="34"/>
      <c r="E173" s="34"/>
      <c r="F173" s="40"/>
      <c r="G173" s="34"/>
      <c r="H173" s="34"/>
      <c r="I173" s="34"/>
      <c r="J173" s="34"/>
      <c r="K173" s="40"/>
      <c r="L173" s="34"/>
      <c r="M173" s="34"/>
      <c r="N173" s="34"/>
      <c r="O173" s="34"/>
      <c r="P173" s="40"/>
      <c r="Q173" s="34"/>
      <c r="R173" s="34"/>
      <c r="S173" s="34"/>
      <c r="T173" s="34"/>
      <c r="U173" s="40"/>
      <c r="V173" s="34"/>
      <c r="W173" s="34"/>
      <c r="X173" s="34"/>
      <c r="Y173" s="34"/>
      <c r="Z173" s="40"/>
      <c r="AA173" s="34"/>
      <c r="AB173" s="38"/>
      <c r="AC173" s="38"/>
    </row>
    <row r="174" spans="2:29" x14ac:dyDescent="0.25">
      <c r="B174" s="34"/>
      <c r="C174" s="34"/>
      <c r="D174" s="34"/>
      <c r="E174" s="34"/>
      <c r="F174" s="40"/>
      <c r="G174" s="34"/>
      <c r="H174" s="34"/>
      <c r="I174" s="34"/>
      <c r="J174" s="34"/>
      <c r="K174" s="40"/>
      <c r="L174" s="34"/>
      <c r="M174" s="34"/>
      <c r="N174" s="34"/>
      <c r="O174" s="34"/>
      <c r="P174" s="40"/>
      <c r="Q174" s="34"/>
      <c r="R174" s="34"/>
      <c r="S174" s="34"/>
      <c r="T174" s="34"/>
      <c r="U174" s="40"/>
      <c r="V174" s="34"/>
      <c r="W174" s="34"/>
      <c r="X174" s="34"/>
      <c r="Y174" s="34"/>
      <c r="Z174" s="40"/>
      <c r="AA174" s="34"/>
      <c r="AB174" s="38"/>
      <c r="AC174" s="38"/>
    </row>
    <row r="175" spans="2:29" x14ac:dyDescent="0.25">
      <c r="B175" s="34"/>
      <c r="C175" s="34"/>
      <c r="D175" s="34"/>
      <c r="E175" s="34"/>
      <c r="F175" s="40"/>
      <c r="G175" s="34"/>
      <c r="H175" s="34"/>
      <c r="I175" s="34"/>
      <c r="J175" s="34"/>
      <c r="K175" s="40"/>
      <c r="L175" s="34"/>
      <c r="M175" s="34"/>
      <c r="N175" s="34"/>
      <c r="O175" s="34"/>
      <c r="P175" s="40"/>
      <c r="Q175" s="34"/>
      <c r="R175" s="34"/>
      <c r="S175" s="34"/>
      <c r="T175" s="34"/>
      <c r="U175" s="40"/>
      <c r="V175" s="34"/>
      <c r="W175" s="34"/>
      <c r="X175" s="34"/>
      <c r="Y175" s="34"/>
      <c r="Z175" s="40"/>
      <c r="AA175" s="34"/>
      <c r="AB175" s="38"/>
      <c r="AC175" s="38"/>
    </row>
    <row r="176" spans="2:29" x14ac:dyDescent="0.25">
      <c r="B176" s="34"/>
      <c r="C176" s="34"/>
      <c r="D176" s="34"/>
      <c r="E176" s="34"/>
      <c r="F176" s="40"/>
      <c r="G176" s="34"/>
      <c r="H176" s="34"/>
      <c r="I176" s="34"/>
      <c r="J176" s="34"/>
      <c r="K176" s="40"/>
      <c r="L176" s="34"/>
      <c r="M176" s="34"/>
      <c r="N176" s="34"/>
      <c r="O176" s="34"/>
      <c r="P176" s="40"/>
      <c r="Q176" s="34"/>
      <c r="R176" s="34"/>
      <c r="S176" s="34"/>
      <c r="T176" s="34"/>
      <c r="U176" s="40"/>
      <c r="V176" s="34"/>
      <c r="W176" s="34"/>
      <c r="X176" s="34"/>
      <c r="Y176" s="34"/>
      <c r="Z176" s="40"/>
      <c r="AA176" s="34"/>
      <c r="AB176" s="38"/>
      <c r="AC176" s="38"/>
    </row>
    <row r="177" spans="2:29" x14ac:dyDescent="0.25">
      <c r="B177" s="34"/>
      <c r="C177" s="34"/>
      <c r="D177" s="34"/>
      <c r="E177" s="34"/>
      <c r="F177" s="40"/>
      <c r="G177" s="34"/>
      <c r="H177" s="34"/>
      <c r="I177" s="34"/>
      <c r="J177" s="34"/>
      <c r="K177" s="40"/>
      <c r="L177" s="34"/>
      <c r="M177" s="34"/>
      <c r="N177" s="34"/>
      <c r="O177" s="34"/>
      <c r="P177" s="40"/>
      <c r="Q177" s="34"/>
      <c r="R177" s="34"/>
      <c r="S177" s="34"/>
      <c r="T177" s="34"/>
      <c r="U177" s="40"/>
      <c r="V177" s="34"/>
      <c r="W177" s="34"/>
      <c r="X177" s="34"/>
      <c r="Y177" s="34"/>
      <c r="Z177" s="40"/>
      <c r="AA177" s="34"/>
      <c r="AB177" s="38"/>
      <c r="AC177" s="38"/>
    </row>
    <row r="178" spans="2:29" x14ac:dyDescent="0.25">
      <c r="B178" s="34"/>
      <c r="C178" s="34"/>
      <c r="D178" s="34"/>
      <c r="E178" s="34"/>
      <c r="F178" s="40"/>
      <c r="G178" s="34"/>
      <c r="H178" s="34"/>
      <c r="I178" s="34"/>
      <c r="J178" s="34"/>
      <c r="K178" s="40"/>
      <c r="L178" s="34"/>
      <c r="M178" s="34"/>
      <c r="N178" s="34"/>
      <c r="O178" s="34"/>
      <c r="P178" s="40"/>
      <c r="Q178" s="34"/>
      <c r="R178" s="34"/>
      <c r="S178" s="34"/>
      <c r="T178" s="34"/>
      <c r="U178" s="40"/>
      <c r="V178" s="34"/>
      <c r="W178" s="34"/>
      <c r="X178" s="34"/>
      <c r="Y178" s="34"/>
      <c r="Z178" s="40"/>
      <c r="AA178" s="34"/>
      <c r="AB178" s="38"/>
      <c r="AC178" s="38"/>
    </row>
    <row r="179" spans="2:29" x14ac:dyDescent="0.25">
      <c r="B179" s="34"/>
      <c r="C179" s="34"/>
      <c r="D179" s="34"/>
      <c r="E179" s="34"/>
      <c r="F179" s="40"/>
      <c r="G179" s="34"/>
      <c r="H179" s="34"/>
      <c r="I179" s="34"/>
      <c r="J179" s="34"/>
      <c r="K179" s="40"/>
      <c r="L179" s="34"/>
      <c r="M179" s="34"/>
      <c r="N179" s="34"/>
      <c r="O179" s="34"/>
      <c r="P179" s="40"/>
      <c r="Q179" s="34"/>
      <c r="R179" s="34"/>
      <c r="S179" s="34"/>
      <c r="T179" s="34"/>
      <c r="U179" s="40"/>
      <c r="V179" s="34"/>
      <c r="W179" s="34"/>
      <c r="X179" s="34"/>
      <c r="Y179" s="34"/>
      <c r="Z179" s="40"/>
      <c r="AA179" s="34"/>
      <c r="AB179" s="38"/>
      <c r="AC179" s="38"/>
    </row>
    <row r="180" spans="2:29" x14ac:dyDescent="0.25">
      <c r="B180" s="34"/>
      <c r="C180" s="34"/>
      <c r="D180" s="34"/>
      <c r="E180" s="34"/>
      <c r="F180" s="40"/>
      <c r="G180" s="34"/>
      <c r="H180" s="34"/>
      <c r="I180" s="34"/>
      <c r="J180" s="34"/>
      <c r="K180" s="40"/>
      <c r="L180" s="34"/>
      <c r="M180" s="34"/>
      <c r="N180" s="34"/>
      <c r="O180" s="34"/>
      <c r="P180" s="40"/>
      <c r="Q180" s="34"/>
      <c r="R180" s="34"/>
      <c r="S180" s="34"/>
      <c r="T180" s="34"/>
      <c r="U180" s="40"/>
      <c r="V180" s="34"/>
      <c r="W180" s="34"/>
      <c r="X180" s="34"/>
      <c r="Y180" s="34"/>
      <c r="Z180" s="40"/>
      <c r="AA180" s="34"/>
      <c r="AB180" s="38"/>
      <c r="AC180" s="38"/>
    </row>
    <row r="181" spans="2:29" x14ac:dyDescent="0.25">
      <c r="B181" s="34"/>
      <c r="C181" s="34"/>
      <c r="D181" s="34"/>
      <c r="E181" s="34"/>
      <c r="F181" s="40"/>
      <c r="G181" s="34"/>
      <c r="H181" s="34"/>
      <c r="I181" s="34"/>
      <c r="J181" s="34"/>
      <c r="K181" s="40"/>
      <c r="L181" s="34"/>
      <c r="M181" s="34"/>
      <c r="N181" s="34"/>
      <c r="O181" s="34"/>
      <c r="P181" s="40"/>
      <c r="Q181" s="34"/>
      <c r="R181" s="34"/>
      <c r="S181" s="34"/>
      <c r="T181" s="34"/>
      <c r="U181" s="40"/>
      <c r="V181" s="34"/>
      <c r="W181" s="34"/>
      <c r="X181" s="34"/>
      <c r="Y181" s="34"/>
      <c r="Z181" s="40"/>
      <c r="AA181" s="34"/>
      <c r="AB181" s="38"/>
      <c r="AC181" s="38"/>
    </row>
    <row r="182" spans="2:29" x14ac:dyDescent="0.25">
      <c r="B182" s="34"/>
      <c r="C182" s="34"/>
      <c r="D182" s="34"/>
      <c r="E182" s="34"/>
      <c r="F182" s="40"/>
      <c r="G182" s="34"/>
      <c r="H182" s="34"/>
      <c r="I182" s="34"/>
      <c r="J182" s="34"/>
      <c r="K182" s="40"/>
      <c r="L182" s="34"/>
      <c r="M182" s="34"/>
      <c r="N182" s="34"/>
      <c r="O182" s="34"/>
      <c r="P182" s="40"/>
      <c r="Q182" s="34"/>
      <c r="R182" s="34"/>
      <c r="S182" s="34"/>
      <c r="T182" s="34"/>
      <c r="U182" s="40"/>
      <c r="V182" s="34"/>
      <c r="W182" s="34"/>
      <c r="X182" s="34"/>
      <c r="Y182" s="34"/>
      <c r="Z182" s="40"/>
      <c r="AA182" s="34"/>
      <c r="AB182" s="38"/>
      <c r="AC182" s="38"/>
    </row>
    <row r="183" spans="2:29" x14ac:dyDescent="0.25">
      <c r="B183" s="34"/>
      <c r="C183" s="34"/>
      <c r="D183" s="34"/>
      <c r="E183" s="34"/>
      <c r="F183" s="40"/>
      <c r="G183" s="34"/>
      <c r="H183" s="34"/>
      <c r="I183" s="34"/>
      <c r="J183" s="34"/>
      <c r="K183" s="40"/>
      <c r="L183" s="34"/>
      <c r="M183" s="34"/>
      <c r="N183" s="34"/>
      <c r="O183" s="34"/>
      <c r="P183" s="40"/>
      <c r="Q183" s="34"/>
      <c r="R183" s="34"/>
      <c r="S183" s="34"/>
      <c r="T183" s="34"/>
      <c r="U183" s="40"/>
      <c r="V183" s="34"/>
      <c r="W183" s="34"/>
      <c r="X183" s="34"/>
      <c r="Y183" s="34"/>
      <c r="Z183" s="40"/>
      <c r="AA183" s="34"/>
      <c r="AB183" s="38"/>
      <c r="AC183" s="38"/>
    </row>
    <row r="184" spans="2:29" x14ac:dyDescent="0.25">
      <c r="B184" s="34"/>
      <c r="C184" s="34"/>
      <c r="D184" s="34"/>
      <c r="E184" s="34"/>
      <c r="F184" s="40"/>
      <c r="G184" s="34"/>
      <c r="H184" s="34"/>
      <c r="I184" s="34"/>
      <c r="J184" s="34"/>
      <c r="K184" s="40"/>
      <c r="L184" s="34"/>
      <c r="M184" s="34"/>
      <c r="N184" s="34"/>
      <c r="O184" s="34"/>
      <c r="P184" s="40"/>
      <c r="Q184" s="34"/>
      <c r="R184" s="34"/>
      <c r="S184" s="34"/>
      <c r="T184" s="34"/>
      <c r="U184" s="40"/>
      <c r="V184" s="34"/>
      <c r="W184" s="34"/>
      <c r="X184" s="34"/>
      <c r="Y184" s="34"/>
      <c r="Z184" s="40"/>
      <c r="AA184" s="34"/>
      <c r="AB184" s="38"/>
      <c r="AC184" s="38"/>
    </row>
    <row r="185" spans="2:29" x14ac:dyDescent="0.25">
      <c r="B185" s="34"/>
      <c r="C185" s="34"/>
      <c r="D185" s="34"/>
      <c r="E185" s="34"/>
      <c r="F185" s="40"/>
      <c r="G185" s="34"/>
      <c r="H185" s="34"/>
      <c r="I185" s="34"/>
      <c r="J185" s="34"/>
      <c r="K185" s="40"/>
      <c r="L185" s="34"/>
      <c r="M185" s="34"/>
      <c r="N185" s="34"/>
      <c r="O185" s="34"/>
      <c r="P185" s="40"/>
      <c r="Q185" s="34"/>
      <c r="R185" s="34"/>
      <c r="S185" s="34"/>
      <c r="T185" s="34"/>
      <c r="U185" s="40"/>
      <c r="V185" s="34"/>
      <c r="W185" s="34"/>
      <c r="X185" s="34"/>
      <c r="Y185" s="34"/>
      <c r="Z185" s="40"/>
      <c r="AA185" s="34"/>
      <c r="AB185" s="38"/>
      <c r="AC185" s="38"/>
    </row>
    <row r="186" spans="2:29" x14ac:dyDescent="0.25">
      <c r="B186" s="34"/>
      <c r="C186" s="34"/>
      <c r="D186" s="34"/>
      <c r="E186" s="34"/>
      <c r="F186" s="40"/>
      <c r="G186" s="34"/>
      <c r="H186" s="34"/>
      <c r="I186" s="34"/>
      <c r="J186" s="34"/>
      <c r="K186" s="40"/>
      <c r="L186" s="34"/>
      <c r="M186" s="34"/>
      <c r="N186" s="34"/>
      <c r="O186" s="34"/>
      <c r="P186" s="40"/>
      <c r="Q186" s="34"/>
      <c r="R186" s="34"/>
      <c r="S186" s="34"/>
      <c r="T186" s="34"/>
      <c r="U186" s="40"/>
      <c r="V186" s="34"/>
      <c r="W186" s="34"/>
      <c r="X186" s="34"/>
      <c r="Y186" s="34"/>
      <c r="Z186" s="40"/>
      <c r="AA186" s="34"/>
      <c r="AB186" s="38"/>
      <c r="AC186" s="38"/>
    </row>
    <row r="187" spans="2:29" x14ac:dyDescent="0.25">
      <c r="B187" s="34"/>
      <c r="C187" s="34"/>
      <c r="D187" s="34"/>
      <c r="E187" s="34"/>
      <c r="F187" s="40"/>
      <c r="G187" s="34"/>
      <c r="H187" s="34"/>
      <c r="I187" s="34"/>
      <c r="J187" s="34"/>
      <c r="K187" s="40"/>
      <c r="L187" s="34"/>
      <c r="M187" s="34"/>
      <c r="N187" s="34"/>
      <c r="O187" s="34"/>
      <c r="P187" s="40"/>
      <c r="Q187" s="34"/>
      <c r="R187" s="34"/>
      <c r="S187" s="34"/>
      <c r="T187" s="34"/>
      <c r="U187" s="40"/>
      <c r="V187" s="34"/>
      <c r="W187" s="34"/>
      <c r="X187" s="34"/>
      <c r="Y187" s="34"/>
      <c r="Z187" s="40"/>
      <c r="AA187" s="34"/>
      <c r="AB187" s="38"/>
      <c r="AC187" s="38"/>
    </row>
    <row r="188" spans="2:29" x14ac:dyDescent="0.25">
      <c r="B188" s="34"/>
      <c r="C188" s="34"/>
      <c r="D188" s="34"/>
      <c r="E188" s="34"/>
      <c r="F188" s="40"/>
      <c r="G188" s="34"/>
      <c r="H188" s="34"/>
      <c r="I188" s="34"/>
      <c r="J188" s="34"/>
      <c r="K188" s="40"/>
      <c r="L188" s="34"/>
      <c r="M188" s="34"/>
      <c r="N188" s="34"/>
      <c r="O188" s="34"/>
      <c r="P188" s="40"/>
      <c r="Q188" s="34"/>
      <c r="R188" s="34"/>
      <c r="S188" s="34"/>
      <c r="T188" s="34"/>
      <c r="U188" s="40"/>
      <c r="V188" s="34"/>
      <c r="W188" s="34"/>
      <c r="X188" s="34"/>
      <c r="Y188" s="34"/>
      <c r="Z188" s="40"/>
      <c r="AA188" s="34"/>
      <c r="AB188" s="38"/>
      <c r="AC188" s="38"/>
    </row>
    <row r="189" spans="2:29" x14ac:dyDescent="0.25">
      <c r="B189" s="34"/>
      <c r="C189" s="34"/>
      <c r="D189" s="34"/>
      <c r="E189" s="34"/>
      <c r="F189" s="40"/>
      <c r="G189" s="34"/>
      <c r="H189" s="34"/>
      <c r="I189" s="34"/>
      <c r="J189" s="34"/>
      <c r="K189" s="40"/>
      <c r="L189" s="34"/>
      <c r="M189" s="34"/>
      <c r="N189" s="34"/>
      <c r="O189" s="34"/>
      <c r="P189" s="40"/>
      <c r="Q189" s="34"/>
      <c r="R189" s="34"/>
      <c r="S189" s="34"/>
      <c r="T189" s="34"/>
      <c r="U189" s="40"/>
      <c r="V189" s="34"/>
      <c r="W189" s="34"/>
      <c r="X189" s="34"/>
      <c r="Y189" s="34"/>
      <c r="Z189" s="40"/>
      <c r="AA189" s="34"/>
      <c r="AB189" s="38"/>
      <c r="AC189" s="38"/>
    </row>
    <row r="190" spans="2:29" x14ac:dyDescent="0.25">
      <c r="B190" s="34"/>
      <c r="C190" s="34"/>
      <c r="D190" s="34"/>
      <c r="E190" s="34"/>
      <c r="F190" s="40"/>
      <c r="G190" s="34"/>
      <c r="H190" s="34"/>
      <c r="I190" s="34"/>
      <c r="J190" s="34"/>
      <c r="K190" s="40"/>
      <c r="L190" s="34"/>
      <c r="M190" s="34"/>
      <c r="N190" s="34"/>
      <c r="O190" s="34"/>
      <c r="P190" s="40"/>
      <c r="Q190" s="34"/>
      <c r="R190" s="34"/>
      <c r="S190" s="34"/>
      <c r="T190" s="34"/>
      <c r="U190" s="40"/>
      <c r="V190" s="34"/>
      <c r="W190" s="34"/>
      <c r="X190" s="34"/>
      <c r="Y190" s="34"/>
      <c r="Z190" s="40"/>
      <c r="AA190" s="34"/>
      <c r="AB190" s="38"/>
      <c r="AC190" s="38"/>
    </row>
    <row r="191" spans="2:29" x14ac:dyDescent="0.25">
      <c r="B191" s="34"/>
      <c r="C191" s="34"/>
      <c r="D191" s="34"/>
      <c r="E191" s="34"/>
      <c r="F191" s="40"/>
      <c r="G191" s="34"/>
      <c r="H191" s="34"/>
      <c r="I191" s="34"/>
      <c r="J191" s="34"/>
      <c r="K191" s="40"/>
      <c r="L191" s="34"/>
      <c r="M191" s="34"/>
      <c r="N191" s="34"/>
      <c r="O191" s="34"/>
      <c r="P191" s="40"/>
      <c r="Q191" s="34"/>
      <c r="R191" s="34"/>
      <c r="S191" s="34"/>
      <c r="T191" s="34"/>
      <c r="U191" s="40"/>
      <c r="V191" s="34"/>
      <c r="W191" s="34"/>
      <c r="X191" s="34"/>
      <c r="Y191" s="34"/>
      <c r="Z191" s="40"/>
      <c r="AA191" s="34"/>
      <c r="AB191" s="38"/>
      <c r="AC191" s="38"/>
    </row>
    <row r="192" spans="2:29" x14ac:dyDescent="0.25">
      <c r="B192" s="34"/>
      <c r="C192" s="34"/>
      <c r="D192" s="34"/>
      <c r="E192" s="34"/>
      <c r="F192" s="40"/>
      <c r="G192" s="34"/>
      <c r="H192" s="34"/>
      <c r="I192" s="34"/>
      <c r="J192" s="34"/>
      <c r="K192" s="40"/>
      <c r="L192" s="34"/>
      <c r="M192" s="34"/>
      <c r="N192" s="34"/>
      <c r="O192" s="34"/>
      <c r="P192" s="40"/>
      <c r="Q192" s="34"/>
      <c r="R192" s="34"/>
      <c r="S192" s="34"/>
      <c r="T192" s="34"/>
      <c r="U192" s="40"/>
      <c r="V192" s="34"/>
      <c r="W192" s="34"/>
      <c r="X192" s="34"/>
      <c r="Y192" s="34"/>
      <c r="Z192" s="40"/>
      <c r="AA192" s="34"/>
      <c r="AB192" s="38"/>
      <c r="AC192" s="38"/>
    </row>
    <row r="193" spans="2:29" x14ac:dyDescent="0.25">
      <c r="B193" s="34"/>
      <c r="C193" s="34"/>
      <c r="D193" s="34"/>
      <c r="E193" s="34"/>
      <c r="F193" s="40"/>
      <c r="G193" s="34"/>
      <c r="H193" s="34"/>
      <c r="I193" s="34"/>
      <c r="J193" s="34"/>
      <c r="K193" s="40"/>
      <c r="L193" s="34"/>
      <c r="M193" s="34"/>
      <c r="N193" s="34"/>
      <c r="O193" s="34"/>
      <c r="P193" s="40"/>
      <c r="Q193" s="34"/>
      <c r="R193" s="34"/>
      <c r="S193" s="34"/>
      <c r="T193" s="34"/>
      <c r="U193" s="40"/>
      <c r="V193" s="34"/>
      <c r="W193" s="34"/>
      <c r="X193" s="34"/>
      <c r="Y193" s="34"/>
      <c r="Z193" s="40"/>
      <c r="AA193" s="34"/>
      <c r="AB193" s="38"/>
      <c r="AC193" s="38"/>
    </row>
    <row r="194" spans="2:29" x14ac:dyDescent="0.25">
      <c r="B194" s="34"/>
      <c r="C194" s="34"/>
      <c r="D194" s="34"/>
      <c r="E194" s="34"/>
      <c r="F194" s="40"/>
      <c r="G194" s="34"/>
      <c r="H194" s="34"/>
      <c r="I194" s="34"/>
      <c r="J194" s="34"/>
      <c r="K194" s="40"/>
      <c r="L194" s="34"/>
      <c r="M194" s="34"/>
      <c r="N194" s="34"/>
      <c r="O194" s="34"/>
      <c r="P194" s="40"/>
      <c r="Q194" s="34"/>
      <c r="R194" s="34"/>
      <c r="S194" s="34"/>
      <c r="T194" s="34"/>
      <c r="U194" s="40"/>
      <c r="V194" s="34"/>
      <c r="W194" s="34"/>
      <c r="X194" s="34"/>
      <c r="Y194" s="34"/>
      <c r="Z194" s="40"/>
      <c r="AA194" s="34"/>
      <c r="AB194" s="38"/>
      <c r="AC194" s="38"/>
    </row>
    <row r="195" spans="2:29" x14ac:dyDescent="0.25">
      <c r="B195" s="34"/>
      <c r="C195" s="34"/>
      <c r="D195" s="34"/>
      <c r="E195" s="34"/>
      <c r="F195" s="40"/>
      <c r="G195" s="34"/>
      <c r="H195" s="34"/>
      <c r="I195" s="34"/>
      <c r="J195" s="34"/>
      <c r="K195" s="40"/>
      <c r="L195" s="34"/>
      <c r="M195" s="34"/>
      <c r="N195" s="34"/>
      <c r="O195" s="34"/>
      <c r="P195" s="40"/>
      <c r="Q195" s="34"/>
      <c r="R195" s="34"/>
      <c r="S195" s="34"/>
      <c r="T195" s="34"/>
      <c r="U195" s="40"/>
      <c r="V195" s="34"/>
      <c r="W195" s="34"/>
      <c r="X195" s="34"/>
      <c r="Y195" s="34"/>
      <c r="Z195" s="40"/>
      <c r="AA195" s="34"/>
      <c r="AB195" s="38"/>
      <c r="AC195" s="38"/>
    </row>
    <row r="196" spans="2:29" x14ac:dyDescent="0.25">
      <c r="B196" s="34"/>
      <c r="C196" s="34"/>
      <c r="D196" s="34"/>
      <c r="E196" s="34"/>
      <c r="F196" s="40"/>
      <c r="G196" s="34"/>
      <c r="H196" s="34"/>
      <c r="I196" s="34"/>
      <c r="J196" s="34"/>
      <c r="K196" s="40"/>
      <c r="L196" s="34"/>
      <c r="M196" s="34"/>
      <c r="N196" s="34"/>
      <c r="O196" s="34"/>
      <c r="P196" s="40"/>
      <c r="Q196" s="34"/>
      <c r="R196" s="34"/>
      <c r="S196" s="34"/>
      <c r="T196" s="34"/>
      <c r="U196" s="40"/>
      <c r="V196" s="34"/>
      <c r="W196" s="34"/>
      <c r="X196" s="34"/>
      <c r="Y196" s="34"/>
      <c r="Z196" s="40"/>
      <c r="AA196" s="34"/>
      <c r="AB196" s="38"/>
      <c r="AC196" s="38"/>
    </row>
    <row r="197" spans="2:29" x14ac:dyDescent="0.25">
      <c r="B197" s="34"/>
      <c r="C197" s="34"/>
      <c r="D197" s="34"/>
      <c r="E197" s="34"/>
      <c r="F197" s="40"/>
      <c r="G197" s="34"/>
      <c r="H197" s="34"/>
      <c r="I197" s="34"/>
      <c r="J197" s="34"/>
      <c r="K197" s="40"/>
      <c r="L197" s="34"/>
      <c r="M197" s="34"/>
      <c r="N197" s="34"/>
      <c r="O197" s="34"/>
      <c r="P197" s="40"/>
      <c r="Q197" s="34"/>
      <c r="R197" s="34"/>
      <c r="S197" s="34"/>
      <c r="T197" s="34"/>
      <c r="U197" s="40"/>
      <c r="V197" s="34"/>
      <c r="W197" s="34"/>
      <c r="X197" s="34"/>
      <c r="Y197" s="34"/>
      <c r="Z197" s="40"/>
      <c r="AA197" s="34"/>
      <c r="AB197" s="38"/>
      <c r="AC197" s="38"/>
    </row>
    <row r="198" spans="2:29" x14ac:dyDescent="0.25">
      <c r="B198" s="34"/>
      <c r="C198" s="34"/>
      <c r="D198" s="34"/>
      <c r="E198" s="34"/>
      <c r="F198" s="40"/>
      <c r="G198" s="34"/>
      <c r="H198" s="34"/>
      <c r="I198" s="34"/>
      <c r="J198" s="34"/>
      <c r="K198" s="40"/>
      <c r="L198" s="34"/>
      <c r="M198" s="34"/>
      <c r="N198" s="34"/>
      <c r="O198" s="34"/>
      <c r="P198" s="40"/>
      <c r="Q198" s="34"/>
      <c r="R198" s="34"/>
      <c r="S198" s="34"/>
      <c r="T198" s="34"/>
      <c r="U198" s="40"/>
      <c r="V198" s="34"/>
      <c r="W198" s="34"/>
      <c r="X198" s="34"/>
      <c r="Y198" s="34"/>
      <c r="Z198" s="40"/>
      <c r="AA198" s="34"/>
      <c r="AB198" s="38"/>
      <c r="AC198" s="38"/>
    </row>
    <row r="199" spans="2:29" x14ac:dyDescent="0.25">
      <c r="B199" s="34"/>
      <c r="C199" s="34"/>
      <c r="D199" s="34"/>
      <c r="E199" s="34"/>
      <c r="F199" s="40"/>
      <c r="G199" s="34"/>
      <c r="H199" s="34"/>
      <c r="I199" s="34"/>
      <c r="J199" s="34"/>
      <c r="K199" s="40"/>
      <c r="L199" s="34"/>
      <c r="M199" s="34"/>
      <c r="N199" s="34"/>
      <c r="O199" s="34"/>
      <c r="P199" s="40"/>
      <c r="Q199" s="34"/>
      <c r="R199" s="34"/>
      <c r="S199" s="34"/>
      <c r="T199" s="34"/>
      <c r="U199" s="40"/>
      <c r="V199" s="34"/>
      <c r="W199" s="34"/>
      <c r="X199" s="34"/>
      <c r="Y199" s="34"/>
      <c r="Z199" s="40"/>
      <c r="AA199" s="34"/>
      <c r="AB199" s="38"/>
      <c r="AC199" s="38"/>
    </row>
    <row r="200" spans="2:29" x14ac:dyDescent="0.25">
      <c r="B200" s="34"/>
      <c r="C200" s="34"/>
      <c r="D200" s="34"/>
      <c r="E200" s="34"/>
      <c r="F200" s="40"/>
      <c r="G200" s="34"/>
      <c r="H200" s="34"/>
      <c r="I200" s="34"/>
      <c r="J200" s="34"/>
      <c r="K200" s="40"/>
      <c r="L200" s="34"/>
      <c r="M200" s="34"/>
      <c r="N200" s="34"/>
      <c r="O200" s="34"/>
      <c r="P200" s="40"/>
      <c r="Q200" s="34"/>
      <c r="R200" s="34"/>
      <c r="S200" s="34"/>
      <c r="T200" s="34"/>
      <c r="U200" s="40"/>
      <c r="V200" s="34"/>
      <c r="W200" s="34"/>
      <c r="X200" s="34"/>
      <c r="Y200" s="34"/>
      <c r="Z200" s="40"/>
      <c r="AA200" s="34"/>
      <c r="AB200" s="38"/>
      <c r="AC200" s="38"/>
    </row>
    <row r="201" spans="2:29" x14ac:dyDescent="0.25">
      <c r="B201" s="34"/>
      <c r="C201" s="34"/>
      <c r="D201" s="34"/>
      <c r="E201" s="34"/>
      <c r="F201" s="40"/>
      <c r="G201" s="34"/>
      <c r="H201" s="34"/>
      <c r="I201" s="34"/>
      <c r="J201" s="34"/>
      <c r="K201" s="40"/>
      <c r="L201" s="34"/>
      <c r="M201" s="34"/>
      <c r="N201" s="34"/>
      <c r="O201" s="34"/>
      <c r="P201" s="40"/>
      <c r="Q201" s="34"/>
      <c r="R201" s="34"/>
      <c r="S201" s="34"/>
      <c r="T201" s="34"/>
      <c r="U201" s="40"/>
      <c r="V201" s="34"/>
      <c r="W201" s="34"/>
      <c r="X201" s="34"/>
      <c r="Y201" s="34"/>
      <c r="Z201" s="40"/>
      <c r="AA201" s="34"/>
      <c r="AB201" s="38"/>
      <c r="AC201" s="38"/>
    </row>
    <row r="202" spans="2:29" x14ac:dyDescent="0.25">
      <c r="B202" s="34"/>
      <c r="C202" s="34"/>
      <c r="D202" s="34"/>
      <c r="E202" s="34"/>
      <c r="F202" s="40"/>
      <c r="G202" s="34"/>
      <c r="H202" s="34"/>
      <c r="I202" s="34"/>
      <c r="J202" s="34"/>
      <c r="K202" s="40"/>
      <c r="L202" s="34"/>
      <c r="M202" s="34"/>
      <c r="N202" s="34"/>
      <c r="O202" s="34"/>
      <c r="P202" s="40"/>
      <c r="Q202" s="34"/>
      <c r="R202" s="34"/>
      <c r="S202" s="34"/>
      <c r="T202" s="34"/>
      <c r="U202" s="40"/>
      <c r="V202" s="34"/>
      <c r="W202" s="34"/>
      <c r="X202" s="34"/>
      <c r="Y202" s="34"/>
      <c r="Z202" s="40"/>
      <c r="AA202" s="34"/>
      <c r="AB202" s="38"/>
      <c r="AC202" s="38"/>
    </row>
    <row r="203" spans="2:29" x14ac:dyDescent="0.25">
      <c r="B203" s="34"/>
      <c r="C203" s="34"/>
      <c r="D203" s="34"/>
      <c r="E203" s="34"/>
      <c r="F203" s="40"/>
      <c r="G203" s="34"/>
      <c r="H203" s="34"/>
      <c r="I203" s="34"/>
      <c r="J203" s="34"/>
      <c r="K203" s="40"/>
      <c r="L203" s="34"/>
      <c r="M203" s="34"/>
      <c r="N203" s="34"/>
      <c r="O203" s="34"/>
      <c r="P203" s="40"/>
      <c r="Q203" s="34"/>
      <c r="R203" s="34"/>
      <c r="S203" s="34"/>
      <c r="T203" s="34"/>
      <c r="U203" s="40"/>
      <c r="V203" s="34"/>
      <c r="W203" s="34"/>
      <c r="X203" s="34"/>
      <c r="Y203" s="34"/>
      <c r="Z203" s="40"/>
      <c r="AA203" s="34"/>
      <c r="AB203" s="38"/>
      <c r="AC203" s="38"/>
    </row>
    <row r="204" spans="2:29" x14ac:dyDescent="0.25">
      <c r="B204" s="34"/>
      <c r="C204" s="34"/>
      <c r="D204" s="34"/>
      <c r="E204" s="34"/>
      <c r="F204" s="40"/>
      <c r="G204" s="34"/>
      <c r="H204" s="34"/>
      <c r="I204" s="34"/>
      <c r="J204" s="34"/>
      <c r="K204" s="40"/>
      <c r="L204" s="34"/>
      <c r="M204" s="34"/>
      <c r="N204" s="34"/>
      <c r="O204" s="34"/>
      <c r="P204" s="40"/>
      <c r="Q204" s="34"/>
      <c r="R204" s="34"/>
      <c r="S204" s="34"/>
      <c r="T204" s="34"/>
      <c r="U204" s="40"/>
      <c r="V204" s="34"/>
      <c r="W204" s="34"/>
      <c r="X204" s="34"/>
      <c r="Y204" s="34"/>
      <c r="Z204" s="40"/>
      <c r="AA204" s="34"/>
      <c r="AB204" s="38"/>
      <c r="AC204" s="38"/>
    </row>
    <row r="205" spans="2:29" x14ac:dyDescent="0.25">
      <c r="B205" s="34"/>
      <c r="C205" s="34"/>
      <c r="D205" s="34"/>
      <c r="E205" s="34"/>
      <c r="F205" s="40"/>
      <c r="G205" s="34"/>
      <c r="H205" s="34"/>
      <c r="I205" s="34"/>
      <c r="J205" s="34"/>
      <c r="K205" s="40"/>
      <c r="L205" s="34"/>
      <c r="M205" s="34"/>
      <c r="N205" s="34"/>
      <c r="O205" s="34"/>
      <c r="P205" s="40"/>
      <c r="Q205" s="34"/>
      <c r="R205" s="34"/>
      <c r="S205" s="34"/>
      <c r="T205" s="34"/>
      <c r="U205" s="40"/>
      <c r="V205" s="34"/>
      <c r="W205" s="34"/>
      <c r="X205" s="34"/>
      <c r="Y205" s="34"/>
      <c r="Z205" s="40"/>
      <c r="AA205" s="34"/>
      <c r="AB205" s="38"/>
      <c r="AC205" s="38"/>
    </row>
    <row r="206" spans="2:29" x14ac:dyDescent="0.25">
      <c r="B206" s="34"/>
      <c r="C206" s="34"/>
      <c r="D206" s="34"/>
      <c r="E206" s="34"/>
      <c r="F206" s="40"/>
      <c r="G206" s="34"/>
      <c r="H206" s="34"/>
      <c r="I206" s="34"/>
      <c r="J206" s="34"/>
      <c r="K206" s="40"/>
      <c r="L206" s="34"/>
      <c r="M206" s="34"/>
      <c r="N206" s="34"/>
      <c r="O206" s="34"/>
      <c r="P206" s="40"/>
      <c r="Q206" s="34"/>
      <c r="R206" s="34"/>
      <c r="S206" s="34"/>
      <c r="T206" s="34"/>
      <c r="U206" s="40"/>
      <c r="V206" s="34"/>
      <c r="W206" s="34"/>
      <c r="X206" s="34"/>
      <c r="Y206" s="34"/>
      <c r="Z206" s="40"/>
      <c r="AA206" s="34"/>
      <c r="AB206" s="38"/>
      <c r="AC206" s="38"/>
    </row>
    <row r="207" spans="2:29" x14ac:dyDescent="0.25">
      <c r="B207" s="34"/>
      <c r="C207" s="34"/>
      <c r="D207" s="34"/>
      <c r="E207" s="34"/>
      <c r="F207" s="40"/>
      <c r="G207" s="34"/>
      <c r="H207" s="34"/>
      <c r="I207" s="34"/>
      <c r="J207" s="34"/>
      <c r="K207" s="40"/>
      <c r="L207" s="34"/>
      <c r="M207" s="34"/>
      <c r="N207" s="34"/>
      <c r="O207" s="34"/>
      <c r="P207" s="40"/>
      <c r="Q207" s="34"/>
      <c r="R207" s="34"/>
      <c r="S207" s="34"/>
      <c r="T207" s="34"/>
      <c r="U207" s="40"/>
      <c r="V207" s="34"/>
      <c r="W207" s="34"/>
      <c r="X207" s="34"/>
      <c r="Y207" s="34"/>
      <c r="Z207" s="40"/>
      <c r="AA207" s="34"/>
      <c r="AB207" s="38"/>
      <c r="AC207" s="38"/>
    </row>
    <row r="208" spans="2:29" x14ac:dyDescent="0.25">
      <c r="B208" s="34"/>
      <c r="C208" s="34"/>
      <c r="D208" s="34"/>
      <c r="E208" s="34"/>
      <c r="F208" s="40"/>
      <c r="G208" s="34"/>
      <c r="H208" s="34"/>
      <c r="I208" s="34"/>
      <c r="J208" s="34"/>
      <c r="K208" s="40"/>
      <c r="L208" s="34"/>
      <c r="M208" s="34"/>
      <c r="N208" s="34"/>
      <c r="O208" s="34"/>
      <c r="P208" s="40"/>
      <c r="Q208" s="34"/>
      <c r="R208" s="34"/>
      <c r="S208" s="34"/>
      <c r="T208" s="34"/>
      <c r="U208" s="40"/>
      <c r="V208" s="34"/>
      <c r="W208" s="34"/>
      <c r="X208" s="34"/>
      <c r="Y208" s="34"/>
      <c r="Z208" s="40"/>
      <c r="AA208" s="34"/>
      <c r="AB208" s="38"/>
      <c r="AC208" s="38"/>
    </row>
    <row r="209" spans="2:29" x14ac:dyDescent="0.25">
      <c r="B209" s="34"/>
      <c r="C209" s="34"/>
      <c r="D209" s="34"/>
      <c r="E209" s="34"/>
      <c r="F209" s="40"/>
      <c r="G209" s="34"/>
      <c r="H209" s="34"/>
      <c r="I209" s="34"/>
      <c r="J209" s="34"/>
      <c r="K209" s="40"/>
      <c r="L209" s="34"/>
      <c r="M209" s="34"/>
      <c r="N209" s="34"/>
      <c r="O209" s="34"/>
      <c r="P209" s="40"/>
      <c r="Q209" s="34"/>
      <c r="R209" s="34"/>
      <c r="S209" s="34"/>
      <c r="T209" s="34"/>
      <c r="U209" s="40"/>
      <c r="V209" s="34"/>
      <c r="W209" s="34"/>
      <c r="X209" s="34"/>
      <c r="Y209" s="34"/>
      <c r="Z209" s="40"/>
      <c r="AA209" s="34"/>
      <c r="AB209" s="38"/>
      <c r="AC209" s="38"/>
    </row>
    <row r="210" spans="2:29" x14ac:dyDescent="0.25">
      <c r="B210" s="34"/>
      <c r="C210" s="34"/>
      <c r="D210" s="34"/>
      <c r="E210" s="34"/>
      <c r="F210" s="40"/>
      <c r="G210" s="34"/>
      <c r="H210" s="34"/>
      <c r="I210" s="34"/>
      <c r="J210" s="34"/>
      <c r="K210" s="40"/>
      <c r="L210" s="34"/>
      <c r="M210" s="34"/>
      <c r="N210" s="34"/>
      <c r="O210" s="34"/>
      <c r="P210" s="40"/>
      <c r="Q210" s="34"/>
      <c r="R210" s="34"/>
      <c r="S210" s="34"/>
      <c r="T210" s="34"/>
      <c r="U210" s="40"/>
      <c r="V210" s="34"/>
      <c r="W210" s="34"/>
      <c r="X210" s="34"/>
      <c r="Y210" s="34"/>
      <c r="Z210" s="40"/>
      <c r="AA210" s="34"/>
      <c r="AB210" s="38"/>
      <c r="AC210" s="38"/>
    </row>
    <row r="211" spans="2:29" x14ac:dyDescent="0.25">
      <c r="B211" s="34"/>
      <c r="C211" s="34"/>
      <c r="D211" s="34"/>
      <c r="E211" s="34"/>
      <c r="F211" s="40"/>
      <c r="G211" s="34"/>
      <c r="H211" s="34"/>
      <c r="I211" s="34"/>
      <c r="J211" s="34"/>
      <c r="K211" s="40"/>
      <c r="L211" s="34"/>
      <c r="M211" s="34"/>
      <c r="N211" s="34"/>
      <c r="O211" s="34"/>
      <c r="P211" s="40"/>
      <c r="Q211" s="34"/>
      <c r="R211" s="34"/>
      <c r="S211" s="34"/>
      <c r="T211" s="34"/>
      <c r="U211" s="40"/>
      <c r="V211" s="34"/>
      <c r="W211" s="34"/>
      <c r="X211" s="34"/>
      <c r="Y211" s="34"/>
      <c r="Z211" s="40"/>
      <c r="AA211" s="34"/>
      <c r="AB211" s="34"/>
      <c r="AC211" s="34"/>
    </row>
    <row r="212" spans="2:29" x14ac:dyDescent="0.25">
      <c r="B212" s="34"/>
      <c r="C212" s="34"/>
      <c r="D212" s="34"/>
      <c r="E212" s="34"/>
      <c r="F212" s="40"/>
      <c r="G212" s="34"/>
      <c r="H212" s="34"/>
      <c r="I212" s="34"/>
      <c r="J212" s="34"/>
      <c r="K212" s="40"/>
      <c r="L212" s="34"/>
      <c r="M212" s="34"/>
      <c r="N212" s="34"/>
      <c r="O212" s="34"/>
      <c r="P212" s="40"/>
      <c r="Q212" s="34"/>
      <c r="R212" s="34"/>
      <c r="S212" s="34"/>
      <c r="T212" s="34"/>
      <c r="U212" s="40"/>
      <c r="V212" s="34"/>
      <c r="W212" s="34"/>
      <c r="X212" s="34"/>
      <c r="Y212" s="34"/>
      <c r="Z212" s="40"/>
      <c r="AA212" s="34"/>
      <c r="AB212" s="34"/>
      <c r="AC212" s="34"/>
    </row>
    <row r="213" spans="2:29" x14ac:dyDescent="0.25">
      <c r="B213" s="34"/>
      <c r="C213" s="34"/>
      <c r="D213" s="34"/>
      <c r="E213" s="34"/>
      <c r="F213" s="40"/>
      <c r="G213" s="34"/>
      <c r="H213" s="34"/>
      <c r="I213" s="34"/>
      <c r="J213" s="34"/>
      <c r="K213" s="40"/>
      <c r="L213" s="34"/>
      <c r="M213" s="34"/>
      <c r="N213" s="34"/>
      <c r="O213" s="34"/>
      <c r="P213" s="40"/>
      <c r="Q213" s="34"/>
      <c r="R213" s="34"/>
      <c r="S213" s="34"/>
      <c r="T213" s="34"/>
      <c r="U213" s="40"/>
      <c r="V213" s="34"/>
      <c r="W213" s="34"/>
      <c r="X213" s="34"/>
      <c r="Y213" s="34"/>
      <c r="Z213" s="40"/>
      <c r="AA213" s="34"/>
      <c r="AB213" s="34"/>
      <c r="AC213" s="34"/>
    </row>
    <row r="214" spans="2:29" x14ac:dyDescent="0.25">
      <c r="B214" s="34"/>
      <c r="C214" s="34"/>
      <c r="D214" s="34"/>
      <c r="E214" s="34"/>
      <c r="F214" s="40"/>
      <c r="G214" s="34"/>
      <c r="H214" s="34"/>
      <c r="I214" s="34"/>
      <c r="J214" s="34"/>
      <c r="K214" s="40"/>
      <c r="L214" s="34"/>
      <c r="M214" s="34"/>
      <c r="N214" s="34"/>
      <c r="O214" s="34"/>
      <c r="P214" s="40"/>
      <c r="Q214" s="34"/>
      <c r="R214" s="34"/>
      <c r="S214" s="34"/>
      <c r="T214" s="34"/>
      <c r="U214" s="40"/>
      <c r="V214" s="34"/>
      <c r="W214" s="34"/>
      <c r="X214" s="34"/>
      <c r="Y214" s="34"/>
      <c r="Z214" s="40"/>
      <c r="AA214" s="34"/>
      <c r="AB214" s="34"/>
      <c r="AC214" s="34"/>
    </row>
    <row r="215" spans="2:29" x14ac:dyDescent="0.25">
      <c r="B215" s="34"/>
      <c r="C215" s="34"/>
      <c r="D215" s="34"/>
      <c r="E215" s="34"/>
      <c r="F215" s="40"/>
      <c r="G215" s="34"/>
      <c r="H215" s="34"/>
      <c r="I215" s="34"/>
      <c r="J215" s="34"/>
      <c r="K215" s="40"/>
      <c r="L215" s="34"/>
      <c r="M215" s="34"/>
      <c r="N215" s="34"/>
      <c r="O215" s="34"/>
      <c r="P215" s="40"/>
      <c r="Q215" s="34"/>
      <c r="R215" s="34"/>
      <c r="S215" s="34"/>
      <c r="T215" s="34"/>
      <c r="U215" s="40"/>
      <c r="V215" s="34"/>
      <c r="W215" s="34"/>
      <c r="X215" s="34"/>
      <c r="Y215" s="34"/>
      <c r="Z215" s="40"/>
      <c r="AA215" s="34"/>
      <c r="AB215" s="34"/>
      <c r="AC215" s="34"/>
    </row>
    <row r="216" spans="2:29" x14ac:dyDescent="0.25">
      <c r="B216" s="34"/>
      <c r="C216" s="34"/>
      <c r="D216" s="34"/>
      <c r="E216" s="34"/>
      <c r="F216" s="40"/>
      <c r="G216" s="34"/>
      <c r="H216" s="34"/>
      <c r="I216" s="34"/>
      <c r="J216" s="34"/>
      <c r="K216" s="40"/>
      <c r="L216" s="34"/>
      <c r="M216" s="34"/>
      <c r="N216" s="34"/>
      <c r="O216" s="34"/>
      <c r="P216" s="40"/>
      <c r="Q216" s="34"/>
      <c r="R216" s="34"/>
      <c r="S216" s="34"/>
      <c r="T216" s="34"/>
      <c r="U216" s="40"/>
      <c r="V216" s="34"/>
      <c r="W216" s="34"/>
      <c r="X216" s="34"/>
      <c r="Y216" s="34"/>
      <c r="Z216" s="40"/>
      <c r="AA216" s="34"/>
      <c r="AB216" s="34"/>
      <c r="AC216" s="34"/>
    </row>
    <row r="217" spans="2:29" x14ac:dyDescent="0.25">
      <c r="B217" s="34"/>
      <c r="C217" s="34"/>
      <c r="D217" s="34"/>
      <c r="E217" s="34"/>
      <c r="F217" s="40"/>
      <c r="G217" s="34"/>
      <c r="H217" s="34"/>
      <c r="I217" s="34"/>
      <c r="J217" s="34"/>
      <c r="K217" s="40"/>
      <c r="L217" s="34"/>
      <c r="M217" s="34"/>
      <c r="N217" s="34"/>
      <c r="O217" s="34"/>
      <c r="P217" s="40"/>
      <c r="Q217" s="34"/>
      <c r="R217" s="34"/>
      <c r="S217" s="34"/>
      <c r="T217" s="34"/>
      <c r="U217" s="40"/>
      <c r="V217" s="34"/>
      <c r="W217" s="34"/>
      <c r="X217" s="34"/>
      <c r="Y217" s="34"/>
      <c r="Z217" s="40"/>
      <c r="AA217" s="34"/>
      <c r="AB217" s="34"/>
      <c r="AC217" s="34"/>
    </row>
    <row r="218" spans="2:29" x14ac:dyDescent="0.25">
      <c r="B218" s="34"/>
      <c r="C218" s="34"/>
      <c r="D218" s="34"/>
      <c r="E218" s="34"/>
      <c r="F218" s="40"/>
      <c r="G218" s="34"/>
      <c r="H218" s="34"/>
      <c r="I218" s="34"/>
      <c r="J218" s="34"/>
      <c r="K218" s="40"/>
      <c r="L218" s="34"/>
      <c r="M218" s="34"/>
      <c r="N218" s="34"/>
      <c r="O218" s="34"/>
      <c r="P218" s="40"/>
      <c r="Q218" s="34"/>
      <c r="R218" s="34"/>
      <c r="S218" s="34"/>
      <c r="T218" s="34"/>
      <c r="U218" s="40"/>
      <c r="V218" s="34"/>
      <c r="W218" s="34"/>
      <c r="X218" s="34"/>
      <c r="Y218" s="34"/>
      <c r="Z218" s="40"/>
      <c r="AA218" s="34"/>
      <c r="AB218" s="34"/>
      <c r="AC218" s="34"/>
    </row>
    <row r="219" spans="2:29" x14ac:dyDescent="0.25">
      <c r="B219" s="34"/>
      <c r="C219" s="34"/>
      <c r="D219" s="34"/>
      <c r="E219" s="34"/>
      <c r="F219" s="40"/>
      <c r="G219" s="34"/>
      <c r="H219" s="34"/>
      <c r="I219" s="34"/>
      <c r="J219" s="34"/>
      <c r="K219" s="40"/>
      <c r="L219" s="34"/>
      <c r="M219" s="34"/>
      <c r="N219" s="34"/>
      <c r="O219" s="34"/>
      <c r="P219" s="40"/>
      <c r="Q219" s="34"/>
      <c r="R219" s="34"/>
      <c r="S219" s="34"/>
      <c r="T219" s="34"/>
      <c r="U219" s="40"/>
      <c r="V219" s="34"/>
      <c r="W219" s="34"/>
      <c r="X219" s="34"/>
      <c r="Y219" s="34"/>
      <c r="Z219" s="40"/>
      <c r="AA219" s="34"/>
      <c r="AB219" s="34"/>
      <c r="AC219" s="34"/>
    </row>
    <row r="220" spans="2:29" x14ac:dyDescent="0.25">
      <c r="B220" s="34"/>
      <c r="C220" s="34"/>
      <c r="D220" s="34"/>
      <c r="E220" s="34"/>
      <c r="F220" s="40"/>
      <c r="G220" s="34"/>
      <c r="H220" s="34"/>
      <c r="I220" s="34"/>
      <c r="J220" s="34"/>
      <c r="K220" s="40"/>
      <c r="L220" s="34"/>
      <c r="M220" s="34"/>
      <c r="N220" s="34"/>
      <c r="O220" s="34"/>
      <c r="P220" s="40"/>
      <c r="Q220" s="34"/>
      <c r="R220" s="34"/>
      <c r="S220" s="34"/>
      <c r="T220" s="34"/>
      <c r="U220" s="40"/>
      <c r="V220" s="34"/>
      <c r="W220" s="34"/>
      <c r="X220" s="34"/>
      <c r="Y220" s="34"/>
      <c r="Z220" s="40"/>
      <c r="AA220" s="34"/>
      <c r="AB220" s="34"/>
      <c r="AC220" s="34"/>
    </row>
    <row r="221" spans="2:29" x14ac:dyDescent="0.25">
      <c r="B221" s="34"/>
      <c r="C221" s="34"/>
      <c r="D221" s="34"/>
      <c r="E221" s="34"/>
      <c r="F221" s="40"/>
      <c r="G221" s="34"/>
      <c r="H221" s="34"/>
      <c r="I221" s="34"/>
      <c r="J221" s="34"/>
      <c r="K221" s="40"/>
      <c r="L221" s="34"/>
      <c r="M221" s="34"/>
      <c r="N221" s="34"/>
      <c r="O221" s="34"/>
      <c r="P221" s="40"/>
      <c r="Q221" s="34"/>
      <c r="R221" s="34"/>
      <c r="S221" s="34"/>
      <c r="T221" s="34"/>
      <c r="U221" s="40"/>
      <c r="V221" s="34"/>
      <c r="W221" s="34"/>
      <c r="X221" s="34"/>
      <c r="Y221" s="34"/>
      <c r="Z221" s="40"/>
      <c r="AA221" s="34"/>
      <c r="AB221" s="34"/>
      <c r="AC221" s="34"/>
    </row>
    <row r="222" spans="2:29" x14ac:dyDescent="0.25">
      <c r="B222" s="34"/>
      <c r="C222" s="34"/>
      <c r="D222" s="34"/>
      <c r="E222" s="34"/>
      <c r="F222" s="40"/>
      <c r="G222" s="34"/>
      <c r="H222" s="34"/>
      <c r="I222" s="34"/>
      <c r="J222" s="34"/>
      <c r="K222" s="40"/>
      <c r="L222" s="34"/>
      <c r="M222" s="34"/>
      <c r="N222" s="34"/>
      <c r="O222" s="34"/>
      <c r="P222" s="40"/>
      <c r="Q222" s="34"/>
      <c r="R222" s="34"/>
      <c r="S222" s="34"/>
      <c r="T222" s="34"/>
      <c r="U222" s="40"/>
      <c r="V222" s="34"/>
      <c r="W222" s="34"/>
      <c r="X222" s="34"/>
      <c r="Y222" s="34"/>
      <c r="Z222" s="40"/>
      <c r="AA222" s="34"/>
      <c r="AB222" s="34"/>
      <c r="AC222" s="34"/>
    </row>
    <row r="223" spans="2:29" x14ac:dyDescent="0.25">
      <c r="B223" s="34"/>
      <c r="C223" s="34"/>
      <c r="D223" s="34"/>
      <c r="E223" s="34"/>
      <c r="F223" s="40"/>
      <c r="G223" s="34"/>
      <c r="H223" s="34"/>
      <c r="I223" s="34"/>
      <c r="J223" s="34"/>
      <c r="K223" s="40"/>
      <c r="L223" s="34"/>
      <c r="M223" s="34"/>
      <c r="N223" s="34"/>
      <c r="O223" s="34"/>
      <c r="P223" s="40"/>
      <c r="Q223" s="34"/>
      <c r="R223" s="34"/>
      <c r="S223" s="34"/>
      <c r="T223" s="34"/>
      <c r="U223" s="40"/>
      <c r="V223" s="34"/>
      <c r="W223" s="34"/>
      <c r="X223" s="34"/>
      <c r="Y223" s="34"/>
      <c r="Z223" s="40"/>
      <c r="AA223" s="34"/>
      <c r="AB223" s="34"/>
      <c r="AC223" s="34"/>
    </row>
    <row r="224" spans="2:29" x14ac:dyDescent="0.25">
      <c r="B224" s="34"/>
      <c r="C224" s="34"/>
      <c r="D224" s="34"/>
      <c r="E224" s="34"/>
      <c r="F224" s="40"/>
      <c r="G224" s="34"/>
      <c r="H224" s="34"/>
      <c r="I224" s="34"/>
      <c r="J224" s="34"/>
      <c r="K224" s="40"/>
      <c r="L224" s="34"/>
      <c r="M224" s="34"/>
      <c r="N224" s="34"/>
      <c r="O224" s="34"/>
      <c r="P224" s="40"/>
      <c r="Q224" s="34"/>
      <c r="R224" s="34"/>
      <c r="S224" s="34"/>
      <c r="T224" s="34"/>
      <c r="U224" s="40"/>
      <c r="V224" s="34"/>
      <c r="W224" s="34"/>
      <c r="X224" s="34"/>
      <c r="Y224" s="34"/>
      <c r="Z224" s="40"/>
      <c r="AA224" s="34"/>
      <c r="AB224" s="34"/>
      <c r="AC224" s="34"/>
    </row>
    <row r="225" spans="2:29" x14ac:dyDescent="0.25">
      <c r="B225" s="34"/>
      <c r="C225" s="34"/>
      <c r="D225" s="34"/>
      <c r="E225" s="34"/>
      <c r="F225" s="40"/>
      <c r="G225" s="34"/>
      <c r="H225" s="34"/>
      <c r="I225" s="34"/>
      <c r="J225" s="34"/>
      <c r="K225" s="40"/>
      <c r="L225" s="34"/>
      <c r="M225" s="34"/>
      <c r="N225" s="34"/>
      <c r="O225" s="34"/>
      <c r="P225" s="40"/>
      <c r="Q225" s="34"/>
      <c r="R225" s="34"/>
      <c r="S225" s="34"/>
      <c r="T225" s="34"/>
      <c r="U225" s="40"/>
      <c r="V225" s="34"/>
      <c r="W225" s="34"/>
      <c r="X225" s="34"/>
      <c r="Y225" s="34"/>
      <c r="Z225" s="40"/>
      <c r="AA225" s="34"/>
      <c r="AB225" s="34"/>
      <c r="AC225" s="34"/>
    </row>
    <row r="226" spans="2:29" x14ac:dyDescent="0.25">
      <c r="B226" s="34"/>
      <c r="C226" s="34"/>
      <c r="D226" s="34"/>
      <c r="E226" s="34"/>
      <c r="F226" s="40"/>
      <c r="G226" s="34"/>
      <c r="H226" s="34"/>
      <c r="I226" s="34"/>
      <c r="J226" s="34"/>
      <c r="K226" s="40"/>
      <c r="L226" s="34"/>
      <c r="M226" s="34"/>
      <c r="N226" s="34"/>
      <c r="O226" s="34"/>
      <c r="P226" s="40"/>
      <c r="Q226" s="34"/>
      <c r="R226" s="34"/>
      <c r="S226" s="34"/>
      <c r="T226" s="34"/>
      <c r="U226" s="40"/>
      <c r="V226" s="34"/>
      <c r="W226" s="34"/>
      <c r="X226" s="34"/>
      <c r="Y226" s="34"/>
      <c r="Z226" s="40"/>
      <c r="AA226" s="34"/>
      <c r="AB226" s="34"/>
      <c r="AC226" s="34"/>
    </row>
    <row r="227" spans="2:29" x14ac:dyDescent="0.25">
      <c r="B227" s="34"/>
      <c r="C227" s="34"/>
      <c r="D227" s="34"/>
      <c r="E227" s="34"/>
      <c r="F227" s="40"/>
      <c r="G227" s="34"/>
      <c r="H227" s="34"/>
      <c r="I227" s="34"/>
      <c r="J227" s="34"/>
      <c r="K227" s="40"/>
      <c r="L227" s="34"/>
      <c r="M227" s="34"/>
      <c r="N227" s="34"/>
      <c r="O227" s="34"/>
      <c r="P227" s="40"/>
      <c r="Q227" s="34"/>
      <c r="R227" s="34"/>
      <c r="S227" s="34"/>
      <c r="T227" s="34"/>
      <c r="U227" s="40"/>
      <c r="V227" s="34"/>
      <c r="W227" s="34"/>
      <c r="X227" s="34"/>
      <c r="Y227" s="34"/>
      <c r="Z227" s="40"/>
      <c r="AA227" s="34"/>
      <c r="AB227" s="34"/>
      <c r="AC227" s="34"/>
    </row>
  </sheetData>
  <sortState xmlns:xlrd2="http://schemas.microsoft.com/office/spreadsheetml/2017/richdata2" ref="A3:AC62">
    <sortCondition descending="1" ref="AB3:AB62"/>
  </sortState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C168-0B76-41FF-8F29-ED55CB9C75E6}">
  <sheetPr>
    <tabColor theme="7" tint="0.59999389629810485"/>
  </sheetPr>
  <dimension ref="A1:AC227"/>
  <sheetViews>
    <sheetView workbookViewId="0">
      <selection activeCell="AC17" sqref="AC17"/>
    </sheetView>
  </sheetViews>
  <sheetFormatPr baseColWidth="10" defaultColWidth="8.5703125" defaultRowHeight="15" x14ac:dyDescent="0.25"/>
  <cols>
    <col min="1" max="1" width="11.42578125" customWidth="1"/>
    <col min="2" max="5" width="10" customWidth="1"/>
    <col min="6" max="6" width="4.28515625" style="39" customWidth="1"/>
    <col min="7" max="10" width="10" customWidth="1"/>
    <col min="11" max="11" width="4.28515625" style="39" customWidth="1"/>
    <col min="12" max="15" width="10" customWidth="1"/>
    <col min="16" max="16" width="4.28515625" style="39" customWidth="1"/>
    <col min="17" max="20" width="10" customWidth="1"/>
    <col min="21" max="21" width="4.28515625" style="39" customWidth="1"/>
    <col min="22" max="25" width="10" customWidth="1"/>
    <col min="26" max="26" width="4.28515625" style="39" customWidth="1"/>
    <col min="27" max="29" width="10" customWidth="1"/>
  </cols>
  <sheetData>
    <row r="1" spans="1:29" ht="15.75" x14ac:dyDescent="0.25">
      <c r="A1" s="36" t="s">
        <v>226</v>
      </c>
      <c r="B1" s="34">
        <v>2022</v>
      </c>
      <c r="C1" s="35" t="s">
        <v>244</v>
      </c>
      <c r="D1" s="37">
        <v>686</v>
      </c>
      <c r="G1" s="34">
        <v>2023</v>
      </c>
      <c r="H1" s="35" t="s">
        <v>244</v>
      </c>
      <c r="I1" s="37">
        <v>688</v>
      </c>
      <c r="L1" s="34">
        <v>2024</v>
      </c>
      <c r="M1" s="35" t="s">
        <v>244</v>
      </c>
      <c r="N1" s="37">
        <v>679</v>
      </c>
      <c r="Q1" s="34">
        <v>2025</v>
      </c>
      <c r="R1" s="35" t="s">
        <v>244</v>
      </c>
      <c r="S1" s="37">
        <v>754</v>
      </c>
      <c r="V1" s="34">
        <v>2026</v>
      </c>
      <c r="W1" s="35" t="s">
        <v>244</v>
      </c>
      <c r="X1" s="37">
        <v>125</v>
      </c>
    </row>
    <row r="2" spans="1:29" x14ac:dyDescent="0.25">
      <c r="A2" s="33" t="s">
        <v>3</v>
      </c>
      <c r="B2" s="33" t="s">
        <v>245</v>
      </c>
      <c r="C2" s="33" t="s">
        <v>246</v>
      </c>
      <c r="D2" s="33" t="s">
        <v>247</v>
      </c>
      <c r="E2" s="33" t="s">
        <v>6</v>
      </c>
      <c r="G2" s="33" t="s">
        <v>245</v>
      </c>
      <c r="H2" s="33" t="s">
        <v>246</v>
      </c>
      <c r="I2" s="33" t="s">
        <v>247</v>
      </c>
      <c r="J2" s="33" t="s">
        <v>6</v>
      </c>
      <c r="L2" s="33" t="s">
        <v>245</v>
      </c>
      <c r="M2" s="33" t="s">
        <v>246</v>
      </c>
      <c r="N2" s="33" t="s">
        <v>247</v>
      </c>
      <c r="O2" s="33" t="s">
        <v>6</v>
      </c>
      <c r="Q2" s="33" t="s">
        <v>245</v>
      </c>
      <c r="R2" s="33" t="s">
        <v>246</v>
      </c>
      <c r="S2" s="33" t="s">
        <v>247</v>
      </c>
      <c r="T2" s="33" t="s">
        <v>6</v>
      </c>
      <c r="V2" s="33" t="s">
        <v>245</v>
      </c>
      <c r="W2" s="33" t="s">
        <v>246</v>
      </c>
      <c r="X2" s="33" t="s">
        <v>247</v>
      </c>
      <c r="Y2" s="33" t="s">
        <v>6</v>
      </c>
      <c r="AA2" s="37" t="s">
        <v>251</v>
      </c>
      <c r="AB2" s="37" t="s">
        <v>250</v>
      </c>
      <c r="AC2" s="37" t="s">
        <v>5</v>
      </c>
    </row>
    <row r="3" spans="1:29" x14ac:dyDescent="0.25">
      <c r="A3" t="s">
        <v>64</v>
      </c>
      <c r="B3" s="34">
        <v>157</v>
      </c>
      <c r="C3" s="34">
        <v>159</v>
      </c>
      <c r="D3" s="34">
        <v>144</v>
      </c>
      <c r="E3" s="34">
        <v>79</v>
      </c>
      <c r="F3" s="40"/>
      <c r="G3" s="34">
        <v>234</v>
      </c>
      <c r="H3" s="34">
        <v>235</v>
      </c>
      <c r="I3" s="34">
        <v>137</v>
      </c>
      <c r="J3" s="34">
        <v>124</v>
      </c>
      <c r="K3" s="40"/>
      <c r="L3" s="34">
        <v>187</v>
      </c>
      <c r="M3" s="34">
        <v>187</v>
      </c>
      <c r="N3" s="34">
        <v>119</v>
      </c>
      <c r="O3" s="34">
        <v>92</v>
      </c>
      <c r="P3" s="40"/>
      <c r="Q3" s="34">
        <v>154</v>
      </c>
      <c r="R3" s="34">
        <v>154</v>
      </c>
      <c r="S3" s="34">
        <v>354</v>
      </c>
      <c r="T3" s="34">
        <v>81</v>
      </c>
      <c r="U3" s="40"/>
      <c r="V3" s="34">
        <v>31</v>
      </c>
      <c r="W3" s="34">
        <v>31</v>
      </c>
      <c r="X3" s="34">
        <v>32</v>
      </c>
      <c r="Y3" s="34">
        <v>13</v>
      </c>
      <c r="Z3" s="40"/>
      <c r="AA3" s="34">
        <f t="shared" ref="AA3:AA34" si="0">B3+G3+L3+Q3+V3</f>
        <v>763</v>
      </c>
      <c r="AB3" s="38">
        <f t="shared" ref="AB3:AB34" si="1">(AA3+(B3/C3*D3+G3/H3*I3+L3/M3*N3+Q3/R3*S3+V3/W3*X3))/($D$1+$I$1+$N$1+$S$1+$X$1)</f>
        <v>0.52749171231987679</v>
      </c>
      <c r="AC3" s="38">
        <f t="shared" ref="AC3:AC34" si="2">(E3+J3+O3+T3+Y3)/(AA3)</f>
        <v>0.509829619921363</v>
      </c>
    </row>
    <row r="4" spans="1:29" x14ac:dyDescent="0.25">
      <c r="A4" t="s">
        <v>87</v>
      </c>
      <c r="B4" s="34">
        <v>52</v>
      </c>
      <c r="C4" s="34">
        <v>56</v>
      </c>
      <c r="D4" s="34">
        <v>97</v>
      </c>
      <c r="E4" s="34">
        <v>22</v>
      </c>
      <c r="F4" s="40"/>
      <c r="G4" s="34">
        <v>78</v>
      </c>
      <c r="H4" s="34">
        <v>84</v>
      </c>
      <c r="I4" s="34">
        <v>54</v>
      </c>
      <c r="J4" s="34">
        <v>35</v>
      </c>
      <c r="K4" s="40"/>
      <c r="L4" s="34">
        <v>142</v>
      </c>
      <c r="M4" s="34">
        <v>155</v>
      </c>
      <c r="N4" s="34">
        <v>140</v>
      </c>
      <c r="O4" s="34">
        <v>76</v>
      </c>
      <c r="P4" s="40"/>
      <c r="Q4" s="34">
        <v>178</v>
      </c>
      <c r="R4" s="34">
        <v>178</v>
      </c>
      <c r="S4" s="34">
        <v>225</v>
      </c>
      <c r="T4" s="34">
        <v>105</v>
      </c>
      <c r="U4" s="40"/>
      <c r="V4" s="34">
        <v>33</v>
      </c>
      <c r="W4" s="34">
        <v>33</v>
      </c>
      <c r="X4" s="34">
        <v>3</v>
      </c>
      <c r="Y4" s="34">
        <v>13</v>
      </c>
      <c r="Z4" s="40"/>
      <c r="AA4" s="34">
        <f t="shared" si="0"/>
        <v>483</v>
      </c>
      <c r="AB4" s="38">
        <f t="shared" si="1"/>
        <v>0.33406287524911826</v>
      </c>
      <c r="AC4" s="38">
        <f t="shared" si="2"/>
        <v>0.51966873706004135</v>
      </c>
    </row>
    <row r="5" spans="1:29" x14ac:dyDescent="0.25">
      <c r="A5" t="s">
        <v>107</v>
      </c>
      <c r="B5" s="34">
        <v>177</v>
      </c>
      <c r="C5" s="34">
        <v>177</v>
      </c>
      <c r="D5" s="34">
        <v>163</v>
      </c>
      <c r="E5" s="34">
        <v>90</v>
      </c>
      <c r="F5" s="40"/>
      <c r="G5" s="34">
        <v>116</v>
      </c>
      <c r="H5" s="34">
        <v>117</v>
      </c>
      <c r="I5" s="34">
        <v>91</v>
      </c>
      <c r="J5" s="34">
        <v>49</v>
      </c>
      <c r="K5" s="40"/>
      <c r="L5" s="34">
        <v>76</v>
      </c>
      <c r="M5" s="34">
        <v>76</v>
      </c>
      <c r="N5" s="34">
        <v>71</v>
      </c>
      <c r="O5" s="34">
        <v>41</v>
      </c>
      <c r="P5" s="40"/>
      <c r="Q5" s="34">
        <v>133</v>
      </c>
      <c r="R5" s="34">
        <v>133</v>
      </c>
      <c r="S5" s="34">
        <v>44</v>
      </c>
      <c r="T5" s="34">
        <v>59</v>
      </c>
      <c r="U5" s="40"/>
      <c r="V5" s="34">
        <v>16</v>
      </c>
      <c r="W5" s="34">
        <v>16</v>
      </c>
      <c r="X5" s="34">
        <v>11</v>
      </c>
      <c r="Y5" s="34">
        <v>10</v>
      </c>
      <c r="Z5" s="40"/>
      <c r="AA5" s="34">
        <f t="shared" si="0"/>
        <v>518</v>
      </c>
      <c r="AB5" s="38">
        <f t="shared" si="1"/>
        <v>0.30601030771562832</v>
      </c>
      <c r="AC5" s="38">
        <f t="shared" si="2"/>
        <v>0.48069498069498068</v>
      </c>
    </row>
    <row r="6" spans="1:29" x14ac:dyDescent="0.25">
      <c r="A6" t="s">
        <v>110</v>
      </c>
      <c r="B6" s="34">
        <v>28</v>
      </c>
      <c r="C6" s="34">
        <v>28</v>
      </c>
      <c r="D6" s="34">
        <v>12</v>
      </c>
      <c r="E6" s="34">
        <v>12</v>
      </c>
      <c r="F6" s="40"/>
      <c r="G6" s="34">
        <v>47</v>
      </c>
      <c r="H6" s="34">
        <v>47</v>
      </c>
      <c r="I6" s="34">
        <v>63</v>
      </c>
      <c r="J6" s="34">
        <v>27</v>
      </c>
      <c r="K6" s="40"/>
      <c r="L6" s="34">
        <v>100</v>
      </c>
      <c r="M6" s="34">
        <v>100</v>
      </c>
      <c r="N6" s="34">
        <v>180</v>
      </c>
      <c r="O6" s="34">
        <v>51</v>
      </c>
      <c r="P6" s="40"/>
      <c r="Q6" s="34">
        <v>102</v>
      </c>
      <c r="R6" s="34">
        <v>102</v>
      </c>
      <c r="S6" s="34">
        <v>107</v>
      </c>
      <c r="T6" s="34">
        <v>55</v>
      </c>
      <c r="U6" s="40"/>
      <c r="V6" s="34">
        <v>27</v>
      </c>
      <c r="W6" s="34">
        <v>27</v>
      </c>
      <c r="X6" s="34">
        <v>48</v>
      </c>
      <c r="Y6" s="34">
        <v>13</v>
      </c>
      <c r="Z6" s="40"/>
      <c r="AA6" s="34">
        <f t="shared" si="0"/>
        <v>304</v>
      </c>
      <c r="AB6" s="38">
        <f t="shared" si="1"/>
        <v>0.24351978171896316</v>
      </c>
      <c r="AC6" s="38">
        <f t="shared" si="2"/>
        <v>0.51973684210526316</v>
      </c>
    </row>
    <row r="7" spans="1:29" x14ac:dyDescent="0.25">
      <c r="A7" t="s">
        <v>52</v>
      </c>
      <c r="B7" s="34">
        <v>102</v>
      </c>
      <c r="C7" s="34">
        <v>102</v>
      </c>
      <c r="D7" s="34">
        <v>168</v>
      </c>
      <c r="E7" s="34">
        <v>49</v>
      </c>
      <c r="F7" s="40"/>
      <c r="G7" s="34">
        <v>68</v>
      </c>
      <c r="H7" s="34">
        <v>70</v>
      </c>
      <c r="I7" s="34">
        <v>200</v>
      </c>
      <c r="J7" s="34">
        <v>29</v>
      </c>
      <c r="K7" s="40"/>
      <c r="L7" s="34">
        <v>38</v>
      </c>
      <c r="M7" s="34">
        <v>38</v>
      </c>
      <c r="N7" s="34">
        <v>93</v>
      </c>
      <c r="O7" s="34">
        <v>20</v>
      </c>
      <c r="P7" s="40"/>
      <c r="Q7" s="34">
        <v>11</v>
      </c>
      <c r="R7" s="34">
        <v>12</v>
      </c>
      <c r="S7" s="34">
        <v>20</v>
      </c>
      <c r="T7" s="34">
        <v>8</v>
      </c>
      <c r="U7" s="40"/>
      <c r="V7" s="34">
        <v>2</v>
      </c>
      <c r="W7" s="34">
        <v>2</v>
      </c>
      <c r="X7" s="34">
        <v>9</v>
      </c>
      <c r="Y7" s="34">
        <v>1</v>
      </c>
      <c r="Z7" s="40"/>
      <c r="AA7" s="34">
        <f t="shared" si="0"/>
        <v>221</v>
      </c>
      <c r="AB7" s="38">
        <f t="shared" si="1"/>
        <v>0.23997921132982525</v>
      </c>
      <c r="AC7" s="38">
        <f t="shared" si="2"/>
        <v>0.48416289592760181</v>
      </c>
    </row>
    <row r="8" spans="1:29" x14ac:dyDescent="0.25">
      <c r="A8" t="s">
        <v>12</v>
      </c>
      <c r="B8" s="34">
        <v>12</v>
      </c>
      <c r="C8" s="34">
        <v>22</v>
      </c>
      <c r="D8" s="34">
        <v>16</v>
      </c>
      <c r="E8" s="34">
        <v>7</v>
      </c>
      <c r="F8" s="40"/>
      <c r="G8" s="34">
        <v>45</v>
      </c>
      <c r="H8" s="34">
        <v>50</v>
      </c>
      <c r="I8" s="34">
        <v>59</v>
      </c>
      <c r="J8" s="34">
        <v>29</v>
      </c>
      <c r="K8" s="40"/>
      <c r="L8" s="34">
        <v>109</v>
      </c>
      <c r="M8" s="34">
        <v>121</v>
      </c>
      <c r="N8" s="34">
        <v>132</v>
      </c>
      <c r="O8" s="34">
        <v>64</v>
      </c>
      <c r="P8" s="40"/>
      <c r="Q8" s="34">
        <v>88</v>
      </c>
      <c r="R8" s="34">
        <v>88</v>
      </c>
      <c r="S8" s="34">
        <v>223</v>
      </c>
      <c r="T8" s="34">
        <v>46</v>
      </c>
      <c r="U8" s="40"/>
      <c r="V8" s="34">
        <v>8</v>
      </c>
      <c r="W8" s="34">
        <v>8</v>
      </c>
      <c r="X8" s="34">
        <v>9</v>
      </c>
      <c r="Y8" s="34">
        <v>3</v>
      </c>
      <c r="Z8" s="40"/>
      <c r="AA8" s="34">
        <f t="shared" si="0"/>
        <v>262</v>
      </c>
      <c r="AB8" s="38">
        <f t="shared" si="1"/>
        <v>0.23012836413245691</v>
      </c>
      <c r="AC8" s="38">
        <f t="shared" si="2"/>
        <v>0.56870229007633588</v>
      </c>
    </row>
    <row r="9" spans="1:29" x14ac:dyDescent="0.25">
      <c r="A9" t="s">
        <v>108</v>
      </c>
      <c r="B9" s="34">
        <v>68</v>
      </c>
      <c r="C9" s="34">
        <v>68</v>
      </c>
      <c r="D9" s="34">
        <v>171</v>
      </c>
      <c r="E9" s="34">
        <v>38</v>
      </c>
      <c r="F9" s="40"/>
      <c r="G9" s="34">
        <v>8</v>
      </c>
      <c r="H9" s="34">
        <v>8</v>
      </c>
      <c r="I9" s="34">
        <v>1</v>
      </c>
      <c r="J9" s="34">
        <v>5</v>
      </c>
      <c r="K9" s="40"/>
      <c r="L9" s="34">
        <v>193</v>
      </c>
      <c r="M9" s="34">
        <v>202</v>
      </c>
      <c r="N9" s="34">
        <v>127</v>
      </c>
      <c r="O9" s="34">
        <v>94</v>
      </c>
      <c r="P9" s="40"/>
      <c r="Q9" s="34">
        <v>46</v>
      </c>
      <c r="R9" s="34">
        <v>161</v>
      </c>
      <c r="S9" s="34">
        <v>64</v>
      </c>
      <c r="T9" s="34">
        <v>16</v>
      </c>
      <c r="U9" s="40"/>
      <c r="V9" s="34"/>
      <c r="W9" s="34">
        <v>1</v>
      </c>
      <c r="X9" s="34"/>
      <c r="Y9" s="34"/>
      <c r="Z9" s="40"/>
      <c r="AA9" s="34">
        <f t="shared" si="0"/>
        <v>315</v>
      </c>
      <c r="AB9" s="38">
        <f t="shared" si="1"/>
        <v>0.21372008814601984</v>
      </c>
      <c r="AC9" s="38">
        <f t="shared" si="2"/>
        <v>0.48571428571428571</v>
      </c>
    </row>
    <row r="10" spans="1:29" x14ac:dyDescent="0.25">
      <c r="A10" t="s">
        <v>32</v>
      </c>
      <c r="B10" s="34">
        <v>124</v>
      </c>
      <c r="C10" s="34">
        <v>128</v>
      </c>
      <c r="D10" s="34">
        <v>164</v>
      </c>
      <c r="E10" s="34">
        <v>81</v>
      </c>
      <c r="F10" s="40"/>
      <c r="G10" s="34">
        <v>78</v>
      </c>
      <c r="H10" s="34">
        <v>80</v>
      </c>
      <c r="I10" s="34">
        <v>88</v>
      </c>
      <c r="J10" s="34">
        <v>45</v>
      </c>
      <c r="K10" s="40"/>
      <c r="L10" s="34">
        <v>25</v>
      </c>
      <c r="M10" s="34">
        <v>26</v>
      </c>
      <c r="N10" s="34">
        <v>16</v>
      </c>
      <c r="O10" s="34">
        <v>16</v>
      </c>
      <c r="P10" s="40"/>
      <c r="Q10" s="34">
        <v>60</v>
      </c>
      <c r="R10" s="34">
        <v>69</v>
      </c>
      <c r="S10" s="34">
        <v>49</v>
      </c>
      <c r="T10" s="34">
        <v>30</v>
      </c>
      <c r="U10" s="40"/>
      <c r="V10" s="34">
        <v>5</v>
      </c>
      <c r="W10" s="34">
        <v>8</v>
      </c>
      <c r="X10" s="34">
        <v>9</v>
      </c>
      <c r="Y10" s="34">
        <v>4</v>
      </c>
      <c r="Z10" s="40"/>
      <c r="AA10" s="34">
        <f t="shared" si="0"/>
        <v>292</v>
      </c>
      <c r="AB10" s="38">
        <f t="shared" si="1"/>
        <v>0.204738509903407</v>
      </c>
      <c r="AC10" s="38">
        <f t="shared" si="2"/>
        <v>0.60273972602739723</v>
      </c>
    </row>
    <row r="11" spans="1:29" x14ac:dyDescent="0.25">
      <c r="A11" t="s">
        <v>48</v>
      </c>
      <c r="B11" s="34">
        <v>91</v>
      </c>
      <c r="C11" s="34">
        <v>93</v>
      </c>
      <c r="D11" s="34">
        <v>133</v>
      </c>
      <c r="E11" s="34">
        <v>44</v>
      </c>
      <c r="F11" s="40"/>
      <c r="G11" s="34">
        <v>16</v>
      </c>
      <c r="H11" s="34">
        <v>20</v>
      </c>
      <c r="I11" s="34">
        <v>59</v>
      </c>
      <c r="J11" s="34">
        <v>6</v>
      </c>
      <c r="K11" s="40"/>
      <c r="L11" s="34">
        <v>2</v>
      </c>
      <c r="M11" s="34">
        <v>4</v>
      </c>
      <c r="N11" s="34">
        <v>0</v>
      </c>
      <c r="O11" s="34">
        <v>0</v>
      </c>
      <c r="P11" s="40"/>
      <c r="Q11" s="34">
        <v>142</v>
      </c>
      <c r="R11" s="34">
        <v>143</v>
      </c>
      <c r="S11" s="34">
        <v>52</v>
      </c>
      <c r="T11" s="34">
        <v>76</v>
      </c>
      <c r="U11" s="40"/>
      <c r="V11" s="34">
        <v>35</v>
      </c>
      <c r="W11" s="34">
        <v>36</v>
      </c>
      <c r="X11" s="34">
        <v>13</v>
      </c>
      <c r="Y11" s="34">
        <v>23</v>
      </c>
      <c r="Z11" s="40"/>
      <c r="AA11" s="34">
        <f t="shared" si="0"/>
        <v>286</v>
      </c>
      <c r="AB11" s="38">
        <f t="shared" si="1"/>
        <v>0.17995055848277255</v>
      </c>
      <c r="AC11" s="38">
        <f t="shared" si="2"/>
        <v>0.52097902097902093</v>
      </c>
    </row>
    <row r="12" spans="1:29" x14ac:dyDescent="0.25">
      <c r="A12" t="s">
        <v>39</v>
      </c>
      <c r="B12" s="34">
        <v>1</v>
      </c>
      <c r="C12" s="34">
        <v>37</v>
      </c>
      <c r="D12" s="34">
        <v>25</v>
      </c>
      <c r="E12" s="34">
        <v>1</v>
      </c>
      <c r="F12" s="40"/>
      <c r="G12" s="34">
        <v>72</v>
      </c>
      <c r="H12" s="34">
        <v>85</v>
      </c>
      <c r="I12" s="34">
        <v>139</v>
      </c>
      <c r="J12" s="34">
        <v>40</v>
      </c>
      <c r="K12" s="40"/>
      <c r="L12" s="34">
        <v>135</v>
      </c>
      <c r="M12" s="34">
        <v>140</v>
      </c>
      <c r="N12" s="34">
        <v>154</v>
      </c>
      <c r="O12" s="34">
        <v>64</v>
      </c>
      <c r="P12" s="40"/>
      <c r="Q12" s="34">
        <v>15</v>
      </c>
      <c r="R12" s="34">
        <v>24</v>
      </c>
      <c r="S12" s="34">
        <v>12</v>
      </c>
      <c r="T12" s="34">
        <v>7</v>
      </c>
      <c r="U12" s="40"/>
      <c r="V12" s="34">
        <v>2</v>
      </c>
      <c r="W12" s="34">
        <v>3</v>
      </c>
      <c r="X12" s="34">
        <v>0</v>
      </c>
      <c r="Y12" s="34">
        <v>1</v>
      </c>
      <c r="Z12" s="40"/>
      <c r="AA12" s="34">
        <f t="shared" si="0"/>
        <v>225</v>
      </c>
      <c r="AB12" s="38">
        <f t="shared" si="1"/>
        <v>0.17033316921768893</v>
      </c>
      <c r="AC12" s="38">
        <f t="shared" si="2"/>
        <v>0.50222222222222224</v>
      </c>
    </row>
    <row r="13" spans="1:29" x14ac:dyDescent="0.25">
      <c r="A13" t="s">
        <v>113</v>
      </c>
      <c r="B13" s="34"/>
      <c r="C13" s="34">
        <v>1</v>
      </c>
      <c r="D13" s="34"/>
      <c r="E13" s="34"/>
      <c r="F13" s="40"/>
      <c r="G13" s="34">
        <v>96</v>
      </c>
      <c r="H13" s="34">
        <v>107</v>
      </c>
      <c r="I13" s="34">
        <v>247</v>
      </c>
      <c r="J13" s="34">
        <v>60</v>
      </c>
      <c r="K13" s="40"/>
      <c r="L13" s="34">
        <v>8</v>
      </c>
      <c r="M13" s="34">
        <v>10</v>
      </c>
      <c r="N13" s="34">
        <v>1</v>
      </c>
      <c r="O13" s="34">
        <v>3</v>
      </c>
      <c r="P13" s="40"/>
      <c r="Q13" s="34">
        <v>80</v>
      </c>
      <c r="R13" s="34">
        <v>80</v>
      </c>
      <c r="S13" s="34">
        <v>62</v>
      </c>
      <c r="T13" s="34">
        <v>44</v>
      </c>
      <c r="U13" s="40"/>
      <c r="V13" s="34">
        <v>1</v>
      </c>
      <c r="W13" s="34">
        <v>1</v>
      </c>
      <c r="X13" s="34">
        <v>0</v>
      </c>
      <c r="Y13" s="34">
        <v>1</v>
      </c>
      <c r="Z13" s="40"/>
      <c r="AA13" s="34">
        <f t="shared" si="0"/>
        <v>185</v>
      </c>
      <c r="AB13" s="38">
        <f t="shared" si="1"/>
        <v>0.16009804796572785</v>
      </c>
      <c r="AC13" s="38">
        <f t="shared" si="2"/>
        <v>0.58378378378378382</v>
      </c>
    </row>
    <row r="14" spans="1:29" x14ac:dyDescent="0.25">
      <c r="A14" t="s">
        <v>27</v>
      </c>
      <c r="B14" s="34">
        <v>69</v>
      </c>
      <c r="C14" s="34">
        <v>108</v>
      </c>
      <c r="D14" s="34">
        <v>141</v>
      </c>
      <c r="E14" s="34">
        <v>37</v>
      </c>
      <c r="F14" s="40"/>
      <c r="G14" s="34">
        <v>66</v>
      </c>
      <c r="H14" s="34">
        <v>68</v>
      </c>
      <c r="I14" s="34">
        <v>85</v>
      </c>
      <c r="J14" s="34">
        <v>27</v>
      </c>
      <c r="K14" s="40"/>
      <c r="L14" s="34">
        <v>36</v>
      </c>
      <c r="M14" s="34">
        <v>37</v>
      </c>
      <c r="N14" s="34">
        <v>25</v>
      </c>
      <c r="O14" s="34">
        <v>15</v>
      </c>
      <c r="P14" s="40"/>
      <c r="Q14" s="34">
        <v>33</v>
      </c>
      <c r="R14" s="34">
        <v>35</v>
      </c>
      <c r="S14" s="34">
        <v>36</v>
      </c>
      <c r="T14" s="34">
        <v>13</v>
      </c>
      <c r="U14" s="40"/>
      <c r="V14" s="34">
        <v>10</v>
      </c>
      <c r="W14" s="34">
        <v>11</v>
      </c>
      <c r="X14" s="34">
        <v>21</v>
      </c>
      <c r="Y14" s="34">
        <v>3</v>
      </c>
      <c r="Z14" s="40"/>
      <c r="AA14" s="34">
        <f t="shared" si="0"/>
        <v>214</v>
      </c>
      <c r="AB14" s="38">
        <f t="shared" si="1"/>
        <v>0.15823377349639287</v>
      </c>
      <c r="AC14" s="38">
        <f t="shared" si="2"/>
        <v>0.44392523364485981</v>
      </c>
    </row>
    <row r="15" spans="1:29" x14ac:dyDescent="0.25">
      <c r="A15" t="s">
        <v>18</v>
      </c>
      <c r="B15" s="34">
        <v>51</v>
      </c>
      <c r="C15" s="34">
        <v>51</v>
      </c>
      <c r="D15" s="34">
        <v>249</v>
      </c>
      <c r="E15" s="34">
        <v>28</v>
      </c>
      <c r="F15" s="40"/>
      <c r="G15" s="34">
        <v>12</v>
      </c>
      <c r="H15" s="34">
        <v>12</v>
      </c>
      <c r="I15" s="34">
        <v>2</v>
      </c>
      <c r="J15" s="34">
        <v>8</v>
      </c>
      <c r="K15" s="40"/>
      <c r="L15" s="34">
        <v>4</v>
      </c>
      <c r="M15" s="34">
        <v>54</v>
      </c>
      <c r="N15" s="34">
        <v>107</v>
      </c>
      <c r="O15" s="34">
        <v>2</v>
      </c>
      <c r="P15" s="40"/>
      <c r="Q15" s="34">
        <v>22</v>
      </c>
      <c r="R15" s="34">
        <v>22</v>
      </c>
      <c r="S15" s="34">
        <v>57</v>
      </c>
      <c r="T15" s="34">
        <v>7</v>
      </c>
      <c r="U15" s="40"/>
      <c r="V15" s="34">
        <v>6</v>
      </c>
      <c r="W15" s="34">
        <v>6</v>
      </c>
      <c r="X15" s="34">
        <v>6</v>
      </c>
      <c r="Y15" s="34">
        <v>4</v>
      </c>
      <c r="Z15" s="40"/>
      <c r="AA15" s="34">
        <f t="shared" si="0"/>
        <v>95</v>
      </c>
      <c r="AB15" s="38">
        <f t="shared" si="1"/>
        <v>0.14219847405386288</v>
      </c>
      <c r="AC15" s="38">
        <f t="shared" si="2"/>
        <v>0.51578947368421058</v>
      </c>
    </row>
    <row r="16" spans="1:29" x14ac:dyDescent="0.25">
      <c r="A16" t="s">
        <v>109</v>
      </c>
      <c r="B16" s="34">
        <v>106</v>
      </c>
      <c r="C16" s="34">
        <v>108</v>
      </c>
      <c r="D16" s="34">
        <v>49</v>
      </c>
      <c r="E16" s="34">
        <v>42</v>
      </c>
      <c r="F16" s="40"/>
      <c r="G16" s="34">
        <v>35</v>
      </c>
      <c r="H16" s="34">
        <v>35</v>
      </c>
      <c r="I16" s="34">
        <v>15</v>
      </c>
      <c r="J16" s="34">
        <v>12</v>
      </c>
      <c r="K16" s="40"/>
      <c r="L16" s="34"/>
      <c r="M16" s="34">
        <v>1</v>
      </c>
      <c r="N16" s="34"/>
      <c r="O16" s="34"/>
      <c r="P16" s="40"/>
      <c r="Q16" s="34">
        <v>101</v>
      </c>
      <c r="R16" s="34">
        <v>102</v>
      </c>
      <c r="S16" s="34">
        <v>65</v>
      </c>
      <c r="T16" s="34">
        <v>44</v>
      </c>
      <c r="U16" s="40"/>
      <c r="V16" s="34">
        <v>6</v>
      </c>
      <c r="W16" s="34">
        <v>6</v>
      </c>
      <c r="X16" s="34">
        <v>3</v>
      </c>
      <c r="Y16" s="34">
        <v>2</v>
      </c>
      <c r="Z16" s="40"/>
      <c r="AA16" s="34">
        <f t="shared" si="0"/>
        <v>248</v>
      </c>
      <c r="AB16" s="38">
        <f t="shared" si="1"/>
        <v>0.12907753672941058</v>
      </c>
      <c r="AC16" s="38">
        <f t="shared" si="2"/>
        <v>0.40322580645161288</v>
      </c>
    </row>
    <row r="17" spans="1:29" x14ac:dyDescent="0.25">
      <c r="A17" t="s">
        <v>91</v>
      </c>
      <c r="B17" s="34"/>
      <c r="C17" s="34">
        <v>1</v>
      </c>
      <c r="D17" s="34"/>
      <c r="E17" s="34"/>
      <c r="F17" s="40"/>
      <c r="G17" s="34">
        <v>49</v>
      </c>
      <c r="H17" s="34">
        <v>54</v>
      </c>
      <c r="I17" s="34">
        <v>244</v>
      </c>
      <c r="J17" s="34">
        <v>33</v>
      </c>
      <c r="K17" s="40"/>
      <c r="L17" s="34">
        <v>16</v>
      </c>
      <c r="M17" s="34">
        <v>40</v>
      </c>
      <c r="N17" s="34">
        <v>35</v>
      </c>
      <c r="O17" s="34">
        <v>10</v>
      </c>
      <c r="P17" s="40"/>
      <c r="Q17" s="34">
        <v>1</v>
      </c>
      <c r="R17" s="34">
        <v>121</v>
      </c>
      <c r="S17" s="34">
        <v>166</v>
      </c>
      <c r="T17" s="34">
        <v>0</v>
      </c>
      <c r="U17" s="40"/>
      <c r="V17" s="34"/>
      <c r="W17" s="34">
        <v>1</v>
      </c>
      <c r="X17" s="34"/>
      <c r="Y17" s="34"/>
      <c r="Z17" s="40"/>
      <c r="AA17" s="34">
        <f t="shared" si="0"/>
        <v>66</v>
      </c>
      <c r="AB17" s="38">
        <f t="shared" si="1"/>
        <v>0.10326715833351081</v>
      </c>
      <c r="AC17" s="38">
        <f t="shared" si="2"/>
        <v>0.65151515151515149</v>
      </c>
    </row>
    <row r="18" spans="1:29" x14ac:dyDescent="0.25">
      <c r="A18" t="s">
        <v>112</v>
      </c>
      <c r="B18" s="34">
        <v>61</v>
      </c>
      <c r="C18" s="34">
        <v>63</v>
      </c>
      <c r="D18" s="34">
        <v>35</v>
      </c>
      <c r="E18" s="34">
        <v>27</v>
      </c>
      <c r="F18" s="40"/>
      <c r="G18" s="34">
        <v>6</v>
      </c>
      <c r="H18" s="34">
        <v>8</v>
      </c>
      <c r="I18" s="34">
        <v>4</v>
      </c>
      <c r="J18" s="34">
        <v>1</v>
      </c>
      <c r="K18" s="40"/>
      <c r="L18" s="34">
        <v>6</v>
      </c>
      <c r="M18" s="34">
        <v>12</v>
      </c>
      <c r="N18" s="34">
        <v>3</v>
      </c>
      <c r="O18" s="34">
        <v>5</v>
      </c>
      <c r="P18" s="40"/>
      <c r="Q18" s="34">
        <v>92</v>
      </c>
      <c r="R18" s="34">
        <v>113</v>
      </c>
      <c r="S18" s="34">
        <v>70</v>
      </c>
      <c r="T18" s="34">
        <v>46</v>
      </c>
      <c r="U18" s="40"/>
      <c r="V18" s="34">
        <v>12</v>
      </c>
      <c r="W18" s="34">
        <v>12</v>
      </c>
      <c r="X18" s="34">
        <v>5</v>
      </c>
      <c r="Y18" s="34">
        <v>8</v>
      </c>
      <c r="Z18" s="40"/>
      <c r="AA18" s="34">
        <f t="shared" si="0"/>
        <v>177</v>
      </c>
      <c r="AB18" s="38">
        <f t="shared" si="1"/>
        <v>9.4604379035254704E-2</v>
      </c>
      <c r="AC18" s="38">
        <f t="shared" si="2"/>
        <v>0.49152542372881358</v>
      </c>
    </row>
    <row r="19" spans="1:29" x14ac:dyDescent="0.25">
      <c r="A19" t="s">
        <v>201</v>
      </c>
      <c r="B19" s="34"/>
      <c r="C19" s="34">
        <v>1</v>
      </c>
      <c r="D19" s="34"/>
      <c r="E19" s="34"/>
      <c r="F19" s="40"/>
      <c r="G19" s="34"/>
      <c r="H19" s="34">
        <v>1</v>
      </c>
      <c r="I19" s="34"/>
      <c r="J19" s="34"/>
      <c r="K19" s="40"/>
      <c r="L19" s="34">
        <v>14</v>
      </c>
      <c r="M19" s="34">
        <v>32</v>
      </c>
      <c r="N19" s="34">
        <v>95</v>
      </c>
      <c r="O19" s="34">
        <v>8</v>
      </c>
      <c r="P19" s="40"/>
      <c r="Q19" s="34">
        <v>97</v>
      </c>
      <c r="R19" s="34">
        <v>147</v>
      </c>
      <c r="S19" s="34">
        <v>133</v>
      </c>
      <c r="T19" s="34">
        <v>43</v>
      </c>
      <c r="U19" s="40"/>
      <c r="V19" s="34">
        <v>15</v>
      </c>
      <c r="W19" s="34">
        <v>24</v>
      </c>
      <c r="X19" s="34">
        <v>16</v>
      </c>
      <c r="Y19" s="34">
        <v>7</v>
      </c>
      <c r="Z19" s="40"/>
      <c r="AA19" s="34">
        <f t="shared" si="0"/>
        <v>126</v>
      </c>
      <c r="AB19" s="38">
        <f t="shared" si="1"/>
        <v>9.0492634639121675E-2</v>
      </c>
      <c r="AC19" s="38">
        <f t="shared" si="2"/>
        <v>0.46031746031746029</v>
      </c>
    </row>
    <row r="20" spans="1:29" x14ac:dyDescent="0.25">
      <c r="A20" t="s">
        <v>8</v>
      </c>
      <c r="B20" s="34">
        <v>2</v>
      </c>
      <c r="C20" s="34">
        <v>66</v>
      </c>
      <c r="D20" s="34">
        <v>91</v>
      </c>
      <c r="E20" s="34">
        <v>1</v>
      </c>
      <c r="F20" s="40"/>
      <c r="G20" s="34">
        <v>86</v>
      </c>
      <c r="H20" s="34">
        <v>143</v>
      </c>
      <c r="I20" s="34">
        <v>154</v>
      </c>
      <c r="J20" s="34">
        <v>39</v>
      </c>
      <c r="K20" s="40"/>
      <c r="L20" s="34">
        <v>11</v>
      </c>
      <c r="M20" s="34">
        <v>29</v>
      </c>
      <c r="N20" s="34">
        <v>38</v>
      </c>
      <c r="O20" s="34">
        <v>7</v>
      </c>
      <c r="P20" s="40"/>
      <c r="Q20" s="34">
        <v>11</v>
      </c>
      <c r="R20" s="34">
        <v>126</v>
      </c>
      <c r="S20" s="34">
        <v>118</v>
      </c>
      <c r="T20" s="34">
        <v>8</v>
      </c>
      <c r="U20" s="40"/>
      <c r="V20" s="34">
        <v>1</v>
      </c>
      <c r="W20" s="34">
        <v>11</v>
      </c>
      <c r="X20" s="34">
        <v>74</v>
      </c>
      <c r="Y20" s="34">
        <v>1</v>
      </c>
      <c r="Z20" s="40"/>
      <c r="AA20" s="34">
        <f t="shared" si="0"/>
        <v>111</v>
      </c>
      <c r="AB20" s="38">
        <f t="shared" si="1"/>
        <v>8.1110372955412235E-2</v>
      </c>
      <c r="AC20" s="38">
        <f t="shared" si="2"/>
        <v>0.50450450450450446</v>
      </c>
    </row>
    <row r="21" spans="1:29" x14ac:dyDescent="0.25">
      <c r="A21" t="s">
        <v>128</v>
      </c>
      <c r="B21" s="34">
        <v>30</v>
      </c>
      <c r="C21" s="34">
        <v>32</v>
      </c>
      <c r="D21" s="34">
        <v>27</v>
      </c>
      <c r="E21" s="34">
        <v>13</v>
      </c>
      <c r="F21" s="40"/>
      <c r="G21" s="34">
        <v>50</v>
      </c>
      <c r="H21" s="34">
        <v>50</v>
      </c>
      <c r="I21" s="34">
        <v>35</v>
      </c>
      <c r="J21" s="34">
        <v>17</v>
      </c>
      <c r="K21" s="40"/>
      <c r="L21" s="34">
        <v>21</v>
      </c>
      <c r="M21" s="34">
        <v>21</v>
      </c>
      <c r="N21" s="34">
        <v>12</v>
      </c>
      <c r="O21" s="34">
        <v>11</v>
      </c>
      <c r="P21" s="40"/>
      <c r="Q21" s="34">
        <v>10</v>
      </c>
      <c r="R21" s="34">
        <v>10</v>
      </c>
      <c r="S21" s="34">
        <v>4</v>
      </c>
      <c r="T21" s="34">
        <v>6</v>
      </c>
      <c r="U21" s="40"/>
      <c r="V21" s="34">
        <v>11</v>
      </c>
      <c r="W21" s="34">
        <v>11</v>
      </c>
      <c r="X21" s="34">
        <v>2</v>
      </c>
      <c r="Y21" s="34">
        <v>5</v>
      </c>
      <c r="Z21" s="40"/>
      <c r="AA21" s="34">
        <f t="shared" si="0"/>
        <v>122</v>
      </c>
      <c r="AB21" s="38">
        <f t="shared" si="1"/>
        <v>6.8319406548431105E-2</v>
      </c>
      <c r="AC21" s="38">
        <f t="shared" si="2"/>
        <v>0.42622950819672129</v>
      </c>
    </row>
    <row r="22" spans="1:29" x14ac:dyDescent="0.25">
      <c r="A22" t="s">
        <v>114</v>
      </c>
      <c r="B22" s="34">
        <v>55</v>
      </c>
      <c r="C22" s="34">
        <v>55</v>
      </c>
      <c r="D22" s="34">
        <v>56</v>
      </c>
      <c r="E22" s="34">
        <v>29</v>
      </c>
      <c r="F22" s="40"/>
      <c r="G22" s="34">
        <v>34</v>
      </c>
      <c r="H22" s="34">
        <v>36</v>
      </c>
      <c r="I22" s="34">
        <v>28</v>
      </c>
      <c r="J22" s="34">
        <v>15</v>
      </c>
      <c r="K22" s="40"/>
      <c r="L22" s="34">
        <v>1</v>
      </c>
      <c r="M22" s="34">
        <v>1</v>
      </c>
      <c r="N22" s="34">
        <v>0</v>
      </c>
      <c r="O22" s="34">
        <v>0</v>
      </c>
      <c r="P22" s="40"/>
      <c r="Q22" s="34">
        <v>1</v>
      </c>
      <c r="R22" s="34">
        <v>1</v>
      </c>
      <c r="S22" s="34">
        <v>2</v>
      </c>
      <c r="T22" s="34">
        <v>1</v>
      </c>
      <c r="U22" s="40"/>
      <c r="V22" s="34"/>
      <c r="W22" s="34">
        <v>1</v>
      </c>
      <c r="X22" s="34"/>
      <c r="Y22" s="34"/>
      <c r="Z22" s="40"/>
      <c r="AA22" s="34">
        <f t="shared" si="0"/>
        <v>91</v>
      </c>
      <c r="AB22" s="38">
        <f t="shared" si="1"/>
        <v>5.9837805062907388E-2</v>
      </c>
      <c r="AC22" s="38">
        <f t="shared" si="2"/>
        <v>0.49450549450549453</v>
      </c>
    </row>
    <row r="23" spans="1:29" x14ac:dyDescent="0.25">
      <c r="A23" t="s">
        <v>116</v>
      </c>
      <c r="B23" s="34">
        <v>2</v>
      </c>
      <c r="C23" s="34">
        <v>2</v>
      </c>
      <c r="D23" s="34">
        <v>1</v>
      </c>
      <c r="E23" s="34">
        <v>0</v>
      </c>
      <c r="F23" s="40"/>
      <c r="G23" s="34">
        <v>22</v>
      </c>
      <c r="H23" s="34">
        <v>22</v>
      </c>
      <c r="I23" s="34">
        <v>97</v>
      </c>
      <c r="J23" s="34">
        <v>14</v>
      </c>
      <c r="K23" s="40"/>
      <c r="L23" s="34">
        <v>3</v>
      </c>
      <c r="M23" s="34">
        <v>3</v>
      </c>
      <c r="N23" s="34">
        <v>2</v>
      </c>
      <c r="O23" s="34">
        <v>3</v>
      </c>
      <c r="P23" s="40"/>
      <c r="Q23" s="34">
        <v>3</v>
      </c>
      <c r="R23" s="34">
        <v>3</v>
      </c>
      <c r="S23" s="34">
        <v>0</v>
      </c>
      <c r="T23" s="34">
        <v>1</v>
      </c>
      <c r="U23" s="40"/>
      <c r="V23" s="34"/>
      <c r="W23" s="34">
        <v>1</v>
      </c>
      <c r="X23" s="34"/>
      <c r="Y23" s="34"/>
      <c r="Z23" s="40"/>
      <c r="AA23" s="34">
        <f t="shared" si="0"/>
        <v>30</v>
      </c>
      <c r="AB23" s="38">
        <f t="shared" si="1"/>
        <v>4.4338335607094131E-2</v>
      </c>
      <c r="AC23" s="38">
        <f t="shared" si="2"/>
        <v>0.6</v>
      </c>
    </row>
    <row r="24" spans="1:29" x14ac:dyDescent="0.25">
      <c r="A24" t="s">
        <v>118</v>
      </c>
      <c r="B24" s="34"/>
      <c r="C24" s="34">
        <v>1</v>
      </c>
      <c r="D24" s="34"/>
      <c r="E24" s="34"/>
      <c r="F24" s="40"/>
      <c r="G24" s="34"/>
      <c r="H24" s="34">
        <v>1</v>
      </c>
      <c r="I24" s="34"/>
      <c r="J24" s="34"/>
      <c r="K24" s="40"/>
      <c r="L24" s="34">
        <v>47</v>
      </c>
      <c r="M24" s="34">
        <v>54</v>
      </c>
      <c r="N24" s="34">
        <v>42</v>
      </c>
      <c r="O24" s="34">
        <v>19</v>
      </c>
      <c r="P24" s="40"/>
      <c r="Q24" s="34">
        <v>23</v>
      </c>
      <c r="R24" s="34">
        <v>23</v>
      </c>
      <c r="S24" s="34">
        <v>11</v>
      </c>
      <c r="T24" s="34">
        <v>6</v>
      </c>
      <c r="U24" s="40"/>
      <c r="V24" s="34"/>
      <c r="W24" s="34">
        <v>1</v>
      </c>
      <c r="X24" s="34"/>
      <c r="Y24" s="34"/>
      <c r="Z24" s="40"/>
      <c r="AA24" s="34">
        <f t="shared" si="0"/>
        <v>70</v>
      </c>
      <c r="AB24" s="38">
        <f t="shared" si="1"/>
        <v>4.0093982113081704E-2</v>
      </c>
      <c r="AC24" s="38">
        <f t="shared" si="2"/>
        <v>0.35714285714285715</v>
      </c>
    </row>
    <row r="25" spans="1:29" x14ac:dyDescent="0.25">
      <c r="A25" t="s">
        <v>125</v>
      </c>
      <c r="B25" s="34">
        <v>1</v>
      </c>
      <c r="C25" s="34">
        <v>1</v>
      </c>
      <c r="D25" s="34">
        <v>0</v>
      </c>
      <c r="E25" s="34">
        <v>0</v>
      </c>
      <c r="F25" s="40"/>
      <c r="G25" s="34">
        <v>14</v>
      </c>
      <c r="H25" s="34">
        <v>16</v>
      </c>
      <c r="I25" s="34">
        <v>11</v>
      </c>
      <c r="J25" s="34">
        <v>4</v>
      </c>
      <c r="K25" s="40"/>
      <c r="L25" s="34">
        <v>3</v>
      </c>
      <c r="M25" s="34">
        <v>3</v>
      </c>
      <c r="N25" s="34">
        <v>3</v>
      </c>
      <c r="O25" s="34">
        <v>1</v>
      </c>
      <c r="P25" s="40"/>
      <c r="Q25" s="34">
        <v>29</v>
      </c>
      <c r="R25" s="34">
        <v>29</v>
      </c>
      <c r="S25" s="34">
        <v>29</v>
      </c>
      <c r="T25" s="34">
        <v>13</v>
      </c>
      <c r="U25" s="40"/>
      <c r="V25" s="34">
        <v>8</v>
      </c>
      <c r="W25" s="34">
        <v>8</v>
      </c>
      <c r="X25" s="34">
        <v>10</v>
      </c>
      <c r="Y25" s="34">
        <v>4</v>
      </c>
      <c r="Z25" s="40"/>
      <c r="AA25" s="34">
        <f t="shared" si="0"/>
        <v>55</v>
      </c>
      <c r="AB25" s="38">
        <f t="shared" si="1"/>
        <v>3.6365961800818553E-2</v>
      </c>
      <c r="AC25" s="38">
        <f t="shared" si="2"/>
        <v>0.4</v>
      </c>
    </row>
    <row r="26" spans="1:29" x14ac:dyDescent="0.25">
      <c r="A26" t="s">
        <v>111</v>
      </c>
      <c r="B26" s="34">
        <v>51</v>
      </c>
      <c r="C26" s="34">
        <v>51</v>
      </c>
      <c r="D26" s="34">
        <v>39</v>
      </c>
      <c r="E26" s="34">
        <v>23</v>
      </c>
      <c r="F26" s="40"/>
      <c r="G26" s="34">
        <v>2</v>
      </c>
      <c r="H26" s="34">
        <v>2</v>
      </c>
      <c r="I26" s="34">
        <v>0</v>
      </c>
      <c r="J26" s="34">
        <v>2</v>
      </c>
      <c r="K26" s="40"/>
      <c r="L26" s="34">
        <v>3</v>
      </c>
      <c r="M26" s="34">
        <v>3</v>
      </c>
      <c r="N26" s="34">
        <v>0</v>
      </c>
      <c r="O26" s="34">
        <v>1</v>
      </c>
      <c r="P26" s="40"/>
      <c r="Q26" s="34">
        <v>2</v>
      </c>
      <c r="R26" s="34">
        <v>2</v>
      </c>
      <c r="S26" s="34">
        <v>1</v>
      </c>
      <c r="T26" s="34">
        <v>1</v>
      </c>
      <c r="U26" s="40"/>
      <c r="V26" s="34"/>
      <c r="W26" s="34">
        <v>1</v>
      </c>
      <c r="X26" s="34"/>
      <c r="Y26" s="34"/>
      <c r="Z26" s="40"/>
      <c r="AA26" s="34">
        <f t="shared" si="0"/>
        <v>58</v>
      </c>
      <c r="AB26" s="38">
        <f t="shared" si="1"/>
        <v>3.3424283765347888E-2</v>
      </c>
      <c r="AC26" s="38">
        <f t="shared" si="2"/>
        <v>0.46551724137931033</v>
      </c>
    </row>
    <row r="27" spans="1:29" x14ac:dyDescent="0.25">
      <c r="A27" t="s">
        <v>120</v>
      </c>
      <c r="B27" s="34">
        <v>32</v>
      </c>
      <c r="C27" s="34">
        <v>32</v>
      </c>
      <c r="D27" s="34">
        <v>23</v>
      </c>
      <c r="E27" s="34">
        <v>15</v>
      </c>
      <c r="F27" s="40"/>
      <c r="G27" s="34">
        <v>1</v>
      </c>
      <c r="H27" s="34">
        <v>1</v>
      </c>
      <c r="I27" s="34">
        <v>1</v>
      </c>
      <c r="J27" s="34">
        <v>0</v>
      </c>
      <c r="K27" s="40"/>
      <c r="L27" s="34"/>
      <c r="M27" s="34">
        <v>1</v>
      </c>
      <c r="N27" s="34"/>
      <c r="O27" s="34"/>
      <c r="P27" s="40"/>
      <c r="Q27" s="34">
        <v>7</v>
      </c>
      <c r="R27" s="34">
        <v>7</v>
      </c>
      <c r="S27" s="34">
        <v>4</v>
      </c>
      <c r="T27" s="34">
        <v>5</v>
      </c>
      <c r="U27" s="40"/>
      <c r="V27" s="34">
        <v>9</v>
      </c>
      <c r="W27" s="34">
        <v>9</v>
      </c>
      <c r="X27" s="34">
        <v>8</v>
      </c>
      <c r="Y27" s="34">
        <v>6</v>
      </c>
      <c r="Z27" s="40"/>
      <c r="AA27" s="34">
        <f t="shared" si="0"/>
        <v>49</v>
      </c>
      <c r="AB27" s="38">
        <f t="shared" si="1"/>
        <v>2.899045020463847E-2</v>
      </c>
      <c r="AC27" s="38">
        <f t="shared" si="2"/>
        <v>0.53061224489795922</v>
      </c>
    </row>
    <row r="28" spans="1:29" x14ac:dyDescent="0.25">
      <c r="A28" t="s">
        <v>115</v>
      </c>
      <c r="B28" s="34">
        <v>13</v>
      </c>
      <c r="C28" s="34">
        <v>13</v>
      </c>
      <c r="D28" s="34">
        <v>8</v>
      </c>
      <c r="E28" s="34">
        <v>6</v>
      </c>
      <c r="F28" s="40"/>
      <c r="G28" s="34">
        <v>31</v>
      </c>
      <c r="H28" s="34">
        <v>31</v>
      </c>
      <c r="I28" s="34">
        <v>19</v>
      </c>
      <c r="J28" s="34">
        <v>15</v>
      </c>
      <c r="K28" s="40"/>
      <c r="L28" s="34">
        <v>5</v>
      </c>
      <c r="M28" s="34">
        <v>6</v>
      </c>
      <c r="N28" s="34">
        <v>2</v>
      </c>
      <c r="O28" s="34">
        <v>2</v>
      </c>
      <c r="P28" s="40"/>
      <c r="Q28" s="34">
        <v>2</v>
      </c>
      <c r="R28" s="34">
        <v>2</v>
      </c>
      <c r="S28" s="34">
        <v>0</v>
      </c>
      <c r="T28" s="34">
        <v>2</v>
      </c>
      <c r="U28" s="40"/>
      <c r="V28" s="34"/>
      <c r="W28" s="34">
        <v>1</v>
      </c>
      <c r="X28" s="34"/>
      <c r="Y28" s="34"/>
      <c r="Z28" s="40"/>
      <c r="AA28" s="34">
        <f t="shared" si="0"/>
        <v>51</v>
      </c>
      <c r="AB28" s="38">
        <f t="shared" si="1"/>
        <v>2.7171441564347431E-2</v>
      </c>
      <c r="AC28" s="38">
        <f t="shared" si="2"/>
        <v>0.49019607843137253</v>
      </c>
    </row>
    <row r="29" spans="1:29" x14ac:dyDescent="0.25">
      <c r="A29" t="s">
        <v>117</v>
      </c>
      <c r="B29" s="34"/>
      <c r="C29" s="34">
        <v>1</v>
      </c>
      <c r="D29" s="34"/>
      <c r="E29" s="34"/>
      <c r="F29" s="40"/>
      <c r="G29" s="34">
        <v>8</v>
      </c>
      <c r="H29" s="34">
        <v>8</v>
      </c>
      <c r="I29" s="34">
        <v>9</v>
      </c>
      <c r="J29" s="34">
        <v>2</v>
      </c>
      <c r="K29" s="40"/>
      <c r="L29" s="34">
        <v>32</v>
      </c>
      <c r="M29" s="34">
        <v>32</v>
      </c>
      <c r="N29" s="34">
        <v>24</v>
      </c>
      <c r="O29" s="34">
        <v>14</v>
      </c>
      <c r="P29" s="40"/>
      <c r="Q29" s="34">
        <v>3</v>
      </c>
      <c r="R29" s="34">
        <v>3</v>
      </c>
      <c r="S29" s="34">
        <v>0</v>
      </c>
      <c r="T29" s="34">
        <v>0</v>
      </c>
      <c r="U29" s="40"/>
      <c r="V29" s="34"/>
      <c r="W29" s="34">
        <v>1</v>
      </c>
      <c r="X29" s="34"/>
      <c r="Y29" s="34"/>
      <c r="Z29" s="40"/>
      <c r="AA29" s="34">
        <f t="shared" si="0"/>
        <v>43</v>
      </c>
      <c r="AB29" s="38">
        <f t="shared" si="1"/>
        <v>2.5920873124147339E-2</v>
      </c>
      <c r="AC29" s="38">
        <f t="shared" si="2"/>
        <v>0.37209302325581395</v>
      </c>
    </row>
    <row r="30" spans="1:29" x14ac:dyDescent="0.25">
      <c r="A30" t="s">
        <v>35</v>
      </c>
      <c r="B30" s="34">
        <v>2</v>
      </c>
      <c r="C30" s="34">
        <v>79</v>
      </c>
      <c r="D30" s="34">
        <v>260</v>
      </c>
      <c r="E30" s="34">
        <v>1</v>
      </c>
      <c r="F30" s="40"/>
      <c r="G30" s="34"/>
      <c r="H30" s="34">
        <v>1</v>
      </c>
      <c r="I30" s="34"/>
      <c r="J30" s="34"/>
      <c r="K30" s="40"/>
      <c r="L30" s="34">
        <v>27</v>
      </c>
      <c r="M30" s="34">
        <v>126</v>
      </c>
      <c r="N30" s="34">
        <v>177</v>
      </c>
      <c r="O30" s="34">
        <v>12</v>
      </c>
      <c r="P30" s="40"/>
      <c r="Q30" s="34"/>
      <c r="R30" s="34">
        <v>1</v>
      </c>
      <c r="S30" s="34"/>
      <c r="T30" s="34"/>
      <c r="U30" s="40"/>
      <c r="V30" s="34"/>
      <c r="W30" s="34">
        <v>1</v>
      </c>
      <c r="X30" s="34"/>
      <c r="Y30" s="34"/>
      <c r="Z30" s="40"/>
      <c r="AA30" s="34">
        <f t="shared" si="0"/>
        <v>29</v>
      </c>
      <c r="AB30" s="38">
        <f t="shared" si="1"/>
        <v>2.507191333887588E-2</v>
      </c>
      <c r="AC30" s="38">
        <f t="shared" si="2"/>
        <v>0.44827586206896552</v>
      </c>
    </row>
    <row r="31" spans="1:29" x14ac:dyDescent="0.25">
      <c r="A31" t="s">
        <v>59</v>
      </c>
      <c r="B31" s="34"/>
      <c r="C31" s="34">
        <v>1</v>
      </c>
      <c r="D31" s="34"/>
      <c r="E31" s="34"/>
      <c r="F31" s="40"/>
      <c r="G31" s="34"/>
      <c r="H31" s="34">
        <v>1</v>
      </c>
      <c r="I31" s="34"/>
      <c r="J31" s="34"/>
      <c r="K31" s="40"/>
      <c r="L31" s="34">
        <v>29</v>
      </c>
      <c r="M31" s="34">
        <v>73</v>
      </c>
      <c r="N31" s="34">
        <v>75</v>
      </c>
      <c r="O31" s="34">
        <v>14</v>
      </c>
      <c r="P31" s="40"/>
      <c r="Q31" s="34">
        <v>8</v>
      </c>
      <c r="R31" s="34">
        <v>19</v>
      </c>
      <c r="S31" s="34">
        <v>10</v>
      </c>
      <c r="T31" s="34">
        <v>5</v>
      </c>
      <c r="U31" s="40"/>
      <c r="V31" s="34">
        <v>1</v>
      </c>
      <c r="W31" s="34">
        <v>1</v>
      </c>
      <c r="X31" s="34">
        <v>0</v>
      </c>
      <c r="Y31" s="34">
        <v>0</v>
      </c>
      <c r="Z31" s="40"/>
      <c r="AA31" s="34">
        <f t="shared" si="0"/>
        <v>38</v>
      </c>
      <c r="AB31" s="38">
        <f t="shared" si="1"/>
        <v>2.4558337948067763E-2</v>
      </c>
      <c r="AC31" s="38">
        <f t="shared" si="2"/>
        <v>0.5</v>
      </c>
    </row>
    <row r="32" spans="1:29" x14ac:dyDescent="0.25">
      <c r="A32" t="s">
        <v>29</v>
      </c>
      <c r="B32" s="34">
        <v>1</v>
      </c>
      <c r="C32" s="34">
        <v>75</v>
      </c>
      <c r="D32" s="34">
        <v>137</v>
      </c>
      <c r="E32" s="34">
        <v>1</v>
      </c>
      <c r="F32" s="40"/>
      <c r="G32" s="34">
        <v>3</v>
      </c>
      <c r="H32" s="34">
        <v>65</v>
      </c>
      <c r="I32" s="34">
        <v>56</v>
      </c>
      <c r="J32" s="34">
        <v>0</v>
      </c>
      <c r="K32" s="40"/>
      <c r="L32" s="34">
        <v>34</v>
      </c>
      <c r="M32" s="34">
        <v>47</v>
      </c>
      <c r="N32" s="34">
        <v>37</v>
      </c>
      <c r="O32" s="34">
        <v>13</v>
      </c>
      <c r="P32" s="40"/>
      <c r="Q32" s="34"/>
      <c r="R32" s="34">
        <v>1</v>
      </c>
      <c r="S32" s="34"/>
      <c r="T32" s="34"/>
      <c r="U32" s="40"/>
      <c r="V32" s="34"/>
      <c r="W32" s="34">
        <v>1</v>
      </c>
      <c r="X32" s="34"/>
      <c r="Y32" s="34"/>
      <c r="Z32" s="40"/>
      <c r="AA32" s="34">
        <f t="shared" si="0"/>
        <v>38</v>
      </c>
      <c r="AB32" s="38">
        <f t="shared" si="1"/>
        <v>2.3593874317220518E-2</v>
      </c>
      <c r="AC32" s="38">
        <f t="shared" si="2"/>
        <v>0.36842105263157893</v>
      </c>
    </row>
    <row r="33" spans="1:29" x14ac:dyDescent="0.25">
      <c r="A33" t="s">
        <v>61</v>
      </c>
      <c r="B33" s="34">
        <v>24</v>
      </c>
      <c r="C33" s="34">
        <v>25</v>
      </c>
      <c r="D33" s="34">
        <v>31</v>
      </c>
      <c r="E33" s="34">
        <v>14</v>
      </c>
      <c r="F33" s="40"/>
      <c r="G33" s="34">
        <v>3</v>
      </c>
      <c r="H33" s="34">
        <v>3</v>
      </c>
      <c r="I33" s="34">
        <v>1</v>
      </c>
      <c r="J33" s="34">
        <v>1</v>
      </c>
      <c r="K33" s="40"/>
      <c r="L33" s="34">
        <v>1</v>
      </c>
      <c r="M33" s="34">
        <v>1</v>
      </c>
      <c r="N33" s="34">
        <v>0</v>
      </c>
      <c r="O33" s="34">
        <v>0</v>
      </c>
      <c r="P33" s="40"/>
      <c r="Q33" s="34">
        <v>4</v>
      </c>
      <c r="R33" s="34">
        <v>4</v>
      </c>
      <c r="S33" s="34">
        <v>0</v>
      </c>
      <c r="T33" s="34">
        <v>1</v>
      </c>
      <c r="U33" s="40"/>
      <c r="V33" s="34"/>
      <c r="W33" s="34">
        <v>1</v>
      </c>
      <c r="X33" s="34"/>
      <c r="Y33" s="34"/>
      <c r="Z33" s="40"/>
      <c r="AA33" s="34">
        <f t="shared" si="0"/>
        <v>32</v>
      </c>
      <c r="AB33" s="38">
        <f t="shared" si="1"/>
        <v>2.1405184174624829E-2</v>
      </c>
      <c r="AC33" s="38">
        <f t="shared" si="2"/>
        <v>0.5</v>
      </c>
    </row>
    <row r="34" spans="1:29" x14ac:dyDescent="0.25">
      <c r="A34" t="s">
        <v>10</v>
      </c>
      <c r="B34" s="34">
        <v>1</v>
      </c>
      <c r="C34" s="34">
        <v>108</v>
      </c>
      <c r="D34" s="34">
        <v>38</v>
      </c>
      <c r="E34" s="34">
        <v>0</v>
      </c>
      <c r="F34" s="40"/>
      <c r="G34" s="34">
        <v>32</v>
      </c>
      <c r="H34" s="34">
        <v>118</v>
      </c>
      <c r="I34" s="34">
        <v>77</v>
      </c>
      <c r="J34" s="34">
        <v>14</v>
      </c>
      <c r="K34" s="40"/>
      <c r="L34" s="34"/>
      <c r="M34" s="34">
        <v>1</v>
      </c>
      <c r="N34" s="34"/>
      <c r="O34" s="34"/>
      <c r="P34" s="40"/>
      <c r="Q34" s="34"/>
      <c r="R34" s="34">
        <v>1</v>
      </c>
      <c r="S34" s="34"/>
      <c r="T34" s="34"/>
      <c r="U34" s="40"/>
      <c r="V34" s="34"/>
      <c r="W34" s="34">
        <v>1</v>
      </c>
      <c r="X34" s="34"/>
      <c r="Y34" s="34"/>
      <c r="Z34" s="40"/>
      <c r="AA34" s="34">
        <f t="shared" si="0"/>
        <v>33</v>
      </c>
      <c r="AB34" s="38">
        <f t="shared" si="1"/>
        <v>1.8497001290605469E-2</v>
      </c>
      <c r="AC34" s="38">
        <f t="shared" si="2"/>
        <v>0.42424242424242425</v>
      </c>
    </row>
    <row r="35" spans="1:29" x14ac:dyDescent="0.25">
      <c r="A35" t="s">
        <v>252</v>
      </c>
      <c r="B35" s="34"/>
      <c r="C35" s="34">
        <v>1</v>
      </c>
      <c r="D35" s="34"/>
      <c r="E35" s="34"/>
      <c r="F35" s="40"/>
      <c r="G35" s="34">
        <v>24</v>
      </c>
      <c r="H35" s="34">
        <v>269</v>
      </c>
      <c r="I35" s="34">
        <v>192</v>
      </c>
      <c r="J35" s="34">
        <v>15</v>
      </c>
      <c r="K35" s="40"/>
      <c r="L35" s="34">
        <v>1</v>
      </c>
      <c r="M35" s="34">
        <v>279</v>
      </c>
      <c r="N35" s="34">
        <v>154</v>
      </c>
      <c r="O35" s="34">
        <v>0</v>
      </c>
      <c r="P35" s="40"/>
      <c r="Q35" s="34"/>
      <c r="R35" s="34">
        <v>1</v>
      </c>
      <c r="S35" s="34"/>
      <c r="T35" s="34"/>
      <c r="U35" s="40"/>
      <c r="V35" s="34"/>
      <c r="W35" s="34">
        <v>1</v>
      </c>
      <c r="X35" s="34"/>
      <c r="Y35" s="34"/>
      <c r="Z35" s="40"/>
      <c r="AA35" s="34">
        <f t="shared" ref="AA35:AA66" si="3">B35+G35+L35+Q35+V35</f>
        <v>25</v>
      </c>
      <c r="AB35" s="38">
        <f t="shared" ref="AB35:AB66" si="4">(AA35+(B35/C35*D35+G35/H35*I35+L35/M35*N35+Q35/R35*S35+V35/W35*X35))/($D$1+$I$1+$N$1+$S$1+$X$1)</f>
        <v>1.4557327029443535E-2</v>
      </c>
      <c r="AC35" s="38">
        <f t="shared" ref="AC35:AC66" si="5">(E35+J35+O35+T35+Y35)/(AA35)</f>
        <v>0.6</v>
      </c>
    </row>
    <row r="36" spans="1:29" x14ac:dyDescent="0.25">
      <c r="A36" t="s">
        <v>34</v>
      </c>
      <c r="B36" s="34">
        <v>6</v>
      </c>
      <c r="C36" s="34">
        <v>11</v>
      </c>
      <c r="D36" s="34">
        <v>7</v>
      </c>
      <c r="E36" s="34">
        <v>3</v>
      </c>
      <c r="F36" s="40"/>
      <c r="G36" s="34">
        <v>5</v>
      </c>
      <c r="H36" s="34">
        <v>8</v>
      </c>
      <c r="I36" s="34">
        <v>6</v>
      </c>
      <c r="J36" s="34">
        <v>2</v>
      </c>
      <c r="K36" s="40"/>
      <c r="L36" s="34">
        <v>6</v>
      </c>
      <c r="M36" s="34">
        <v>12</v>
      </c>
      <c r="N36" s="34">
        <v>17</v>
      </c>
      <c r="O36" s="34">
        <v>3</v>
      </c>
      <c r="P36" s="40"/>
      <c r="Q36" s="34">
        <v>2</v>
      </c>
      <c r="R36" s="34">
        <v>3</v>
      </c>
      <c r="S36" s="34">
        <v>3</v>
      </c>
      <c r="T36" s="34">
        <v>0</v>
      </c>
      <c r="U36" s="40"/>
      <c r="V36" s="34"/>
      <c r="W36" s="34">
        <v>1</v>
      </c>
      <c r="X36" s="34"/>
      <c r="Y36" s="34"/>
      <c r="Z36" s="40"/>
      <c r="AA36" s="34">
        <f t="shared" si="3"/>
        <v>19</v>
      </c>
      <c r="AB36" s="38">
        <f t="shared" si="4"/>
        <v>1.2642626813841002E-2</v>
      </c>
      <c r="AC36" s="38">
        <f t="shared" si="5"/>
        <v>0.42105263157894735</v>
      </c>
    </row>
    <row r="37" spans="1:29" x14ac:dyDescent="0.25">
      <c r="A37" t="s">
        <v>122</v>
      </c>
      <c r="B37" s="34">
        <v>11</v>
      </c>
      <c r="C37" s="34">
        <v>31</v>
      </c>
      <c r="D37" s="34">
        <v>39</v>
      </c>
      <c r="E37" s="34">
        <v>3</v>
      </c>
      <c r="F37" s="40"/>
      <c r="G37" s="34">
        <v>1</v>
      </c>
      <c r="H37" s="34">
        <v>2</v>
      </c>
      <c r="I37" s="34">
        <v>2</v>
      </c>
      <c r="J37" s="34">
        <v>1</v>
      </c>
      <c r="K37" s="40"/>
      <c r="L37" s="34">
        <v>1</v>
      </c>
      <c r="M37" s="34">
        <v>19</v>
      </c>
      <c r="N37" s="34">
        <v>5</v>
      </c>
      <c r="O37" s="34">
        <v>1</v>
      </c>
      <c r="P37" s="40"/>
      <c r="Q37" s="34"/>
      <c r="R37" s="34">
        <v>1</v>
      </c>
      <c r="S37" s="34"/>
      <c r="T37" s="34"/>
      <c r="U37" s="40"/>
      <c r="V37" s="34"/>
      <c r="W37" s="34">
        <v>1</v>
      </c>
      <c r="X37" s="34"/>
      <c r="Y37" s="34"/>
      <c r="Z37" s="40"/>
      <c r="AA37" s="34">
        <f t="shared" si="3"/>
        <v>13</v>
      </c>
      <c r="AB37" s="38">
        <f t="shared" si="4"/>
        <v>9.5845387353875166E-3</v>
      </c>
      <c r="AC37" s="38">
        <f t="shared" si="5"/>
        <v>0.38461538461538464</v>
      </c>
    </row>
    <row r="38" spans="1:29" x14ac:dyDescent="0.25">
      <c r="A38" t="s">
        <v>90</v>
      </c>
      <c r="B38" s="34"/>
      <c r="C38" s="34">
        <v>1</v>
      </c>
      <c r="D38" s="34"/>
      <c r="E38" s="34"/>
      <c r="F38" s="40"/>
      <c r="G38" s="34">
        <v>14</v>
      </c>
      <c r="H38" s="34">
        <v>139</v>
      </c>
      <c r="I38" s="34">
        <v>130</v>
      </c>
      <c r="J38" s="34">
        <v>9</v>
      </c>
      <c r="K38" s="40"/>
      <c r="L38" s="34"/>
      <c r="M38" s="34">
        <v>1</v>
      </c>
      <c r="N38" s="34"/>
      <c r="O38" s="34"/>
      <c r="P38" s="40"/>
      <c r="Q38" s="34"/>
      <c r="R38" s="34">
        <v>1</v>
      </c>
      <c r="S38" s="34"/>
      <c r="T38" s="34"/>
      <c r="U38" s="40"/>
      <c r="V38" s="34"/>
      <c r="W38" s="34">
        <v>1</v>
      </c>
      <c r="X38" s="34"/>
      <c r="Y38" s="34"/>
      <c r="Z38" s="40"/>
      <c r="AA38" s="34">
        <f t="shared" si="3"/>
        <v>14</v>
      </c>
      <c r="AB38" s="38">
        <f t="shared" si="4"/>
        <v>9.2406293246439682E-3</v>
      </c>
      <c r="AC38" s="38">
        <f t="shared" si="5"/>
        <v>0.6428571428571429</v>
      </c>
    </row>
    <row r="39" spans="1:29" x14ac:dyDescent="0.25">
      <c r="A39" t="s">
        <v>154</v>
      </c>
      <c r="B39" s="34"/>
      <c r="C39" s="34">
        <v>1</v>
      </c>
      <c r="D39" s="34"/>
      <c r="E39" s="34"/>
      <c r="F39" s="40"/>
      <c r="G39" s="34"/>
      <c r="H39" s="34">
        <v>1</v>
      </c>
      <c r="I39" s="34"/>
      <c r="J39" s="34"/>
      <c r="K39" s="40"/>
      <c r="L39" s="34">
        <v>5</v>
      </c>
      <c r="M39" s="34">
        <v>63</v>
      </c>
      <c r="N39" s="34">
        <v>89</v>
      </c>
      <c r="O39" s="34">
        <v>2</v>
      </c>
      <c r="P39" s="40"/>
      <c r="Q39" s="34">
        <v>6</v>
      </c>
      <c r="R39" s="34">
        <v>44</v>
      </c>
      <c r="S39" s="34">
        <v>41</v>
      </c>
      <c r="T39" s="34">
        <v>4</v>
      </c>
      <c r="U39" s="40"/>
      <c r="V39" s="34">
        <v>1</v>
      </c>
      <c r="W39" s="34">
        <v>8</v>
      </c>
      <c r="X39" s="34">
        <v>7</v>
      </c>
      <c r="Y39" s="34">
        <v>0</v>
      </c>
      <c r="Z39" s="40"/>
      <c r="AA39" s="34">
        <f t="shared" si="3"/>
        <v>12</v>
      </c>
      <c r="AB39" s="38">
        <f t="shared" si="4"/>
        <v>8.7071627402459592E-3</v>
      </c>
      <c r="AC39" s="38">
        <f t="shared" si="5"/>
        <v>0.5</v>
      </c>
    </row>
    <row r="40" spans="1:29" x14ac:dyDescent="0.25">
      <c r="A40" t="s">
        <v>139</v>
      </c>
      <c r="B40" s="34"/>
      <c r="C40" s="34">
        <v>1</v>
      </c>
      <c r="D40" s="34"/>
      <c r="E40" s="34"/>
      <c r="F40" s="40"/>
      <c r="G40" s="34"/>
      <c r="H40" s="34">
        <v>1</v>
      </c>
      <c r="I40" s="34"/>
      <c r="J40" s="34"/>
      <c r="K40" s="40"/>
      <c r="L40" s="34">
        <v>17</v>
      </c>
      <c r="M40" s="34">
        <v>158</v>
      </c>
      <c r="N40" s="34">
        <v>60</v>
      </c>
      <c r="O40" s="34">
        <v>7</v>
      </c>
      <c r="P40" s="40"/>
      <c r="Q40" s="34">
        <v>1</v>
      </c>
      <c r="R40" s="34">
        <v>52</v>
      </c>
      <c r="S40" s="34">
        <v>18</v>
      </c>
      <c r="T40" s="34">
        <v>0</v>
      </c>
      <c r="U40" s="40"/>
      <c r="V40" s="34"/>
      <c r="W40" s="34">
        <v>1</v>
      </c>
      <c r="X40" s="34"/>
      <c r="Y40" s="34"/>
      <c r="Z40" s="40"/>
      <c r="AA40" s="34">
        <f t="shared" si="3"/>
        <v>18</v>
      </c>
      <c r="AB40" s="38">
        <f t="shared" si="4"/>
        <v>8.4590211625803179E-3</v>
      </c>
      <c r="AC40" s="38">
        <f t="shared" si="5"/>
        <v>0.3888888888888889</v>
      </c>
    </row>
    <row r="41" spans="1:29" x14ac:dyDescent="0.25">
      <c r="A41" t="s">
        <v>24</v>
      </c>
      <c r="B41" s="34">
        <v>4</v>
      </c>
      <c r="C41" s="34">
        <v>14</v>
      </c>
      <c r="D41" s="34">
        <v>21</v>
      </c>
      <c r="E41" s="34">
        <v>2</v>
      </c>
      <c r="F41" s="40"/>
      <c r="G41" s="34">
        <v>5</v>
      </c>
      <c r="H41" s="34">
        <v>10</v>
      </c>
      <c r="I41" s="34">
        <v>11</v>
      </c>
      <c r="J41" s="34">
        <v>3</v>
      </c>
      <c r="K41" s="40"/>
      <c r="L41" s="34">
        <v>1</v>
      </c>
      <c r="M41" s="34">
        <v>2</v>
      </c>
      <c r="N41" s="34">
        <v>3</v>
      </c>
      <c r="O41" s="34">
        <v>0</v>
      </c>
      <c r="P41" s="40"/>
      <c r="Q41" s="34"/>
      <c r="R41" s="34">
        <v>1</v>
      </c>
      <c r="S41" s="34"/>
      <c r="T41" s="34"/>
      <c r="U41" s="40"/>
      <c r="V41" s="34"/>
      <c r="W41" s="34">
        <v>1</v>
      </c>
      <c r="X41" s="34"/>
      <c r="Y41" s="34"/>
      <c r="Z41" s="40"/>
      <c r="AA41" s="34">
        <f t="shared" si="3"/>
        <v>10</v>
      </c>
      <c r="AB41" s="38">
        <f t="shared" si="4"/>
        <v>7.8444747612551168E-3</v>
      </c>
      <c r="AC41" s="38">
        <f t="shared" si="5"/>
        <v>0.5</v>
      </c>
    </row>
    <row r="42" spans="1:29" x14ac:dyDescent="0.25">
      <c r="A42" t="s">
        <v>209</v>
      </c>
      <c r="B42" s="34">
        <v>3</v>
      </c>
      <c r="C42" s="34">
        <v>3</v>
      </c>
      <c r="D42" s="34">
        <v>0</v>
      </c>
      <c r="E42" s="34">
        <v>1</v>
      </c>
      <c r="F42" s="40"/>
      <c r="G42" s="34"/>
      <c r="H42" s="34">
        <v>1</v>
      </c>
      <c r="I42" s="34"/>
      <c r="J42" s="34"/>
      <c r="K42" s="40"/>
      <c r="L42" s="34"/>
      <c r="M42" s="34">
        <v>1</v>
      </c>
      <c r="N42" s="34"/>
      <c r="O42" s="34"/>
      <c r="P42" s="40"/>
      <c r="Q42" s="34">
        <v>4</v>
      </c>
      <c r="R42" s="34">
        <v>10</v>
      </c>
      <c r="S42" s="34">
        <v>3</v>
      </c>
      <c r="T42" s="34">
        <v>2</v>
      </c>
      <c r="U42" s="40"/>
      <c r="V42" s="34">
        <v>7</v>
      </c>
      <c r="W42" s="34">
        <v>7</v>
      </c>
      <c r="X42" s="34">
        <v>6</v>
      </c>
      <c r="Y42" s="34">
        <v>2</v>
      </c>
      <c r="Z42" s="40"/>
      <c r="AA42" s="34">
        <f t="shared" si="3"/>
        <v>14</v>
      </c>
      <c r="AB42" s="38">
        <f t="shared" si="4"/>
        <v>7.2305593451568893E-3</v>
      </c>
      <c r="AC42" s="38">
        <f t="shared" si="5"/>
        <v>0.35714285714285715</v>
      </c>
    </row>
    <row r="43" spans="1:29" x14ac:dyDescent="0.25">
      <c r="A43" t="s">
        <v>22</v>
      </c>
      <c r="B43" s="34">
        <v>3</v>
      </c>
      <c r="C43" s="34">
        <v>67</v>
      </c>
      <c r="D43" s="34">
        <v>156</v>
      </c>
      <c r="E43" s="34">
        <v>0</v>
      </c>
      <c r="F43" s="40"/>
      <c r="G43" s="34">
        <v>1</v>
      </c>
      <c r="H43" s="34">
        <v>216</v>
      </c>
      <c r="I43" s="34">
        <v>208</v>
      </c>
      <c r="J43" s="34">
        <v>1</v>
      </c>
      <c r="K43" s="40"/>
      <c r="L43" s="34">
        <v>2</v>
      </c>
      <c r="M43" s="34">
        <v>121</v>
      </c>
      <c r="N43" s="34">
        <v>141</v>
      </c>
      <c r="O43" s="34">
        <v>1</v>
      </c>
      <c r="P43" s="40"/>
      <c r="Q43" s="34">
        <v>2</v>
      </c>
      <c r="R43" s="34">
        <v>87</v>
      </c>
      <c r="S43" s="34">
        <v>79</v>
      </c>
      <c r="T43" s="34">
        <v>1</v>
      </c>
      <c r="U43" s="40"/>
      <c r="V43" s="34"/>
      <c r="W43" s="34">
        <v>1</v>
      </c>
      <c r="X43" s="34"/>
      <c r="Y43" s="34"/>
      <c r="Z43" s="40"/>
      <c r="AA43" s="34">
        <f t="shared" si="3"/>
        <v>8</v>
      </c>
      <c r="AB43" s="38">
        <f t="shared" si="4"/>
        <v>6.8535839209578151E-3</v>
      </c>
      <c r="AC43" s="38">
        <f t="shared" si="5"/>
        <v>0.375</v>
      </c>
    </row>
    <row r="44" spans="1:29" x14ac:dyDescent="0.25">
      <c r="A44" t="s">
        <v>33</v>
      </c>
      <c r="B44" s="34">
        <v>5</v>
      </c>
      <c r="C44" s="34">
        <v>51</v>
      </c>
      <c r="D44" s="34">
        <v>96</v>
      </c>
      <c r="E44" s="34">
        <v>2</v>
      </c>
      <c r="F44" s="40"/>
      <c r="G44" s="34"/>
      <c r="H44" s="34">
        <v>1</v>
      </c>
      <c r="I44" s="34"/>
      <c r="J44" s="34"/>
      <c r="K44" s="40"/>
      <c r="L44" s="34">
        <v>1</v>
      </c>
      <c r="M44" s="34">
        <v>1</v>
      </c>
      <c r="N44" s="34">
        <v>1</v>
      </c>
      <c r="O44" s="34">
        <v>1</v>
      </c>
      <c r="P44" s="40"/>
      <c r="Q44" s="34">
        <v>2</v>
      </c>
      <c r="R44" s="34">
        <v>2</v>
      </c>
      <c r="S44" s="34">
        <v>0</v>
      </c>
      <c r="T44" s="34">
        <v>1</v>
      </c>
      <c r="U44" s="40"/>
      <c r="V44" s="34"/>
      <c r="W44" s="34">
        <v>1</v>
      </c>
      <c r="X44" s="34"/>
      <c r="Y44" s="34"/>
      <c r="Z44" s="40"/>
      <c r="AA44" s="34">
        <f t="shared" si="3"/>
        <v>8</v>
      </c>
      <c r="AB44" s="38">
        <f t="shared" si="4"/>
        <v>6.2795923280635586E-3</v>
      </c>
      <c r="AC44" s="38">
        <f t="shared" si="5"/>
        <v>0.5</v>
      </c>
    </row>
    <row r="45" spans="1:29" x14ac:dyDescent="0.25">
      <c r="A45" t="s">
        <v>233</v>
      </c>
      <c r="B45" s="34"/>
      <c r="C45" s="34">
        <v>1</v>
      </c>
      <c r="D45" s="34"/>
      <c r="E45" s="34"/>
      <c r="F45" s="40"/>
      <c r="G45" s="34"/>
      <c r="H45" s="34">
        <v>1</v>
      </c>
      <c r="I45" s="34"/>
      <c r="J45" s="34"/>
      <c r="K45" s="40"/>
      <c r="L45" s="34"/>
      <c r="M45" s="34">
        <v>1</v>
      </c>
      <c r="N45" s="34"/>
      <c r="O45" s="34"/>
      <c r="P45" s="40"/>
      <c r="Q45" s="34">
        <v>7</v>
      </c>
      <c r="R45" s="34">
        <v>8</v>
      </c>
      <c r="S45" s="34">
        <v>9</v>
      </c>
      <c r="T45" s="34">
        <v>3</v>
      </c>
      <c r="U45" s="40"/>
      <c r="V45" s="34">
        <v>1</v>
      </c>
      <c r="W45" s="34">
        <v>1</v>
      </c>
      <c r="X45" s="34">
        <v>2</v>
      </c>
      <c r="Y45" s="34">
        <v>0</v>
      </c>
      <c r="Z45" s="40"/>
      <c r="AA45" s="34">
        <f t="shared" si="3"/>
        <v>8</v>
      </c>
      <c r="AB45" s="38">
        <f t="shared" si="4"/>
        <v>6.0965211459754432E-3</v>
      </c>
      <c r="AC45" s="38">
        <f t="shared" si="5"/>
        <v>0.375</v>
      </c>
    </row>
    <row r="46" spans="1:29" x14ac:dyDescent="0.25">
      <c r="A46" t="s">
        <v>200</v>
      </c>
      <c r="B46" s="34"/>
      <c r="C46" s="34">
        <v>1</v>
      </c>
      <c r="D46" s="34"/>
      <c r="E46" s="34"/>
      <c r="F46" s="40"/>
      <c r="G46" s="34"/>
      <c r="H46" s="34">
        <v>1</v>
      </c>
      <c r="I46" s="34"/>
      <c r="J46" s="34"/>
      <c r="K46" s="40"/>
      <c r="L46" s="34">
        <v>5</v>
      </c>
      <c r="M46" s="34">
        <v>10</v>
      </c>
      <c r="N46" s="34">
        <v>17</v>
      </c>
      <c r="O46" s="34">
        <v>1</v>
      </c>
      <c r="P46" s="40"/>
      <c r="Q46" s="34"/>
      <c r="R46" s="34">
        <v>1</v>
      </c>
      <c r="S46" s="34"/>
      <c r="T46" s="34"/>
      <c r="U46" s="40"/>
      <c r="V46" s="34"/>
      <c r="W46" s="34">
        <v>1</v>
      </c>
      <c r="X46" s="34"/>
      <c r="Y46" s="34"/>
      <c r="Z46" s="40"/>
      <c r="AA46" s="34">
        <f t="shared" si="3"/>
        <v>5</v>
      </c>
      <c r="AB46" s="38">
        <f t="shared" si="4"/>
        <v>4.6043656207366982E-3</v>
      </c>
      <c r="AC46" s="38">
        <f t="shared" si="5"/>
        <v>0.2</v>
      </c>
    </row>
    <row r="47" spans="1:29" x14ac:dyDescent="0.25">
      <c r="A47" t="s">
        <v>124</v>
      </c>
      <c r="B47" s="34"/>
      <c r="C47" s="34">
        <v>1</v>
      </c>
      <c r="D47" s="34"/>
      <c r="E47" s="34"/>
      <c r="F47" s="40"/>
      <c r="G47" s="34">
        <v>7</v>
      </c>
      <c r="H47" s="34">
        <v>7</v>
      </c>
      <c r="I47" s="34">
        <v>3</v>
      </c>
      <c r="J47" s="34">
        <v>2</v>
      </c>
      <c r="K47" s="40"/>
      <c r="L47" s="34"/>
      <c r="M47" s="34">
        <v>1</v>
      </c>
      <c r="N47" s="34"/>
      <c r="O47" s="34"/>
      <c r="P47" s="40"/>
      <c r="Q47" s="34">
        <v>2</v>
      </c>
      <c r="R47" s="34">
        <v>2</v>
      </c>
      <c r="S47" s="34">
        <v>0</v>
      </c>
      <c r="T47" s="34">
        <v>0</v>
      </c>
      <c r="U47" s="40"/>
      <c r="V47" s="34"/>
      <c r="W47" s="34">
        <v>1</v>
      </c>
      <c r="X47" s="34"/>
      <c r="Y47" s="34"/>
      <c r="Z47" s="40"/>
      <c r="AA47" s="34">
        <f t="shared" si="3"/>
        <v>9</v>
      </c>
      <c r="AB47" s="38">
        <f t="shared" si="4"/>
        <v>4.0927694406548429E-3</v>
      </c>
      <c r="AC47" s="38">
        <f t="shared" si="5"/>
        <v>0.22222222222222221</v>
      </c>
    </row>
    <row r="48" spans="1:29" x14ac:dyDescent="0.25">
      <c r="A48" t="s">
        <v>123</v>
      </c>
      <c r="B48" s="34">
        <v>4</v>
      </c>
      <c r="C48" s="34">
        <v>27</v>
      </c>
      <c r="D48" s="34">
        <v>9</v>
      </c>
      <c r="E48" s="34">
        <v>2</v>
      </c>
      <c r="F48" s="40"/>
      <c r="G48" s="34">
        <v>1</v>
      </c>
      <c r="H48" s="34">
        <v>6</v>
      </c>
      <c r="I48" s="34">
        <v>1</v>
      </c>
      <c r="J48" s="34">
        <v>1</v>
      </c>
      <c r="K48" s="40"/>
      <c r="L48" s="34"/>
      <c r="M48" s="34">
        <v>1</v>
      </c>
      <c r="N48" s="34"/>
      <c r="O48" s="34"/>
      <c r="P48" s="40"/>
      <c r="Q48" s="34">
        <v>3</v>
      </c>
      <c r="R48" s="34">
        <v>6</v>
      </c>
      <c r="S48" s="34">
        <v>2</v>
      </c>
      <c r="T48" s="34">
        <v>3</v>
      </c>
      <c r="U48" s="40"/>
      <c r="V48" s="34"/>
      <c r="W48" s="34">
        <v>1</v>
      </c>
      <c r="X48" s="34"/>
      <c r="Y48" s="34"/>
      <c r="Z48" s="40"/>
      <c r="AA48" s="34">
        <f t="shared" si="3"/>
        <v>8</v>
      </c>
      <c r="AB48" s="38">
        <f t="shared" si="4"/>
        <v>3.5811732605729877E-3</v>
      </c>
      <c r="AC48" s="38">
        <f t="shared" si="5"/>
        <v>0.75</v>
      </c>
    </row>
    <row r="49" spans="1:29" x14ac:dyDescent="0.25">
      <c r="A49" t="s">
        <v>127</v>
      </c>
      <c r="B49" s="34">
        <v>4</v>
      </c>
      <c r="C49" s="34">
        <v>11</v>
      </c>
      <c r="D49" s="34">
        <v>3</v>
      </c>
      <c r="E49" s="34">
        <v>3</v>
      </c>
      <c r="F49" s="40"/>
      <c r="G49" s="34"/>
      <c r="H49" s="34">
        <v>1</v>
      </c>
      <c r="I49" s="34"/>
      <c r="J49" s="34"/>
      <c r="K49" s="40"/>
      <c r="L49" s="34"/>
      <c r="M49" s="34">
        <v>1</v>
      </c>
      <c r="N49" s="34"/>
      <c r="O49" s="34"/>
      <c r="P49" s="40"/>
      <c r="Q49" s="34">
        <v>3</v>
      </c>
      <c r="R49" s="34">
        <v>3</v>
      </c>
      <c r="S49" s="34">
        <v>1</v>
      </c>
      <c r="T49" s="34">
        <v>1</v>
      </c>
      <c r="U49" s="40"/>
      <c r="V49" s="34"/>
      <c r="W49" s="34">
        <v>1</v>
      </c>
      <c r="X49" s="34"/>
      <c r="Y49" s="34"/>
      <c r="Z49" s="40"/>
      <c r="AA49" s="34">
        <f t="shared" si="3"/>
        <v>7</v>
      </c>
      <c r="AB49" s="38">
        <f t="shared" si="4"/>
        <v>3.1005829095870022E-3</v>
      </c>
      <c r="AC49" s="38">
        <f t="shared" si="5"/>
        <v>0.5714285714285714</v>
      </c>
    </row>
    <row r="50" spans="1:29" x14ac:dyDescent="0.25">
      <c r="A50" t="s">
        <v>77</v>
      </c>
      <c r="B50" s="34"/>
      <c r="C50" s="34">
        <v>1</v>
      </c>
      <c r="D50" s="34"/>
      <c r="E50" s="34"/>
      <c r="F50" s="40"/>
      <c r="G50" s="34"/>
      <c r="H50" s="34">
        <v>1</v>
      </c>
      <c r="I50" s="34"/>
      <c r="J50" s="34"/>
      <c r="K50" s="40"/>
      <c r="L50" s="34"/>
      <c r="M50" s="34">
        <v>1</v>
      </c>
      <c r="N50" s="34"/>
      <c r="O50" s="34"/>
      <c r="P50" s="40"/>
      <c r="Q50" s="34">
        <v>3</v>
      </c>
      <c r="R50" s="34">
        <v>122</v>
      </c>
      <c r="S50" s="34">
        <v>226</v>
      </c>
      <c r="T50" s="34">
        <v>2</v>
      </c>
      <c r="U50" s="40"/>
      <c r="V50" s="34"/>
      <c r="W50" s="34">
        <v>1</v>
      </c>
      <c r="X50" s="34"/>
      <c r="Y50" s="34"/>
      <c r="Z50" s="40"/>
      <c r="AA50" s="34">
        <f t="shared" si="3"/>
        <v>3</v>
      </c>
      <c r="AB50" s="38">
        <f t="shared" si="4"/>
        <v>2.9186142732538635E-3</v>
      </c>
      <c r="AC50" s="38">
        <f t="shared" si="5"/>
        <v>0.66666666666666663</v>
      </c>
    </row>
    <row r="51" spans="1:29" x14ac:dyDescent="0.25">
      <c r="A51" t="s">
        <v>156</v>
      </c>
      <c r="B51" s="34"/>
      <c r="C51" s="34">
        <v>1</v>
      </c>
      <c r="D51" s="34"/>
      <c r="E51" s="34"/>
      <c r="F51" s="40"/>
      <c r="G51" s="34"/>
      <c r="H51" s="34">
        <v>1</v>
      </c>
      <c r="I51" s="34"/>
      <c r="J51" s="34"/>
      <c r="K51" s="40"/>
      <c r="L51" s="34">
        <v>4</v>
      </c>
      <c r="M51" s="34">
        <v>30</v>
      </c>
      <c r="N51" s="34">
        <v>31</v>
      </c>
      <c r="O51" s="34">
        <v>3</v>
      </c>
      <c r="P51" s="40"/>
      <c r="Q51" s="34"/>
      <c r="R51" s="34">
        <v>1</v>
      </c>
      <c r="S51" s="34"/>
      <c r="T51" s="34"/>
      <c r="U51" s="40"/>
      <c r="V51" s="34"/>
      <c r="W51" s="34">
        <v>1</v>
      </c>
      <c r="X51" s="34"/>
      <c r="Y51" s="34"/>
      <c r="Z51" s="40"/>
      <c r="AA51" s="34">
        <f t="shared" si="3"/>
        <v>4</v>
      </c>
      <c r="AB51" s="38">
        <f t="shared" si="4"/>
        <v>2.7739881764438381E-3</v>
      </c>
      <c r="AC51" s="38">
        <f t="shared" si="5"/>
        <v>0.75</v>
      </c>
    </row>
    <row r="52" spans="1:29" x14ac:dyDescent="0.25">
      <c r="A52" t="s">
        <v>150</v>
      </c>
      <c r="B52" s="34">
        <v>3</v>
      </c>
      <c r="C52" s="34">
        <v>80</v>
      </c>
      <c r="D52" s="34">
        <v>44</v>
      </c>
      <c r="E52" s="34">
        <v>1</v>
      </c>
      <c r="F52" s="40"/>
      <c r="G52" s="34">
        <v>2</v>
      </c>
      <c r="H52" s="34">
        <v>165</v>
      </c>
      <c r="I52" s="34">
        <v>70</v>
      </c>
      <c r="J52" s="34">
        <v>0</v>
      </c>
      <c r="K52" s="40"/>
      <c r="L52" s="34"/>
      <c r="M52" s="34">
        <v>1</v>
      </c>
      <c r="N52" s="34"/>
      <c r="O52" s="34"/>
      <c r="P52" s="40"/>
      <c r="Q52" s="34"/>
      <c r="R52" s="34">
        <v>1</v>
      </c>
      <c r="S52" s="34"/>
      <c r="T52" s="34"/>
      <c r="U52" s="40"/>
      <c r="V52" s="34"/>
      <c r="W52" s="34">
        <v>1</v>
      </c>
      <c r="X52" s="34"/>
      <c r="Y52" s="34"/>
      <c r="Z52" s="40"/>
      <c r="AA52" s="34">
        <f t="shared" si="3"/>
        <v>5</v>
      </c>
      <c r="AB52" s="38">
        <f t="shared" si="4"/>
        <v>2.5574641365910121E-3</v>
      </c>
      <c r="AC52" s="38">
        <f t="shared" si="5"/>
        <v>0.2</v>
      </c>
    </row>
    <row r="53" spans="1:29" x14ac:dyDescent="0.25">
      <c r="A53" t="s">
        <v>208</v>
      </c>
      <c r="B53" s="34"/>
      <c r="C53" s="34">
        <v>1</v>
      </c>
      <c r="D53" s="34"/>
      <c r="E53" s="34"/>
      <c r="F53" s="40"/>
      <c r="G53" s="34"/>
      <c r="H53" s="34">
        <v>1</v>
      </c>
      <c r="I53" s="34"/>
      <c r="J53" s="34"/>
      <c r="K53" s="40"/>
      <c r="L53" s="34"/>
      <c r="M53" s="34">
        <v>1</v>
      </c>
      <c r="N53" s="34"/>
      <c r="O53" s="34"/>
      <c r="P53" s="40"/>
      <c r="Q53" s="34">
        <v>4</v>
      </c>
      <c r="R53" s="34">
        <v>176</v>
      </c>
      <c r="S53" s="34">
        <v>127</v>
      </c>
      <c r="T53" s="34">
        <v>2</v>
      </c>
      <c r="U53" s="40"/>
      <c r="V53" s="34"/>
      <c r="W53" s="34">
        <v>1</v>
      </c>
      <c r="X53" s="34"/>
      <c r="Y53" s="34"/>
      <c r="Z53" s="40"/>
      <c r="AA53" s="34">
        <f t="shared" si="3"/>
        <v>4</v>
      </c>
      <c r="AB53" s="38">
        <f t="shared" si="4"/>
        <v>2.3486915540121543E-3</v>
      </c>
      <c r="AC53" s="38">
        <f t="shared" si="5"/>
        <v>0.5</v>
      </c>
    </row>
    <row r="54" spans="1:29" x14ac:dyDescent="0.25">
      <c r="A54" t="s">
        <v>11</v>
      </c>
      <c r="B54" s="34">
        <v>3</v>
      </c>
      <c r="C54" s="34">
        <v>194</v>
      </c>
      <c r="D54" s="34">
        <v>173</v>
      </c>
      <c r="E54" s="34">
        <v>3</v>
      </c>
      <c r="F54" s="40"/>
      <c r="G54" s="34"/>
      <c r="H54" s="34">
        <v>1</v>
      </c>
      <c r="I54" s="34"/>
      <c r="J54" s="34"/>
      <c r="K54" s="40"/>
      <c r="L54" s="34"/>
      <c r="M54" s="34">
        <v>1</v>
      </c>
      <c r="N54" s="34"/>
      <c r="O54" s="34"/>
      <c r="P54" s="40"/>
      <c r="Q54" s="34"/>
      <c r="R54" s="34">
        <v>1</v>
      </c>
      <c r="S54" s="34"/>
      <c r="T54" s="34"/>
      <c r="U54" s="40"/>
      <c r="V54" s="34"/>
      <c r="W54" s="34">
        <v>1</v>
      </c>
      <c r="X54" s="34"/>
      <c r="Y54" s="34"/>
      <c r="Z54" s="40"/>
      <c r="AA54" s="34">
        <f t="shared" si="3"/>
        <v>3</v>
      </c>
      <c r="AB54" s="38">
        <f t="shared" si="4"/>
        <v>1.9356267844334116E-3</v>
      </c>
      <c r="AC54" s="38">
        <f t="shared" si="5"/>
        <v>1</v>
      </c>
    </row>
    <row r="55" spans="1:29" x14ac:dyDescent="0.25">
      <c r="A55" t="s">
        <v>21</v>
      </c>
      <c r="B55" s="34">
        <v>2</v>
      </c>
      <c r="C55" s="34">
        <v>4</v>
      </c>
      <c r="D55" s="34">
        <v>1</v>
      </c>
      <c r="E55" s="34">
        <v>1</v>
      </c>
      <c r="F55" s="40"/>
      <c r="G55" s="34"/>
      <c r="H55" s="34">
        <v>1</v>
      </c>
      <c r="I55" s="34"/>
      <c r="J55" s="34"/>
      <c r="K55" s="40"/>
      <c r="L55" s="34">
        <v>1</v>
      </c>
      <c r="M55" s="34">
        <v>22</v>
      </c>
      <c r="N55" s="34">
        <v>19</v>
      </c>
      <c r="O55" s="34">
        <v>0</v>
      </c>
      <c r="P55" s="40"/>
      <c r="Q55" s="34"/>
      <c r="R55" s="34">
        <v>1</v>
      </c>
      <c r="S55" s="34"/>
      <c r="T55" s="34"/>
      <c r="U55" s="40"/>
      <c r="V55" s="34"/>
      <c r="W55" s="34">
        <v>1</v>
      </c>
      <c r="X55" s="34"/>
      <c r="Y55" s="34"/>
      <c r="Z55" s="40"/>
      <c r="AA55" s="34">
        <f t="shared" si="3"/>
        <v>3</v>
      </c>
      <c r="AB55" s="38">
        <f t="shared" si="4"/>
        <v>1.488279796601761E-3</v>
      </c>
      <c r="AC55" s="38">
        <f t="shared" si="5"/>
        <v>0.33333333333333331</v>
      </c>
    </row>
    <row r="56" spans="1:29" x14ac:dyDescent="0.25">
      <c r="A56" t="s">
        <v>14</v>
      </c>
      <c r="B56" s="34">
        <v>2</v>
      </c>
      <c r="C56" s="34">
        <v>97</v>
      </c>
      <c r="D56" s="34">
        <v>100</v>
      </c>
      <c r="E56" s="34">
        <v>1</v>
      </c>
      <c r="F56" s="40"/>
      <c r="G56" s="34"/>
      <c r="H56" s="34">
        <v>1</v>
      </c>
      <c r="I56" s="34"/>
      <c r="J56" s="34"/>
      <c r="K56" s="40"/>
      <c r="L56" s="34"/>
      <c r="M56" s="34">
        <v>1</v>
      </c>
      <c r="N56" s="34"/>
      <c r="O56" s="34"/>
      <c r="P56" s="40"/>
      <c r="Q56" s="34"/>
      <c r="R56" s="34">
        <v>1</v>
      </c>
      <c r="S56" s="34"/>
      <c r="T56" s="34"/>
      <c r="U56" s="40"/>
      <c r="V56" s="34"/>
      <c r="W56" s="34">
        <v>1</v>
      </c>
      <c r="X56" s="34"/>
      <c r="Y56" s="34"/>
      <c r="Z56" s="40"/>
      <c r="AA56" s="34">
        <f t="shared" si="3"/>
        <v>2</v>
      </c>
      <c r="AB56" s="38">
        <f t="shared" si="4"/>
        <v>1.3853532299123782E-3</v>
      </c>
      <c r="AC56" s="38">
        <f t="shared" si="5"/>
        <v>0.5</v>
      </c>
    </row>
    <row r="57" spans="1:29" x14ac:dyDescent="0.25">
      <c r="A57" t="s">
        <v>129</v>
      </c>
      <c r="B57" s="34">
        <v>2</v>
      </c>
      <c r="C57" s="34">
        <v>2</v>
      </c>
      <c r="D57" s="34">
        <v>0</v>
      </c>
      <c r="E57" s="34">
        <v>1</v>
      </c>
      <c r="F57" s="40"/>
      <c r="G57" s="34"/>
      <c r="H57" s="34">
        <v>1</v>
      </c>
      <c r="I57" s="34"/>
      <c r="J57" s="34"/>
      <c r="K57" s="40"/>
      <c r="L57" s="34"/>
      <c r="M57" s="34">
        <v>1</v>
      </c>
      <c r="N57" s="34"/>
      <c r="O57" s="34"/>
      <c r="P57" s="40"/>
      <c r="Q57" s="34">
        <v>1</v>
      </c>
      <c r="R57" s="34">
        <v>1</v>
      </c>
      <c r="S57" s="34">
        <v>0</v>
      </c>
      <c r="T57" s="34">
        <v>0</v>
      </c>
      <c r="U57" s="40"/>
      <c r="V57" s="34">
        <v>1</v>
      </c>
      <c r="W57" s="34">
        <v>1</v>
      </c>
      <c r="X57" s="34">
        <v>0</v>
      </c>
      <c r="Y57" s="34">
        <v>0</v>
      </c>
      <c r="Z57" s="40"/>
      <c r="AA57" s="34">
        <f t="shared" si="3"/>
        <v>4</v>
      </c>
      <c r="AB57" s="38">
        <f t="shared" si="4"/>
        <v>1.364256480218281E-3</v>
      </c>
      <c r="AC57" s="38">
        <f t="shared" si="5"/>
        <v>0.25</v>
      </c>
    </row>
    <row r="58" spans="1:29" x14ac:dyDescent="0.25">
      <c r="A58" t="s">
        <v>215</v>
      </c>
      <c r="B58" s="34">
        <v>1</v>
      </c>
      <c r="C58" s="34">
        <v>1</v>
      </c>
      <c r="D58" s="34">
        <v>1</v>
      </c>
      <c r="E58" s="34">
        <v>0</v>
      </c>
      <c r="F58" s="40"/>
      <c r="G58" s="34"/>
      <c r="H58" s="34">
        <v>1</v>
      </c>
      <c r="I58" s="34"/>
      <c r="J58" s="34"/>
      <c r="K58" s="40"/>
      <c r="L58" s="34"/>
      <c r="M58" s="34">
        <v>1</v>
      </c>
      <c r="N58" s="34"/>
      <c r="O58" s="34"/>
      <c r="P58" s="40"/>
      <c r="Q58" s="34">
        <v>1</v>
      </c>
      <c r="R58" s="34">
        <v>15</v>
      </c>
      <c r="S58" s="34">
        <v>13</v>
      </c>
      <c r="T58" s="34">
        <v>1</v>
      </c>
      <c r="U58" s="40"/>
      <c r="V58" s="34"/>
      <c r="W58" s="34">
        <v>1</v>
      </c>
      <c r="X58" s="34"/>
      <c r="Y58" s="34"/>
      <c r="Z58" s="40"/>
      <c r="AA58" s="34">
        <f t="shared" si="3"/>
        <v>2</v>
      </c>
      <c r="AB58" s="38">
        <f t="shared" si="4"/>
        <v>1.3187812642110051E-3</v>
      </c>
      <c r="AC58" s="38">
        <f t="shared" si="5"/>
        <v>0.5</v>
      </c>
    </row>
    <row r="59" spans="1:29" x14ac:dyDescent="0.25">
      <c r="A59" t="s">
        <v>149</v>
      </c>
      <c r="B59" s="34">
        <v>1</v>
      </c>
      <c r="C59" s="34">
        <v>93</v>
      </c>
      <c r="D59" s="34">
        <v>252</v>
      </c>
      <c r="E59" s="34">
        <v>1</v>
      </c>
      <c r="F59" s="40"/>
      <c r="G59" s="34"/>
      <c r="H59" s="34">
        <v>1</v>
      </c>
      <c r="I59" s="34"/>
      <c r="J59" s="34"/>
      <c r="K59" s="40"/>
      <c r="L59" s="34"/>
      <c r="M59" s="34">
        <v>1</v>
      </c>
      <c r="N59" s="34"/>
      <c r="O59" s="34"/>
      <c r="P59" s="40"/>
      <c r="Q59" s="34"/>
      <c r="R59" s="34">
        <v>1</v>
      </c>
      <c r="S59" s="34"/>
      <c r="T59" s="34"/>
      <c r="U59" s="40"/>
      <c r="V59" s="34"/>
      <c r="W59" s="34">
        <v>1</v>
      </c>
      <c r="X59" s="34"/>
      <c r="Y59" s="34"/>
      <c r="Z59" s="40"/>
      <c r="AA59" s="34">
        <f t="shared" si="3"/>
        <v>1</v>
      </c>
      <c r="AB59" s="38">
        <f t="shared" si="4"/>
        <v>1.2652378647185672E-3</v>
      </c>
      <c r="AC59" s="38">
        <f t="shared" si="5"/>
        <v>1</v>
      </c>
    </row>
    <row r="60" spans="1:29" x14ac:dyDescent="0.25">
      <c r="A60" t="s">
        <v>78</v>
      </c>
      <c r="B60" s="34"/>
      <c r="C60" s="34">
        <v>1</v>
      </c>
      <c r="D60" s="34"/>
      <c r="E60" s="34"/>
      <c r="F60" s="40"/>
      <c r="G60" s="34"/>
      <c r="H60" s="34">
        <v>1</v>
      </c>
      <c r="I60" s="34"/>
      <c r="J60" s="34"/>
      <c r="K60" s="40"/>
      <c r="L60" s="34"/>
      <c r="M60" s="34">
        <v>1</v>
      </c>
      <c r="N60" s="34"/>
      <c r="O60" s="34"/>
      <c r="P60" s="40"/>
      <c r="Q60" s="34">
        <v>3</v>
      </c>
      <c r="R60" s="34">
        <v>6</v>
      </c>
      <c r="S60" s="34">
        <v>1</v>
      </c>
      <c r="T60" s="34">
        <v>1</v>
      </c>
      <c r="U60" s="40"/>
      <c r="V60" s="34"/>
      <c r="W60" s="34">
        <v>1</v>
      </c>
      <c r="X60" s="34"/>
      <c r="Y60" s="34"/>
      <c r="Z60" s="40"/>
      <c r="AA60" s="34">
        <f t="shared" si="3"/>
        <v>3</v>
      </c>
      <c r="AB60" s="38">
        <f t="shared" si="4"/>
        <v>1.1937244201909959E-3</v>
      </c>
      <c r="AC60" s="38">
        <f t="shared" si="5"/>
        <v>0.33333333333333331</v>
      </c>
    </row>
    <row r="61" spans="1:29" x14ac:dyDescent="0.25">
      <c r="A61" t="s">
        <v>23</v>
      </c>
      <c r="B61" s="34"/>
      <c r="C61" s="34">
        <v>1</v>
      </c>
      <c r="D61" s="34"/>
      <c r="E61" s="34"/>
      <c r="F61" s="40"/>
      <c r="G61" s="34">
        <v>1</v>
      </c>
      <c r="H61" s="34">
        <v>48</v>
      </c>
      <c r="I61" s="34">
        <v>104</v>
      </c>
      <c r="J61" s="34">
        <v>1</v>
      </c>
      <c r="K61" s="40"/>
      <c r="L61" s="34"/>
      <c r="M61" s="34">
        <v>1</v>
      </c>
      <c r="N61" s="34"/>
      <c r="O61" s="34"/>
      <c r="P61" s="40"/>
      <c r="Q61" s="34"/>
      <c r="R61" s="34">
        <v>1</v>
      </c>
      <c r="S61" s="34"/>
      <c r="T61" s="34"/>
      <c r="U61" s="40"/>
      <c r="V61" s="34"/>
      <c r="W61" s="34">
        <v>1</v>
      </c>
      <c r="X61" s="34"/>
      <c r="Y61" s="34"/>
      <c r="Z61" s="40"/>
      <c r="AA61" s="34">
        <f t="shared" si="3"/>
        <v>1</v>
      </c>
      <c r="AB61" s="38">
        <f t="shared" si="4"/>
        <v>1.0800363801728057E-3</v>
      </c>
      <c r="AC61" s="38">
        <f t="shared" si="5"/>
        <v>1</v>
      </c>
    </row>
    <row r="62" spans="1:29" x14ac:dyDescent="0.25">
      <c r="A62" t="s">
        <v>134</v>
      </c>
      <c r="B62" s="34"/>
      <c r="C62" s="34">
        <v>1</v>
      </c>
      <c r="D62" s="34"/>
      <c r="E62" s="34"/>
      <c r="F62" s="40"/>
      <c r="G62" s="34">
        <v>1</v>
      </c>
      <c r="H62" s="34">
        <v>59</v>
      </c>
      <c r="I62" s="34">
        <v>14</v>
      </c>
      <c r="J62" s="34">
        <v>0</v>
      </c>
      <c r="K62" s="40"/>
      <c r="L62" s="34">
        <v>1</v>
      </c>
      <c r="M62" s="34">
        <v>126</v>
      </c>
      <c r="N62" s="34">
        <v>106</v>
      </c>
      <c r="O62" s="34">
        <v>0</v>
      </c>
      <c r="P62" s="40"/>
      <c r="Q62" s="34"/>
      <c r="R62" s="34">
        <v>1</v>
      </c>
      <c r="S62" s="34"/>
      <c r="T62" s="34"/>
      <c r="U62" s="40"/>
      <c r="V62" s="34"/>
      <c r="W62" s="34">
        <v>1</v>
      </c>
      <c r="X62" s="34"/>
      <c r="Y62" s="34"/>
      <c r="Z62" s="40"/>
      <c r="AA62" s="34">
        <f t="shared" si="3"/>
        <v>2</v>
      </c>
      <c r="AB62" s="38">
        <f t="shared" si="4"/>
        <v>1.0499856674157781E-3</v>
      </c>
      <c r="AC62" s="38">
        <f t="shared" si="5"/>
        <v>0</v>
      </c>
    </row>
    <row r="63" spans="1:29" x14ac:dyDescent="0.25">
      <c r="A63" t="s">
        <v>69</v>
      </c>
      <c r="B63" s="34"/>
      <c r="C63" s="34">
        <v>1</v>
      </c>
      <c r="D63" s="34"/>
      <c r="E63" s="34"/>
      <c r="F63" s="40"/>
      <c r="G63" s="34"/>
      <c r="H63" s="34">
        <v>1</v>
      </c>
      <c r="I63" s="34"/>
      <c r="J63" s="34"/>
      <c r="K63" s="40"/>
      <c r="L63" s="34"/>
      <c r="M63" s="34">
        <v>1</v>
      </c>
      <c r="N63" s="34"/>
      <c r="O63" s="34"/>
      <c r="P63" s="40"/>
      <c r="Q63" s="34">
        <v>2</v>
      </c>
      <c r="R63" s="34">
        <v>42</v>
      </c>
      <c r="S63" s="34">
        <v>13</v>
      </c>
      <c r="T63" s="34">
        <v>2</v>
      </c>
      <c r="U63" s="40"/>
      <c r="V63" s="34"/>
      <c r="W63" s="34">
        <v>1</v>
      </c>
      <c r="X63" s="34"/>
      <c r="Y63" s="34"/>
      <c r="Z63" s="40"/>
      <c r="AA63" s="34">
        <f t="shared" si="3"/>
        <v>2</v>
      </c>
      <c r="AB63" s="38">
        <f t="shared" si="4"/>
        <v>8.9326317157149349E-4</v>
      </c>
      <c r="AC63" s="38">
        <f t="shared" si="5"/>
        <v>1</v>
      </c>
    </row>
    <row r="64" spans="1:29" x14ac:dyDescent="0.25">
      <c r="A64" t="s">
        <v>17</v>
      </c>
      <c r="B64" s="34">
        <v>1</v>
      </c>
      <c r="C64" s="34">
        <v>20</v>
      </c>
      <c r="D64" s="34">
        <v>2</v>
      </c>
      <c r="E64" s="34">
        <v>0</v>
      </c>
      <c r="F64" s="40"/>
      <c r="G64" s="34">
        <v>1</v>
      </c>
      <c r="H64" s="34">
        <v>63</v>
      </c>
      <c r="I64" s="34">
        <v>30</v>
      </c>
      <c r="J64" s="34">
        <v>0</v>
      </c>
      <c r="K64" s="40"/>
      <c r="L64" s="34"/>
      <c r="M64" s="34">
        <v>1</v>
      </c>
      <c r="N64" s="34"/>
      <c r="O64" s="34"/>
      <c r="P64" s="40"/>
      <c r="Q64" s="34"/>
      <c r="R64" s="34">
        <v>1</v>
      </c>
      <c r="S64" s="34"/>
      <c r="T64" s="34"/>
      <c r="U64" s="40"/>
      <c r="V64" s="34"/>
      <c r="W64" s="34">
        <v>1</v>
      </c>
      <c r="X64" s="34"/>
      <c r="Y64" s="34"/>
      <c r="Z64" s="40"/>
      <c r="AA64" s="34">
        <f t="shared" si="3"/>
        <v>2</v>
      </c>
      <c r="AB64" s="38">
        <f t="shared" si="4"/>
        <v>8.7864613785486898E-4</v>
      </c>
      <c r="AC64" s="38">
        <f t="shared" si="5"/>
        <v>0</v>
      </c>
    </row>
    <row r="65" spans="1:29" x14ac:dyDescent="0.25">
      <c r="A65" t="s">
        <v>234</v>
      </c>
      <c r="B65" s="34"/>
      <c r="C65" s="34">
        <v>1</v>
      </c>
      <c r="D65" s="34"/>
      <c r="E65" s="34"/>
      <c r="F65" s="40"/>
      <c r="G65" s="34"/>
      <c r="H65" s="34">
        <v>1</v>
      </c>
      <c r="I65" s="34"/>
      <c r="J65" s="34"/>
      <c r="K65" s="40"/>
      <c r="L65" s="34">
        <v>1</v>
      </c>
      <c r="M65" s="34">
        <v>1</v>
      </c>
      <c r="N65" s="34">
        <v>0</v>
      </c>
      <c r="O65" s="34">
        <v>0</v>
      </c>
      <c r="P65" s="40"/>
      <c r="Q65" s="34">
        <v>1</v>
      </c>
      <c r="R65" s="34">
        <v>2</v>
      </c>
      <c r="S65" s="34">
        <v>1</v>
      </c>
      <c r="T65" s="34">
        <v>0</v>
      </c>
      <c r="U65" s="40"/>
      <c r="V65" s="34"/>
      <c r="W65" s="34">
        <v>1</v>
      </c>
      <c r="X65" s="34"/>
      <c r="Y65" s="34"/>
      <c r="Z65" s="40"/>
      <c r="AA65" s="34">
        <f t="shared" si="3"/>
        <v>2</v>
      </c>
      <c r="AB65" s="38">
        <f t="shared" si="4"/>
        <v>8.5266030013642568E-4</v>
      </c>
      <c r="AC65" s="38">
        <f t="shared" si="5"/>
        <v>0</v>
      </c>
    </row>
    <row r="66" spans="1:29" x14ac:dyDescent="0.25">
      <c r="A66" t="s">
        <v>151</v>
      </c>
      <c r="B66" s="34"/>
      <c r="C66" s="34">
        <v>1</v>
      </c>
      <c r="D66" s="34"/>
      <c r="E66" s="34"/>
      <c r="F66" s="40"/>
      <c r="G66" s="34"/>
      <c r="H66" s="34">
        <v>1</v>
      </c>
      <c r="I66" s="34"/>
      <c r="J66" s="34"/>
      <c r="K66" s="40"/>
      <c r="L66" s="34">
        <v>1</v>
      </c>
      <c r="M66" s="34">
        <v>24</v>
      </c>
      <c r="N66" s="34">
        <v>29</v>
      </c>
      <c r="O66" s="34">
        <v>0</v>
      </c>
      <c r="P66" s="40"/>
      <c r="Q66" s="34"/>
      <c r="R66" s="34">
        <v>1</v>
      </c>
      <c r="S66" s="34"/>
      <c r="T66" s="34"/>
      <c r="U66" s="40"/>
      <c r="V66" s="34"/>
      <c r="W66" s="34">
        <v>1</v>
      </c>
      <c r="X66" s="34"/>
      <c r="Y66" s="34"/>
      <c r="Z66" s="40"/>
      <c r="AA66" s="34">
        <f t="shared" si="3"/>
        <v>1</v>
      </c>
      <c r="AB66" s="38">
        <f t="shared" si="4"/>
        <v>7.5318326512050925E-4</v>
      </c>
      <c r="AC66" s="38">
        <f t="shared" si="5"/>
        <v>0</v>
      </c>
    </row>
    <row r="67" spans="1:29" x14ac:dyDescent="0.25">
      <c r="A67" t="s">
        <v>57</v>
      </c>
      <c r="B67" s="34"/>
      <c r="C67" s="34">
        <v>1</v>
      </c>
      <c r="D67" s="34"/>
      <c r="E67" s="34"/>
      <c r="F67" s="40"/>
      <c r="G67" s="34"/>
      <c r="H67" s="34">
        <v>1</v>
      </c>
      <c r="I67" s="34"/>
      <c r="J67" s="34"/>
      <c r="K67" s="40"/>
      <c r="L67" s="34"/>
      <c r="M67" s="34">
        <v>1</v>
      </c>
      <c r="N67" s="34"/>
      <c r="O67" s="34"/>
      <c r="P67" s="40"/>
      <c r="Q67" s="34">
        <v>1</v>
      </c>
      <c r="R67" s="34">
        <v>35</v>
      </c>
      <c r="S67" s="34">
        <v>40</v>
      </c>
      <c r="T67" s="34">
        <v>1</v>
      </c>
      <c r="U67" s="40"/>
      <c r="V67" s="34"/>
      <c r="W67" s="34">
        <v>1</v>
      </c>
      <c r="X67" s="34"/>
      <c r="Y67" s="34"/>
      <c r="Z67" s="40"/>
      <c r="AA67" s="34">
        <f t="shared" ref="AA67:AA76" si="6">B67+G67+L67+Q67+V67</f>
        <v>1</v>
      </c>
      <c r="AB67" s="38">
        <f t="shared" ref="AB67:AB76" si="7">(AA67+(B67/C67*D67+G67/H67*I67+L67/M67*N67+Q67/R67*S67+V67/W67*X67))/($D$1+$I$1+$N$1+$S$1+$X$1)</f>
        <v>7.3085168583122192E-4</v>
      </c>
      <c r="AC67" s="38">
        <f t="shared" ref="AC67:AC76" si="8">(E67+J67+O67+T67+Y67)/(AA67)</f>
        <v>1</v>
      </c>
    </row>
    <row r="68" spans="1:29" x14ac:dyDescent="0.25">
      <c r="A68" t="s">
        <v>9</v>
      </c>
      <c r="B68" s="34">
        <v>1</v>
      </c>
      <c r="C68" s="34">
        <v>82</v>
      </c>
      <c r="D68" s="34">
        <v>91</v>
      </c>
      <c r="E68" s="34">
        <v>1</v>
      </c>
      <c r="F68" s="40"/>
      <c r="G68" s="34"/>
      <c r="H68" s="34">
        <v>1</v>
      </c>
      <c r="I68" s="34"/>
      <c r="J68" s="34"/>
      <c r="K68" s="40"/>
      <c r="L68" s="34"/>
      <c r="M68" s="34">
        <v>1</v>
      </c>
      <c r="N68" s="34"/>
      <c r="O68" s="34"/>
      <c r="P68" s="40"/>
      <c r="Q68" s="34"/>
      <c r="R68" s="34">
        <v>1</v>
      </c>
      <c r="S68" s="34"/>
      <c r="T68" s="34"/>
      <c r="U68" s="40"/>
      <c r="V68" s="34"/>
      <c r="W68" s="34">
        <v>1</v>
      </c>
      <c r="X68" s="34"/>
      <c r="Y68" s="34"/>
      <c r="Z68" s="40"/>
      <c r="AA68" s="34">
        <f t="shared" si="6"/>
        <v>1</v>
      </c>
      <c r="AB68" s="38">
        <f t="shared" si="7"/>
        <v>7.195621069443983E-4</v>
      </c>
      <c r="AC68" s="38">
        <f t="shared" si="8"/>
        <v>1</v>
      </c>
    </row>
    <row r="69" spans="1:29" x14ac:dyDescent="0.25">
      <c r="A69" t="s">
        <v>20</v>
      </c>
      <c r="B69" s="34"/>
      <c r="C69" s="34">
        <v>1</v>
      </c>
      <c r="D69" s="34"/>
      <c r="E69" s="34"/>
      <c r="F69" s="40"/>
      <c r="G69" s="34">
        <v>1</v>
      </c>
      <c r="H69" s="34">
        <v>40</v>
      </c>
      <c r="I69" s="34">
        <v>38</v>
      </c>
      <c r="J69" s="34">
        <v>0</v>
      </c>
      <c r="K69" s="40"/>
      <c r="L69" s="34"/>
      <c r="M69" s="34">
        <v>1</v>
      </c>
      <c r="N69" s="34"/>
      <c r="O69" s="34"/>
      <c r="P69" s="40"/>
      <c r="Q69" s="34"/>
      <c r="R69" s="34">
        <v>1</v>
      </c>
      <c r="S69" s="34"/>
      <c r="T69" s="34"/>
      <c r="U69" s="40"/>
      <c r="V69" s="34"/>
      <c r="W69" s="34">
        <v>1</v>
      </c>
      <c r="X69" s="34"/>
      <c r="Y69" s="34"/>
      <c r="Z69" s="40"/>
      <c r="AA69" s="34">
        <f t="shared" si="6"/>
        <v>1</v>
      </c>
      <c r="AB69" s="38">
        <f t="shared" si="7"/>
        <v>6.6507503410641203E-4</v>
      </c>
      <c r="AC69" s="38">
        <f t="shared" si="8"/>
        <v>0</v>
      </c>
    </row>
    <row r="70" spans="1:29" x14ac:dyDescent="0.25">
      <c r="A70" t="s">
        <v>74</v>
      </c>
      <c r="B70" s="34"/>
      <c r="C70" s="34">
        <v>1</v>
      </c>
      <c r="D70" s="34"/>
      <c r="E70" s="34"/>
      <c r="F70" s="40"/>
      <c r="G70" s="34"/>
      <c r="H70" s="34">
        <v>1</v>
      </c>
      <c r="I70" s="34"/>
      <c r="J70" s="34"/>
      <c r="K70" s="40"/>
      <c r="L70" s="34">
        <v>1</v>
      </c>
      <c r="M70" s="34">
        <v>3</v>
      </c>
      <c r="N70" s="34">
        <v>2</v>
      </c>
      <c r="O70" s="34">
        <v>0</v>
      </c>
      <c r="P70" s="40"/>
      <c r="Q70" s="34"/>
      <c r="R70" s="34">
        <v>1</v>
      </c>
      <c r="S70" s="34"/>
      <c r="T70" s="34"/>
      <c r="U70" s="40"/>
      <c r="V70" s="34"/>
      <c r="W70" s="34">
        <v>1</v>
      </c>
      <c r="X70" s="34"/>
      <c r="Y70" s="34"/>
      <c r="Z70" s="40"/>
      <c r="AA70" s="34">
        <f t="shared" si="6"/>
        <v>1</v>
      </c>
      <c r="AB70" s="38">
        <f t="shared" si="7"/>
        <v>5.6844020009095034E-4</v>
      </c>
      <c r="AC70" s="38">
        <f t="shared" si="8"/>
        <v>0</v>
      </c>
    </row>
    <row r="71" spans="1:29" x14ac:dyDescent="0.25">
      <c r="A71" t="s">
        <v>161</v>
      </c>
      <c r="B71" s="34"/>
      <c r="C71" s="34">
        <v>1</v>
      </c>
      <c r="D71" s="34"/>
      <c r="E71" s="34"/>
      <c r="F71" s="40"/>
      <c r="G71" s="34"/>
      <c r="H71" s="34">
        <v>1</v>
      </c>
      <c r="I71" s="34"/>
      <c r="J71" s="34"/>
      <c r="K71" s="40"/>
      <c r="L71" s="34"/>
      <c r="M71" s="34">
        <v>1</v>
      </c>
      <c r="N71" s="34"/>
      <c r="O71" s="34"/>
      <c r="P71" s="40"/>
      <c r="Q71" s="34">
        <v>1</v>
      </c>
      <c r="R71" s="34">
        <v>12</v>
      </c>
      <c r="S71" s="34">
        <v>1</v>
      </c>
      <c r="T71" s="34">
        <v>0</v>
      </c>
      <c r="U71" s="40"/>
      <c r="V71" s="34"/>
      <c r="W71" s="34">
        <v>1</v>
      </c>
      <c r="X71" s="34"/>
      <c r="Y71" s="34"/>
      <c r="Z71" s="40"/>
      <c r="AA71" s="34">
        <f t="shared" si="6"/>
        <v>1</v>
      </c>
      <c r="AB71" s="38">
        <f t="shared" si="7"/>
        <v>3.6948613005911775E-4</v>
      </c>
      <c r="AC71" s="38">
        <f t="shared" si="8"/>
        <v>0</v>
      </c>
    </row>
    <row r="72" spans="1:29" x14ac:dyDescent="0.25">
      <c r="A72" t="s">
        <v>55</v>
      </c>
      <c r="B72" s="34"/>
      <c r="C72" s="34">
        <v>1</v>
      </c>
      <c r="D72" s="34"/>
      <c r="E72" s="34"/>
      <c r="F72" s="40"/>
      <c r="G72" s="34"/>
      <c r="H72" s="34">
        <v>1</v>
      </c>
      <c r="I72" s="34"/>
      <c r="J72" s="34"/>
      <c r="K72" s="40"/>
      <c r="L72" s="34">
        <v>1</v>
      </c>
      <c r="M72" s="34">
        <v>4</v>
      </c>
      <c r="N72" s="34">
        <v>0</v>
      </c>
      <c r="O72" s="34">
        <v>1</v>
      </c>
      <c r="P72" s="40"/>
      <c r="Q72" s="34"/>
      <c r="R72" s="34">
        <v>1</v>
      </c>
      <c r="S72" s="34"/>
      <c r="T72" s="34"/>
      <c r="U72" s="40"/>
      <c r="V72" s="34"/>
      <c r="W72" s="34">
        <v>1</v>
      </c>
      <c r="X72" s="34"/>
      <c r="Y72" s="34"/>
      <c r="Z72" s="40"/>
      <c r="AA72" s="34">
        <f t="shared" si="6"/>
        <v>1</v>
      </c>
      <c r="AB72" s="38">
        <f t="shared" si="7"/>
        <v>3.4106412005457026E-4</v>
      </c>
      <c r="AC72" s="38">
        <f t="shared" si="8"/>
        <v>1</v>
      </c>
    </row>
    <row r="73" spans="1:29" x14ac:dyDescent="0.25">
      <c r="A73" t="s">
        <v>211</v>
      </c>
      <c r="B73" s="34"/>
      <c r="C73" s="34">
        <v>1</v>
      </c>
      <c r="D73" s="34"/>
      <c r="E73" s="34"/>
      <c r="F73" s="40"/>
      <c r="G73" s="34"/>
      <c r="H73" s="34">
        <v>1</v>
      </c>
      <c r="I73" s="34"/>
      <c r="J73" s="34"/>
      <c r="K73" s="40"/>
      <c r="L73" s="34">
        <v>1</v>
      </c>
      <c r="M73" s="34">
        <v>1</v>
      </c>
      <c r="N73" s="34">
        <v>0</v>
      </c>
      <c r="O73" s="34">
        <v>1</v>
      </c>
      <c r="P73" s="40"/>
      <c r="Q73" s="34"/>
      <c r="R73" s="34">
        <v>1</v>
      </c>
      <c r="S73" s="34"/>
      <c r="T73" s="34"/>
      <c r="U73" s="40"/>
      <c r="V73" s="34"/>
      <c r="W73" s="34">
        <v>1</v>
      </c>
      <c r="X73" s="34"/>
      <c r="Y73" s="34"/>
      <c r="Z73" s="40"/>
      <c r="AA73" s="34">
        <f t="shared" si="6"/>
        <v>1</v>
      </c>
      <c r="AB73" s="38">
        <f t="shared" si="7"/>
        <v>3.4106412005457026E-4</v>
      </c>
      <c r="AC73" s="38">
        <f t="shared" si="8"/>
        <v>1</v>
      </c>
    </row>
    <row r="74" spans="1:29" x14ac:dyDescent="0.25">
      <c r="A74" t="s">
        <v>256</v>
      </c>
      <c r="B74" s="34">
        <v>1</v>
      </c>
      <c r="C74" s="34">
        <v>1</v>
      </c>
      <c r="D74" s="34">
        <v>0</v>
      </c>
      <c r="E74" s="34">
        <v>0</v>
      </c>
      <c r="F74" s="40"/>
      <c r="G74" s="34"/>
      <c r="H74" s="34">
        <v>1</v>
      </c>
      <c r="I74" s="34"/>
      <c r="J74" s="34"/>
      <c r="K74" s="40"/>
      <c r="L74" s="34"/>
      <c r="M74" s="34">
        <v>1</v>
      </c>
      <c r="N74" s="34"/>
      <c r="O74" s="34"/>
      <c r="P74" s="40"/>
      <c r="Q74" s="34"/>
      <c r="R74" s="34">
        <v>1</v>
      </c>
      <c r="S74" s="34"/>
      <c r="T74" s="34"/>
      <c r="U74" s="40"/>
      <c r="V74" s="34"/>
      <c r="W74" s="34">
        <v>1</v>
      </c>
      <c r="X74" s="34"/>
      <c r="Y74" s="34"/>
      <c r="Z74" s="40"/>
      <c r="AA74" s="34">
        <f t="shared" si="6"/>
        <v>1</v>
      </c>
      <c r="AB74" s="38">
        <f t="shared" si="7"/>
        <v>3.4106412005457026E-4</v>
      </c>
      <c r="AC74" s="38">
        <f t="shared" si="8"/>
        <v>0</v>
      </c>
    </row>
    <row r="75" spans="1:29" x14ac:dyDescent="0.25">
      <c r="A75" t="s">
        <v>54</v>
      </c>
      <c r="B75" s="34"/>
      <c r="C75" s="34">
        <v>1</v>
      </c>
      <c r="D75" s="34"/>
      <c r="E75" s="34"/>
      <c r="F75" s="40"/>
      <c r="G75" s="34"/>
      <c r="H75" s="34">
        <v>1</v>
      </c>
      <c r="I75" s="34"/>
      <c r="J75" s="34"/>
      <c r="K75" s="40"/>
      <c r="L75" s="34"/>
      <c r="M75" s="34">
        <v>1</v>
      </c>
      <c r="N75" s="34"/>
      <c r="O75" s="34"/>
      <c r="P75" s="40"/>
      <c r="Q75" s="34">
        <v>1</v>
      </c>
      <c r="R75" s="34">
        <v>4</v>
      </c>
      <c r="S75" s="34">
        <v>0</v>
      </c>
      <c r="T75" s="34">
        <v>1</v>
      </c>
      <c r="U75" s="40"/>
      <c r="V75" s="34"/>
      <c r="W75" s="34">
        <v>1</v>
      </c>
      <c r="X75" s="34"/>
      <c r="Y75" s="34"/>
      <c r="Z75" s="40"/>
      <c r="AA75" s="34">
        <f t="shared" si="6"/>
        <v>1</v>
      </c>
      <c r="AB75" s="38">
        <f t="shared" si="7"/>
        <v>3.4106412005457026E-4</v>
      </c>
      <c r="AC75" s="38">
        <f t="shared" si="8"/>
        <v>1</v>
      </c>
    </row>
    <row r="76" spans="1:29" x14ac:dyDescent="0.25">
      <c r="A76" t="s">
        <v>262</v>
      </c>
      <c r="B76" s="34"/>
      <c r="C76" s="34">
        <v>1</v>
      </c>
      <c r="D76" s="34"/>
      <c r="E76" s="34"/>
      <c r="F76" s="40"/>
      <c r="G76" s="34"/>
      <c r="H76" s="34">
        <v>1</v>
      </c>
      <c r="I76" s="34"/>
      <c r="J76" s="34"/>
      <c r="K76" s="40"/>
      <c r="L76" s="34"/>
      <c r="M76" s="34">
        <v>1</v>
      </c>
      <c r="N76" s="34"/>
      <c r="O76" s="34"/>
      <c r="P76" s="40"/>
      <c r="Q76" s="34"/>
      <c r="R76" s="34">
        <v>1</v>
      </c>
      <c r="S76" s="34"/>
      <c r="T76" s="34"/>
      <c r="U76" s="40"/>
      <c r="V76" s="34">
        <v>1</v>
      </c>
      <c r="W76" s="34">
        <v>1</v>
      </c>
      <c r="X76" s="34">
        <v>0</v>
      </c>
      <c r="Y76" s="34">
        <v>1</v>
      </c>
      <c r="Z76" s="40"/>
      <c r="AA76" s="34">
        <f t="shared" si="6"/>
        <v>1</v>
      </c>
      <c r="AB76" s="38">
        <f t="shared" si="7"/>
        <v>3.4106412005457026E-4</v>
      </c>
      <c r="AC76" s="38">
        <f t="shared" si="8"/>
        <v>1</v>
      </c>
    </row>
    <row r="77" spans="1:29" x14ac:dyDescent="0.25">
      <c r="B77" s="34"/>
      <c r="C77" s="34"/>
      <c r="D77" s="34"/>
      <c r="E77" s="34"/>
      <c r="F77" s="40"/>
      <c r="G77" s="34"/>
      <c r="H77" s="34"/>
      <c r="I77" s="34"/>
      <c r="J77" s="34"/>
      <c r="K77" s="40"/>
      <c r="L77" s="34"/>
      <c r="M77" s="34"/>
      <c r="N77" s="34"/>
      <c r="O77" s="34"/>
      <c r="P77" s="40"/>
      <c r="Q77" s="34"/>
      <c r="R77" s="34"/>
      <c r="S77" s="34"/>
      <c r="T77" s="34"/>
      <c r="U77" s="40"/>
      <c r="V77" s="34"/>
      <c r="W77" s="34"/>
      <c r="X77" s="34"/>
      <c r="Y77" s="34"/>
      <c r="Z77" s="40"/>
      <c r="AA77" s="34"/>
      <c r="AB77" s="38"/>
      <c r="AC77" s="38"/>
    </row>
    <row r="78" spans="1:29" x14ac:dyDescent="0.25">
      <c r="B78" s="34"/>
      <c r="C78" s="34"/>
      <c r="D78" s="34"/>
      <c r="E78" s="34"/>
      <c r="F78" s="40"/>
      <c r="G78" s="34"/>
      <c r="H78" s="34"/>
      <c r="I78" s="34"/>
      <c r="J78" s="34"/>
      <c r="K78" s="40"/>
      <c r="L78" s="34"/>
      <c r="M78" s="34"/>
      <c r="N78" s="34"/>
      <c r="O78" s="34"/>
      <c r="P78" s="40"/>
      <c r="Q78" s="34"/>
      <c r="R78" s="34"/>
      <c r="S78" s="34"/>
      <c r="T78" s="34"/>
      <c r="U78" s="40"/>
      <c r="V78" s="34"/>
      <c r="W78" s="34"/>
      <c r="X78" s="34"/>
      <c r="Y78" s="34"/>
      <c r="Z78" s="40"/>
      <c r="AA78" s="34"/>
      <c r="AB78" s="38"/>
      <c r="AC78" s="38"/>
    </row>
    <row r="79" spans="1:29" x14ac:dyDescent="0.25">
      <c r="B79" s="34"/>
      <c r="C79" s="34"/>
      <c r="D79" s="34"/>
      <c r="E79" s="34"/>
      <c r="F79" s="40"/>
      <c r="G79" s="34"/>
      <c r="H79" s="34"/>
      <c r="I79" s="34"/>
      <c r="J79" s="34"/>
      <c r="K79" s="40"/>
      <c r="L79" s="34"/>
      <c r="M79" s="34"/>
      <c r="N79" s="34"/>
      <c r="O79" s="34"/>
      <c r="P79" s="40"/>
      <c r="Q79" s="34"/>
      <c r="R79" s="34"/>
      <c r="S79" s="34"/>
      <c r="T79" s="34"/>
      <c r="U79" s="40"/>
      <c r="V79" s="34"/>
      <c r="W79" s="34"/>
      <c r="X79" s="34"/>
      <c r="Y79" s="34"/>
      <c r="Z79" s="40"/>
      <c r="AA79" s="34"/>
      <c r="AB79" s="38"/>
      <c r="AC79" s="38"/>
    </row>
    <row r="80" spans="1:29" x14ac:dyDescent="0.25">
      <c r="B80" s="34"/>
      <c r="C80" s="34"/>
      <c r="D80" s="34"/>
      <c r="E80" s="34"/>
      <c r="F80" s="40"/>
      <c r="G80" s="34"/>
      <c r="H80" s="34"/>
      <c r="I80" s="34"/>
      <c r="J80" s="34"/>
      <c r="K80" s="40"/>
      <c r="L80" s="34"/>
      <c r="M80" s="34"/>
      <c r="N80" s="34"/>
      <c r="O80" s="34"/>
      <c r="P80" s="40"/>
      <c r="Q80" s="34"/>
      <c r="R80" s="34"/>
      <c r="S80" s="34"/>
      <c r="T80" s="34"/>
      <c r="U80" s="40"/>
      <c r="V80" s="34"/>
      <c r="W80" s="34"/>
      <c r="X80" s="34"/>
      <c r="Y80" s="34"/>
      <c r="Z80" s="40"/>
      <c r="AA80" s="34"/>
      <c r="AB80" s="38"/>
      <c r="AC80" s="38"/>
    </row>
    <row r="81" spans="2:29" x14ac:dyDescent="0.25">
      <c r="B81" s="34"/>
      <c r="C81" s="34"/>
      <c r="D81" s="34"/>
      <c r="E81" s="34"/>
      <c r="F81" s="40"/>
      <c r="G81" s="34"/>
      <c r="H81" s="34"/>
      <c r="I81" s="34"/>
      <c r="J81" s="34"/>
      <c r="K81" s="40"/>
      <c r="L81" s="34"/>
      <c r="M81" s="34"/>
      <c r="N81" s="34"/>
      <c r="O81" s="34"/>
      <c r="P81" s="40"/>
      <c r="Q81" s="34"/>
      <c r="R81" s="34"/>
      <c r="S81" s="34"/>
      <c r="T81" s="34"/>
      <c r="U81" s="40"/>
      <c r="V81" s="34"/>
      <c r="W81" s="34"/>
      <c r="X81" s="34"/>
      <c r="Y81" s="34"/>
      <c r="Z81" s="40"/>
      <c r="AA81" s="34"/>
      <c r="AB81" s="38"/>
      <c r="AC81" s="38"/>
    </row>
    <row r="82" spans="2:29" x14ac:dyDescent="0.25">
      <c r="B82" s="34"/>
      <c r="C82" s="34"/>
      <c r="D82" s="34"/>
      <c r="E82" s="34"/>
      <c r="F82" s="40"/>
      <c r="G82" s="34"/>
      <c r="H82" s="34"/>
      <c r="I82" s="34"/>
      <c r="J82" s="34"/>
      <c r="K82" s="40"/>
      <c r="L82" s="34"/>
      <c r="M82" s="34"/>
      <c r="N82" s="34"/>
      <c r="O82" s="34"/>
      <c r="P82" s="40"/>
      <c r="Q82" s="34"/>
      <c r="R82" s="34"/>
      <c r="S82" s="34"/>
      <c r="T82" s="34"/>
      <c r="U82" s="40"/>
      <c r="V82" s="34"/>
      <c r="W82" s="34"/>
      <c r="X82" s="34"/>
      <c r="Y82" s="34"/>
      <c r="Z82" s="40"/>
      <c r="AA82" s="34"/>
      <c r="AB82" s="38"/>
      <c r="AC82" s="38"/>
    </row>
    <row r="83" spans="2:29" x14ac:dyDescent="0.25">
      <c r="B83" s="34"/>
      <c r="C83" s="34"/>
      <c r="D83" s="34"/>
      <c r="E83" s="34"/>
      <c r="F83" s="40"/>
      <c r="G83" s="34"/>
      <c r="H83" s="34"/>
      <c r="I83" s="34"/>
      <c r="J83" s="34"/>
      <c r="K83" s="40"/>
      <c r="L83" s="34"/>
      <c r="M83" s="34"/>
      <c r="N83" s="34"/>
      <c r="O83" s="34"/>
      <c r="P83" s="40"/>
      <c r="Q83" s="34"/>
      <c r="R83" s="34"/>
      <c r="S83" s="34"/>
      <c r="T83" s="34"/>
      <c r="U83" s="40"/>
      <c r="V83" s="34"/>
      <c r="W83" s="34"/>
      <c r="X83" s="34"/>
      <c r="Y83" s="34"/>
      <c r="Z83" s="40"/>
      <c r="AA83" s="34"/>
      <c r="AB83" s="38"/>
      <c r="AC83" s="38"/>
    </row>
    <row r="84" spans="2:29" x14ac:dyDescent="0.25">
      <c r="B84" s="34"/>
      <c r="C84" s="34"/>
      <c r="D84" s="34"/>
      <c r="E84" s="34"/>
      <c r="F84" s="40"/>
      <c r="G84" s="34"/>
      <c r="H84" s="34"/>
      <c r="I84" s="34"/>
      <c r="J84" s="34"/>
      <c r="K84" s="40"/>
      <c r="L84" s="34"/>
      <c r="M84" s="34"/>
      <c r="N84" s="34"/>
      <c r="O84" s="34"/>
      <c r="P84" s="40"/>
      <c r="Q84" s="34"/>
      <c r="R84" s="34"/>
      <c r="S84" s="34"/>
      <c r="T84" s="34"/>
      <c r="U84" s="40"/>
      <c r="V84" s="34"/>
      <c r="W84" s="34"/>
      <c r="X84" s="34"/>
      <c r="Y84" s="34"/>
      <c r="Z84" s="40"/>
      <c r="AA84" s="34"/>
      <c r="AB84" s="38"/>
      <c r="AC84" s="38"/>
    </row>
    <row r="85" spans="2:29" x14ac:dyDescent="0.25">
      <c r="B85" s="34"/>
      <c r="C85" s="34"/>
      <c r="D85" s="34"/>
      <c r="E85" s="34"/>
      <c r="F85" s="40"/>
      <c r="G85" s="34"/>
      <c r="H85" s="34"/>
      <c r="I85" s="34"/>
      <c r="J85" s="34"/>
      <c r="K85" s="40"/>
      <c r="L85" s="34"/>
      <c r="M85" s="34"/>
      <c r="N85" s="34"/>
      <c r="O85" s="34"/>
      <c r="P85" s="40"/>
      <c r="Q85" s="34"/>
      <c r="R85" s="34"/>
      <c r="S85" s="34"/>
      <c r="T85" s="34"/>
      <c r="U85" s="40"/>
      <c r="V85" s="34"/>
      <c r="W85" s="34"/>
      <c r="X85" s="34"/>
      <c r="Y85" s="34"/>
      <c r="Z85" s="40"/>
      <c r="AA85" s="34"/>
      <c r="AB85" s="38"/>
      <c r="AC85" s="38"/>
    </row>
    <row r="86" spans="2:29" x14ac:dyDescent="0.25">
      <c r="B86" s="34"/>
      <c r="C86" s="34"/>
      <c r="D86" s="34"/>
      <c r="E86" s="34"/>
      <c r="F86" s="40"/>
      <c r="G86" s="34"/>
      <c r="H86" s="34"/>
      <c r="I86" s="34"/>
      <c r="J86" s="34"/>
      <c r="K86" s="40"/>
      <c r="L86" s="34"/>
      <c r="M86" s="34"/>
      <c r="N86" s="34"/>
      <c r="O86" s="34"/>
      <c r="P86" s="40"/>
      <c r="Q86" s="34"/>
      <c r="R86" s="34"/>
      <c r="S86" s="34"/>
      <c r="T86" s="34"/>
      <c r="U86" s="40"/>
      <c r="V86" s="34"/>
      <c r="W86" s="34"/>
      <c r="X86" s="34"/>
      <c r="Y86" s="34"/>
      <c r="Z86" s="40"/>
      <c r="AA86" s="34"/>
      <c r="AB86" s="38"/>
      <c r="AC86" s="38"/>
    </row>
    <row r="87" spans="2:29" x14ac:dyDescent="0.25">
      <c r="B87" s="34"/>
      <c r="C87" s="34"/>
      <c r="D87" s="34"/>
      <c r="E87" s="34"/>
      <c r="F87" s="40"/>
      <c r="G87" s="34"/>
      <c r="H87" s="34"/>
      <c r="I87" s="34"/>
      <c r="J87" s="34"/>
      <c r="K87" s="40"/>
      <c r="L87" s="34"/>
      <c r="M87" s="34"/>
      <c r="N87" s="34"/>
      <c r="O87" s="34"/>
      <c r="P87" s="40"/>
      <c r="Q87" s="34"/>
      <c r="R87" s="34"/>
      <c r="S87" s="34"/>
      <c r="T87" s="34"/>
      <c r="U87" s="40"/>
      <c r="V87" s="34"/>
      <c r="W87" s="34"/>
      <c r="X87" s="34"/>
      <c r="Y87" s="34"/>
      <c r="Z87" s="40"/>
      <c r="AA87" s="34"/>
      <c r="AB87" s="38"/>
      <c r="AC87" s="38"/>
    </row>
    <row r="88" spans="2:29" x14ac:dyDescent="0.25">
      <c r="B88" s="34"/>
      <c r="C88" s="34"/>
      <c r="D88" s="34"/>
      <c r="E88" s="34"/>
      <c r="F88" s="40"/>
      <c r="G88" s="34"/>
      <c r="H88" s="34"/>
      <c r="I88" s="34"/>
      <c r="J88" s="34"/>
      <c r="K88" s="40"/>
      <c r="L88" s="34"/>
      <c r="M88" s="34"/>
      <c r="N88" s="34"/>
      <c r="O88" s="34"/>
      <c r="P88" s="40"/>
      <c r="Q88" s="34"/>
      <c r="R88" s="34"/>
      <c r="S88" s="34"/>
      <c r="T88" s="34"/>
      <c r="U88" s="40"/>
      <c r="V88" s="34"/>
      <c r="W88" s="34"/>
      <c r="X88" s="34"/>
      <c r="Y88" s="34"/>
      <c r="Z88" s="40"/>
      <c r="AA88" s="34"/>
      <c r="AB88" s="38"/>
      <c r="AC88" s="38"/>
    </row>
    <row r="89" spans="2:29" x14ac:dyDescent="0.25">
      <c r="B89" s="34"/>
      <c r="C89" s="34"/>
      <c r="D89" s="34"/>
      <c r="E89" s="34"/>
      <c r="F89" s="40"/>
      <c r="G89" s="34"/>
      <c r="H89" s="34"/>
      <c r="I89" s="34"/>
      <c r="J89" s="34"/>
      <c r="K89" s="40"/>
      <c r="L89" s="34"/>
      <c r="M89" s="34"/>
      <c r="N89" s="34"/>
      <c r="O89" s="34"/>
      <c r="P89" s="40"/>
      <c r="Q89" s="34"/>
      <c r="R89" s="34"/>
      <c r="S89" s="34"/>
      <c r="T89" s="34"/>
      <c r="U89" s="40"/>
      <c r="V89" s="34"/>
      <c r="W89" s="34"/>
      <c r="X89" s="34"/>
      <c r="Y89" s="34"/>
      <c r="Z89" s="40"/>
      <c r="AA89" s="34"/>
      <c r="AB89" s="38"/>
      <c r="AC89" s="38"/>
    </row>
    <row r="90" spans="2:29" x14ac:dyDescent="0.25">
      <c r="B90" s="34"/>
      <c r="C90" s="34"/>
      <c r="D90" s="34"/>
      <c r="E90" s="34"/>
      <c r="F90" s="40"/>
      <c r="G90" s="34"/>
      <c r="H90" s="34"/>
      <c r="I90" s="34"/>
      <c r="J90" s="34"/>
      <c r="K90" s="40"/>
      <c r="L90" s="34"/>
      <c r="M90" s="34"/>
      <c r="N90" s="34"/>
      <c r="O90" s="34"/>
      <c r="P90" s="40"/>
      <c r="Q90" s="34"/>
      <c r="R90" s="34"/>
      <c r="S90" s="34"/>
      <c r="T90" s="34"/>
      <c r="U90" s="40"/>
      <c r="V90" s="34"/>
      <c r="W90" s="34"/>
      <c r="X90" s="34"/>
      <c r="Y90" s="34"/>
      <c r="Z90" s="40"/>
      <c r="AA90" s="34"/>
      <c r="AB90" s="38"/>
      <c r="AC90" s="38"/>
    </row>
    <row r="91" spans="2:29" x14ac:dyDescent="0.25">
      <c r="B91" s="34"/>
      <c r="C91" s="34"/>
      <c r="D91" s="34"/>
      <c r="E91" s="34"/>
      <c r="F91" s="40"/>
      <c r="G91" s="34"/>
      <c r="H91" s="34"/>
      <c r="I91" s="34"/>
      <c r="J91" s="34"/>
      <c r="K91" s="40"/>
      <c r="L91" s="34"/>
      <c r="M91" s="34"/>
      <c r="N91" s="34"/>
      <c r="O91" s="34"/>
      <c r="P91" s="40"/>
      <c r="Q91" s="34"/>
      <c r="R91" s="34"/>
      <c r="S91" s="34"/>
      <c r="T91" s="34"/>
      <c r="U91" s="40"/>
      <c r="V91" s="34"/>
      <c r="W91" s="34"/>
      <c r="X91" s="34"/>
      <c r="Y91" s="34"/>
      <c r="Z91" s="40"/>
      <c r="AA91" s="34"/>
      <c r="AB91" s="38"/>
      <c r="AC91" s="38"/>
    </row>
    <row r="92" spans="2:29" x14ac:dyDescent="0.25">
      <c r="B92" s="34"/>
      <c r="C92" s="34"/>
      <c r="D92" s="34"/>
      <c r="E92" s="34"/>
      <c r="F92" s="40"/>
      <c r="G92" s="34"/>
      <c r="H92" s="34"/>
      <c r="I92" s="34"/>
      <c r="J92" s="34"/>
      <c r="K92" s="40"/>
      <c r="L92" s="34"/>
      <c r="M92" s="34"/>
      <c r="N92" s="34"/>
      <c r="O92" s="34"/>
      <c r="P92" s="40"/>
      <c r="Q92" s="34"/>
      <c r="R92" s="34"/>
      <c r="S92" s="34"/>
      <c r="T92" s="34"/>
      <c r="U92" s="40"/>
      <c r="V92" s="34"/>
      <c r="W92" s="34"/>
      <c r="X92" s="34"/>
      <c r="Y92" s="34"/>
      <c r="Z92" s="40"/>
      <c r="AA92" s="34"/>
      <c r="AB92" s="38"/>
      <c r="AC92" s="38"/>
    </row>
    <row r="93" spans="2:29" x14ac:dyDescent="0.25">
      <c r="B93" s="34"/>
      <c r="C93" s="34"/>
      <c r="D93" s="34"/>
      <c r="E93" s="34"/>
      <c r="F93" s="40"/>
      <c r="G93" s="34"/>
      <c r="H93" s="34"/>
      <c r="I93" s="34"/>
      <c r="J93" s="34"/>
      <c r="K93" s="40"/>
      <c r="L93" s="34"/>
      <c r="M93" s="34"/>
      <c r="N93" s="34"/>
      <c r="O93" s="34"/>
      <c r="P93" s="40"/>
      <c r="Q93" s="34"/>
      <c r="R93" s="34"/>
      <c r="S93" s="34"/>
      <c r="T93" s="34"/>
      <c r="U93" s="40"/>
      <c r="V93" s="34"/>
      <c r="W93" s="34"/>
      <c r="X93" s="34"/>
      <c r="Y93" s="34"/>
      <c r="Z93" s="40"/>
      <c r="AA93" s="34"/>
      <c r="AB93" s="38"/>
      <c r="AC93" s="38"/>
    </row>
    <row r="94" spans="2:29" x14ac:dyDescent="0.25">
      <c r="B94" s="34"/>
      <c r="C94" s="34"/>
      <c r="D94" s="34"/>
      <c r="E94" s="34"/>
      <c r="F94" s="40"/>
      <c r="G94" s="34"/>
      <c r="H94" s="34"/>
      <c r="I94" s="34"/>
      <c r="J94" s="34"/>
      <c r="K94" s="40"/>
      <c r="L94" s="34"/>
      <c r="M94" s="34"/>
      <c r="N94" s="34"/>
      <c r="O94" s="34"/>
      <c r="P94" s="40"/>
      <c r="Q94" s="34"/>
      <c r="R94" s="34"/>
      <c r="S94" s="34"/>
      <c r="T94" s="34"/>
      <c r="U94" s="40"/>
      <c r="V94" s="34"/>
      <c r="W94" s="34"/>
      <c r="X94" s="34"/>
      <c r="Y94" s="34"/>
      <c r="Z94" s="40"/>
      <c r="AA94" s="34"/>
      <c r="AB94" s="38"/>
      <c r="AC94" s="38"/>
    </row>
    <row r="95" spans="2:29" x14ac:dyDescent="0.25">
      <c r="B95" s="34"/>
      <c r="C95" s="34"/>
      <c r="D95" s="34"/>
      <c r="E95" s="34"/>
      <c r="F95" s="40"/>
      <c r="G95" s="34"/>
      <c r="H95" s="34"/>
      <c r="I95" s="34"/>
      <c r="J95" s="34"/>
      <c r="K95" s="40"/>
      <c r="L95" s="34"/>
      <c r="M95" s="34"/>
      <c r="N95" s="34"/>
      <c r="O95" s="34"/>
      <c r="P95" s="40"/>
      <c r="Q95" s="34"/>
      <c r="R95" s="34"/>
      <c r="S95" s="34"/>
      <c r="T95" s="34"/>
      <c r="U95" s="40"/>
      <c r="V95" s="34"/>
      <c r="W95" s="34"/>
      <c r="X95" s="34"/>
      <c r="Y95" s="34"/>
      <c r="Z95" s="40"/>
      <c r="AA95" s="34"/>
      <c r="AB95" s="38"/>
      <c r="AC95" s="38"/>
    </row>
    <row r="96" spans="2:29" x14ac:dyDescent="0.25">
      <c r="B96" s="34"/>
      <c r="C96" s="34"/>
      <c r="D96" s="34"/>
      <c r="E96" s="34"/>
      <c r="F96" s="40"/>
      <c r="G96" s="34"/>
      <c r="H96" s="34"/>
      <c r="I96" s="34"/>
      <c r="J96" s="34"/>
      <c r="K96" s="40"/>
      <c r="L96" s="34"/>
      <c r="M96" s="34"/>
      <c r="N96" s="34"/>
      <c r="O96" s="34"/>
      <c r="P96" s="40"/>
      <c r="Q96" s="34"/>
      <c r="R96" s="34"/>
      <c r="S96" s="34"/>
      <c r="T96" s="34"/>
      <c r="U96" s="40"/>
      <c r="V96" s="34"/>
      <c r="W96" s="34"/>
      <c r="X96" s="34"/>
      <c r="Y96" s="34"/>
      <c r="Z96" s="40"/>
      <c r="AA96" s="34"/>
      <c r="AB96" s="38"/>
      <c r="AC96" s="38"/>
    </row>
    <row r="97" spans="2:29" x14ac:dyDescent="0.25">
      <c r="B97" s="34"/>
      <c r="C97" s="34"/>
      <c r="D97" s="34"/>
      <c r="E97" s="34"/>
      <c r="F97" s="40"/>
      <c r="G97" s="34"/>
      <c r="H97" s="34"/>
      <c r="I97" s="34"/>
      <c r="J97" s="34"/>
      <c r="K97" s="40"/>
      <c r="L97" s="34"/>
      <c r="M97" s="34"/>
      <c r="N97" s="34"/>
      <c r="O97" s="34"/>
      <c r="P97" s="40"/>
      <c r="Q97" s="34"/>
      <c r="R97" s="34"/>
      <c r="S97" s="34"/>
      <c r="T97" s="34"/>
      <c r="U97" s="40"/>
      <c r="V97" s="34"/>
      <c r="W97" s="34"/>
      <c r="X97" s="34"/>
      <c r="Y97" s="34"/>
      <c r="Z97" s="40"/>
      <c r="AA97" s="34"/>
      <c r="AB97" s="38"/>
      <c r="AC97" s="38"/>
    </row>
    <row r="98" spans="2:29" x14ac:dyDescent="0.25">
      <c r="B98" s="34"/>
      <c r="C98" s="34"/>
      <c r="D98" s="34"/>
      <c r="E98" s="34"/>
      <c r="F98" s="40"/>
      <c r="G98" s="34"/>
      <c r="H98" s="34"/>
      <c r="I98" s="34"/>
      <c r="J98" s="34"/>
      <c r="K98" s="40"/>
      <c r="L98" s="34"/>
      <c r="M98" s="34"/>
      <c r="N98" s="34"/>
      <c r="O98" s="34"/>
      <c r="P98" s="40"/>
      <c r="Q98" s="34"/>
      <c r="R98" s="34"/>
      <c r="S98" s="34"/>
      <c r="T98" s="34"/>
      <c r="U98" s="40"/>
      <c r="V98" s="34"/>
      <c r="W98" s="34"/>
      <c r="X98" s="34"/>
      <c r="Y98" s="34"/>
      <c r="Z98" s="40"/>
      <c r="AA98" s="34"/>
      <c r="AB98" s="38"/>
      <c r="AC98" s="38"/>
    </row>
    <row r="99" spans="2:29" x14ac:dyDescent="0.25">
      <c r="B99" s="34"/>
      <c r="C99" s="34"/>
      <c r="D99" s="34"/>
      <c r="E99" s="34"/>
      <c r="F99" s="40"/>
      <c r="G99" s="34"/>
      <c r="H99" s="34"/>
      <c r="I99" s="34"/>
      <c r="J99" s="34"/>
      <c r="K99" s="40"/>
      <c r="L99" s="34"/>
      <c r="M99" s="34"/>
      <c r="N99" s="34"/>
      <c r="O99" s="34"/>
      <c r="P99" s="40"/>
      <c r="Q99" s="34"/>
      <c r="R99" s="34"/>
      <c r="S99" s="34"/>
      <c r="T99" s="34"/>
      <c r="U99" s="40"/>
      <c r="V99" s="34"/>
      <c r="W99" s="34"/>
      <c r="X99" s="34"/>
      <c r="Y99" s="34"/>
      <c r="Z99" s="40"/>
      <c r="AA99" s="34"/>
      <c r="AB99" s="38"/>
      <c r="AC99" s="38"/>
    </row>
    <row r="100" spans="2:29" x14ac:dyDescent="0.25">
      <c r="B100" s="34"/>
      <c r="C100" s="34"/>
      <c r="D100" s="34"/>
      <c r="E100" s="34"/>
      <c r="F100" s="40"/>
      <c r="G100" s="34"/>
      <c r="H100" s="34"/>
      <c r="I100" s="34"/>
      <c r="J100" s="34"/>
      <c r="K100" s="40"/>
      <c r="L100" s="34"/>
      <c r="M100" s="34"/>
      <c r="N100" s="34"/>
      <c r="O100" s="34"/>
      <c r="P100" s="40"/>
      <c r="Q100" s="34"/>
      <c r="R100" s="34"/>
      <c r="S100" s="34"/>
      <c r="T100" s="34"/>
      <c r="U100" s="40"/>
      <c r="V100" s="34"/>
      <c r="W100" s="34"/>
      <c r="X100" s="34"/>
      <c r="Y100" s="34"/>
      <c r="Z100" s="40"/>
      <c r="AA100" s="34"/>
      <c r="AB100" s="38"/>
      <c r="AC100" s="38"/>
    </row>
    <row r="101" spans="2:29" x14ac:dyDescent="0.25">
      <c r="B101" s="34"/>
      <c r="C101" s="34"/>
      <c r="D101" s="34"/>
      <c r="E101" s="34"/>
      <c r="F101" s="40"/>
      <c r="G101" s="34"/>
      <c r="H101" s="34"/>
      <c r="I101" s="34"/>
      <c r="J101" s="34"/>
      <c r="K101" s="40"/>
      <c r="L101" s="34"/>
      <c r="M101" s="34"/>
      <c r="N101" s="34"/>
      <c r="O101" s="34"/>
      <c r="P101" s="40"/>
      <c r="Q101" s="34"/>
      <c r="R101" s="34"/>
      <c r="S101" s="34"/>
      <c r="T101" s="34"/>
      <c r="U101" s="40"/>
      <c r="V101" s="34"/>
      <c r="W101" s="34"/>
      <c r="X101" s="34"/>
      <c r="Y101" s="34"/>
      <c r="Z101" s="40"/>
      <c r="AA101" s="34"/>
      <c r="AB101" s="38"/>
      <c r="AC101" s="38"/>
    </row>
    <row r="102" spans="2:29" x14ac:dyDescent="0.25">
      <c r="B102" s="34"/>
      <c r="C102" s="34"/>
      <c r="D102" s="34"/>
      <c r="E102" s="34"/>
      <c r="F102" s="40"/>
      <c r="G102" s="34"/>
      <c r="H102" s="34"/>
      <c r="I102" s="34"/>
      <c r="J102" s="34"/>
      <c r="K102" s="40"/>
      <c r="L102" s="34"/>
      <c r="M102" s="34"/>
      <c r="N102" s="34"/>
      <c r="O102" s="34"/>
      <c r="P102" s="40"/>
      <c r="Q102" s="34"/>
      <c r="R102" s="34"/>
      <c r="S102" s="34"/>
      <c r="T102" s="34"/>
      <c r="U102" s="40"/>
      <c r="V102" s="34"/>
      <c r="W102" s="34"/>
      <c r="X102" s="34"/>
      <c r="Y102" s="34"/>
      <c r="Z102" s="40"/>
      <c r="AA102" s="34"/>
      <c r="AB102" s="38"/>
      <c r="AC102" s="38"/>
    </row>
    <row r="103" spans="2:29" x14ac:dyDescent="0.25">
      <c r="B103" s="34"/>
      <c r="C103" s="34"/>
      <c r="D103" s="34"/>
      <c r="E103" s="34"/>
      <c r="F103" s="40"/>
      <c r="G103" s="34"/>
      <c r="H103" s="34"/>
      <c r="I103" s="34"/>
      <c r="J103" s="34"/>
      <c r="K103" s="40"/>
      <c r="L103" s="34"/>
      <c r="M103" s="34"/>
      <c r="N103" s="34"/>
      <c r="O103" s="34"/>
      <c r="P103" s="40"/>
      <c r="Q103" s="34"/>
      <c r="R103" s="34"/>
      <c r="S103" s="34"/>
      <c r="T103" s="34"/>
      <c r="U103" s="40"/>
      <c r="V103" s="34"/>
      <c r="W103" s="34"/>
      <c r="X103" s="34"/>
      <c r="Y103" s="34"/>
      <c r="Z103" s="40"/>
      <c r="AA103" s="34"/>
      <c r="AB103" s="38"/>
      <c r="AC103" s="38"/>
    </row>
    <row r="104" spans="2:29" x14ac:dyDescent="0.25">
      <c r="B104" s="34"/>
      <c r="C104" s="34"/>
      <c r="D104" s="34"/>
      <c r="E104" s="34"/>
      <c r="F104" s="40"/>
      <c r="G104" s="34"/>
      <c r="H104" s="34"/>
      <c r="I104" s="34"/>
      <c r="J104" s="34"/>
      <c r="K104" s="40"/>
      <c r="L104" s="34"/>
      <c r="M104" s="34"/>
      <c r="N104" s="34"/>
      <c r="O104" s="34"/>
      <c r="P104" s="40"/>
      <c r="Q104" s="34"/>
      <c r="R104" s="34"/>
      <c r="S104" s="34"/>
      <c r="T104" s="34"/>
      <c r="U104" s="40"/>
      <c r="V104" s="34"/>
      <c r="W104" s="34"/>
      <c r="X104" s="34"/>
      <c r="Y104" s="34"/>
      <c r="Z104" s="40"/>
      <c r="AA104" s="34"/>
      <c r="AB104" s="38"/>
      <c r="AC104" s="38"/>
    </row>
    <row r="105" spans="2:29" x14ac:dyDescent="0.25">
      <c r="B105" s="34"/>
      <c r="C105" s="34"/>
      <c r="D105" s="34"/>
      <c r="E105" s="34"/>
      <c r="F105" s="40"/>
      <c r="G105" s="34"/>
      <c r="H105" s="34"/>
      <c r="I105" s="34"/>
      <c r="J105" s="34"/>
      <c r="K105" s="40"/>
      <c r="L105" s="34"/>
      <c r="M105" s="34"/>
      <c r="N105" s="34"/>
      <c r="O105" s="34"/>
      <c r="P105" s="40"/>
      <c r="Q105" s="34"/>
      <c r="R105" s="34"/>
      <c r="S105" s="34"/>
      <c r="T105" s="34"/>
      <c r="U105" s="40"/>
      <c r="V105" s="34"/>
      <c r="W105" s="34"/>
      <c r="X105" s="34"/>
      <c r="Y105" s="34"/>
      <c r="Z105" s="40"/>
      <c r="AA105" s="34"/>
      <c r="AB105" s="38"/>
      <c r="AC105" s="38"/>
    </row>
    <row r="106" spans="2:29" x14ac:dyDescent="0.25">
      <c r="B106" s="34"/>
      <c r="C106" s="34"/>
      <c r="D106" s="34"/>
      <c r="E106" s="34"/>
      <c r="F106" s="40"/>
      <c r="G106" s="34"/>
      <c r="H106" s="34"/>
      <c r="I106" s="34"/>
      <c r="J106" s="34"/>
      <c r="K106" s="40"/>
      <c r="L106" s="34"/>
      <c r="M106" s="34"/>
      <c r="N106" s="34"/>
      <c r="O106" s="34"/>
      <c r="P106" s="40"/>
      <c r="Q106" s="34"/>
      <c r="R106" s="34"/>
      <c r="S106" s="34"/>
      <c r="T106" s="34"/>
      <c r="U106" s="40"/>
      <c r="V106" s="34"/>
      <c r="W106" s="34"/>
      <c r="X106" s="34"/>
      <c r="Y106" s="34"/>
      <c r="Z106" s="40"/>
      <c r="AA106" s="34"/>
      <c r="AB106" s="38"/>
      <c r="AC106" s="38"/>
    </row>
    <row r="107" spans="2:29" x14ac:dyDescent="0.25">
      <c r="B107" s="34"/>
      <c r="C107" s="34"/>
      <c r="D107" s="34"/>
      <c r="E107" s="34"/>
      <c r="F107" s="40"/>
      <c r="G107" s="34"/>
      <c r="H107" s="34"/>
      <c r="I107" s="34"/>
      <c r="J107" s="34"/>
      <c r="K107" s="40"/>
      <c r="L107" s="34"/>
      <c r="M107" s="34"/>
      <c r="N107" s="34"/>
      <c r="O107" s="34"/>
      <c r="P107" s="40"/>
      <c r="Q107" s="34"/>
      <c r="R107" s="34"/>
      <c r="S107" s="34"/>
      <c r="T107" s="34"/>
      <c r="U107" s="40"/>
      <c r="V107" s="34"/>
      <c r="W107" s="34"/>
      <c r="X107" s="34"/>
      <c r="Y107" s="34"/>
      <c r="Z107" s="40"/>
      <c r="AA107" s="34"/>
      <c r="AB107" s="38"/>
      <c r="AC107" s="38"/>
    </row>
    <row r="108" spans="2:29" x14ac:dyDescent="0.25">
      <c r="B108" s="34"/>
      <c r="C108" s="34"/>
      <c r="D108" s="34"/>
      <c r="E108" s="34"/>
      <c r="F108" s="40"/>
      <c r="G108" s="34"/>
      <c r="H108" s="34"/>
      <c r="I108" s="34"/>
      <c r="J108" s="34"/>
      <c r="K108" s="40"/>
      <c r="L108" s="34"/>
      <c r="M108" s="34"/>
      <c r="N108" s="34"/>
      <c r="O108" s="34"/>
      <c r="P108" s="40"/>
      <c r="Q108" s="34"/>
      <c r="R108" s="34"/>
      <c r="S108" s="34"/>
      <c r="T108" s="34"/>
      <c r="U108" s="40"/>
      <c r="V108" s="34"/>
      <c r="W108" s="34"/>
      <c r="X108" s="34"/>
      <c r="Y108" s="34"/>
      <c r="Z108" s="40"/>
      <c r="AA108" s="34"/>
      <c r="AB108" s="38"/>
      <c r="AC108" s="38"/>
    </row>
    <row r="109" spans="2:29" x14ac:dyDescent="0.25">
      <c r="B109" s="34"/>
      <c r="C109" s="34"/>
      <c r="D109" s="34"/>
      <c r="E109" s="34"/>
      <c r="F109" s="40"/>
      <c r="G109" s="34"/>
      <c r="H109" s="34"/>
      <c r="I109" s="34"/>
      <c r="J109" s="34"/>
      <c r="K109" s="40"/>
      <c r="L109" s="34"/>
      <c r="M109" s="34"/>
      <c r="N109" s="34"/>
      <c r="O109" s="34"/>
      <c r="P109" s="40"/>
      <c r="Q109" s="34"/>
      <c r="R109" s="34"/>
      <c r="S109" s="34"/>
      <c r="T109" s="34"/>
      <c r="U109" s="40"/>
      <c r="V109" s="34"/>
      <c r="W109" s="34"/>
      <c r="X109" s="34"/>
      <c r="Y109" s="34"/>
      <c r="Z109" s="40"/>
      <c r="AA109" s="34"/>
      <c r="AB109" s="38"/>
      <c r="AC109" s="38"/>
    </row>
    <row r="110" spans="2:29" x14ac:dyDescent="0.25">
      <c r="B110" s="34"/>
      <c r="C110" s="34"/>
      <c r="D110" s="34"/>
      <c r="E110" s="34"/>
      <c r="F110" s="40"/>
      <c r="G110" s="34"/>
      <c r="H110" s="34"/>
      <c r="I110" s="34"/>
      <c r="J110" s="34"/>
      <c r="K110" s="40"/>
      <c r="L110" s="34"/>
      <c r="M110" s="34"/>
      <c r="N110" s="34"/>
      <c r="O110" s="34"/>
      <c r="P110" s="40"/>
      <c r="Q110" s="34"/>
      <c r="R110" s="34"/>
      <c r="S110" s="34"/>
      <c r="T110" s="34"/>
      <c r="U110" s="40"/>
      <c r="V110" s="34"/>
      <c r="W110" s="34"/>
      <c r="X110" s="34"/>
      <c r="Y110" s="34"/>
      <c r="Z110" s="40"/>
      <c r="AA110" s="34"/>
      <c r="AB110" s="38"/>
      <c r="AC110" s="38"/>
    </row>
    <row r="111" spans="2:29" x14ac:dyDescent="0.25">
      <c r="B111" s="34"/>
      <c r="C111" s="34"/>
      <c r="D111" s="34"/>
      <c r="E111" s="34"/>
      <c r="F111" s="40"/>
      <c r="G111" s="34"/>
      <c r="H111" s="34"/>
      <c r="I111" s="34"/>
      <c r="J111" s="34"/>
      <c r="K111" s="40"/>
      <c r="L111" s="34"/>
      <c r="M111" s="34"/>
      <c r="N111" s="34"/>
      <c r="O111" s="34"/>
      <c r="P111" s="40"/>
      <c r="Q111" s="34"/>
      <c r="R111" s="34"/>
      <c r="S111" s="34"/>
      <c r="T111" s="34"/>
      <c r="U111" s="40"/>
      <c r="V111" s="34"/>
      <c r="W111" s="34"/>
      <c r="X111" s="34"/>
      <c r="Y111" s="34"/>
      <c r="Z111" s="40"/>
      <c r="AA111" s="34"/>
      <c r="AB111" s="38"/>
      <c r="AC111" s="38"/>
    </row>
    <row r="112" spans="2:29" x14ac:dyDescent="0.25">
      <c r="B112" s="34"/>
      <c r="C112" s="34"/>
      <c r="D112" s="34"/>
      <c r="E112" s="34"/>
      <c r="F112" s="40"/>
      <c r="G112" s="34"/>
      <c r="H112" s="34"/>
      <c r="I112" s="34"/>
      <c r="J112" s="34"/>
      <c r="K112" s="40"/>
      <c r="L112" s="34"/>
      <c r="M112" s="34"/>
      <c r="N112" s="34"/>
      <c r="O112" s="34"/>
      <c r="P112" s="40"/>
      <c r="Q112" s="34"/>
      <c r="R112" s="34"/>
      <c r="S112" s="34"/>
      <c r="T112" s="34"/>
      <c r="U112" s="40"/>
      <c r="V112" s="34"/>
      <c r="W112" s="34"/>
      <c r="X112" s="34"/>
      <c r="Y112" s="34"/>
      <c r="Z112" s="40"/>
      <c r="AA112" s="34"/>
      <c r="AB112" s="38"/>
      <c r="AC112" s="38"/>
    </row>
    <row r="113" spans="2:29" x14ac:dyDescent="0.25">
      <c r="B113" s="34"/>
      <c r="C113" s="34"/>
      <c r="D113" s="34"/>
      <c r="E113" s="34"/>
      <c r="F113" s="40"/>
      <c r="G113" s="34"/>
      <c r="H113" s="34"/>
      <c r="I113" s="34"/>
      <c r="J113" s="34"/>
      <c r="K113" s="40"/>
      <c r="L113" s="34"/>
      <c r="M113" s="34"/>
      <c r="N113" s="34"/>
      <c r="O113" s="34"/>
      <c r="P113" s="40"/>
      <c r="Q113" s="34"/>
      <c r="R113" s="34"/>
      <c r="S113" s="34"/>
      <c r="T113" s="34"/>
      <c r="U113" s="40"/>
      <c r="V113" s="34"/>
      <c r="W113" s="34"/>
      <c r="X113" s="34"/>
      <c r="Y113" s="34"/>
      <c r="Z113" s="40"/>
      <c r="AA113" s="34"/>
      <c r="AB113" s="38"/>
      <c r="AC113" s="38"/>
    </row>
    <row r="114" spans="2:29" x14ac:dyDescent="0.25">
      <c r="B114" s="34"/>
      <c r="C114" s="34"/>
      <c r="D114" s="34"/>
      <c r="E114" s="34"/>
      <c r="F114" s="40"/>
      <c r="G114" s="34"/>
      <c r="H114" s="34"/>
      <c r="I114" s="34"/>
      <c r="J114" s="34"/>
      <c r="K114" s="40"/>
      <c r="L114" s="34"/>
      <c r="M114" s="34"/>
      <c r="N114" s="34"/>
      <c r="O114" s="34"/>
      <c r="P114" s="40"/>
      <c r="Q114" s="34"/>
      <c r="R114" s="34"/>
      <c r="S114" s="34"/>
      <c r="T114" s="34"/>
      <c r="U114" s="40"/>
      <c r="V114" s="34"/>
      <c r="W114" s="34"/>
      <c r="X114" s="34"/>
      <c r="Y114" s="34"/>
      <c r="Z114" s="40"/>
      <c r="AA114" s="34"/>
      <c r="AB114" s="38"/>
      <c r="AC114" s="38"/>
    </row>
    <row r="115" spans="2:29" x14ac:dyDescent="0.25">
      <c r="B115" s="34"/>
      <c r="C115" s="34"/>
      <c r="D115" s="34"/>
      <c r="E115" s="34"/>
      <c r="F115" s="40"/>
      <c r="G115" s="34"/>
      <c r="H115" s="34"/>
      <c r="I115" s="34"/>
      <c r="J115" s="34"/>
      <c r="K115" s="40"/>
      <c r="L115" s="34"/>
      <c r="M115" s="34"/>
      <c r="N115" s="34"/>
      <c r="O115" s="34"/>
      <c r="P115" s="40"/>
      <c r="Q115" s="34"/>
      <c r="R115" s="34"/>
      <c r="S115" s="34"/>
      <c r="T115" s="34"/>
      <c r="U115" s="40"/>
      <c r="V115" s="34"/>
      <c r="W115" s="34"/>
      <c r="X115" s="34"/>
      <c r="Y115" s="34"/>
      <c r="Z115" s="40"/>
      <c r="AA115" s="34"/>
      <c r="AB115" s="38"/>
      <c r="AC115" s="38"/>
    </row>
    <row r="116" spans="2:29" x14ac:dyDescent="0.25">
      <c r="B116" s="34"/>
      <c r="C116" s="34"/>
      <c r="D116" s="34"/>
      <c r="E116" s="34"/>
      <c r="F116" s="40"/>
      <c r="G116" s="34"/>
      <c r="H116" s="34"/>
      <c r="I116" s="34"/>
      <c r="J116" s="34"/>
      <c r="K116" s="40"/>
      <c r="L116" s="34"/>
      <c r="M116" s="34"/>
      <c r="N116" s="34"/>
      <c r="O116" s="34"/>
      <c r="P116" s="40"/>
      <c r="Q116" s="34"/>
      <c r="R116" s="34"/>
      <c r="S116" s="34"/>
      <c r="T116" s="34"/>
      <c r="U116" s="40"/>
      <c r="V116" s="34"/>
      <c r="W116" s="34"/>
      <c r="X116" s="34"/>
      <c r="Y116" s="34"/>
      <c r="Z116" s="40"/>
      <c r="AA116" s="34"/>
      <c r="AB116" s="38"/>
      <c r="AC116" s="38"/>
    </row>
    <row r="117" spans="2:29" x14ac:dyDescent="0.25">
      <c r="B117" s="34"/>
      <c r="C117" s="34"/>
      <c r="D117" s="34"/>
      <c r="E117" s="34"/>
      <c r="F117" s="40"/>
      <c r="G117" s="34"/>
      <c r="H117" s="34"/>
      <c r="I117" s="34"/>
      <c r="J117" s="34"/>
      <c r="K117" s="40"/>
      <c r="L117" s="34"/>
      <c r="M117" s="34"/>
      <c r="N117" s="34"/>
      <c r="O117" s="34"/>
      <c r="P117" s="40"/>
      <c r="Q117" s="34"/>
      <c r="R117" s="34"/>
      <c r="S117" s="34"/>
      <c r="T117" s="34"/>
      <c r="U117" s="40"/>
      <c r="V117" s="34"/>
      <c r="W117" s="34"/>
      <c r="X117" s="34"/>
      <c r="Y117" s="34"/>
      <c r="Z117" s="40"/>
      <c r="AA117" s="34"/>
      <c r="AB117" s="38"/>
      <c r="AC117" s="38"/>
    </row>
    <row r="118" spans="2:29" x14ac:dyDescent="0.25">
      <c r="B118" s="34"/>
      <c r="C118" s="34"/>
      <c r="D118" s="34"/>
      <c r="E118" s="34"/>
      <c r="F118" s="40"/>
      <c r="G118" s="34"/>
      <c r="H118" s="34"/>
      <c r="I118" s="34"/>
      <c r="J118" s="34"/>
      <c r="K118" s="40"/>
      <c r="L118" s="34"/>
      <c r="M118" s="34"/>
      <c r="N118" s="34"/>
      <c r="O118" s="34"/>
      <c r="P118" s="40"/>
      <c r="Q118" s="34"/>
      <c r="R118" s="34"/>
      <c r="S118" s="34"/>
      <c r="T118" s="34"/>
      <c r="U118" s="40"/>
      <c r="V118" s="34"/>
      <c r="W118" s="34"/>
      <c r="X118" s="34"/>
      <c r="Y118" s="34"/>
      <c r="Z118" s="40"/>
      <c r="AA118" s="34"/>
      <c r="AB118" s="38"/>
      <c r="AC118" s="38"/>
    </row>
    <row r="119" spans="2:29" x14ac:dyDescent="0.25">
      <c r="B119" s="34"/>
      <c r="C119" s="34"/>
      <c r="D119" s="34"/>
      <c r="E119" s="34"/>
      <c r="F119" s="40"/>
      <c r="G119" s="34"/>
      <c r="H119" s="34"/>
      <c r="I119" s="34"/>
      <c r="J119" s="34"/>
      <c r="K119" s="40"/>
      <c r="L119" s="34"/>
      <c r="M119" s="34"/>
      <c r="N119" s="34"/>
      <c r="O119" s="34"/>
      <c r="P119" s="40"/>
      <c r="Q119" s="34"/>
      <c r="R119" s="34"/>
      <c r="S119" s="34"/>
      <c r="T119" s="34"/>
      <c r="U119" s="40"/>
      <c r="V119" s="34"/>
      <c r="W119" s="34"/>
      <c r="X119" s="34"/>
      <c r="Y119" s="34"/>
      <c r="Z119" s="40"/>
      <c r="AA119" s="34"/>
      <c r="AB119" s="38"/>
      <c r="AC119" s="38"/>
    </row>
    <row r="120" spans="2:29" x14ac:dyDescent="0.25">
      <c r="B120" s="34"/>
      <c r="C120" s="34"/>
      <c r="D120" s="34"/>
      <c r="E120" s="34"/>
      <c r="F120" s="40"/>
      <c r="G120" s="34"/>
      <c r="H120" s="34"/>
      <c r="I120" s="34"/>
      <c r="J120" s="34"/>
      <c r="K120" s="40"/>
      <c r="L120" s="34"/>
      <c r="M120" s="34"/>
      <c r="N120" s="34"/>
      <c r="O120" s="34"/>
      <c r="P120" s="40"/>
      <c r="Q120" s="34"/>
      <c r="R120" s="34"/>
      <c r="S120" s="34"/>
      <c r="T120" s="34"/>
      <c r="U120" s="40"/>
      <c r="V120" s="34"/>
      <c r="W120" s="34"/>
      <c r="X120" s="34"/>
      <c r="Y120" s="34"/>
      <c r="Z120" s="40"/>
      <c r="AA120" s="34"/>
      <c r="AB120" s="38"/>
      <c r="AC120" s="38"/>
    </row>
    <row r="121" spans="2:29" x14ac:dyDescent="0.25">
      <c r="B121" s="34"/>
      <c r="C121" s="34"/>
      <c r="D121" s="34"/>
      <c r="E121" s="34"/>
      <c r="F121" s="40"/>
      <c r="G121" s="34"/>
      <c r="H121" s="34"/>
      <c r="I121" s="34"/>
      <c r="J121" s="34"/>
      <c r="K121" s="40"/>
      <c r="L121" s="34"/>
      <c r="M121" s="34"/>
      <c r="N121" s="34"/>
      <c r="O121" s="34"/>
      <c r="P121" s="40"/>
      <c r="Q121" s="34"/>
      <c r="R121" s="34"/>
      <c r="S121" s="34"/>
      <c r="T121" s="34"/>
      <c r="U121" s="40"/>
      <c r="V121" s="34"/>
      <c r="W121" s="34"/>
      <c r="X121" s="34"/>
      <c r="Y121" s="34"/>
      <c r="Z121" s="40"/>
      <c r="AA121" s="34"/>
      <c r="AB121" s="38"/>
      <c r="AC121" s="38"/>
    </row>
    <row r="122" spans="2:29" x14ac:dyDescent="0.25">
      <c r="B122" s="34"/>
      <c r="C122" s="34"/>
      <c r="D122" s="34"/>
      <c r="E122" s="34"/>
      <c r="F122" s="40"/>
      <c r="G122" s="34"/>
      <c r="H122" s="34"/>
      <c r="I122" s="34"/>
      <c r="J122" s="34"/>
      <c r="K122" s="40"/>
      <c r="L122" s="34"/>
      <c r="M122" s="34"/>
      <c r="N122" s="34"/>
      <c r="O122" s="34"/>
      <c r="P122" s="40"/>
      <c r="Q122" s="34"/>
      <c r="R122" s="34"/>
      <c r="S122" s="34"/>
      <c r="T122" s="34"/>
      <c r="U122" s="40"/>
      <c r="V122" s="34"/>
      <c r="W122" s="34"/>
      <c r="X122" s="34"/>
      <c r="Y122" s="34"/>
      <c r="Z122" s="40"/>
      <c r="AA122" s="34"/>
      <c r="AB122" s="38"/>
      <c r="AC122" s="38"/>
    </row>
    <row r="123" spans="2:29" x14ac:dyDescent="0.25">
      <c r="B123" s="34"/>
      <c r="C123" s="34"/>
      <c r="D123" s="34"/>
      <c r="E123" s="34"/>
      <c r="F123" s="40"/>
      <c r="G123" s="34"/>
      <c r="H123" s="34"/>
      <c r="I123" s="34"/>
      <c r="J123" s="34"/>
      <c r="K123" s="40"/>
      <c r="L123" s="34"/>
      <c r="M123" s="34"/>
      <c r="N123" s="34"/>
      <c r="O123" s="34"/>
      <c r="P123" s="40"/>
      <c r="Q123" s="34"/>
      <c r="R123" s="34"/>
      <c r="S123" s="34"/>
      <c r="T123" s="34"/>
      <c r="U123" s="40"/>
      <c r="V123" s="34"/>
      <c r="W123" s="34"/>
      <c r="X123" s="34"/>
      <c r="Y123" s="34"/>
      <c r="Z123" s="40"/>
      <c r="AA123" s="34"/>
      <c r="AB123" s="38"/>
      <c r="AC123" s="38"/>
    </row>
    <row r="124" spans="2:29" x14ac:dyDescent="0.25">
      <c r="B124" s="34"/>
      <c r="C124" s="34"/>
      <c r="D124" s="34"/>
      <c r="E124" s="34"/>
      <c r="F124" s="40"/>
      <c r="G124" s="34"/>
      <c r="H124" s="34"/>
      <c r="I124" s="34"/>
      <c r="J124" s="34"/>
      <c r="K124" s="40"/>
      <c r="L124" s="34"/>
      <c r="M124" s="34"/>
      <c r="N124" s="34"/>
      <c r="O124" s="34"/>
      <c r="P124" s="40"/>
      <c r="Q124" s="34"/>
      <c r="R124" s="34"/>
      <c r="S124" s="34"/>
      <c r="T124" s="34"/>
      <c r="U124" s="40"/>
      <c r="V124" s="34"/>
      <c r="W124" s="34"/>
      <c r="X124" s="34"/>
      <c r="Y124" s="34"/>
      <c r="Z124" s="40"/>
      <c r="AA124" s="34"/>
      <c r="AB124" s="38"/>
      <c r="AC124" s="38"/>
    </row>
    <row r="125" spans="2:29" x14ac:dyDescent="0.25">
      <c r="B125" s="34"/>
      <c r="C125" s="34"/>
      <c r="D125" s="34"/>
      <c r="E125" s="34"/>
      <c r="F125" s="40"/>
      <c r="G125" s="34"/>
      <c r="H125" s="34"/>
      <c r="I125" s="34"/>
      <c r="J125" s="34"/>
      <c r="K125" s="40"/>
      <c r="L125" s="34"/>
      <c r="M125" s="34"/>
      <c r="N125" s="34"/>
      <c r="O125" s="34"/>
      <c r="P125" s="40"/>
      <c r="Q125" s="34"/>
      <c r="R125" s="34"/>
      <c r="S125" s="34"/>
      <c r="T125" s="34"/>
      <c r="U125" s="40"/>
      <c r="V125" s="34"/>
      <c r="W125" s="34"/>
      <c r="X125" s="34"/>
      <c r="Y125" s="34"/>
      <c r="Z125" s="40"/>
      <c r="AA125" s="34"/>
      <c r="AB125" s="38"/>
      <c r="AC125" s="38"/>
    </row>
    <row r="126" spans="2:29" x14ac:dyDescent="0.25">
      <c r="B126" s="34"/>
      <c r="C126" s="34"/>
      <c r="D126" s="34"/>
      <c r="E126" s="34"/>
      <c r="F126" s="40"/>
      <c r="G126" s="34"/>
      <c r="H126" s="34"/>
      <c r="I126" s="34"/>
      <c r="J126" s="34"/>
      <c r="K126" s="40"/>
      <c r="L126" s="34"/>
      <c r="M126" s="34"/>
      <c r="N126" s="34"/>
      <c r="O126" s="34"/>
      <c r="P126" s="40"/>
      <c r="Q126" s="34"/>
      <c r="R126" s="34"/>
      <c r="S126" s="34"/>
      <c r="T126" s="34"/>
      <c r="U126" s="40"/>
      <c r="V126" s="34"/>
      <c r="W126" s="34"/>
      <c r="X126" s="34"/>
      <c r="Y126" s="34"/>
      <c r="Z126" s="40"/>
      <c r="AA126" s="34"/>
      <c r="AB126" s="38"/>
      <c r="AC126" s="38"/>
    </row>
    <row r="127" spans="2:29" x14ac:dyDescent="0.25">
      <c r="B127" s="34"/>
      <c r="C127" s="34"/>
      <c r="D127" s="34"/>
      <c r="E127" s="34"/>
      <c r="F127" s="40"/>
      <c r="G127" s="34"/>
      <c r="H127" s="34"/>
      <c r="I127" s="34"/>
      <c r="J127" s="34"/>
      <c r="K127" s="40"/>
      <c r="L127" s="34"/>
      <c r="M127" s="34"/>
      <c r="N127" s="34"/>
      <c r="O127" s="34"/>
      <c r="P127" s="40"/>
      <c r="Q127" s="34"/>
      <c r="R127" s="34"/>
      <c r="S127" s="34"/>
      <c r="T127" s="34"/>
      <c r="U127" s="40"/>
      <c r="V127" s="34"/>
      <c r="W127" s="34"/>
      <c r="X127" s="34"/>
      <c r="Y127" s="34"/>
      <c r="Z127" s="40"/>
      <c r="AA127" s="34"/>
      <c r="AB127" s="38"/>
      <c r="AC127" s="38"/>
    </row>
    <row r="128" spans="2:29" x14ac:dyDescent="0.25">
      <c r="B128" s="34"/>
      <c r="C128" s="34"/>
      <c r="D128" s="34"/>
      <c r="E128" s="34"/>
      <c r="F128" s="40"/>
      <c r="G128" s="34"/>
      <c r="H128" s="34"/>
      <c r="I128" s="34"/>
      <c r="J128" s="34"/>
      <c r="K128" s="40"/>
      <c r="L128" s="34"/>
      <c r="M128" s="34"/>
      <c r="N128" s="34"/>
      <c r="O128" s="34"/>
      <c r="P128" s="40"/>
      <c r="Q128" s="34"/>
      <c r="R128" s="34"/>
      <c r="S128" s="34"/>
      <c r="T128" s="34"/>
      <c r="U128" s="40"/>
      <c r="V128" s="34"/>
      <c r="W128" s="34"/>
      <c r="X128" s="34"/>
      <c r="Y128" s="34"/>
      <c r="Z128" s="40"/>
      <c r="AA128" s="34"/>
      <c r="AB128" s="38"/>
      <c r="AC128" s="38"/>
    </row>
    <row r="129" spans="2:29" x14ac:dyDescent="0.25">
      <c r="B129" s="34"/>
      <c r="C129" s="34"/>
      <c r="D129" s="34"/>
      <c r="E129" s="34"/>
      <c r="F129" s="40"/>
      <c r="G129" s="34"/>
      <c r="H129" s="34"/>
      <c r="I129" s="34"/>
      <c r="J129" s="34"/>
      <c r="K129" s="40"/>
      <c r="L129" s="34"/>
      <c r="M129" s="34"/>
      <c r="N129" s="34"/>
      <c r="O129" s="34"/>
      <c r="P129" s="40"/>
      <c r="Q129" s="34"/>
      <c r="R129" s="34"/>
      <c r="S129" s="34"/>
      <c r="T129" s="34"/>
      <c r="U129" s="40"/>
      <c r="V129" s="34"/>
      <c r="W129" s="34"/>
      <c r="X129" s="34"/>
      <c r="Y129" s="34"/>
      <c r="Z129" s="40"/>
      <c r="AA129" s="34"/>
      <c r="AB129" s="38"/>
      <c r="AC129" s="38"/>
    </row>
    <row r="130" spans="2:29" x14ac:dyDescent="0.25">
      <c r="B130" s="34"/>
      <c r="C130" s="34"/>
      <c r="D130" s="34"/>
      <c r="E130" s="34"/>
      <c r="F130" s="40"/>
      <c r="G130" s="34"/>
      <c r="H130" s="34"/>
      <c r="I130" s="34"/>
      <c r="J130" s="34"/>
      <c r="K130" s="40"/>
      <c r="L130" s="34"/>
      <c r="M130" s="34"/>
      <c r="N130" s="34"/>
      <c r="O130" s="34"/>
      <c r="P130" s="40"/>
      <c r="Q130" s="34"/>
      <c r="R130" s="34"/>
      <c r="S130" s="34"/>
      <c r="T130" s="34"/>
      <c r="U130" s="40"/>
      <c r="V130" s="34"/>
      <c r="W130" s="34"/>
      <c r="X130" s="34"/>
      <c r="Y130" s="34"/>
      <c r="Z130" s="40"/>
      <c r="AA130" s="34"/>
      <c r="AB130" s="38"/>
      <c r="AC130" s="38"/>
    </row>
    <row r="131" spans="2:29" x14ac:dyDescent="0.25">
      <c r="B131" s="34"/>
      <c r="C131" s="34"/>
      <c r="D131" s="34"/>
      <c r="E131" s="34"/>
      <c r="F131" s="40"/>
      <c r="G131" s="34"/>
      <c r="H131" s="34"/>
      <c r="I131" s="34"/>
      <c r="J131" s="34"/>
      <c r="K131" s="40"/>
      <c r="L131" s="34"/>
      <c r="M131" s="34"/>
      <c r="N131" s="34"/>
      <c r="O131" s="34"/>
      <c r="P131" s="40"/>
      <c r="Q131" s="34"/>
      <c r="R131" s="34"/>
      <c r="S131" s="34"/>
      <c r="T131" s="34"/>
      <c r="U131" s="40"/>
      <c r="V131" s="34"/>
      <c r="W131" s="34"/>
      <c r="X131" s="34"/>
      <c r="Y131" s="34"/>
      <c r="Z131" s="40"/>
      <c r="AA131" s="34"/>
      <c r="AB131" s="38"/>
      <c r="AC131" s="38"/>
    </row>
    <row r="132" spans="2:29" x14ac:dyDescent="0.25">
      <c r="B132" s="34"/>
      <c r="C132" s="34"/>
      <c r="D132" s="34"/>
      <c r="E132" s="34"/>
      <c r="F132" s="40"/>
      <c r="G132" s="34"/>
      <c r="H132" s="34"/>
      <c r="I132" s="34"/>
      <c r="J132" s="34"/>
      <c r="K132" s="40"/>
      <c r="L132" s="34"/>
      <c r="M132" s="34"/>
      <c r="N132" s="34"/>
      <c r="O132" s="34"/>
      <c r="P132" s="40"/>
      <c r="Q132" s="34"/>
      <c r="R132" s="34"/>
      <c r="S132" s="34"/>
      <c r="T132" s="34"/>
      <c r="U132" s="40"/>
      <c r="V132" s="34"/>
      <c r="W132" s="34"/>
      <c r="X132" s="34"/>
      <c r="Y132" s="34"/>
      <c r="Z132" s="40"/>
      <c r="AA132" s="34"/>
      <c r="AB132" s="38"/>
      <c r="AC132" s="38"/>
    </row>
    <row r="133" spans="2:29" x14ac:dyDescent="0.25">
      <c r="B133" s="34"/>
      <c r="C133" s="34"/>
      <c r="D133" s="34"/>
      <c r="E133" s="34"/>
      <c r="F133" s="40"/>
      <c r="G133" s="34"/>
      <c r="H133" s="34"/>
      <c r="I133" s="34"/>
      <c r="J133" s="34"/>
      <c r="K133" s="40"/>
      <c r="L133" s="34"/>
      <c r="M133" s="34"/>
      <c r="N133" s="34"/>
      <c r="O133" s="34"/>
      <c r="P133" s="40"/>
      <c r="Q133" s="34"/>
      <c r="R133" s="34"/>
      <c r="S133" s="34"/>
      <c r="T133" s="34"/>
      <c r="U133" s="40"/>
      <c r="V133" s="34"/>
      <c r="W133" s="34"/>
      <c r="X133" s="34"/>
      <c r="Y133" s="34"/>
      <c r="Z133" s="40"/>
      <c r="AA133" s="34"/>
      <c r="AB133" s="38"/>
      <c r="AC133" s="38"/>
    </row>
    <row r="134" spans="2:29" x14ac:dyDescent="0.25">
      <c r="B134" s="34"/>
      <c r="C134" s="34"/>
      <c r="D134" s="34"/>
      <c r="E134" s="34"/>
      <c r="F134" s="40"/>
      <c r="G134" s="34"/>
      <c r="H134" s="34"/>
      <c r="I134" s="34"/>
      <c r="J134" s="34"/>
      <c r="K134" s="40"/>
      <c r="L134" s="34"/>
      <c r="M134" s="34"/>
      <c r="N134" s="34"/>
      <c r="O134" s="34"/>
      <c r="P134" s="40"/>
      <c r="Q134" s="34"/>
      <c r="R134" s="34"/>
      <c r="S134" s="34"/>
      <c r="T134" s="34"/>
      <c r="U134" s="40"/>
      <c r="V134" s="34"/>
      <c r="W134" s="34"/>
      <c r="X134" s="34"/>
      <c r="Y134" s="34"/>
      <c r="Z134" s="40"/>
      <c r="AA134" s="34"/>
      <c r="AB134" s="38"/>
      <c r="AC134" s="38"/>
    </row>
    <row r="135" spans="2:29" x14ac:dyDescent="0.25">
      <c r="B135" s="34"/>
      <c r="C135" s="34"/>
      <c r="D135" s="34"/>
      <c r="E135" s="34"/>
      <c r="F135" s="40"/>
      <c r="G135" s="34"/>
      <c r="H135" s="34"/>
      <c r="I135" s="34"/>
      <c r="J135" s="34"/>
      <c r="K135" s="40"/>
      <c r="L135" s="34"/>
      <c r="M135" s="34"/>
      <c r="N135" s="34"/>
      <c r="O135" s="34"/>
      <c r="P135" s="40"/>
      <c r="Q135" s="34"/>
      <c r="R135" s="34"/>
      <c r="S135" s="34"/>
      <c r="T135" s="34"/>
      <c r="U135" s="40"/>
      <c r="V135" s="34"/>
      <c r="W135" s="34"/>
      <c r="X135" s="34"/>
      <c r="Y135" s="34"/>
      <c r="Z135" s="40"/>
      <c r="AA135" s="34"/>
      <c r="AB135" s="38"/>
      <c r="AC135" s="38"/>
    </row>
    <row r="136" spans="2:29" x14ac:dyDescent="0.25">
      <c r="B136" s="34"/>
      <c r="C136" s="34"/>
      <c r="D136" s="34"/>
      <c r="E136" s="34"/>
      <c r="F136" s="40"/>
      <c r="G136" s="34"/>
      <c r="H136" s="34"/>
      <c r="I136" s="34"/>
      <c r="J136" s="34"/>
      <c r="K136" s="40"/>
      <c r="L136" s="34"/>
      <c r="M136" s="34"/>
      <c r="N136" s="34"/>
      <c r="O136" s="34"/>
      <c r="P136" s="40"/>
      <c r="Q136" s="34"/>
      <c r="R136" s="34"/>
      <c r="S136" s="34"/>
      <c r="T136" s="34"/>
      <c r="U136" s="40"/>
      <c r="V136" s="34"/>
      <c r="W136" s="34"/>
      <c r="X136" s="34"/>
      <c r="Y136" s="34"/>
      <c r="Z136" s="40"/>
      <c r="AA136" s="34"/>
      <c r="AB136" s="38"/>
      <c r="AC136" s="38"/>
    </row>
    <row r="137" spans="2:29" x14ac:dyDescent="0.25">
      <c r="B137" s="34"/>
      <c r="C137" s="34"/>
      <c r="D137" s="34"/>
      <c r="E137" s="34"/>
      <c r="F137" s="40"/>
      <c r="G137" s="34"/>
      <c r="H137" s="34"/>
      <c r="I137" s="34"/>
      <c r="J137" s="34"/>
      <c r="K137" s="40"/>
      <c r="L137" s="34"/>
      <c r="M137" s="34"/>
      <c r="N137" s="34"/>
      <c r="O137" s="34"/>
      <c r="P137" s="40"/>
      <c r="Q137" s="34"/>
      <c r="R137" s="34"/>
      <c r="S137" s="34"/>
      <c r="T137" s="34"/>
      <c r="U137" s="40"/>
      <c r="V137" s="34"/>
      <c r="W137" s="34"/>
      <c r="X137" s="34"/>
      <c r="Y137" s="34"/>
      <c r="Z137" s="40"/>
      <c r="AA137" s="34"/>
      <c r="AB137" s="38"/>
      <c r="AC137" s="38"/>
    </row>
    <row r="138" spans="2:29" x14ac:dyDescent="0.25">
      <c r="B138" s="34"/>
      <c r="C138" s="34"/>
      <c r="D138" s="34"/>
      <c r="E138" s="34"/>
      <c r="F138" s="40"/>
      <c r="G138" s="34"/>
      <c r="H138" s="34"/>
      <c r="I138" s="34"/>
      <c r="J138" s="34"/>
      <c r="K138" s="40"/>
      <c r="L138" s="34"/>
      <c r="M138" s="34"/>
      <c r="N138" s="34"/>
      <c r="O138" s="34"/>
      <c r="P138" s="40"/>
      <c r="Q138" s="34"/>
      <c r="R138" s="34"/>
      <c r="S138" s="34"/>
      <c r="T138" s="34"/>
      <c r="U138" s="40"/>
      <c r="V138" s="34"/>
      <c r="W138" s="34"/>
      <c r="X138" s="34"/>
      <c r="Y138" s="34"/>
      <c r="Z138" s="40"/>
      <c r="AA138" s="34"/>
      <c r="AB138" s="38"/>
      <c r="AC138" s="38"/>
    </row>
    <row r="139" spans="2:29" x14ac:dyDescent="0.25">
      <c r="B139" s="34"/>
      <c r="C139" s="34"/>
      <c r="D139" s="34"/>
      <c r="E139" s="34"/>
      <c r="F139" s="40"/>
      <c r="G139" s="34"/>
      <c r="H139" s="34"/>
      <c r="I139" s="34"/>
      <c r="J139" s="34"/>
      <c r="K139" s="40"/>
      <c r="L139" s="34"/>
      <c r="M139" s="34"/>
      <c r="N139" s="34"/>
      <c r="O139" s="34"/>
      <c r="P139" s="40"/>
      <c r="Q139" s="34"/>
      <c r="R139" s="34"/>
      <c r="S139" s="34"/>
      <c r="T139" s="34"/>
      <c r="U139" s="40"/>
      <c r="V139" s="34"/>
      <c r="W139" s="34"/>
      <c r="X139" s="34"/>
      <c r="Y139" s="34"/>
      <c r="Z139" s="40"/>
      <c r="AA139" s="34"/>
      <c r="AB139" s="38"/>
      <c r="AC139" s="38"/>
    </row>
    <row r="140" spans="2:29" x14ac:dyDescent="0.25">
      <c r="B140" s="34"/>
      <c r="C140" s="34"/>
      <c r="D140" s="34"/>
      <c r="E140" s="34"/>
      <c r="F140" s="40"/>
      <c r="G140" s="34"/>
      <c r="H140" s="34"/>
      <c r="I140" s="34"/>
      <c r="J140" s="34"/>
      <c r="K140" s="40"/>
      <c r="L140" s="34"/>
      <c r="M140" s="34"/>
      <c r="N140" s="34"/>
      <c r="O140" s="34"/>
      <c r="P140" s="40"/>
      <c r="Q140" s="34"/>
      <c r="R140" s="34"/>
      <c r="S140" s="34"/>
      <c r="T140" s="34"/>
      <c r="U140" s="40"/>
      <c r="V140" s="34"/>
      <c r="W140" s="34"/>
      <c r="X140" s="34"/>
      <c r="Y140" s="34"/>
      <c r="Z140" s="40"/>
      <c r="AA140" s="34"/>
      <c r="AB140" s="38"/>
      <c r="AC140" s="38"/>
    </row>
    <row r="141" spans="2:29" x14ac:dyDescent="0.25">
      <c r="B141" s="34"/>
      <c r="C141" s="34"/>
      <c r="D141" s="34"/>
      <c r="E141" s="34"/>
      <c r="F141" s="40"/>
      <c r="G141" s="34"/>
      <c r="H141" s="34"/>
      <c r="I141" s="34"/>
      <c r="J141" s="34"/>
      <c r="K141" s="40"/>
      <c r="L141" s="34"/>
      <c r="M141" s="34"/>
      <c r="N141" s="34"/>
      <c r="O141" s="34"/>
      <c r="P141" s="40"/>
      <c r="Q141" s="34"/>
      <c r="R141" s="34"/>
      <c r="S141" s="34"/>
      <c r="T141" s="34"/>
      <c r="U141" s="40"/>
      <c r="V141" s="34"/>
      <c r="W141" s="34"/>
      <c r="X141" s="34"/>
      <c r="Y141" s="34"/>
      <c r="Z141" s="40"/>
      <c r="AA141" s="34"/>
      <c r="AB141" s="38"/>
      <c r="AC141" s="38"/>
    </row>
    <row r="142" spans="2:29" x14ac:dyDescent="0.25">
      <c r="B142" s="34"/>
      <c r="C142" s="34"/>
      <c r="D142" s="34"/>
      <c r="E142" s="34"/>
      <c r="F142" s="40"/>
      <c r="G142" s="34"/>
      <c r="H142" s="34"/>
      <c r="I142" s="34"/>
      <c r="J142" s="34"/>
      <c r="K142" s="40"/>
      <c r="L142" s="34"/>
      <c r="M142" s="34"/>
      <c r="N142" s="34"/>
      <c r="O142" s="34"/>
      <c r="P142" s="40"/>
      <c r="Q142" s="34"/>
      <c r="R142" s="34"/>
      <c r="S142" s="34"/>
      <c r="T142" s="34"/>
      <c r="U142" s="40"/>
      <c r="V142" s="34"/>
      <c r="W142" s="34"/>
      <c r="X142" s="34"/>
      <c r="Y142" s="34"/>
      <c r="Z142" s="40"/>
      <c r="AA142" s="34"/>
      <c r="AB142" s="38"/>
      <c r="AC142" s="38"/>
    </row>
    <row r="143" spans="2:29" x14ac:dyDescent="0.25">
      <c r="B143" s="34"/>
      <c r="C143" s="34"/>
      <c r="D143" s="34"/>
      <c r="E143" s="34"/>
      <c r="F143" s="40"/>
      <c r="G143" s="34"/>
      <c r="H143" s="34"/>
      <c r="I143" s="34"/>
      <c r="J143" s="34"/>
      <c r="K143" s="40"/>
      <c r="L143" s="34"/>
      <c r="M143" s="34"/>
      <c r="N143" s="34"/>
      <c r="O143" s="34"/>
      <c r="P143" s="40"/>
      <c r="Q143" s="34"/>
      <c r="R143" s="34"/>
      <c r="S143" s="34"/>
      <c r="T143" s="34"/>
      <c r="U143" s="40"/>
      <c r="V143" s="34"/>
      <c r="W143" s="34"/>
      <c r="X143" s="34"/>
      <c r="Y143" s="34"/>
      <c r="Z143" s="40"/>
      <c r="AA143" s="34"/>
      <c r="AB143" s="38"/>
      <c r="AC143" s="38"/>
    </row>
    <row r="144" spans="2:29" x14ac:dyDescent="0.25">
      <c r="B144" s="34"/>
      <c r="C144" s="34"/>
      <c r="D144" s="34"/>
      <c r="E144" s="34"/>
      <c r="F144" s="40"/>
      <c r="G144" s="34"/>
      <c r="H144" s="34"/>
      <c r="I144" s="34"/>
      <c r="J144" s="34"/>
      <c r="K144" s="40"/>
      <c r="L144" s="34"/>
      <c r="M144" s="34"/>
      <c r="N144" s="34"/>
      <c r="O144" s="34"/>
      <c r="P144" s="40"/>
      <c r="Q144" s="34"/>
      <c r="R144" s="34"/>
      <c r="S144" s="34"/>
      <c r="T144" s="34"/>
      <c r="U144" s="40"/>
      <c r="V144" s="34"/>
      <c r="W144" s="34"/>
      <c r="X144" s="34"/>
      <c r="Y144" s="34"/>
      <c r="Z144" s="40"/>
      <c r="AA144" s="34"/>
      <c r="AB144" s="38"/>
      <c r="AC144" s="38"/>
    </row>
    <row r="145" spans="2:29" x14ac:dyDescent="0.25">
      <c r="B145" s="34"/>
      <c r="C145" s="34"/>
      <c r="D145" s="34"/>
      <c r="E145" s="34"/>
      <c r="F145" s="40"/>
      <c r="G145" s="34"/>
      <c r="H145" s="34"/>
      <c r="I145" s="34"/>
      <c r="J145" s="34"/>
      <c r="K145" s="40"/>
      <c r="L145" s="34"/>
      <c r="M145" s="34"/>
      <c r="N145" s="34"/>
      <c r="O145" s="34"/>
      <c r="P145" s="40"/>
      <c r="Q145" s="34"/>
      <c r="R145" s="34"/>
      <c r="S145" s="34"/>
      <c r="T145" s="34"/>
      <c r="U145" s="40"/>
      <c r="V145" s="34"/>
      <c r="W145" s="34"/>
      <c r="X145" s="34"/>
      <c r="Y145" s="34"/>
      <c r="Z145" s="40"/>
      <c r="AA145" s="34"/>
      <c r="AB145" s="38"/>
      <c r="AC145" s="38"/>
    </row>
    <row r="146" spans="2:29" x14ac:dyDescent="0.25">
      <c r="B146" s="34"/>
      <c r="C146" s="34"/>
      <c r="D146" s="34"/>
      <c r="E146" s="34"/>
      <c r="F146" s="40"/>
      <c r="G146" s="34"/>
      <c r="H146" s="34"/>
      <c r="I146" s="34"/>
      <c r="J146" s="34"/>
      <c r="K146" s="40"/>
      <c r="L146" s="34"/>
      <c r="M146" s="34"/>
      <c r="N146" s="34"/>
      <c r="O146" s="34"/>
      <c r="P146" s="40"/>
      <c r="Q146" s="34"/>
      <c r="R146" s="34"/>
      <c r="S146" s="34"/>
      <c r="T146" s="34"/>
      <c r="U146" s="40"/>
      <c r="V146" s="34"/>
      <c r="W146" s="34"/>
      <c r="X146" s="34"/>
      <c r="Y146" s="34"/>
      <c r="Z146" s="40"/>
      <c r="AA146" s="34"/>
      <c r="AB146" s="38"/>
      <c r="AC146" s="38"/>
    </row>
    <row r="147" spans="2:29" x14ac:dyDescent="0.25">
      <c r="B147" s="34"/>
      <c r="C147" s="34"/>
      <c r="D147" s="34"/>
      <c r="E147" s="34"/>
      <c r="F147" s="40"/>
      <c r="G147" s="34"/>
      <c r="H147" s="34"/>
      <c r="I147" s="34"/>
      <c r="J147" s="34"/>
      <c r="K147" s="40"/>
      <c r="L147" s="34"/>
      <c r="M147" s="34"/>
      <c r="N147" s="34"/>
      <c r="O147" s="34"/>
      <c r="P147" s="40"/>
      <c r="Q147" s="34"/>
      <c r="R147" s="34"/>
      <c r="S147" s="34"/>
      <c r="T147" s="34"/>
      <c r="U147" s="40"/>
      <c r="V147" s="34"/>
      <c r="W147" s="34"/>
      <c r="X147" s="34"/>
      <c r="Y147" s="34"/>
      <c r="Z147" s="40"/>
      <c r="AA147" s="34"/>
      <c r="AB147" s="38"/>
      <c r="AC147" s="38"/>
    </row>
    <row r="148" spans="2:29" x14ac:dyDescent="0.25">
      <c r="B148" s="34"/>
      <c r="C148" s="34"/>
      <c r="D148" s="34"/>
      <c r="E148" s="34"/>
      <c r="F148" s="40"/>
      <c r="G148" s="34"/>
      <c r="H148" s="34"/>
      <c r="I148" s="34"/>
      <c r="J148" s="34"/>
      <c r="K148" s="40"/>
      <c r="L148" s="34"/>
      <c r="M148" s="34"/>
      <c r="N148" s="34"/>
      <c r="O148" s="34"/>
      <c r="P148" s="40"/>
      <c r="Q148" s="34"/>
      <c r="R148" s="34"/>
      <c r="S148" s="34"/>
      <c r="T148" s="34"/>
      <c r="U148" s="40"/>
      <c r="V148" s="34"/>
      <c r="W148" s="34"/>
      <c r="X148" s="34"/>
      <c r="Y148" s="34"/>
      <c r="Z148" s="40"/>
      <c r="AA148" s="34"/>
      <c r="AB148" s="38"/>
      <c r="AC148" s="38"/>
    </row>
    <row r="149" spans="2:29" x14ac:dyDescent="0.25">
      <c r="B149" s="34"/>
      <c r="C149" s="34"/>
      <c r="D149" s="34"/>
      <c r="E149" s="34"/>
      <c r="F149" s="40"/>
      <c r="G149" s="34"/>
      <c r="H149" s="34"/>
      <c r="I149" s="34"/>
      <c r="J149" s="34"/>
      <c r="K149" s="40"/>
      <c r="L149" s="34"/>
      <c r="M149" s="34"/>
      <c r="N149" s="34"/>
      <c r="O149" s="34"/>
      <c r="P149" s="40"/>
      <c r="Q149" s="34"/>
      <c r="R149" s="34"/>
      <c r="S149" s="34"/>
      <c r="T149" s="34"/>
      <c r="U149" s="40"/>
      <c r="V149" s="34"/>
      <c r="W149" s="34"/>
      <c r="X149" s="34"/>
      <c r="Y149" s="34"/>
      <c r="Z149" s="40"/>
      <c r="AA149" s="34"/>
      <c r="AB149" s="38"/>
      <c r="AC149" s="38"/>
    </row>
    <row r="150" spans="2:29" x14ac:dyDescent="0.25">
      <c r="B150" s="34"/>
      <c r="C150" s="34"/>
      <c r="D150" s="34"/>
      <c r="E150" s="34"/>
      <c r="F150" s="40"/>
      <c r="G150" s="34"/>
      <c r="H150" s="34"/>
      <c r="I150" s="34"/>
      <c r="J150" s="34"/>
      <c r="K150" s="40"/>
      <c r="L150" s="34"/>
      <c r="M150" s="34"/>
      <c r="N150" s="34"/>
      <c r="O150" s="34"/>
      <c r="P150" s="40"/>
      <c r="Q150" s="34"/>
      <c r="R150" s="34"/>
      <c r="S150" s="34"/>
      <c r="T150" s="34"/>
      <c r="U150" s="40"/>
      <c r="V150" s="34"/>
      <c r="W150" s="34"/>
      <c r="X150" s="34"/>
      <c r="Y150" s="34"/>
      <c r="Z150" s="40"/>
      <c r="AA150" s="34"/>
      <c r="AB150" s="38"/>
      <c r="AC150" s="38"/>
    </row>
    <row r="151" spans="2:29" x14ac:dyDescent="0.25">
      <c r="B151" s="34"/>
      <c r="C151" s="34"/>
      <c r="D151" s="34"/>
      <c r="E151" s="34"/>
      <c r="F151" s="40"/>
      <c r="G151" s="34"/>
      <c r="H151" s="34"/>
      <c r="I151" s="34"/>
      <c r="J151" s="34"/>
      <c r="K151" s="40"/>
      <c r="L151" s="34"/>
      <c r="M151" s="34"/>
      <c r="N151" s="34"/>
      <c r="O151" s="34"/>
      <c r="P151" s="40"/>
      <c r="Q151" s="34"/>
      <c r="R151" s="34"/>
      <c r="S151" s="34"/>
      <c r="T151" s="34"/>
      <c r="U151" s="40"/>
      <c r="V151" s="34"/>
      <c r="W151" s="34"/>
      <c r="X151" s="34"/>
      <c r="Y151" s="34"/>
      <c r="Z151" s="40"/>
      <c r="AA151" s="34"/>
      <c r="AB151" s="38"/>
      <c r="AC151" s="38"/>
    </row>
    <row r="152" spans="2:29" x14ac:dyDescent="0.25">
      <c r="B152" s="34"/>
      <c r="C152" s="34"/>
      <c r="D152" s="34"/>
      <c r="E152" s="34"/>
      <c r="F152" s="40"/>
      <c r="G152" s="34"/>
      <c r="H152" s="34"/>
      <c r="I152" s="34"/>
      <c r="J152" s="34"/>
      <c r="K152" s="40"/>
      <c r="L152" s="34"/>
      <c r="M152" s="34"/>
      <c r="N152" s="34"/>
      <c r="O152" s="34"/>
      <c r="P152" s="40"/>
      <c r="Q152" s="34"/>
      <c r="R152" s="34"/>
      <c r="S152" s="34"/>
      <c r="T152" s="34"/>
      <c r="U152" s="40"/>
      <c r="V152" s="34"/>
      <c r="W152" s="34"/>
      <c r="X152" s="34"/>
      <c r="Y152" s="34"/>
      <c r="Z152" s="40"/>
      <c r="AA152" s="34"/>
      <c r="AB152" s="38"/>
      <c r="AC152" s="38"/>
    </row>
    <row r="153" spans="2:29" x14ac:dyDescent="0.25">
      <c r="B153" s="34"/>
      <c r="C153" s="34"/>
      <c r="D153" s="34"/>
      <c r="E153" s="34"/>
      <c r="F153" s="40"/>
      <c r="G153" s="34"/>
      <c r="H153" s="34"/>
      <c r="I153" s="34"/>
      <c r="J153" s="34"/>
      <c r="K153" s="40"/>
      <c r="L153" s="34"/>
      <c r="M153" s="34"/>
      <c r="N153" s="34"/>
      <c r="O153" s="34"/>
      <c r="P153" s="40"/>
      <c r="Q153" s="34"/>
      <c r="R153" s="34"/>
      <c r="S153" s="34"/>
      <c r="T153" s="34"/>
      <c r="U153" s="40"/>
      <c r="V153" s="34"/>
      <c r="W153" s="34"/>
      <c r="X153" s="34"/>
      <c r="Y153" s="34"/>
      <c r="Z153" s="40"/>
      <c r="AA153" s="34"/>
      <c r="AB153" s="38"/>
      <c r="AC153" s="38"/>
    </row>
    <row r="154" spans="2:29" x14ac:dyDescent="0.25">
      <c r="B154" s="34"/>
      <c r="C154" s="34"/>
      <c r="D154" s="34"/>
      <c r="E154" s="34"/>
      <c r="F154" s="40"/>
      <c r="G154" s="34"/>
      <c r="H154" s="34"/>
      <c r="I154" s="34"/>
      <c r="J154" s="34"/>
      <c r="K154" s="40"/>
      <c r="L154" s="34"/>
      <c r="M154" s="34"/>
      <c r="N154" s="34"/>
      <c r="O154" s="34"/>
      <c r="P154" s="40"/>
      <c r="Q154" s="34"/>
      <c r="R154" s="34"/>
      <c r="S154" s="34"/>
      <c r="T154" s="34"/>
      <c r="U154" s="40"/>
      <c r="V154" s="34"/>
      <c r="W154" s="34"/>
      <c r="X154" s="34"/>
      <c r="Y154" s="34"/>
      <c r="Z154" s="40"/>
      <c r="AA154" s="34"/>
      <c r="AB154" s="38"/>
      <c r="AC154" s="38"/>
    </row>
    <row r="155" spans="2:29" x14ac:dyDescent="0.25">
      <c r="B155" s="34"/>
      <c r="C155" s="34"/>
      <c r="D155" s="34"/>
      <c r="E155" s="34"/>
      <c r="F155" s="40"/>
      <c r="G155" s="34"/>
      <c r="H155" s="34"/>
      <c r="I155" s="34"/>
      <c r="J155" s="34"/>
      <c r="K155" s="40"/>
      <c r="L155" s="34"/>
      <c r="M155" s="34"/>
      <c r="N155" s="34"/>
      <c r="O155" s="34"/>
      <c r="P155" s="40"/>
      <c r="Q155" s="34"/>
      <c r="R155" s="34"/>
      <c r="S155" s="34"/>
      <c r="T155" s="34"/>
      <c r="U155" s="40"/>
      <c r="V155" s="34"/>
      <c r="W155" s="34"/>
      <c r="X155" s="34"/>
      <c r="Y155" s="34"/>
      <c r="Z155" s="40"/>
      <c r="AA155" s="34"/>
      <c r="AB155" s="38"/>
      <c r="AC155" s="38"/>
    </row>
    <row r="156" spans="2:29" x14ac:dyDescent="0.25">
      <c r="B156" s="34"/>
      <c r="C156" s="34"/>
      <c r="D156" s="34"/>
      <c r="E156" s="34"/>
      <c r="F156" s="40"/>
      <c r="G156" s="34"/>
      <c r="H156" s="34"/>
      <c r="I156" s="34"/>
      <c r="J156" s="34"/>
      <c r="K156" s="40"/>
      <c r="L156" s="34"/>
      <c r="M156" s="34"/>
      <c r="N156" s="34"/>
      <c r="O156" s="34"/>
      <c r="P156" s="40"/>
      <c r="Q156" s="34"/>
      <c r="R156" s="34"/>
      <c r="S156" s="34"/>
      <c r="T156" s="34"/>
      <c r="U156" s="40"/>
      <c r="V156" s="34"/>
      <c r="W156" s="34"/>
      <c r="X156" s="34"/>
      <c r="Y156" s="34"/>
      <c r="Z156" s="40"/>
      <c r="AA156" s="34"/>
      <c r="AB156" s="38"/>
      <c r="AC156" s="38"/>
    </row>
    <row r="157" spans="2:29" x14ac:dyDescent="0.25">
      <c r="B157" s="34"/>
      <c r="C157" s="34"/>
      <c r="D157" s="34"/>
      <c r="E157" s="34"/>
      <c r="F157" s="40"/>
      <c r="G157" s="34"/>
      <c r="H157" s="34"/>
      <c r="I157" s="34"/>
      <c r="J157" s="34"/>
      <c r="K157" s="40"/>
      <c r="L157" s="34"/>
      <c r="M157" s="34"/>
      <c r="N157" s="34"/>
      <c r="O157" s="34"/>
      <c r="P157" s="40"/>
      <c r="Q157" s="34"/>
      <c r="R157" s="34"/>
      <c r="S157" s="34"/>
      <c r="T157" s="34"/>
      <c r="U157" s="40"/>
      <c r="V157" s="34"/>
      <c r="W157" s="34"/>
      <c r="X157" s="34"/>
      <c r="Y157" s="34"/>
      <c r="Z157" s="40"/>
      <c r="AA157" s="34"/>
      <c r="AB157" s="38"/>
      <c r="AC157" s="38"/>
    </row>
    <row r="158" spans="2:29" x14ac:dyDescent="0.25">
      <c r="B158" s="34"/>
      <c r="C158" s="34"/>
      <c r="D158" s="34"/>
      <c r="E158" s="34"/>
      <c r="F158" s="40"/>
      <c r="G158" s="34"/>
      <c r="H158" s="34"/>
      <c r="I158" s="34"/>
      <c r="J158" s="34"/>
      <c r="K158" s="40"/>
      <c r="L158" s="34"/>
      <c r="M158" s="34"/>
      <c r="N158" s="34"/>
      <c r="O158" s="34"/>
      <c r="P158" s="40"/>
      <c r="Q158" s="34"/>
      <c r="R158" s="34"/>
      <c r="S158" s="34"/>
      <c r="T158" s="34"/>
      <c r="U158" s="40"/>
      <c r="V158" s="34"/>
      <c r="W158" s="34"/>
      <c r="X158" s="34"/>
      <c r="Y158" s="34"/>
      <c r="Z158" s="40"/>
      <c r="AA158" s="34"/>
      <c r="AB158" s="38"/>
      <c r="AC158" s="38"/>
    </row>
    <row r="159" spans="2:29" x14ac:dyDescent="0.25">
      <c r="B159" s="34"/>
      <c r="C159" s="34"/>
      <c r="D159" s="34"/>
      <c r="E159" s="34"/>
      <c r="F159" s="40"/>
      <c r="G159" s="34"/>
      <c r="H159" s="34"/>
      <c r="I159" s="34"/>
      <c r="J159" s="34"/>
      <c r="K159" s="40"/>
      <c r="L159" s="34"/>
      <c r="M159" s="34"/>
      <c r="N159" s="34"/>
      <c r="O159" s="34"/>
      <c r="P159" s="40"/>
      <c r="Q159" s="34"/>
      <c r="R159" s="34"/>
      <c r="S159" s="34"/>
      <c r="T159" s="34"/>
      <c r="U159" s="40"/>
      <c r="V159" s="34"/>
      <c r="W159" s="34"/>
      <c r="X159" s="34"/>
      <c r="Y159" s="34"/>
      <c r="Z159" s="40"/>
      <c r="AA159" s="34"/>
      <c r="AB159" s="38"/>
      <c r="AC159" s="38"/>
    </row>
    <row r="160" spans="2:29" x14ac:dyDescent="0.25">
      <c r="B160" s="34"/>
      <c r="C160" s="34"/>
      <c r="D160" s="34"/>
      <c r="E160" s="34"/>
      <c r="F160" s="40"/>
      <c r="G160" s="34"/>
      <c r="H160" s="34"/>
      <c r="I160" s="34"/>
      <c r="J160" s="34"/>
      <c r="K160" s="40"/>
      <c r="L160" s="34"/>
      <c r="M160" s="34"/>
      <c r="N160" s="34"/>
      <c r="O160" s="34"/>
      <c r="P160" s="40"/>
      <c r="Q160" s="34"/>
      <c r="R160" s="34"/>
      <c r="S160" s="34"/>
      <c r="T160" s="34"/>
      <c r="U160" s="40"/>
      <c r="V160" s="34"/>
      <c r="W160" s="34"/>
      <c r="X160" s="34"/>
      <c r="Y160" s="34"/>
      <c r="Z160" s="40"/>
      <c r="AA160" s="34"/>
      <c r="AB160" s="38"/>
      <c r="AC160" s="38"/>
    </row>
    <row r="161" spans="2:29" x14ac:dyDescent="0.25">
      <c r="B161" s="34"/>
      <c r="C161" s="34"/>
      <c r="D161" s="34"/>
      <c r="E161" s="34"/>
      <c r="F161" s="40"/>
      <c r="G161" s="34"/>
      <c r="H161" s="34"/>
      <c r="I161" s="34"/>
      <c r="J161" s="34"/>
      <c r="K161" s="40"/>
      <c r="L161" s="34"/>
      <c r="M161" s="34"/>
      <c r="N161" s="34"/>
      <c r="O161" s="34"/>
      <c r="P161" s="40"/>
      <c r="Q161" s="34"/>
      <c r="R161" s="34"/>
      <c r="S161" s="34"/>
      <c r="T161" s="34"/>
      <c r="U161" s="40"/>
      <c r="V161" s="34"/>
      <c r="W161" s="34"/>
      <c r="X161" s="34"/>
      <c r="Y161" s="34"/>
      <c r="Z161" s="40"/>
      <c r="AA161" s="34"/>
      <c r="AB161" s="38"/>
      <c r="AC161" s="38"/>
    </row>
    <row r="162" spans="2:29" x14ac:dyDescent="0.25">
      <c r="B162" s="34"/>
      <c r="C162" s="34"/>
      <c r="D162" s="34"/>
      <c r="E162" s="34"/>
      <c r="F162" s="40"/>
      <c r="G162" s="34"/>
      <c r="H162" s="34"/>
      <c r="I162" s="34"/>
      <c r="J162" s="34"/>
      <c r="K162" s="40"/>
      <c r="L162" s="34"/>
      <c r="M162" s="34"/>
      <c r="N162" s="34"/>
      <c r="O162" s="34"/>
      <c r="P162" s="40"/>
      <c r="Q162" s="34"/>
      <c r="R162" s="34"/>
      <c r="S162" s="34"/>
      <c r="T162" s="34"/>
      <c r="U162" s="40"/>
      <c r="V162" s="34"/>
      <c r="W162" s="34"/>
      <c r="X162" s="34"/>
      <c r="Y162" s="34"/>
      <c r="Z162" s="40"/>
      <c r="AA162" s="34"/>
      <c r="AB162" s="38"/>
      <c r="AC162" s="38"/>
    </row>
    <row r="163" spans="2:29" x14ac:dyDescent="0.25">
      <c r="B163" s="34"/>
      <c r="C163" s="34"/>
      <c r="D163" s="34"/>
      <c r="E163" s="34"/>
      <c r="F163" s="40"/>
      <c r="G163" s="34"/>
      <c r="H163" s="34"/>
      <c r="I163" s="34"/>
      <c r="J163" s="34"/>
      <c r="K163" s="40"/>
      <c r="L163" s="34"/>
      <c r="M163" s="34"/>
      <c r="N163" s="34"/>
      <c r="O163" s="34"/>
      <c r="P163" s="40"/>
      <c r="Q163" s="34"/>
      <c r="R163" s="34"/>
      <c r="S163" s="34"/>
      <c r="T163" s="34"/>
      <c r="U163" s="40"/>
      <c r="V163" s="34"/>
      <c r="W163" s="34"/>
      <c r="X163" s="34"/>
      <c r="Y163" s="34"/>
      <c r="Z163" s="40"/>
      <c r="AA163" s="34"/>
      <c r="AB163" s="38"/>
      <c r="AC163" s="38"/>
    </row>
    <row r="164" spans="2:29" x14ac:dyDescent="0.25">
      <c r="B164" s="34"/>
      <c r="C164" s="34"/>
      <c r="D164" s="34"/>
      <c r="E164" s="34"/>
      <c r="F164" s="40"/>
      <c r="G164" s="34"/>
      <c r="H164" s="34"/>
      <c r="I164" s="34"/>
      <c r="J164" s="34"/>
      <c r="K164" s="40"/>
      <c r="L164" s="34"/>
      <c r="M164" s="34"/>
      <c r="N164" s="34"/>
      <c r="O164" s="34"/>
      <c r="P164" s="40"/>
      <c r="Q164" s="34"/>
      <c r="R164" s="34"/>
      <c r="S164" s="34"/>
      <c r="T164" s="34"/>
      <c r="U164" s="40"/>
      <c r="V164" s="34"/>
      <c r="W164" s="34"/>
      <c r="X164" s="34"/>
      <c r="Y164" s="34"/>
      <c r="Z164" s="40"/>
      <c r="AA164" s="34"/>
      <c r="AB164" s="38"/>
      <c r="AC164" s="38"/>
    </row>
    <row r="165" spans="2:29" x14ac:dyDescent="0.25">
      <c r="B165" s="34"/>
      <c r="C165" s="34"/>
      <c r="D165" s="34"/>
      <c r="E165" s="34"/>
      <c r="F165" s="40"/>
      <c r="G165" s="34"/>
      <c r="H165" s="34"/>
      <c r="I165" s="34"/>
      <c r="J165" s="34"/>
      <c r="K165" s="40"/>
      <c r="L165" s="34"/>
      <c r="M165" s="34"/>
      <c r="N165" s="34"/>
      <c r="O165" s="34"/>
      <c r="P165" s="40"/>
      <c r="Q165" s="34"/>
      <c r="R165" s="34"/>
      <c r="S165" s="34"/>
      <c r="T165" s="34"/>
      <c r="U165" s="40"/>
      <c r="V165" s="34"/>
      <c r="W165" s="34"/>
      <c r="X165" s="34"/>
      <c r="Y165" s="34"/>
      <c r="Z165" s="40"/>
      <c r="AA165" s="34"/>
      <c r="AB165" s="38"/>
      <c r="AC165" s="38"/>
    </row>
    <row r="166" spans="2:29" x14ac:dyDescent="0.25">
      <c r="B166" s="34"/>
      <c r="C166" s="34"/>
      <c r="D166" s="34"/>
      <c r="E166" s="34"/>
      <c r="F166" s="40"/>
      <c r="G166" s="34"/>
      <c r="H166" s="34"/>
      <c r="I166" s="34"/>
      <c r="J166" s="34"/>
      <c r="K166" s="40"/>
      <c r="L166" s="34"/>
      <c r="M166" s="34"/>
      <c r="N166" s="34"/>
      <c r="O166" s="34"/>
      <c r="P166" s="40"/>
      <c r="Q166" s="34"/>
      <c r="R166" s="34"/>
      <c r="S166" s="34"/>
      <c r="T166" s="34"/>
      <c r="U166" s="40"/>
      <c r="V166" s="34"/>
      <c r="W166" s="34"/>
      <c r="X166" s="34"/>
      <c r="Y166" s="34"/>
      <c r="Z166" s="40"/>
      <c r="AA166" s="34"/>
      <c r="AB166" s="38"/>
      <c r="AC166" s="38"/>
    </row>
    <row r="167" spans="2:29" x14ac:dyDescent="0.25">
      <c r="B167" s="34"/>
      <c r="C167" s="34"/>
      <c r="D167" s="34"/>
      <c r="E167" s="34"/>
      <c r="F167" s="40"/>
      <c r="G167" s="34"/>
      <c r="H167" s="34"/>
      <c r="I167" s="34"/>
      <c r="J167" s="34"/>
      <c r="K167" s="40"/>
      <c r="L167" s="34"/>
      <c r="M167" s="34"/>
      <c r="N167" s="34"/>
      <c r="O167" s="34"/>
      <c r="P167" s="40"/>
      <c r="Q167" s="34"/>
      <c r="R167" s="34"/>
      <c r="S167" s="34"/>
      <c r="T167" s="34"/>
      <c r="U167" s="40"/>
      <c r="V167" s="34"/>
      <c r="W167" s="34"/>
      <c r="X167" s="34"/>
      <c r="Y167" s="34"/>
      <c r="Z167" s="40"/>
      <c r="AA167" s="34"/>
      <c r="AB167" s="38"/>
      <c r="AC167" s="38"/>
    </row>
    <row r="168" spans="2:29" x14ac:dyDescent="0.25">
      <c r="B168" s="34"/>
      <c r="C168" s="34"/>
      <c r="D168" s="34"/>
      <c r="E168" s="34"/>
      <c r="F168" s="40"/>
      <c r="G168" s="34"/>
      <c r="H168" s="34"/>
      <c r="I168" s="34"/>
      <c r="J168" s="34"/>
      <c r="K168" s="40"/>
      <c r="L168" s="34"/>
      <c r="M168" s="34"/>
      <c r="N168" s="34"/>
      <c r="O168" s="34"/>
      <c r="P168" s="40"/>
      <c r="Q168" s="34"/>
      <c r="R168" s="34"/>
      <c r="S168" s="34"/>
      <c r="T168" s="34"/>
      <c r="U168" s="40"/>
      <c r="V168" s="34"/>
      <c r="W168" s="34"/>
      <c r="X168" s="34"/>
      <c r="Y168" s="34"/>
      <c r="Z168" s="40"/>
      <c r="AA168" s="34"/>
      <c r="AB168" s="38"/>
      <c r="AC168" s="38"/>
    </row>
    <row r="169" spans="2:29" x14ac:dyDescent="0.25">
      <c r="B169" s="34"/>
      <c r="C169" s="34"/>
      <c r="D169" s="34"/>
      <c r="E169" s="34"/>
      <c r="F169" s="40"/>
      <c r="G169" s="34"/>
      <c r="H169" s="34"/>
      <c r="I169" s="34"/>
      <c r="J169" s="34"/>
      <c r="K169" s="40"/>
      <c r="L169" s="34"/>
      <c r="M169" s="34"/>
      <c r="N169" s="34"/>
      <c r="O169" s="34"/>
      <c r="P169" s="40"/>
      <c r="Q169" s="34"/>
      <c r="R169" s="34"/>
      <c r="S169" s="34"/>
      <c r="T169" s="34"/>
      <c r="U169" s="40"/>
      <c r="V169" s="34"/>
      <c r="W169" s="34"/>
      <c r="X169" s="34"/>
      <c r="Y169" s="34"/>
      <c r="Z169" s="40"/>
      <c r="AA169" s="34"/>
      <c r="AB169" s="38"/>
      <c r="AC169" s="38"/>
    </row>
    <row r="170" spans="2:29" x14ac:dyDescent="0.25">
      <c r="B170" s="34"/>
      <c r="C170" s="34"/>
      <c r="D170" s="34"/>
      <c r="E170" s="34"/>
      <c r="F170" s="40"/>
      <c r="G170" s="34"/>
      <c r="H170" s="34"/>
      <c r="I170" s="34"/>
      <c r="J170" s="34"/>
      <c r="K170" s="40"/>
      <c r="L170" s="34"/>
      <c r="M170" s="34"/>
      <c r="N170" s="34"/>
      <c r="O170" s="34"/>
      <c r="P170" s="40"/>
      <c r="Q170" s="34"/>
      <c r="R170" s="34"/>
      <c r="S170" s="34"/>
      <c r="T170" s="34"/>
      <c r="U170" s="40"/>
      <c r="V170" s="34"/>
      <c r="W170" s="34"/>
      <c r="X170" s="34"/>
      <c r="Y170" s="34"/>
      <c r="Z170" s="40"/>
      <c r="AA170" s="34"/>
      <c r="AB170" s="38"/>
      <c r="AC170" s="38"/>
    </row>
    <row r="171" spans="2:29" x14ac:dyDescent="0.25">
      <c r="B171" s="34"/>
      <c r="C171" s="34"/>
      <c r="D171" s="34"/>
      <c r="E171" s="34"/>
      <c r="F171" s="40"/>
      <c r="G171" s="34"/>
      <c r="H171" s="34"/>
      <c r="I171" s="34"/>
      <c r="J171" s="34"/>
      <c r="K171" s="40"/>
      <c r="L171" s="34"/>
      <c r="M171" s="34"/>
      <c r="N171" s="34"/>
      <c r="O171" s="34"/>
      <c r="P171" s="40"/>
      <c r="Q171" s="34"/>
      <c r="R171" s="34"/>
      <c r="S171" s="34"/>
      <c r="T171" s="34"/>
      <c r="U171" s="40"/>
      <c r="V171" s="34"/>
      <c r="W171" s="34"/>
      <c r="X171" s="34"/>
      <c r="Y171" s="34"/>
      <c r="Z171" s="40"/>
      <c r="AA171" s="34"/>
      <c r="AB171" s="38"/>
      <c r="AC171" s="38"/>
    </row>
    <row r="172" spans="2:29" x14ac:dyDescent="0.25">
      <c r="B172" s="34"/>
      <c r="C172" s="34"/>
      <c r="D172" s="34"/>
      <c r="E172" s="34"/>
      <c r="F172" s="40"/>
      <c r="G172" s="34"/>
      <c r="H172" s="34"/>
      <c r="I172" s="34"/>
      <c r="J172" s="34"/>
      <c r="K172" s="40"/>
      <c r="L172" s="34"/>
      <c r="M172" s="34"/>
      <c r="N172" s="34"/>
      <c r="O172" s="34"/>
      <c r="P172" s="40"/>
      <c r="Q172" s="34"/>
      <c r="R172" s="34"/>
      <c r="S172" s="34"/>
      <c r="T172" s="34"/>
      <c r="U172" s="40"/>
      <c r="V172" s="34"/>
      <c r="W172" s="34"/>
      <c r="X172" s="34"/>
      <c r="Y172" s="34"/>
      <c r="Z172" s="40"/>
      <c r="AA172" s="34"/>
      <c r="AB172" s="38"/>
      <c r="AC172" s="38"/>
    </row>
    <row r="173" spans="2:29" x14ac:dyDescent="0.25">
      <c r="B173" s="34"/>
      <c r="C173" s="34"/>
      <c r="D173" s="34"/>
      <c r="E173" s="34"/>
      <c r="F173" s="40"/>
      <c r="G173" s="34"/>
      <c r="H173" s="34"/>
      <c r="I173" s="34"/>
      <c r="J173" s="34"/>
      <c r="K173" s="40"/>
      <c r="L173" s="34"/>
      <c r="M173" s="34"/>
      <c r="N173" s="34"/>
      <c r="O173" s="34"/>
      <c r="P173" s="40"/>
      <c r="Q173" s="34"/>
      <c r="R173" s="34"/>
      <c r="S173" s="34"/>
      <c r="T173" s="34"/>
      <c r="U173" s="40"/>
      <c r="V173" s="34"/>
      <c r="W173" s="34"/>
      <c r="X173" s="34"/>
      <c r="Y173" s="34"/>
      <c r="Z173" s="40"/>
      <c r="AA173" s="34"/>
      <c r="AB173" s="38"/>
      <c r="AC173" s="38"/>
    </row>
    <row r="174" spans="2:29" x14ac:dyDescent="0.25">
      <c r="B174" s="34"/>
      <c r="C174" s="34"/>
      <c r="D174" s="34"/>
      <c r="E174" s="34"/>
      <c r="F174" s="40"/>
      <c r="G174" s="34"/>
      <c r="H174" s="34"/>
      <c r="I174" s="34"/>
      <c r="J174" s="34"/>
      <c r="K174" s="40"/>
      <c r="L174" s="34"/>
      <c r="M174" s="34"/>
      <c r="N174" s="34"/>
      <c r="O174" s="34"/>
      <c r="P174" s="40"/>
      <c r="Q174" s="34"/>
      <c r="R174" s="34"/>
      <c r="S174" s="34"/>
      <c r="T174" s="34"/>
      <c r="U174" s="40"/>
      <c r="V174" s="34"/>
      <c r="W174" s="34"/>
      <c r="X174" s="34"/>
      <c r="Y174" s="34"/>
      <c r="Z174" s="40"/>
      <c r="AA174" s="34"/>
      <c r="AB174" s="38"/>
      <c r="AC174" s="38"/>
    </row>
    <row r="175" spans="2:29" x14ac:dyDescent="0.25">
      <c r="B175" s="34"/>
      <c r="C175" s="34"/>
      <c r="D175" s="34"/>
      <c r="E175" s="34"/>
      <c r="F175" s="40"/>
      <c r="G175" s="34"/>
      <c r="H175" s="34"/>
      <c r="I175" s="34"/>
      <c r="J175" s="34"/>
      <c r="K175" s="40"/>
      <c r="L175" s="34"/>
      <c r="M175" s="34"/>
      <c r="N175" s="34"/>
      <c r="O175" s="34"/>
      <c r="P175" s="40"/>
      <c r="Q175" s="34"/>
      <c r="R175" s="34"/>
      <c r="S175" s="34"/>
      <c r="T175" s="34"/>
      <c r="U175" s="40"/>
      <c r="V175" s="34"/>
      <c r="W175" s="34"/>
      <c r="X175" s="34"/>
      <c r="Y175" s="34"/>
      <c r="Z175" s="40"/>
      <c r="AA175" s="34"/>
      <c r="AB175" s="38"/>
      <c r="AC175" s="38"/>
    </row>
    <row r="176" spans="2:29" x14ac:dyDescent="0.25">
      <c r="B176" s="34"/>
      <c r="C176" s="34"/>
      <c r="D176" s="34"/>
      <c r="E176" s="34"/>
      <c r="F176" s="40"/>
      <c r="G176" s="34"/>
      <c r="H176" s="34"/>
      <c r="I176" s="34"/>
      <c r="J176" s="34"/>
      <c r="K176" s="40"/>
      <c r="L176" s="34"/>
      <c r="M176" s="34"/>
      <c r="N176" s="34"/>
      <c r="O176" s="34"/>
      <c r="P176" s="40"/>
      <c r="Q176" s="34"/>
      <c r="R176" s="34"/>
      <c r="S176" s="34"/>
      <c r="T176" s="34"/>
      <c r="U176" s="40"/>
      <c r="V176" s="34"/>
      <c r="W176" s="34"/>
      <c r="X176" s="34"/>
      <c r="Y176" s="34"/>
      <c r="Z176" s="40"/>
      <c r="AA176" s="34"/>
      <c r="AB176" s="38"/>
      <c r="AC176" s="38"/>
    </row>
    <row r="177" spans="2:29" x14ac:dyDescent="0.25">
      <c r="B177" s="34"/>
      <c r="C177" s="34"/>
      <c r="D177" s="34"/>
      <c r="E177" s="34"/>
      <c r="F177" s="40"/>
      <c r="G177" s="34"/>
      <c r="H177" s="34"/>
      <c r="I177" s="34"/>
      <c r="J177" s="34"/>
      <c r="K177" s="40"/>
      <c r="L177" s="34"/>
      <c r="M177" s="34"/>
      <c r="N177" s="34"/>
      <c r="O177" s="34"/>
      <c r="P177" s="40"/>
      <c r="Q177" s="34"/>
      <c r="R177" s="34"/>
      <c r="S177" s="34"/>
      <c r="T177" s="34"/>
      <c r="U177" s="40"/>
      <c r="V177" s="34"/>
      <c r="W177" s="34"/>
      <c r="X177" s="34"/>
      <c r="Y177" s="34"/>
      <c r="Z177" s="40"/>
      <c r="AA177" s="34"/>
      <c r="AB177" s="38"/>
      <c r="AC177" s="38"/>
    </row>
    <row r="178" spans="2:29" x14ac:dyDescent="0.25">
      <c r="B178" s="34"/>
      <c r="C178" s="34"/>
      <c r="D178" s="34"/>
      <c r="E178" s="34"/>
      <c r="F178" s="40"/>
      <c r="G178" s="34"/>
      <c r="H178" s="34"/>
      <c r="I178" s="34"/>
      <c r="J178" s="34"/>
      <c r="K178" s="40"/>
      <c r="L178" s="34"/>
      <c r="M178" s="34"/>
      <c r="N178" s="34"/>
      <c r="O178" s="34"/>
      <c r="P178" s="40"/>
      <c r="Q178" s="34"/>
      <c r="R178" s="34"/>
      <c r="S178" s="34"/>
      <c r="T178" s="34"/>
      <c r="U178" s="40"/>
      <c r="V178" s="34"/>
      <c r="W178" s="34"/>
      <c r="X178" s="34"/>
      <c r="Y178" s="34"/>
      <c r="Z178" s="40"/>
      <c r="AA178" s="34"/>
      <c r="AB178" s="38"/>
      <c r="AC178" s="38"/>
    </row>
    <row r="179" spans="2:29" x14ac:dyDescent="0.25">
      <c r="B179" s="34"/>
      <c r="C179" s="34"/>
      <c r="D179" s="34"/>
      <c r="E179" s="34"/>
      <c r="F179" s="40"/>
      <c r="G179" s="34"/>
      <c r="H179" s="34"/>
      <c r="I179" s="34"/>
      <c r="J179" s="34"/>
      <c r="K179" s="40"/>
      <c r="L179" s="34"/>
      <c r="M179" s="34"/>
      <c r="N179" s="34"/>
      <c r="O179" s="34"/>
      <c r="P179" s="40"/>
      <c r="Q179" s="34"/>
      <c r="R179" s="34"/>
      <c r="S179" s="34"/>
      <c r="T179" s="34"/>
      <c r="U179" s="40"/>
      <c r="V179" s="34"/>
      <c r="W179" s="34"/>
      <c r="X179" s="34"/>
      <c r="Y179" s="34"/>
      <c r="Z179" s="40"/>
      <c r="AA179" s="34"/>
      <c r="AB179" s="38"/>
      <c r="AC179" s="38"/>
    </row>
    <row r="180" spans="2:29" x14ac:dyDescent="0.25">
      <c r="B180" s="34"/>
      <c r="C180" s="34"/>
      <c r="D180" s="34"/>
      <c r="E180" s="34"/>
      <c r="F180" s="40"/>
      <c r="G180" s="34"/>
      <c r="H180" s="34"/>
      <c r="I180" s="34"/>
      <c r="J180" s="34"/>
      <c r="K180" s="40"/>
      <c r="L180" s="34"/>
      <c r="M180" s="34"/>
      <c r="N180" s="34"/>
      <c r="O180" s="34"/>
      <c r="P180" s="40"/>
      <c r="Q180" s="34"/>
      <c r="R180" s="34"/>
      <c r="S180" s="34"/>
      <c r="T180" s="34"/>
      <c r="U180" s="40"/>
      <c r="V180" s="34"/>
      <c r="W180" s="34"/>
      <c r="X180" s="34"/>
      <c r="Y180" s="34"/>
      <c r="Z180" s="40"/>
      <c r="AA180" s="34"/>
      <c r="AB180" s="38"/>
      <c r="AC180" s="38"/>
    </row>
    <row r="181" spans="2:29" x14ac:dyDescent="0.25">
      <c r="B181" s="34"/>
      <c r="C181" s="34"/>
      <c r="D181" s="34"/>
      <c r="E181" s="34"/>
      <c r="F181" s="40"/>
      <c r="G181" s="34"/>
      <c r="H181" s="34"/>
      <c r="I181" s="34"/>
      <c r="J181" s="34"/>
      <c r="K181" s="40"/>
      <c r="L181" s="34"/>
      <c r="M181" s="34"/>
      <c r="N181" s="34"/>
      <c r="O181" s="34"/>
      <c r="P181" s="40"/>
      <c r="Q181" s="34"/>
      <c r="R181" s="34"/>
      <c r="S181" s="34"/>
      <c r="T181" s="34"/>
      <c r="U181" s="40"/>
      <c r="V181" s="34"/>
      <c r="W181" s="34"/>
      <c r="X181" s="34"/>
      <c r="Y181" s="34"/>
      <c r="Z181" s="40"/>
      <c r="AA181" s="34"/>
      <c r="AB181" s="38"/>
      <c r="AC181" s="38"/>
    </row>
    <row r="182" spans="2:29" x14ac:dyDescent="0.25">
      <c r="B182" s="34"/>
      <c r="C182" s="34"/>
      <c r="D182" s="34"/>
      <c r="E182" s="34"/>
      <c r="F182" s="40"/>
      <c r="G182" s="34"/>
      <c r="H182" s="34"/>
      <c r="I182" s="34"/>
      <c r="J182" s="34"/>
      <c r="K182" s="40"/>
      <c r="L182" s="34"/>
      <c r="M182" s="34"/>
      <c r="N182" s="34"/>
      <c r="O182" s="34"/>
      <c r="P182" s="40"/>
      <c r="Q182" s="34"/>
      <c r="R182" s="34"/>
      <c r="S182" s="34"/>
      <c r="T182" s="34"/>
      <c r="U182" s="40"/>
      <c r="V182" s="34"/>
      <c r="W182" s="34"/>
      <c r="X182" s="34"/>
      <c r="Y182" s="34"/>
      <c r="Z182" s="40"/>
      <c r="AA182" s="34"/>
      <c r="AB182" s="38"/>
      <c r="AC182" s="38"/>
    </row>
    <row r="183" spans="2:29" x14ac:dyDescent="0.25">
      <c r="B183" s="34"/>
      <c r="C183" s="34"/>
      <c r="D183" s="34"/>
      <c r="E183" s="34"/>
      <c r="F183" s="40"/>
      <c r="G183" s="34"/>
      <c r="H183" s="34"/>
      <c r="I183" s="34"/>
      <c r="J183" s="34"/>
      <c r="K183" s="40"/>
      <c r="L183" s="34"/>
      <c r="M183" s="34"/>
      <c r="N183" s="34"/>
      <c r="O183" s="34"/>
      <c r="P183" s="40"/>
      <c r="Q183" s="34"/>
      <c r="R183" s="34"/>
      <c r="S183" s="34"/>
      <c r="T183" s="34"/>
      <c r="U183" s="40"/>
      <c r="V183" s="34"/>
      <c r="W183" s="34"/>
      <c r="X183" s="34"/>
      <c r="Y183" s="34"/>
      <c r="Z183" s="40"/>
      <c r="AA183" s="34"/>
      <c r="AB183" s="38"/>
      <c r="AC183" s="38"/>
    </row>
    <row r="184" spans="2:29" x14ac:dyDescent="0.25">
      <c r="B184" s="34"/>
      <c r="C184" s="34"/>
      <c r="D184" s="34"/>
      <c r="E184" s="34"/>
      <c r="F184" s="40"/>
      <c r="G184" s="34"/>
      <c r="H184" s="34"/>
      <c r="I184" s="34"/>
      <c r="J184" s="34"/>
      <c r="K184" s="40"/>
      <c r="L184" s="34"/>
      <c r="M184" s="34"/>
      <c r="N184" s="34"/>
      <c r="O184" s="34"/>
      <c r="P184" s="40"/>
      <c r="Q184" s="34"/>
      <c r="R184" s="34"/>
      <c r="S184" s="34"/>
      <c r="T184" s="34"/>
      <c r="U184" s="40"/>
      <c r="V184" s="34"/>
      <c r="W184" s="34"/>
      <c r="X184" s="34"/>
      <c r="Y184" s="34"/>
      <c r="Z184" s="40"/>
      <c r="AA184" s="34"/>
      <c r="AB184" s="38"/>
      <c r="AC184" s="38"/>
    </row>
    <row r="185" spans="2:29" x14ac:dyDescent="0.25">
      <c r="B185" s="34"/>
      <c r="C185" s="34"/>
      <c r="D185" s="34"/>
      <c r="E185" s="34"/>
      <c r="F185" s="40"/>
      <c r="G185" s="34"/>
      <c r="H185" s="34"/>
      <c r="I185" s="34"/>
      <c r="J185" s="34"/>
      <c r="K185" s="40"/>
      <c r="L185" s="34"/>
      <c r="M185" s="34"/>
      <c r="N185" s="34"/>
      <c r="O185" s="34"/>
      <c r="P185" s="40"/>
      <c r="Q185" s="34"/>
      <c r="R185" s="34"/>
      <c r="S185" s="34"/>
      <c r="T185" s="34"/>
      <c r="U185" s="40"/>
      <c r="V185" s="34"/>
      <c r="W185" s="34"/>
      <c r="X185" s="34"/>
      <c r="Y185" s="34"/>
      <c r="Z185" s="40"/>
      <c r="AA185" s="34"/>
      <c r="AB185" s="38"/>
      <c r="AC185" s="38"/>
    </row>
    <row r="186" spans="2:29" x14ac:dyDescent="0.25">
      <c r="B186" s="34"/>
      <c r="C186" s="34"/>
      <c r="D186" s="34"/>
      <c r="E186" s="34"/>
      <c r="F186" s="40"/>
      <c r="G186" s="34"/>
      <c r="H186" s="34"/>
      <c r="I186" s="34"/>
      <c r="J186" s="34"/>
      <c r="K186" s="40"/>
      <c r="L186" s="34"/>
      <c r="M186" s="34"/>
      <c r="N186" s="34"/>
      <c r="O186" s="34"/>
      <c r="P186" s="40"/>
      <c r="Q186" s="34"/>
      <c r="R186" s="34"/>
      <c r="S186" s="34"/>
      <c r="T186" s="34"/>
      <c r="U186" s="40"/>
      <c r="V186" s="34"/>
      <c r="W186" s="34"/>
      <c r="X186" s="34"/>
      <c r="Y186" s="34"/>
      <c r="Z186" s="40"/>
      <c r="AA186" s="34"/>
      <c r="AB186" s="38"/>
      <c r="AC186" s="38"/>
    </row>
    <row r="187" spans="2:29" x14ac:dyDescent="0.25">
      <c r="B187" s="34"/>
      <c r="C187" s="34"/>
      <c r="D187" s="34"/>
      <c r="E187" s="34"/>
      <c r="F187" s="40"/>
      <c r="G187" s="34"/>
      <c r="H187" s="34"/>
      <c r="I187" s="34"/>
      <c r="J187" s="34"/>
      <c r="K187" s="40"/>
      <c r="L187" s="34"/>
      <c r="M187" s="34"/>
      <c r="N187" s="34"/>
      <c r="O187" s="34"/>
      <c r="P187" s="40"/>
      <c r="Q187" s="34"/>
      <c r="R187" s="34"/>
      <c r="S187" s="34"/>
      <c r="T187" s="34"/>
      <c r="U187" s="40"/>
      <c r="V187" s="34"/>
      <c r="W187" s="34"/>
      <c r="X187" s="34"/>
      <c r="Y187" s="34"/>
      <c r="Z187" s="40"/>
      <c r="AA187" s="34"/>
      <c r="AB187" s="38"/>
      <c r="AC187" s="38"/>
    </row>
    <row r="188" spans="2:29" x14ac:dyDescent="0.25">
      <c r="B188" s="34"/>
      <c r="C188" s="34"/>
      <c r="D188" s="34"/>
      <c r="E188" s="34"/>
      <c r="F188" s="40"/>
      <c r="G188" s="34"/>
      <c r="H188" s="34"/>
      <c r="I188" s="34"/>
      <c r="J188" s="34"/>
      <c r="K188" s="40"/>
      <c r="L188" s="34"/>
      <c r="M188" s="34"/>
      <c r="N188" s="34"/>
      <c r="O188" s="34"/>
      <c r="P188" s="40"/>
      <c r="Q188" s="34"/>
      <c r="R188" s="34"/>
      <c r="S188" s="34"/>
      <c r="T188" s="34"/>
      <c r="U188" s="40"/>
      <c r="V188" s="34"/>
      <c r="W188" s="34"/>
      <c r="X188" s="34"/>
      <c r="Y188" s="34"/>
      <c r="Z188" s="40"/>
      <c r="AA188" s="34"/>
      <c r="AB188" s="38"/>
      <c r="AC188" s="38"/>
    </row>
    <row r="189" spans="2:29" x14ac:dyDescent="0.25">
      <c r="B189" s="34"/>
      <c r="C189" s="34"/>
      <c r="D189" s="34"/>
      <c r="E189" s="34"/>
      <c r="F189" s="40"/>
      <c r="G189" s="34"/>
      <c r="H189" s="34"/>
      <c r="I189" s="34"/>
      <c r="J189" s="34"/>
      <c r="K189" s="40"/>
      <c r="L189" s="34"/>
      <c r="M189" s="34"/>
      <c r="N189" s="34"/>
      <c r="O189" s="34"/>
      <c r="P189" s="40"/>
      <c r="Q189" s="34"/>
      <c r="R189" s="34"/>
      <c r="S189" s="34"/>
      <c r="T189" s="34"/>
      <c r="U189" s="40"/>
      <c r="V189" s="34"/>
      <c r="W189" s="34"/>
      <c r="X189" s="34"/>
      <c r="Y189" s="34"/>
      <c r="Z189" s="40"/>
      <c r="AA189" s="34"/>
      <c r="AB189" s="38"/>
      <c r="AC189" s="38"/>
    </row>
    <row r="190" spans="2:29" x14ac:dyDescent="0.25">
      <c r="B190" s="34"/>
      <c r="C190" s="34"/>
      <c r="D190" s="34"/>
      <c r="E190" s="34"/>
      <c r="F190" s="40"/>
      <c r="G190" s="34"/>
      <c r="H190" s="34"/>
      <c r="I190" s="34"/>
      <c r="J190" s="34"/>
      <c r="K190" s="40"/>
      <c r="L190" s="34"/>
      <c r="M190" s="34"/>
      <c r="N190" s="34"/>
      <c r="O190" s="34"/>
      <c r="P190" s="40"/>
      <c r="Q190" s="34"/>
      <c r="R190" s="34"/>
      <c r="S190" s="34"/>
      <c r="T190" s="34"/>
      <c r="U190" s="40"/>
      <c r="V190" s="34"/>
      <c r="W190" s="34"/>
      <c r="X190" s="34"/>
      <c r="Y190" s="34"/>
      <c r="Z190" s="40"/>
      <c r="AA190" s="34"/>
      <c r="AB190" s="38"/>
      <c r="AC190" s="38"/>
    </row>
    <row r="191" spans="2:29" x14ac:dyDescent="0.25">
      <c r="B191" s="34"/>
      <c r="C191" s="34"/>
      <c r="D191" s="34"/>
      <c r="E191" s="34"/>
      <c r="F191" s="40"/>
      <c r="G191" s="34"/>
      <c r="H191" s="34"/>
      <c r="I191" s="34"/>
      <c r="J191" s="34"/>
      <c r="K191" s="40"/>
      <c r="L191" s="34"/>
      <c r="M191" s="34"/>
      <c r="N191" s="34"/>
      <c r="O191" s="34"/>
      <c r="P191" s="40"/>
      <c r="Q191" s="34"/>
      <c r="R191" s="34"/>
      <c r="S191" s="34"/>
      <c r="T191" s="34"/>
      <c r="U191" s="40"/>
      <c r="V191" s="34"/>
      <c r="W191" s="34"/>
      <c r="X191" s="34"/>
      <c r="Y191" s="34"/>
      <c r="Z191" s="40"/>
      <c r="AA191" s="34"/>
      <c r="AB191" s="38"/>
      <c r="AC191" s="38"/>
    </row>
    <row r="192" spans="2:29" x14ac:dyDescent="0.25">
      <c r="B192" s="34"/>
      <c r="C192" s="34"/>
      <c r="D192" s="34"/>
      <c r="E192" s="34"/>
      <c r="F192" s="40"/>
      <c r="G192" s="34"/>
      <c r="H192" s="34"/>
      <c r="I192" s="34"/>
      <c r="J192" s="34"/>
      <c r="K192" s="40"/>
      <c r="L192" s="34"/>
      <c r="M192" s="34"/>
      <c r="N192" s="34"/>
      <c r="O192" s="34"/>
      <c r="P192" s="40"/>
      <c r="Q192" s="34"/>
      <c r="R192" s="34"/>
      <c r="S192" s="34"/>
      <c r="T192" s="34"/>
      <c r="U192" s="40"/>
      <c r="V192" s="34"/>
      <c r="W192" s="34"/>
      <c r="X192" s="34"/>
      <c r="Y192" s="34"/>
      <c r="Z192" s="40"/>
      <c r="AA192" s="34"/>
      <c r="AB192" s="38"/>
      <c r="AC192" s="38"/>
    </row>
    <row r="193" spans="2:29" x14ac:dyDescent="0.25">
      <c r="B193" s="34"/>
      <c r="C193" s="34"/>
      <c r="D193" s="34"/>
      <c r="E193" s="34"/>
      <c r="F193" s="40"/>
      <c r="G193" s="34"/>
      <c r="H193" s="34"/>
      <c r="I193" s="34"/>
      <c r="J193" s="34"/>
      <c r="K193" s="40"/>
      <c r="L193" s="34"/>
      <c r="M193" s="34"/>
      <c r="N193" s="34"/>
      <c r="O193" s="34"/>
      <c r="P193" s="40"/>
      <c r="Q193" s="34"/>
      <c r="R193" s="34"/>
      <c r="S193" s="34"/>
      <c r="T193" s="34"/>
      <c r="U193" s="40"/>
      <c r="V193" s="34"/>
      <c r="W193" s="34"/>
      <c r="X193" s="34"/>
      <c r="Y193" s="34"/>
      <c r="Z193" s="40"/>
      <c r="AA193" s="34"/>
      <c r="AB193" s="38"/>
      <c r="AC193" s="38"/>
    </row>
    <row r="194" spans="2:29" x14ac:dyDescent="0.25">
      <c r="B194" s="34"/>
      <c r="C194" s="34"/>
      <c r="D194" s="34"/>
      <c r="E194" s="34"/>
      <c r="F194" s="40"/>
      <c r="G194" s="34"/>
      <c r="H194" s="34"/>
      <c r="I194" s="34"/>
      <c r="J194" s="34"/>
      <c r="K194" s="40"/>
      <c r="L194" s="34"/>
      <c r="M194" s="34"/>
      <c r="N194" s="34"/>
      <c r="O194" s="34"/>
      <c r="P194" s="40"/>
      <c r="Q194" s="34"/>
      <c r="R194" s="34"/>
      <c r="S194" s="34"/>
      <c r="T194" s="34"/>
      <c r="U194" s="40"/>
      <c r="V194" s="34"/>
      <c r="W194" s="34"/>
      <c r="X194" s="34"/>
      <c r="Y194" s="34"/>
      <c r="Z194" s="40"/>
      <c r="AA194" s="34"/>
      <c r="AB194" s="38"/>
      <c r="AC194" s="38"/>
    </row>
    <row r="195" spans="2:29" x14ac:dyDescent="0.25">
      <c r="B195" s="34"/>
      <c r="C195" s="34"/>
      <c r="D195" s="34"/>
      <c r="E195" s="34"/>
      <c r="F195" s="40"/>
      <c r="G195" s="34"/>
      <c r="H195" s="34"/>
      <c r="I195" s="34"/>
      <c r="J195" s="34"/>
      <c r="K195" s="40"/>
      <c r="L195" s="34"/>
      <c r="M195" s="34"/>
      <c r="N195" s="34"/>
      <c r="O195" s="34"/>
      <c r="P195" s="40"/>
      <c r="Q195" s="34"/>
      <c r="R195" s="34"/>
      <c r="S195" s="34"/>
      <c r="T195" s="34"/>
      <c r="U195" s="40"/>
      <c r="V195" s="34"/>
      <c r="W195" s="34"/>
      <c r="X195" s="34"/>
      <c r="Y195" s="34"/>
      <c r="Z195" s="40"/>
      <c r="AA195" s="34"/>
      <c r="AB195" s="38"/>
      <c r="AC195" s="38"/>
    </row>
    <row r="196" spans="2:29" x14ac:dyDescent="0.25">
      <c r="B196" s="34"/>
      <c r="C196" s="34"/>
      <c r="D196" s="34"/>
      <c r="E196" s="34"/>
      <c r="F196" s="40"/>
      <c r="G196" s="34"/>
      <c r="H196" s="34"/>
      <c r="I196" s="34"/>
      <c r="J196" s="34"/>
      <c r="K196" s="40"/>
      <c r="L196" s="34"/>
      <c r="M196" s="34"/>
      <c r="N196" s="34"/>
      <c r="O196" s="34"/>
      <c r="P196" s="40"/>
      <c r="Q196" s="34"/>
      <c r="R196" s="34"/>
      <c r="S196" s="34"/>
      <c r="T196" s="34"/>
      <c r="U196" s="40"/>
      <c r="V196" s="34"/>
      <c r="W196" s="34"/>
      <c r="X196" s="34"/>
      <c r="Y196" s="34"/>
      <c r="Z196" s="40"/>
      <c r="AA196" s="34"/>
      <c r="AB196" s="38"/>
      <c r="AC196" s="38"/>
    </row>
    <row r="197" spans="2:29" x14ac:dyDescent="0.25">
      <c r="B197" s="34"/>
      <c r="C197" s="34"/>
      <c r="D197" s="34"/>
      <c r="E197" s="34"/>
      <c r="F197" s="40"/>
      <c r="G197" s="34"/>
      <c r="H197" s="34"/>
      <c r="I197" s="34"/>
      <c r="J197" s="34"/>
      <c r="K197" s="40"/>
      <c r="L197" s="34"/>
      <c r="M197" s="34"/>
      <c r="N197" s="34"/>
      <c r="O197" s="34"/>
      <c r="P197" s="40"/>
      <c r="Q197" s="34"/>
      <c r="R197" s="34"/>
      <c r="S197" s="34"/>
      <c r="T197" s="34"/>
      <c r="U197" s="40"/>
      <c r="V197" s="34"/>
      <c r="W197" s="34"/>
      <c r="X197" s="34"/>
      <c r="Y197" s="34"/>
      <c r="Z197" s="40"/>
      <c r="AA197" s="34"/>
      <c r="AB197" s="38"/>
      <c r="AC197" s="38"/>
    </row>
    <row r="198" spans="2:29" x14ac:dyDescent="0.25">
      <c r="B198" s="34"/>
      <c r="C198" s="34"/>
      <c r="D198" s="34"/>
      <c r="E198" s="34"/>
      <c r="F198" s="40"/>
      <c r="G198" s="34"/>
      <c r="H198" s="34"/>
      <c r="I198" s="34"/>
      <c r="J198" s="34"/>
      <c r="K198" s="40"/>
      <c r="L198" s="34"/>
      <c r="M198" s="34"/>
      <c r="N198" s="34"/>
      <c r="O198" s="34"/>
      <c r="P198" s="40"/>
      <c r="Q198" s="34"/>
      <c r="R198" s="34"/>
      <c r="S198" s="34"/>
      <c r="T198" s="34"/>
      <c r="U198" s="40"/>
      <c r="V198" s="34"/>
      <c r="W198" s="34"/>
      <c r="X198" s="34"/>
      <c r="Y198" s="34"/>
      <c r="Z198" s="40"/>
      <c r="AA198" s="34"/>
      <c r="AB198" s="38"/>
      <c r="AC198" s="38"/>
    </row>
    <row r="199" spans="2:29" x14ac:dyDescent="0.25">
      <c r="B199" s="34"/>
      <c r="C199" s="34"/>
      <c r="D199" s="34"/>
      <c r="E199" s="34"/>
      <c r="F199" s="40"/>
      <c r="G199" s="34"/>
      <c r="H199" s="34"/>
      <c r="I199" s="34"/>
      <c r="J199" s="34"/>
      <c r="K199" s="40"/>
      <c r="L199" s="34"/>
      <c r="M199" s="34"/>
      <c r="N199" s="34"/>
      <c r="O199" s="34"/>
      <c r="P199" s="40"/>
      <c r="Q199" s="34"/>
      <c r="R199" s="34"/>
      <c r="S199" s="34"/>
      <c r="T199" s="34"/>
      <c r="U199" s="40"/>
      <c r="V199" s="34"/>
      <c r="W199" s="34"/>
      <c r="X199" s="34"/>
      <c r="Y199" s="34"/>
      <c r="Z199" s="40"/>
      <c r="AA199" s="34"/>
      <c r="AB199" s="38"/>
      <c r="AC199" s="38"/>
    </row>
    <row r="200" spans="2:29" x14ac:dyDescent="0.25">
      <c r="B200" s="34"/>
      <c r="C200" s="34"/>
      <c r="D200" s="34"/>
      <c r="E200" s="34"/>
      <c r="F200" s="40"/>
      <c r="G200" s="34"/>
      <c r="H200" s="34"/>
      <c r="I200" s="34"/>
      <c r="J200" s="34"/>
      <c r="K200" s="40"/>
      <c r="L200" s="34"/>
      <c r="M200" s="34"/>
      <c r="N200" s="34"/>
      <c r="O200" s="34"/>
      <c r="P200" s="40"/>
      <c r="Q200" s="34"/>
      <c r="R200" s="34"/>
      <c r="S200" s="34"/>
      <c r="T200" s="34"/>
      <c r="U200" s="40"/>
      <c r="V200" s="34"/>
      <c r="W200" s="34"/>
      <c r="X200" s="34"/>
      <c r="Y200" s="34"/>
      <c r="Z200" s="40"/>
      <c r="AA200" s="34"/>
      <c r="AB200" s="38"/>
      <c r="AC200" s="38"/>
    </row>
    <row r="201" spans="2:29" x14ac:dyDescent="0.25">
      <c r="B201" s="34"/>
      <c r="C201" s="34"/>
      <c r="D201" s="34"/>
      <c r="E201" s="34"/>
      <c r="F201" s="40"/>
      <c r="G201" s="34"/>
      <c r="H201" s="34"/>
      <c r="I201" s="34"/>
      <c r="J201" s="34"/>
      <c r="K201" s="40"/>
      <c r="L201" s="34"/>
      <c r="M201" s="34"/>
      <c r="N201" s="34"/>
      <c r="O201" s="34"/>
      <c r="P201" s="40"/>
      <c r="Q201" s="34"/>
      <c r="R201" s="34"/>
      <c r="S201" s="34"/>
      <c r="T201" s="34"/>
      <c r="U201" s="40"/>
      <c r="V201" s="34"/>
      <c r="W201" s="34"/>
      <c r="X201" s="34"/>
      <c r="Y201" s="34"/>
      <c r="Z201" s="40"/>
      <c r="AA201" s="34"/>
      <c r="AB201" s="38"/>
      <c r="AC201" s="38"/>
    </row>
    <row r="202" spans="2:29" x14ac:dyDescent="0.25">
      <c r="B202" s="34"/>
      <c r="C202" s="34"/>
      <c r="D202" s="34"/>
      <c r="E202" s="34"/>
      <c r="F202" s="40"/>
      <c r="G202" s="34"/>
      <c r="H202" s="34"/>
      <c r="I202" s="34"/>
      <c r="J202" s="34"/>
      <c r="K202" s="40"/>
      <c r="L202" s="34"/>
      <c r="M202" s="34"/>
      <c r="N202" s="34"/>
      <c r="O202" s="34"/>
      <c r="P202" s="40"/>
      <c r="Q202" s="34"/>
      <c r="R202" s="34"/>
      <c r="S202" s="34"/>
      <c r="T202" s="34"/>
      <c r="U202" s="40"/>
      <c r="V202" s="34"/>
      <c r="W202" s="34"/>
      <c r="X202" s="34"/>
      <c r="Y202" s="34"/>
      <c r="Z202" s="40"/>
      <c r="AA202" s="34"/>
      <c r="AB202" s="38"/>
      <c r="AC202" s="38"/>
    </row>
    <row r="203" spans="2:29" x14ac:dyDescent="0.25">
      <c r="B203" s="34"/>
      <c r="C203" s="34"/>
      <c r="D203" s="34"/>
      <c r="E203" s="34"/>
      <c r="F203" s="40"/>
      <c r="G203" s="34"/>
      <c r="H203" s="34"/>
      <c r="I203" s="34"/>
      <c r="J203" s="34"/>
      <c r="K203" s="40"/>
      <c r="L203" s="34"/>
      <c r="M203" s="34"/>
      <c r="N203" s="34"/>
      <c r="O203" s="34"/>
      <c r="P203" s="40"/>
      <c r="Q203" s="34"/>
      <c r="R203" s="34"/>
      <c r="S203" s="34"/>
      <c r="T203" s="34"/>
      <c r="U203" s="40"/>
      <c r="V203" s="34"/>
      <c r="W203" s="34"/>
      <c r="X203" s="34"/>
      <c r="Y203" s="34"/>
      <c r="Z203" s="40"/>
      <c r="AA203" s="34"/>
      <c r="AB203" s="38"/>
      <c r="AC203" s="38"/>
    </row>
    <row r="204" spans="2:29" x14ac:dyDescent="0.25">
      <c r="B204" s="34"/>
      <c r="C204" s="34"/>
      <c r="D204" s="34"/>
      <c r="E204" s="34"/>
      <c r="F204" s="40"/>
      <c r="G204" s="34"/>
      <c r="H204" s="34"/>
      <c r="I204" s="34"/>
      <c r="J204" s="34"/>
      <c r="K204" s="40"/>
      <c r="L204" s="34"/>
      <c r="M204" s="34"/>
      <c r="N204" s="34"/>
      <c r="O204" s="34"/>
      <c r="P204" s="40"/>
      <c r="Q204" s="34"/>
      <c r="R204" s="34"/>
      <c r="S204" s="34"/>
      <c r="T204" s="34"/>
      <c r="U204" s="40"/>
      <c r="V204" s="34"/>
      <c r="W204" s="34"/>
      <c r="X204" s="34"/>
      <c r="Y204" s="34"/>
      <c r="Z204" s="40"/>
      <c r="AA204" s="34"/>
      <c r="AB204" s="38"/>
      <c r="AC204" s="38"/>
    </row>
    <row r="205" spans="2:29" x14ac:dyDescent="0.25">
      <c r="B205" s="34"/>
      <c r="C205" s="34"/>
      <c r="D205" s="34"/>
      <c r="E205" s="34"/>
      <c r="F205" s="40"/>
      <c r="G205" s="34"/>
      <c r="H205" s="34"/>
      <c r="I205" s="34"/>
      <c r="J205" s="34"/>
      <c r="K205" s="40"/>
      <c r="L205" s="34"/>
      <c r="M205" s="34"/>
      <c r="N205" s="34"/>
      <c r="O205" s="34"/>
      <c r="P205" s="40"/>
      <c r="Q205" s="34"/>
      <c r="R205" s="34"/>
      <c r="S205" s="34"/>
      <c r="T205" s="34"/>
      <c r="U205" s="40"/>
      <c r="V205" s="34"/>
      <c r="W205" s="34"/>
      <c r="X205" s="34"/>
      <c r="Y205" s="34"/>
      <c r="Z205" s="40"/>
      <c r="AA205" s="34"/>
      <c r="AB205" s="38"/>
      <c r="AC205" s="38"/>
    </row>
    <row r="206" spans="2:29" x14ac:dyDescent="0.25">
      <c r="B206" s="34"/>
      <c r="C206" s="34"/>
      <c r="D206" s="34"/>
      <c r="E206" s="34"/>
      <c r="F206" s="40"/>
      <c r="G206" s="34"/>
      <c r="H206" s="34"/>
      <c r="I206" s="34"/>
      <c r="J206" s="34"/>
      <c r="K206" s="40"/>
      <c r="L206" s="34"/>
      <c r="M206" s="34"/>
      <c r="N206" s="34"/>
      <c r="O206" s="34"/>
      <c r="P206" s="40"/>
      <c r="Q206" s="34"/>
      <c r="R206" s="34"/>
      <c r="S206" s="34"/>
      <c r="T206" s="34"/>
      <c r="U206" s="40"/>
      <c r="V206" s="34"/>
      <c r="W206" s="34"/>
      <c r="X206" s="34"/>
      <c r="Y206" s="34"/>
      <c r="Z206" s="40"/>
      <c r="AA206" s="34"/>
      <c r="AB206" s="38"/>
      <c r="AC206" s="38"/>
    </row>
    <row r="207" spans="2:29" x14ac:dyDescent="0.25">
      <c r="B207" s="34"/>
      <c r="C207" s="34"/>
      <c r="D207" s="34"/>
      <c r="E207" s="34"/>
      <c r="F207" s="40"/>
      <c r="G207" s="34"/>
      <c r="H207" s="34"/>
      <c r="I207" s="34"/>
      <c r="J207" s="34"/>
      <c r="K207" s="40"/>
      <c r="L207" s="34"/>
      <c r="M207" s="34"/>
      <c r="N207" s="34"/>
      <c r="O207" s="34"/>
      <c r="P207" s="40"/>
      <c r="Q207" s="34"/>
      <c r="R207" s="34"/>
      <c r="S207" s="34"/>
      <c r="T207" s="34"/>
      <c r="U207" s="40"/>
      <c r="V207" s="34"/>
      <c r="W207" s="34"/>
      <c r="X207" s="34"/>
      <c r="Y207" s="34"/>
      <c r="Z207" s="40"/>
      <c r="AA207" s="34"/>
      <c r="AB207" s="38"/>
      <c r="AC207" s="38"/>
    </row>
    <row r="208" spans="2:29" x14ac:dyDescent="0.25">
      <c r="B208" s="34"/>
      <c r="C208" s="34"/>
      <c r="D208" s="34"/>
      <c r="E208" s="34"/>
      <c r="F208" s="40"/>
      <c r="G208" s="34"/>
      <c r="H208" s="34"/>
      <c r="I208" s="34"/>
      <c r="J208" s="34"/>
      <c r="K208" s="40"/>
      <c r="L208" s="34"/>
      <c r="M208" s="34"/>
      <c r="N208" s="34"/>
      <c r="O208" s="34"/>
      <c r="P208" s="40"/>
      <c r="Q208" s="34"/>
      <c r="R208" s="34"/>
      <c r="S208" s="34"/>
      <c r="T208" s="34"/>
      <c r="U208" s="40"/>
      <c r="V208" s="34"/>
      <c r="W208" s="34"/>
      <c r="X208" s="34"/>
      <c r="Y208" s="34"/>
      <c r="Z208" s="40"/>
      <c r="AA208" s="34"/>
      <c r="AB208" s="38"/>
      <c r="AC208" s="38"/>
    </row>
    <row r="209" spans="2:29" x14ac:dyDescent="0.25">
      <c r="B209" s="34"/>
      <c r="C209" s="34"/>
      <c r="D209" s="34"/>
      <c r="E209" s="34"/>
      <c r="F209" s="40"/>
      <c r="G209" s="34"/>
      <c r="H209" s="34"/>
      <c r="I209" s="34"/>
      <c r="J209" s="34"/>
      <c r="K209" s="40"/>
      <c r="L209" s="34"/>
      <c r="M209" s="34"/>
      <c r="N209" s="34"/>
      <c r="O209" s="34"/>
      <c r="P209" s="40"/>
      <c r="Q209" s="34"/>
      <c r="R209" s="34"/>
      <c r="S209" s="34"/>
      <c r="T209" s="34"/>
      <c r="U209" s="40"/>
      <c r="V209" s="34"/>
      <c r="W209" s="34"/>
      <c r="X209" s="34"/>
      <c r="Y209" s="34"/>
      <c r="Z209" s="40"/>
      <c r="AA209" s="34"/>
      <c r="AB209" s="38"/>
      <c r="AC209" s="38"/>
    </row>
    <row r="210" spans="2:29" x14ac:dyDescent="0.25">
      <c r="B210" s="34"/>
      <c r="C210" s="34"/>
      <c r="D210" s="34"/>
      <c r="E210" s="34"/>
      <c r="F210" s="40"/>
      <c r="G210" s="34"/>
      <c r="H210" s="34"/>
      <c r="I210" s="34"/>
      <c r="J210" s="34"/>
      <c r="K210" s="40"/>
      <c r="L210" s="34"/>
      <c r="M210" s="34"/>
      <c r="N210" s="34"/>
      <c r="O210" s="34"/>
      <c r="P210" s="40"/>
      <c r="Q210" s="34"/>
      <c r="R210" s="34"/>
      <c r="S210" s="34"/>
      <c r="T210" s="34"/>
      <c r="U210" s="40"/>
      <c r="V210" s="34"/>
      <c r="W210" s="34"/>
      <c r="X210" s="34"/>
      <c r="Y210" s="34"/>
      <c r="Z210" s="40"/>
      <c r="AA210" s="34"/>
      <c r="AB210" s="38"/>
      <c r="AC210" s="38"/>
    </row>
    <row r="211" spans="2:29" x14ac:dyDescent="0.25">
      <c r="B211" s="34"/>
      <c r="C211" s="34"/>
      <c r="D211" s="34"/>
      <c r="E211" s="34"/>
      <c r="F211" s="40"/>
      <c r="G211" s="34"/>
      <c r="H211" s="34"/>
      <c r="I211" s="34"/>
      <c r="J211" s="34"/>
      <c r="K211" s="40"/>
      <c r="L211" s="34"/>
      <c r="M211" s="34"/>
      <c r="N211" s="34"/>
      <c r="O211" s="34"/>
      <c r="P211" s="40"/>
      <c r="Q211" s="34"/>
      <c r="R211" s="34"/>
      <c r="S211" s="34"/>
      <c r="T211" s="34"/>
      <c r="U211" s="40"/>
      <c r="V211" s="34"/>
      <c r="W211" s="34"/>
      <c r="X211" s="34"/>
      <c r="Y211" s="34"/>
      <c r="Z211" s="40"/>
      <c r="AA211" s="34"/>
      <c r="AB211" s="34"/>
      <c r="AC211" s="34"/>
    </row>
    <row r="212" spans="2:29" x14ac:dyDescent="0.25">
      <c r="B212" s="34"/>
      <c r="C212" s="34"/>
      <c r="D212" s="34"/>
      <c r="E212" s="34"/>
      <c r="F212" s="40"/>
      <c r="G212" s="34"/>
      <c r="H212" s="34"/>
      <c r="I212" s="34"/>
      <c r="J212" s="34"/>
      <c r="K212" s="40"/>
      <c r="L212" s="34"/>
      <c r="M212" s="34"/>
      <c r="N212" s="34"/>
      <c r="O212" s="34"/>
      <c r="P212" s="40"/>
      <c r="Q212" s="34"/>
      <c r="R212" s="34"/>
      <c r="S212" s="34"/>
      <c r="T212" s="34"/>
      <c r="U212" s="40"/>
      <c r="V212" s="34"/>
      <c r="W212" s="34"/>
      <c r="X212" s="34"/>
      <c r="Y212" s="34"/>
      <c r="Z212" s="40"/>
      <c r="AA212" s="34"/>
      <c r="AB212" s="34"/>
      <c r="AC212" s="34"/>
    </row>
    <row r="213" spans="2:29" x14ac:dyDescent="0.25">
      <c r="B213" s="34"/>
      <c r="C213" s="34"/>
      <c r="D213" s="34"/>
      <c r="E213" s="34"/>
      <c r="F213" s="40"/>
      <c r="G213" s="34"/>
      <c r="H213" s="34"/>
      <c r="I213" s="34"/>
      <c r="J213" s="34"/>
      <c r="K213" s="40"/>
      <c r="L213" s="34"/>
      <c r="M213" s="34"/>
      <c r="N213" s="34"/>
      <c r="O213" s="34"/>
      <c r="P213" s="40"/>
      <c r="Q213" s="34"/>
      <c r="R213" s="34"/>
      <c r="S213" s="34"/>
      <c r="T213" s="34"/>
      <c r="U213" s="40"/>
      <c r="V213" s="34"/>
      <c r="W213" s="34"/>
      <c r="X213" s="34"/>
      <c r="Y213" s="34"/>
      <c r="Z213" s="40"/>
      <c r="AA213" s="34"/>
      <c r="AB213" s="34"/>
      <c r="AC213" s="34"/>
    </row>
    <row r="214" spans="2:29" x14ac:dyDescent="0.25">
      <c r="B214" s="34"/>
      <c r="C214" s="34"/>
      <c r="D214" s="34"/>
      <c r="E214" s="34"/>
      <c r="F214" s="40"/>
      <c r="G214" s="34"/>
      <c r="H214" s="34"/>
      <c r="I214" s="34"/>
      <c r="J214" s="34"/>
      <c r="K214" s="40"/>
      <c r="L214" s="34"/>
      <c r="M214" s="34"/>
      <c r="N214" s="34"/>
      <c r="O214" s="34"/>
      <c r="P214" s="40"/>
      <c r="Q214" s="34"/>
      <c r="R214" s="34"/>
      <c r="S214" s="34"/>
      <c r="T214" s="34"/>
      <c r="U214" s="40"/>
      <c r="V214" s="34"/>
      <c r="W214" s="34"/>
      <c r="X214" s="34"/>
      <c r="Y214" s="34"/>
      <c r="Z214" s="40"/>
      <c r="AA214" s="34"/>
      <c r="AB214" s="34"/>
      <c r="AC214" s="34"/>
    </row>
    <row r="215" spans="2:29" x14ac:dyDescent="0.25">
      <c r="B215" s="34"/>
      <c r="C215" s="34"/>
      <c r="D215" s="34"/>
      <c r="E215" s="34"/>
      <c r="F215" s="40"/>
      <c r="G215" s="34"/>
      <c r="H215" s="34"/>
      <c r="I215" s="34"/>
      <c r="J215" s="34"/>
      <c r="K215" s="40"/>
      <c r="L215" s="34"/>
      <c r="M215" s="34"/>
      <c r="N215" s="34"/>
      <c r="O215" s="34"/>
      <c r="P215" s="40"/>
      <c r="Q215" s="34"/>
      <c r="R215" s="34"/>
      <c r="S215" s="34"/>
      <c r="T215" s="34"/>
      <c r="U215" s="40"/>
      <c r="V215" s="34"/>
      <c r="W215" s="34"/>
      <c r="X215" s="34"/>
      <c r="Y215" s="34"/>
      <c r="Z215" s="40"/>
      <c r="AA215" s="34"/>
      <c r="AB215" s="34"/>
      <c r="AC215" s="34"/>
    </row>
    <row r="216" spans="2:29" x14ac:dyDescent="0.25">
      <c r="B216" s="34"/>
      <c r="C216" s="34"/>
      <c r="D216" s="34"/>
      <c r="E216" s="34"/>
      <c r="F216" s="40"/>
      <c r="G216" s="34"/>
      <c r="H216" s="34"/>
      <c r="I216" s="34"/>
      <c r="J216" s="34"/>
      <c r="K216" s="40"/>
      <c r="L216" s="34"/>
      <c r="M216" s="34"/>
      <c r="N216" s="34"/>
      <c r="O216" s="34"/>
      <c r="P216" s="40"/>
      <c r="Q216" s="34"/>
      <c r="R216" s="34"/>
      <c r="S216" s="34"/>
      <c r="T216" s="34"/>
      <c r="U216" s="40"/>
      <c r="V216" s="34"/>
      <c r="W216" s="34"/>
      <c r="X216" s="34"/>
      <c r="Y216" s="34"/>
      <c r="Z216" s="40"/>
      <c r="AA216" s="34"/>
      <c r="AB216" s="34"/>
      <c r="AC216" s="34"/>
    </row>
    <row r="217" spans="2:29" x14ac:dyDescent="0.25">
      <c r="B217" s="34"/>
      <c r="C217" s="34"/>
      <c r="D217" s="34"/>
      <c r="E217" s="34"/>
      <c r="F217" s="40"/>
      <c r="G217" s="34"/>
      <c r="H217" s="34"/>
      <c r="I217" s="34"/>
      <c r="J217" s="34"/>
      <c r="K217" s="40"/>
      <c r="L217" s="34"/>
      <c r="M217" s="34"/>
      <c r="N217" s="34"/>
      <c r="O217" s="34"/>
      <c r="P217" s="40"/>
      <c r="Q217" s="34"/>
      <c r="R217" s="34"/>
      <c r="S217" s="34"/>
      <c r="T217" s="34"/>
      <c r="U217" s="40"/>
      <c r="V217" s="34"/>
      <c r="W217" s="34"/>
      <c r="X217" s="34"/>
      <c r="Y217" s="34"/>
      <c r="Z217" s="40"/>
      <c r="AA217" s="34"/>
      <c r="AB217" s="34"/>
      <c r="AC217" s="34"/>
    </row>
    <row r="218" spans="2:29" x14ac:dyDescent="0.25">
      <c r="B218" s="34"/>
      <c r="C218" s="34"/>
      <c r="D218" s="34"/>
      <c r="E218" s="34"/>
      <c r="F218" s="40"/>
      <c r="G218" s="34"/>
      <c r="H218" s="34"/>
      <c r="I218" s="34"/>
      <c r="J218" s="34"/>
      <c r="K218" s="40"/>
      <c r="L218" s="34"/>
      <c r="M218" s="34"/>
      <c r="N218" s="34"/>
      <c r="O218" s="34"/>
      <c r="P218" s="40"/>
      <c r="Q218" s="34"/>
      <c r="R218" s="34"/>
      <c r="S218" s="34"/>
      <c r="T218" s="34"/>
      <c r="U218" s="40"/>
      <c r="V218" s="34"/>
      <c r="W218" s="34"/>
      <c r="X218" s="34"/>
      <c r="Y218" s="34"/>
      <c r="Z218" s="40"/>
      <c r="AA218" s="34"/>
      <c r="AB218" s="34"/>
      <c r="AC218" s="34"/>
    </row>
    <row r="219" spans="2:29" x14ac:dyDescent="0.25">
      <c r="B219" s="34"/>
      <c r="C219" s="34"/>
      <c r="D219" s="34"/>
      <c r="E219" s="34"/>
      <c r="F219" s="40"/>
      <c r="G219" s="34"/>
      <c r="H219" s="34"/>
      <c r="I219" s="34"/>
      <c r="J219" s="34"/>
      <c r="K219" s="40"/>
      <c r="L219" s="34"/>
      <c r="M219" s="34"/>
      <c r="N219" s="34"/>
      <c r="O219" s="34"/>
      <c r="P219" s="40"/>
      <c r="Q219" s="34"/>
      <c r="R219" s="34"/>
      <c r="S219" s="34"/>
      <c r="T219" s="34"/>
      <c r="U219" s="40"/>
      <c r="V219" s="34"/>
      <c r="W219" s="34"/>
      <c r="X219" s="34"/>
      <c r="Y219" s="34"/>
      <c r="Z219" s="40"/>
      <c r="AA219" s="34"/>
      <c r="AB219" s="34"/>
      <c r="AC219" s="34"/>
    </row>
    <row r="220" spans="2:29" x14ac:dyDescent="0.25">
      <c r="B220" s="34"/>
      <c r="C220" s="34"/>
      <c r="D220" s="34"/>
      <c r="E220" s="34"/>
      <c r="F220" s="40"/>
      <c r="G220" s="34"/>
      <c r="H220" s="34"/>
      <c r="I220" s="34"/>
      <c r="J220" s="34"/>
      <c r="K220" s="40"/>
      <c r="L220" s="34"/>
      <c r="M220" s="34"/>
      <c r="N220" s="34"/>
      <c r="O220" s="34"/>
      <c r="P220" s="40"/>
      <c r="Q220" s="34"/>
      <c r="R220" s="34"/>
      <c r="S220" s="34"/>
      <c r="T220" s="34"/>
      <c r="U220" s="40"/>
      <c r="V220" s="34"/>
      <c r="W220" s="34"/>
      <c r="X220" s="34"/>
      <c r="Y220" s="34"/>
      <c r="Z220" s="40"/>
      <c r="AA220" s="34"/>
      <c r="AB220" s="34"/>
      <c r="AC220" s="34"/>
    </row>
    <row r="221" spans="2:29" x14ac:dyDescent="0.25">
      <c r="B221" s="34"/>
      <c r="C221" s="34"/>
      <c r="D221" s="34"/>
      <c r="E221" s="34"/>
      <c r="F221" s="40"/>
      <c r="G221" s="34"/>
      <c r="H221" s="34"/>
      <c r="I221" s="34"/>
      <c r="J221" s="34"/>
      <c r="K221" s="40"/>
      <c r="L221" s="34"/>
      <c r="M221" s="34"/>
      <c r="N221" s="34"/>
      <c r="O221" s="34"/>
      <c r="P221" s="40"/>
      <c r="Q221" s="34"/>
      <c r="R221" s="34"/>
      <c r="S221" s="34"/>
      <c r="T221" s="34"/>
      <c r="U221" s="40"/>
      <c r="V221" s="34"/>
      <c r="W221" s="34"/>
      <c r="X221" s="34"/>
      <c r="Y221" s="34"/>
      <c r="Z221" s="40"/>
      <c r="AA221" s="34"/>
      <c r="AB221" s="34"/>
      <c r="AC221" s="34"/>
    </row>
    <row r="222" spans="2:29" x14ac:dyDescent="0.25">
      <c r="B222" s="34"/>
      <c r="C222" s="34"/>
      <c r="D222" s="34"/>
      <c r="E222" s="34"/>
      <c r="F222" s="40"/>
      <c r="G222" s="34"/>
      <c r="H222" s="34"/>
      <c r="I222" s="34"/>
      <c r="J222" s="34"/>
      <c r="K222" s="40"/>
      <c r="L222" s="34"/>
      <c r="M222" s="34"/>
      <c r="N222" s="34"/>
      <c r="O222" s="34"/>
      <c r="P222" s="40"/>
      <c r="Q222" s="34"/>
      <c r="R222" s="34"/>
      <c r="S222" s="34"/>
      <c r="T222" s="34"/>
      <c r="U222" s="40"/>
      <c r="V222" s="34"/>
      <c r="W222" s="34"/>
      <c r="X222" s="34"/>
      <c r="Y222" s="34"/>
      <c r="Z222" s="40"/>
      <c r="AA222" s="34"/>
      <c r="AB222" s="34"/>
      <c r="AC222" s="34"/>
    </row>
    <row r="223" spans="2:29" x14ac:dyDescent="0.25">
      <c r="B223" s="34"/>
      <c r="C223" s="34"/>
      <c r="D223" s="34"/>
      <c r="E223" s="34"/>
      <c r="F223" s="40"/>
      <c r="G223" s="34"/>
      <c r="H223" s="34"/>
      <c r="I223" s="34"/>
      <c r="J223" s="34"/>
      <c r="K223" s="40"/>
      <c r="L223" s="34"/>
      <c r="M223" s="34"/>
      <c r="N223" s="34"/>
      <c r="O223" s="34"/>
      <c r="P223" s="40"/>
      <c r="Q223" s="34"/>
      <c r="R223" s="34"/>
      <c r="S223" s="34"/>
      <c r="T223" s="34"/>
      <c r="U223" s="40"/>
      <c r="V223" s="34"/>
      <c r="W223" s="34"/>
      <c r="X223" s="34"/>
      <c r="Y223" s="34"/>
      <c r="Z223" s="40"/>
      <c r="AA223" s="34"/>
      <c r="AB223" s="34"/>
      <c r="AC223" s="34"/>
    </row>
    <row r="224" spans="2:29" x14ac:dyDescent="0.25">
      <c r="B224" s="34"/>
      <c r="C224" s="34"/>
      <c r="D224" s="34"/>
      <c r="E224" s="34"/>
      <c r="F224" s="40"/>
      <c r="G224" s="34"/>
      <c r="H224" s="34"/>
      <c r="I224" s="34"/>
      <c r="J224" s="34"/>
      <c r="K224" s="40"/>
      <c r="L224" s="34"/>
      <c r="M224" s="34"/>
      <c r="N224" s="34"/>
      <c r="O224" s="34"/>
      <c r="P224" s="40"/>
      <c r="Q224" s="34"/>
      <c r="R224" s="34"/>
      <c r="S224" s="34"/>
      <c r="T224" s="34"/>
      <c r="U224" s="40"/>
      <c r="V224" s="34"/>
      <c r="W224" s="34"/>
      <c r="X224" s="34"/>
      <c r="Y224" s="34"/>
      <c r="Z224" s="40"/>
      <c r="AA224" s="34"/>
      <c r="AB224" s="34"/>
      <c r="AC224" s="34"/>
    </row>
    <row r="225" spans="2:29" x14ac:dyDescent="0.25">
      <c r="B225" s="34"/>
      <c r="C225" s="34"/>
      <c r="D225" s="34"/>
      <c r="E225" s="34"/>
      <c r="F225" s="40"/>
      <c r="G225" s="34"/>
      <c r="H225" s="34"/>
      <c r="I225" s="34"/>
      <c r="J225" s="34"/>
      <c r="K225" s="40"/>
      <c r="L225" s="34"/>
      <c r="M225" s="34"/>
      <c r="N225" s="34"/>
      <c r="O225" s="34"/>
      <c r="P225" s="40"/>
      <c r="Q225" s="34"/>
      <c r="R225" s="34"/>
      <c r="S225" s="34"/>
      <c r="T225" s="34"/>
      <c r="U225" s="40"/>
      <c r="V225" s="34"/>
      <c r="W225" s="34"/>
      <c r="X225" s="34"/>
      <c r="Y225" s="34"/>
      <c r="Z225" s="40"/>
      <c r="AA225" s="34"/>
      <c r="AB225" s="34"/>
      <c r="AC225" s="34"/>
    </row>
    <row r="226" spans="2:29" x14ac:dyDescent="0.25">
      <c r="B226" s="34"/>
      <c r="C226" s="34"/>
      <c r="D226" s="34"/>
      <c r="E226" s="34"/>
      <c r="F226" s="40"/>
      <c r="G226" s="34"/>
      <c r="H226" s="34"/>
      <c r="I226" s="34"/>
      <c r="J226" s="34"/>
      <c r="K226" s="40"/>
      <c r="L226" s="34"/>
      <c r="M226" s="34"/>
      <c r="N226" s="34"/>
      <c r="O226" s="34"/>
      <c r="P226" s="40"/>
      <c r="Q226" s="34"/>
      <c r="R226" s="34"/>
      <c r="S226" s="34"/>
      <c r="T226" s="34"/>
      <c r="U226" s="40"/>
      <c r="V226" s="34"/>
      <c r="W226" s="34"/>
      <c r="X226" s="34"/>
      <c r="Y226" s="34"/>
      <c r="Z226" s="40"/>
      <c r="AA226" s="34"/>
      <c r="AB226" s="34"/>
      <c r="AC226" s="34"/>
    </row>
    <row r="227" spans="2:29" x14ac:dyDescent="0.25">
      <c r="B227" s="34"/>
      <c r="C227" s="34"/>
      <c r="D227" s="34"/>
      <c r="E227" s="34"/>
      <c r="F227" s="40"/>
      <c r="G227" s="34"/>
      <c r="H227" s="34"/>
      <c r="I227" s="34"/>
      <c r="J227" s="34"/>
      <c r="K227" s="40"/>
      <c r="L227" s="34"/>
      <c r="M227" s="34"/>
      <c r="N227" s="34"/>
      <c r="O227" s="34"/>
      <c r="P227" s="40"/>
      <c r="Q227" s="34"/>
      <c r="R227" s="34"/>
      <c r="S227" s="34"/>
      <c r="T227" s="34"/>
      <c r="U227" s="40"/>
      <c r="V227" s="34"/>
      <c r="W227" s="34"/>
      <c r="X227" s="34"/>
      <c r="Y227" s="34"/>
      <c r="Z227" s="40"/>
      <c r="AA227" s="34"/>
      <c r="AB227" s="34"/>
      <c r="AC227" s="34"/>
    </row>
  </sheetData>
  <sortState xmlns:xlrd2="http://schemas.microsoft.com/office/spreadsheetml/2017/richdata2" ref="A3:AC76">
    <sortCondition descending="1" ref="AB3:AB76"/>
  </sortState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D7E14-BB89-4075-87C8-29B20F7E71D9}">
  <sheetPr>
    <tabColor theme="5" tint="0.59999389629810485"/>
  </sheetPr>
  <dimension ref="A1:AC227"/>
  <sheetViews>
    <sheetView workbookViewId="0">
      <selection activeCell="AB16" sqref="AB16"/>
    </sheetView>
  </sheetViews>
  <sheetFormatPr baseColWidth="10" defaultColWidth="8.5703125" defaultRowHeight="15" x14ac:dyDescent="0.25"/>
  <cols>
    <col min="1" max="1" width="11.42578125" customWidth="1"/>
    <col min="2" max="5" width="10" customWidth="1"/>
    <col min="6" max="6" width="4.28515625" style="39" customWidth="1"/>
    <col min="7" max="10" width="10" customWidth="1"/>
    <col min="11" max="11" width="4.28515625" style="39" customWidth="1"/>
    <col min="12" max="15" width="10" customWidth="1"/>
    <col min="16" max="16" width="4.28515625" style="39" customWidth="1"/>
    <col min="17" max="20" width="10" customWidth="1"/>
    <col min="21" max="21" width="4.28515625" style="39" customWidth="1"/>
    <col min="22" max="25" width="10" customWidth="1"/>
    <col min="26" max="26" width="4.28515625" customWidth="1"/>
    <col min="27" max="29" width="10" customWidth="1"/>
  </cols>
  <sheetData>
    <row r="1" spans="1:29" ht="15.75" x14ac:dyDescent="0.25">
      <c r="A1" s="36" t="s">
        <v>257</v>
      </c>
      <c r="B1" s="34">
        <v>2022</v>
      </c>
      <c r="C1" s="35" t="s">
        <v>244</v>
      </c>
      <c r="D1" s="37">
        <v>686</v>
      </c>
      <c r="G1" s="34">
        <v>2023</v>
      </c>
      <c r="H1" s="35" t="s">
        <v>244</v>
      </c>
      <c r="I1" s="37">
        <v>688</v>
      </c>
      <c r="L1" s="34">
        <v>2024</v>
      </c>
      <c r="M1" s="35" t="s">
        <v>244</v>
      </c>
      <c r="N1" s="37">
        <v>679</v>
      </c>
      <c r="Q1" s="34">
        <v>2025</v>
      </c>
      <c r="R1" s="35" t="s">
        <v>244</v>
      </c>
      <c r="S1" s="37">
        <v>754</v>
      </c>
      <c r="V1" s="34">
        <v>2026</v>
      </c>
      <c r="W1" s="35" t="s">
        <v>244</v>
      </c>
      <c r="X1" s="37">
        <v>125</v>
      </c>
    </row>
    <row r="2" spans="1:29" x14ac:dyDescent="0.25">
      <c r="A2" s="33" t="s">
        <v>3</v>
      </c>
      <c r="B2" s="33" t="s">
        <v>245</v>
      </c>
      <c r="C2" s="33" t="s">
        <v>246</v>
      </c>
      <c r="D2" s="33" t="s">
        <v>247</v>
      </c>
      <c r="E2" s="33" t="s">
        <v>6</v>
      </c>
      <c r="G2" s="33" t="s">
        <v>245</v>
      </c>
      <c r="H2" s="33" t="s">
        <v>246</v>
      </c>
      <c r="I2" s="33" t="s">
        <v>247</v>
      </c>
      <c r="J2" s="33" t="s">
        <v>6</v>
      </c>
      <c r="L2" s="33" t="s">
        <v>245</v>
      </c>
      <c r="M2" s="33" t="s">
        <v>246</v>
      </c>
      <c r="N2" s="33" t="s">
        <v>247</v>
      </c>
      <c r="O2" s="33" t="s">
        <v>6</v>
      </c>
      <c r="Q2" s="33" t="s">
        <v>245</v>
      </c>
      <c r="R2" s="33" t="s">
        <v>246</v>
      </c>
      <c r="S2" s="33" t="s">
        <v>247</v>
      </c>
      <c r="T2" s="33" t="s">
        <v>6</v>
      </c>
      <c r="V2" s="33" t="s">
        <v>245</v>
      </c>
      <c r="W2" s="33" t="s">
        <v>246</v>
      </c>
      <c r="X2" s="33" t="s">
        <v>247</v>
      </c>
      <c r="Y2" s="33" t="s">
        <v>6</v>
      </c>
      <c r="AA2" s="37" t="s">
        <v>251</v>
      </c>
      <c r="AB2" s="37" t="s">
        <v>250</v>
      </c>
      <c r="AC2" s="37" t="s">
        <v>5</v>
      </c>
    </row>
    <row r="3" spans="1:29" x14ac:dyDescent="0.25">
      <c r="A3" t="s">
        <v>149</v>
      </c>
      <c r="B3" s="34">
        <v>92</v>
      </c>
      <c r="C3" s="34">
        <v>93</v>
      </c>
      <c r="D3" s="34">
        <v>252</v>
      </c>
      <c r="E3" s="34">
        <v>42</v>
      </c>
      <c r="F3" s="40"/>
      <c r="G3" s="34">
        <v>22</v>
      </c>
      <c r="H3" s="34">
        <v>29</v>
      </c>
      <c r="I3" s="34">
        <v>61</v>
      </c>
      <c r="J3" s="34">
        <v>10</v>
      </c>
      <c r="K3" s="40"/>
      <c r="L3" s="34">
        <v>143</v>
      </c>
      <c r="M3" s="34">
        <v>148</v>
      </c>
      <c r="N3" s="34">
        <v>338</v>
      </c>
      <c r="O3" s="34">
        <v>83</v>
      </c>
      <c r="P3" s="40"/>
      <c r="Q3" s="34">
        <v>66</v>
      </c>
      <c r="R3" s="34">
        <v>66</v>
      </c>
      <c r="S3" s="34">
        <v>308</v>
      </c>
      <c r="T3" s="34">
        <v>31</v>
      </c>
      <c r="U3" s="40"/>
      <c r="V3" s="34">
        <v>12</v>
      </c>
      <c r="W3" s="34">
        <v>12</v>
      </c>
      <c r="X3" s="34">
        <v>8</v>
      </c>
      <c r="Y3" s="34">
        <v>5</v>
      </c>
      <c r="Z3" s="34"/>
      <c r="AA3" s="34">
        <f t="shared" ref="AA3:AA34" si="0">B3+G3+L3+Q3+V3</f>
        <v>335</v>
      </c>
      <c r="AB3" s="38">
        <f t="shared" ref="AB3:AB34" si="1">(AA3+(B3/C3*D3+G3/H3*I3+L3/M3*N3+Q3/R3*S3+V3/W3*X3))/($D$1+$I$1+$N$1+$S$1+$X$1)</f>
        <v>0.43422485188632054</v>
      </c>
      <c r="AC3" s="38">
        <f t="shared" ref="AC3:AC34" si="2">(E3+J3+O3+T3+Y3)/(AA3)</f>
        <v>0.5104477611940299</v>
      </c>
    </row>
    <row r="4" spans="1:29" x14ac:dyDescent="0.25">
      <c r="A4" t="s">
        <v>145</v>
      </c>
      <c r="B4" s="34">
        <v>35</v>
      </c>
      <c r="C4" s="34">
        <v>35</v>
      </c>
      <c r="D4" s="34">
        <v>13</v>
      </c>
      <c r="E4" s="34">
        <v>16</v>
      </c>
      <c r="F4" s="40"/>
      <c r="G4" s="34">
        <v>129</v>
      </c>
      <c r="H4" s="34">
        <v>130</v>
      </c>
      <c r="I4" s="34">
        <v>139</v>
      </c>
      <c r="J4" s="34">
        <v>63</v>
      </c>
      <c r="K4" s="40"/>
      <c r="L4" s="34">
        <v>131</v>
      </c>
      <c r="M4" s="34">
        <v>133</v>
      </c>
      <c r="N4" s="34">
        <v>148</v>
      </c>
      <c r="O4" s="34">
        <v>61</v>
      </c>
      <c r="P4" s="40"/>
      <c r="Q4" s="34">
        <v>144</v>
      </c>
      <c r="R4" s="34">
        <v>145</v>
      </c>
      <c r="S4" s="34">
        <v>297</v>
      </c>
      <c r="T4" s="34">
        <v>75</v>
      </c>
      <c r="U4" s="40"/>
      <c r="V4" s="34">
        <v>22</v>
      </c>
      <c r="W4" s="34">
        <v>22</v>
      </c>
      <c r="X4" s="34">
        <v>65</v>
      </c>
      <c r="Y4" s="34">
        <v>12</v>
      </c>
      <c r="Z4" s="34"/>
      <c r="AA4" s="34">
        <f t="shared" si="0"/>
        <v>461</v>
      </c>
      <c r="AB4" s="38">
        <f t="shared" si="1"/>
        <v>0.38119267716880145</v>
      </c>
      <c r="AC4" s="38">
        <f t="shared" si="2"/>
        <v>0.49240780911062909</v>
      </c>
    </row>
    <row r="5" spans="1:29" x14ac:dyDescent="0.25">
      <c r="A5" t="s">
        <v>35</v>
      </c>
      <c r="B5" s="34">
        <v>76</v>
      </c>
      <c r="C5" s="34">
        <v>79</v>
      </c>
      <c r="D5" s="34">
        <v>260</v>
      </c>
      <c r="E5" s="34">
        <v>39</v>
      </c>
      <c r="F5" s="40"/>
      <c r="G5" s="34">
        <v>92</v>
      </c>
      <c r="H5" s="34">
        <v>92</v>
      </c>
      <c r="I5" s="34">
        <v>196</v>
      </c>
      <c r="J5" s="34">
        <v>49</v>
      </c>
      <c r="K5" s="40"/>
      <c r="L5" s="34">
        <v>99</v>
      </c>
      <c r="M5" s="34">
        <v>126</v>
      </c>
      <c r="N5" s="34">
        <v>177</v>
      </c>
      <c r="O5" s="34">
        <v>55</v>
      </c>
      <c r="P5" s="40"/>
      <c r="Q5" s="34">
        <v>100</v>
      </c>
      <c r="R5" s="34">
        <v>100</v>
      </c>
      <c r="S5" s="34">
        <v>79</v>
      </c>
      <c r="T5" s="34">
        <v>47</v>
      </c>
      <c r="U5" s="40"/>
      <c r="V5" s="34">
        <v>20</v>
      </c>
      <c r="W5" s="34">
        <v>20</v>
      </c>
      <c r="X5" s="34">
        <v>25</v>
      </c>
      <c r="Y5" s="34">
        <v>9</v>
      </c>
      <c r="Z5" s="34"/>
      <c r="AA5" s="34">
        <f t="shared" si="0"/>
        <v>387</v>
      </c>
      <c r="AB5" s="38">
        <f t="shared" si="1"/>
        <v>0.36705252757500328</v>
      </c>
      <c r="AC5" s="38">
        <f t="shared" si="2"/>
        <v>0.51421188630490955</v>
      </c>
    </row>
    <row r="6" spans="1:29" x14ac:dyDescent="0.25">
      <c r="A6" t="s">
        <v>139</v>
      </c>
      <c r="B6" s="34">
        <v>117</v>
      </c>
      <c r="C6" s="34">
        <v>117</v>
      </c>
      <c r="D6" s="34">
        <v>249</v>
      </c>
      <c r="E6" s="34">
        <v>68</v>
      </c>
      <c r="F6" s="40"/>
      <c r="G6" s="34">
        <v>222</v>
      </c>
      <c r="H6" s="34">
        <v>222</v>
      </c>
      <c r="I6" s="34">
        <v>93</v>
      </c>
      <c r="J6" s="34">
        <v>106</v>
      </c>
      <c r="K6" s="40"/>
      <c r="L6" s="34">
        <v>140</v>
      </c>
      <c r="M6" s="34">
        <v>158</v>
      </c>
      <c r="N6" s="34">
        <v>60</v>
      </c>
      <c r="O6" s="34">
        <v>72</v>
      </c>
      <c r="P6" s="40"/>
      <c r="Q6" s="34">
        <v>51</v>
      </c>
      <c r="R6" s="34">
        <v>52</v>
      </c>
      <c r="S6" s="34">
        <v>18</v>
      </c>
      <c r="T6" s="34">
        <v>26</v>
      </c>
      <c r="U6" s="40"/>
      <c r="V6" s="34">
        <v>2</v>
      </c>
      <c r="W6" s="34">
        <v>2</v>
      </c>
      <c r="X6" s="34">
        <v>3</v>
      </c>
      <c r="Y6" s="34">
        <v>1</v>
      </c>
      <c r="Z6" s="34"/>
      <c r="AA6" s="34">
        <f t="shared" si="0"/>
        <v>532</v>
      </c>
      <c r="AB6" s="38">
        <f t="shared" si="1"/>
        <v>0.32326684963024266</v>
      </c>
      <c r="AC6" s="38">
        <f t="shared" si="2"/>
        <v>0.51315789473684215</v>
      </c>
    </row>
    <row r="7" spans="1:29" x14ac:dyDescent="0.25">
      <c r="A7" t="s">
        <v>150</v>
      </c>
      <c r="B7" s="34">
        <v>77</v>
      </c>
      <c r="C7" s="34">
        <v>80</v>
      </c>
      <c r="D7" s="34">
        <v>44</v>
      </c>
      <c r="E7" s="34">
        <v>45</v>
      </c>
      <c r="F7" s="40"/>
      <c r="G7" s="34">
        <v>163</v>
      </c>
      <c r="H7" s="34">
        <v>165</v>
      </c>
      <c r="I7" s="34">
        <v>70</v>
      </c>
      <c r="J7" s="34">
        <v>82</v>
      </c>
      <c r="K7" s="40"/>
      <c r="L7" s="34">
        <v>91</v>
      </c>
      <c r="M7" s="34">
        <v>91</v>
      </c>
      <c r="N7" s="34">
        <v>61</v>
      </c>
      <c r="O7" s="34">
        <v>41</v>
      </c>
      <c r="P7" s="40"/>
      <c r="Q7" s="34">
        <v>137</v>
      </c>
      <c r="R7" s="34">
        <v>137</v>
      </c>
      <c r="S7" s="34">
        <v>139</v>
      </c>
      <c r="T7" s="34">
        <v>72</v>
      </c>
      <c r="U7" s="40"/>
      <c r="V7" s="34">
        <v>11</v>
      </c>
      <c r="W7" s="34">
        <v>11</v>
      </c>
      <c r="X7" s="34">
        <v>6</v>
      </c>
      <c r="Y7" s="34">
        <v>8</v>
      </c>
      <c r="Z7" s="34"/>
      <c r="AA7" s="34">
        <f t="shared" si="0"/>
        <v>479</v>
      </c>
      <c r="AB7" s="38">
        <f t="shared" si="1"/>
        <v>0.2716580883872835</v>
      </c>
      <c r="AC7" s="38">
        <f t="shared" si="2"/>
        <v>0.51774530271398744</v>
      </c>
    </row>
    <row r="8" spans="1:29" x14ac:dyDescent="0.25">
      <c r="A8" t="s">
        <v>134</v>
      </c>
      <c r="B8" s="34">
        <v>94</v>
      </c>
      <c r="C8" s="34">
        <v>94</v>
      </c>
      <c r="D8" s="34">
        <v>64</v>
      </c>
      <c r="E8" s="34">
        <v>45</v>
      </c>
      <c r="F8" s="40"/>
      <c r="G8" s="34">
        <v>58</v>
      </c>
      <c r="H8" s="34">
        <v>59</v>
      </c>
      <c r="I8" s="34">
        <v>14</v>
      </c>
      <c r="J8" s="34">
        <v>23</v>
      </c>
      <c r="K8" s="40"/>
      <c r="L8" s="34">
        <v>124</v>
      </c>
      <c r="M8" s="34">
        <v>126</v>
      </c>
      <c r="N8" s="34">
        <v>106</v>
      </c>
      <c r="O8" s="34">
        <v>61</v>
      </c>
      <c r="P8" s="40"/>
      <c r="Q8" s="34">
        <v>156</v>
      </c>
      <c r="R8" s="34">
        <v>156</v>
      </c>
      <c r="S8" s="34">
        <v>110</v>
      </c>
      <c r="T8" s="34">
        <v>72</v>
      </c>
      <c r="U8" s="40"/>
      <c r="V8" s="34">
        <v>26</v>
      </c>
      <c r="W8" s="34">
        <v>26</v>
      </c>
      <c r="X8" s="34">
        <v>12</v>
      </c>
      <c r="Y8" s="34">
        <v>10</v>
      </c>
      <c r="Z8" s="34"/>
      <c r="AA8" s="34">
        <f t="shared" si="0"/>
        <v>458</v>
      </c>
      <c r="AB8" s="38">
        <f t="shared" si="1"/>
        <v>0.25991820333624388</v>
      </c>
      <c r="AC8" s="38">
        <f t="shared" si="2"/>
        <v>0.4606986899563319</v>
      </c>
    </row>
    <row r="9" spans="1:29" x14ac:dyDescent="0.25">
      <c r="A9" t="s">
        <v>141</v>
      </c>
      <c r="B9" s="34">
        <v>80</v>
      </c>
      <c r="C9" s="34">
        <v>80</v>
      </c>
      <c r="D9" s="34">
        <v>33</v>
      </c>
      <c r="E9" s="34">
        <v>41</v>
      </c>
      <c r="F9" s="40"/>
      <c r="G9" s="34">
        <v>189</v>
      </c>
      <c r="H9" s="34">
        <v>189</v>
      </c>
      <c r="I9" s="34">
        <v>130</v>
      </c>
      <c r="J9" s="34">
        <v>105</v>
      </c>
      <c r="K9" s="40"/>
      <c r="L9" s="34">
        <v>66</v>
      </c>
      <c r="M9" s="34">
        <v>66</v>
      </c>
      <c r="N9" s="34">
        <v>31</v>
      </c>
      <c r="O9" s="34">
        <v>25</v>
      </c>
      <c r="P9" s="40"/>
      <c r="Q9" s="34">
        <v>98</v>
      </c>
      <c r="R9" s="34">
        <v>98</v>
      </c>
      <c r="S9" s="34">
        <v>109</v>
      </c>
      <c r="T9" s="34">
        <v>58</v>
      </c>
      <c r="U9" s="40"/>
      <c r="V9" s="34">
        <v>6</v>
      </c>
      <c r="W9" s="34">
        <v>6</v>
      </c>
      <c r="X9" s="34">
        <v>3</v>
      </c>
      <c r="Y9" s="34">
        <v>4</v>
      </c>
      <c r="Z9" s="34"/>
      <c r="AA9" s="34">
        <f t="shared" si="0"/>
        <v>439</v>
      </c>
      <c r="AB9" s="38">
        <f t="shared" si="1"/>
        <v>0.25409276944065484</v>
      </c>
      <c r="AC9" s="38">
        <f t="shared" si="2"/>
        <v>0.53075170842824604</v>
      </c>
    </row>
    <row r="10" spans="1:29" x14ac:dyDescent="0.25">
      <c r="A10" t="s">
        <v>140</v>
      </c>
      <c r="B10" s="34">
        <v>244</v>
      </c>
      <c r="C10" s="34">
        <v>244</v>
      </c>
      <c r="D10" s="34">
        <v>122</v>
      </c>
      <c r="E10" s="34">
        <v>120</v>
      </c>
      <c r="F10" s="40"/>
      <c r="G10" s="34">
        <v>207</v>
      </c>
      <c r="H10" s="34">
        <v>207</v>
      </c>
      <c r="I10" s="34">
        <v>57</v>
      </c>
      <c r="J10" s="34">
        <v>99</v>
      </c>
      <c r="K10" s="40"/>
      <c r="L10" s="34">
        <v>37</v>
      </c>
      <c r="M10" s="34">
        <v>37</v>
      </c>
      <c r="N10" s="34">
        <v>9</v>
      </c>
      <c r="O10" s="34">
        <v>17</v>
      </c>
      <c r="P10" s="40"/>
      <c r="Q10" s="34">
        <v>10</v>
      </c>
      <c r="R10" s="34">
        <v>10</v>
      </c>
      <c r="S10" s="34">
        <v>1</v>
      </c>
      <c r="T10" s="34">
        <v>3</v>
      </c>
      <c r="U10" s="40"/>
      <c r="V10" s="34">
        <v>20</v>
      </c>
      <c r="W10" s="34">
        <v>20</v>
      </c>
      <c r="X10" s="34">
        <v>13</v>
      </c>
      <c r="Y10" s="34">
        <v>11</v>
      </c>
      <c r="Z10" s="34"/>
      <c r="AA10" s="34">
        <f t="shared" si="0"/>
        <v>518</v>
      </c>
      <c r="AB10" s="38">
        <f t="shared" si="1"/>
        <v>0.24556616643929058</v>
      </c>
      <c r="AC10" s="38">
        <f t="shared" si="2"/>
        <v>0.4826254826254826</v>
      </c>
    </row>
    <row r="11" spans="1:29" x14ac:dyDescent="0.25">
      <c r="A11" t="s">
        <v>151</v>
      </c>
      <c r="B11" s="34">
        <v>43</v>
      </c>
      <c r="C11" s="34">
        <v>43</v>
      </c>
      <c r="D11" s="34">
        <v>274</v>
      </c>
      <c r="E11" s="34">
        <v>22</v>
      </c>
      <c r="F11" s="40"/>
      <c r="G11" s="34">
        <v>41</v>
      </c>
      <c r="H11" s="34">
        <v>50</v>
      </c>
      <c r="I11" s="34">
        <v>197</v>
      </c>
      <c r="J11" s="34">
        <v>22</v>
      </c>
      <c r="K11" s="40"/>
      <c r="L11" s="34">
        <v>23</v>
      </c>
      <c r="M11" s="34">
        <v>24</v>
      </c>
      <c r="N11" s="34">
        <v>29</v>
      </c>
      <c r="O11" s="34">
        <v>12</v>
      </c>
      <c r="P11" s="40"/>
      <c r="Q11" s="34">
        <v>48</v>
      </c>
      <c r="R11" s="34">
        <v>48</v>
      </c>
      <c r="S11" s="34">
        <v>65</v>
      </c>
      <c r="T11" s="34">
        <v>25</v>
      </c>
      <c r="U11" s="40"/>
      <c r="V11" s="34">
        <v>4</v>
      </c>
      <c r="W11" s="34">
        <v>4</v>
      </c>
      <c r="X11" s="34">
        <v>1</v>
      </c>
      <c r="Y11" s="34">
        <v>1</v>
      </c>
      <c r="Z11" s="34"/>
      <c r="AA11" s="34">
        <f t="shared" si="0"/>
        <v>159</v>
      </c>
      <c r="AB11" s="38">
        <f t="shared" si="1"/>
        <v>0.23476523419736245</v>
      </c>
      <c r="AC11" s="38">
        <f t="shared" si="2"/>
        <v>0.51572327044025157</v>
      </c>
    </row>
    <row r="12" spans="1:29" x14ac:dyDescent="0.25">
      <c r="A12" t="s">
        <v>147</v>
      </c>
      <c r="B12" s="34">
        <v>16</v>
      </c>
      <c r="C12" s="34">
        <v>23</v>
      </c>
      <c r="D12" s="34">
        <v>10</v>
      </c>
      <c r="E12" s="34">
        <v>8</v>
      </c>
      <c r="F12" s="40"/>
      <c r="G12" s="34">
        <v>30</v>
      </c>
      <c r="H12" s="34">
        <v>64</v>
      </c>
      <c r="I12" s="34">
        <v>197</v>
      </c>
      <c r="J12" s="34">
        <v>11</v>
      </c>
      <c r="K12" s="40"/>
      <c r="L12" s="34">
        <v>84</v>
      </c>
      <c r="M12" s="34">
        <v>122</v>
      </c>
      <c r="N12" s="34">
        <v>374</v>
      </c>
      <c r="O12" s="34">
        <v>47</v>
      </c>
      <c r="P12" s="40"/>
      <c r="Q12" s="34">
        <v>69</v>
      </c>
      <c r="R12" s="34">
        <v>71</v>
      </c>
      <c r="S12" s="34">
        <v>66</v>
      </c>
      <c r="T12" s="34">
        <v>44</v>
      </c>
      <c r="U12" s="40"/>
      <c r="V12" s="34">
        <v>11</v>
      </c>
      <c r="W12" s="34">
        <v>11</v>
      </c>
      <c r="X12" s="34">
        <v>7</v>
      </c>
      <c r="Y12" s="34">
        <v>7</v>
      </c>
      <c r="Z12" s="34"/>
      <c r="AA12" s="34">
        <f t="shared" si="0"/>
        <v>210</v>
      </c>
      <c r="AB12" s="38">
        <f t="shared" si="1"/>
        <v>0.21758162125882141</v>
      </c>
      <c r="AC12" s="38">
        <f t="shared" si="2"/>
        <v>0.55714285714285716</v>
      </c>
    </row>
    <row r="13" spans="1:29" x14ac:dyDescent="0.25">
      <c r="A13" t="s">
        <v>143</v>
      </c>
      <c r="B13" s="34">
        <v>1</v>
      </c>
      <c r="C13" s="34">
        <v>51</v>
      </c>
      <c r="D13" s="34">
        <v>60</v>
      </c>
      <c r="E13" s="34">
        <v>0</v>
      </c>
      <c r="F13" s="40"/>
      <c r="G13" s="34"/>
      <c r="H13" s="34">
        <v>1</v>
      </c>
      <c r="I13" s="34"/>
      <c r="J13" s="34"/>
      <c r="K13" s="40"/>
      <c r="L13" s="34">
        <v>100</v>
      </c>
      <c r="M13" s="34">
        <v>115</v>
      </c>
      <c r="N13" s="34">
        <v>297</v>
      </c>
      <c r="O13" s="34">
        <v>71</v>
      </c>
      <c r="P13" s="40"/>
      <c r="Q13" s="34">
        <v>44</v>
      </c>
      <c r="R13" s="34">
        <v>45</v>
      </c>
      <c r="S13" s="34">
        <v>36</v>
      </c>
      <c r="T13" s="34">
        <v>22</v>
      </c>
      <c r="U13" s="40"/>
      <c r="V13" s="34"/>
      <c r="W13" s="34">
        <v>1</v>
      </c>
      <c r="X13" s="34"/>
      <c r="Y13" s="34"/>
      <c r="Z13" s="34"/>
      <c r="AA13" s="34">
        <f t="shared" si="0"/>
        <v>145</v>
      </c>
      <c r="AB13" s="38">
        <f t="shared" si="1"/>
        <v>0.14994452256256913</v>
      </c>
      <c r="AC13" s="38">
        <f t="shared" si="2"/>
        <v>0.64137931034482754</v>
      </c>
    </row>
    <row r="14" spans="1:29" x14ac:dyDescent="0.25">
      <c r="A14" t="s">
        <v>142</v>
      </c>
      <c r="B14" s="34">
        <v>66</v>
      </c>
      <c r="C14" s="34">
        <v>66</v>
      </c>
      <c r="D14" s="34">
        <v>9</v>
      </c>
      <c r="E14" s="34">
        <v>25</v>
      </c>
      <c r="F14" s="40"/>
      <c r="G14" s="34">
        <v>19</v>
      </c>
      <c r="H14" s="34">
        <v>24</v>
      </c>
      <c r="I14" s="34">
        <v>1</v>
      </c>
      <c r="J14" s="34">
        <v>7</v>
      </c>
      <c r="K14" s="40"/>
      <c r="L14" s="34">
        <v>71</v>
      </c>
      <c r="M14" s="34">
        <v>71</v>
      </c>
      <c r="N14" s="34">
        <v>34</v>
      </c>
      <c r="O14" s="34">
        <v>35</v>
      </c>
      <c r="P14" s="40"/>
      <c r="Q14" s="34">
        <v>134</v>
      </c>
      <c r="R14" s="34">
        <v>134</v>
      </c>
      <c r="S14" s="34">
        <v>52</v>
      </c>
      <c r="T14" s="34">
        <v>70</v>
      </c>
      <c r="U14" s="40"/>
      <c r="V14" s="34">
        <v>17</v>
      </c>
      <c r="W14" s="34">
        <v>17</v>
      </c>
      <c r="X14" s="34">
        <v>4</v>
      </c>
      <c r="Y14" s="34">
        <v>8</v>
      </c>
      <c r="Z14" s="34"/>
      <c r="AA14" s="34">
        <f t="shared" si="0"/>
        <v>307</v>
      </c>
      <c r="AB14" s="38">
        <f t="shared" si="1"/>
        <v>0.13874204183719871</v>
      </c>
      <c r="AC14" s="38">
        <f t="shared" si="2"/>
        <v>0.47231270358306188</v>
      </c>
    </row>
    <row r="15" spans="1:29" x14ac:dyDescent="0.25">
      <c r="A15" t="s">
        <v>138</v>
      </c>
      <c r="B15" s="34">
        <v>163</v>
      </c>
      <c r="C15" s="34">
        <v>163</v>
      </c>
      <c r="D15" s="34">
        <v>48</v>
      </c>
      <c r="E15" s="34">
        <v>86</v>
      </c>
      <c r="F15" s="40"/>
      <c r="G15" s="34">
        <v>74</v>
      </c>
      <c r="H15" s="34">
        <v>74</v>
      </c>
      <c r="I15" s="34">
        <v>24</v>
      </c>
      <c r="J15" s="34">
        <v>41</v>
      </c>
      <c r="K15" s="40"/>
      <c r="L15" s="34">
        <v>24</v>
      </c>
      <c r="M15" s="34">
        <v>24</v>
      </c>
      <c r="N15" s="34">
        <v>15</v>
      </c>
      <c r="O15" s="34">
        <v>9</v>
      </c>
      <c r="P15" s="40"/>
      <c r="Q15" s="34">
        <v>30</v>
      </c>
      <c r="R15" s="34">
        <v>30</v>
      </c>
      <c r="S15" s="34">
        <v>13</v>
      </c>
      <c r="T15" s="34">
        <v>16</v>
      </c>
      <c r="U15" s="40"/>
      <c r="V15" s="34">
        <v>4</v>
      </c>
      <c r="W15" s="34">
        <v>4</v>
      </c>
      <c r="X15" s="34">
        <v>0</v>
      </c>
      <c r="Y15" s="34">
        <v>2</v>
      </c>
      <c r="Z15" s="34"/>
      <c r="AA15" s="34">
        <f t="shared" si="0"/>
        <v>295</v>
      </c>
      <c r="AB15" s="38">
        <f t="shared" si="1"/>
        <v>0.13472032742155526</v>
      </c>
      <c r="AC15" s="38">
        <f t="shared" si="2"/>
        <v>0.52203389830508473</v>
      </c>
    </row>
    <row r="16" spans="1:29" x14ac:dyDescent="0.25">
      <c r="A16" t="s">
        <v>146</v>
      </c>
      <c r="B16" s="34">
        <v>53</v>
      </c>
      <c r="C16" s="34">
        <v>53</v>
      </c>
      <c r="D16" s="34">
        <v>48</v>
      </c>
      <c r="E16" s="34">
        <v>35</v>
      </c>
      <c r="F16" s="40"/>
      <c r="G16" s="34">
        <v>31</v>
      </c>
      <c r="H16" s="34">
        <v>31</v>
      </c>
      <c r="I16" s="34">
        <v>13</v>
      </c>
      <c r="J16" s="34">
        <v>15</v>
      </c>
      <c r="K16" s="40"/>
      <c r="L16" s="34">
        <v>5</v>
      </c>
      <c r="M16" s="34">
        <v>5</v>
      </c>
      <c r="N16" s="34">
        <v>2</v>
      </c>
      <c r="O16" s="34">
        <v>0</v>
      </c>
      <c r="P16" s="40"/>
      <c r="Q16" s="34">
        <v>80</v>
      </c>
      <c r="R16" s="34">
        <v>80</v>
      </c>
      <c r="S16" s="34">
        <v>65</v>
      </c>
      <c r="T16" s="34">
        <v>37</v>
      </c>
      <c r="U16" s="40"/>
      <c r="V16" s="34">
        <v>16</v>
      </c>
      <c r="W16" s="34">
        <v>16</v>
      </c>
      <c r="X16" s="34">
        <v>16</v>
      </c>
      <c r="Y16" s="34">
        <v>10</v>
      </c>
      <c r="Z16" s="34"/>
      <c r="AA16" s="34">
        <f t="shared" si="0"/>
        <v>185</v>
      </c>
      <c r="AB16" s="38">
        <f t="shared" si="1"/>
        <v>0.11221009549795362</v>
      </c>
      <c r="AC16" s="38">
        <f t="shared" si="2"/>
        <v>0.5243243243243243</v>
      </c>
    </row>
    <row r="17" spans="1:29" x14ac:dyDescent="0.25">
      <c r="A17" t="s">
        <v>148</v>
      </c>
      <c r="B17" s="34">
        <v>34</v>
      </c>
      <c r="C17" s="34">
        <v>34</v>
      </c>
      <c r="D17" s="34">
        <v>14</v>
      </c>
      <c r="E17" s="34">
        <v>11</v>
      </c>
      <c r="F17" s="40"/>
      <c r="G17" s="34">
        <v>1</v>
      </c>
      <c r="H17" s="34">
        <v>1</v>
      </c>
      <c r="I17" s="34">
        <v>1</v>
      </c>
      <c r="J17" s="34">
        <v>0</v>
      </c>
      <c r="K17" s="40"/>
      <c r="L17" s="34">
        <v>59</v>
      </c>
      <c r="M17" s="34">
        <v>59</v>
      </c>
      <c r="N17" s="34">
        <v>26</v>
      </c>
      <c r="O17" s="34">
        <v>24</v>
      </c>
      <c r="P17" s="40"/>
      <c r="Q17" s="34">
        <v>103</v>
      </c>
      <c r="R17" s="34">
        <v>103</v>
      </c>
      <c r="S17" s="34">
        <v>75</v>
      </c>
      <c r="T17" s="34">
        <v>47</v>
      </c>
      <c r="U17" s="40"/>
      <c r="V17" s="34">
        <v>6</v>
      </c>
      <c r="W17" s="34">
        <v>6</v>
      </c>
      <c r="X17" s="34">
        <v>4</v>
      </c>
      <c r="Y17" s="34">
        <v>2</v>
      </c>
      <c r="Z17" s="34"/>
      <c r="AA17" s="34">
        <f t="shared" si="0"/>
        <v>203</v>
      </c>
      <c r="AB17" s="38">
        <f t="shared" si="1"/>
        <v>0.1101637107776262</v>
      </c>
      <c r="AC17" s="38">
        <f t="shared" si="2"/>
        <v>0.41379310344827586</v>
      </c>
    </row>
    <row r="18" spans="1:29" x14ac:dyDescent="0.25">
      <c r="A18" t="s">
        <v>156</v>
      </c>
      <c r="B18" s="34">
        <v>25</v>
      </c>
      <c r="C18" s="34">
        <v>25</v>
      </c>
      <c r="D18" s="34">
        <v>67</v>
      </c>
      <c r="E18" s="34">
        <v>14</v>
      </c>
      <c r="F18" s="40"/>
      <c r="G18" s="34">
        <v>48</v>
      </c>
      <c r="H18" s="34">
        <v>48</v>
      </c>
      <c r="I18" s="34">
        <v>69</v>
      </c>
      <c r="J18" s="34">
        <v>26</v>
      </c>
      <c r="K18" s="40"/>
      <c r="L18" s="34">
        <v>26</v>
      </c>
      <c r="M18" s="34">
        <v>30</v>
      </c>
      <c r="N18" s="34">
        <v>31</v>
      </c>
      <c r="O18" s="34">
        <v>8</v>
      </c>
      <c r="P18" s="40"/>
      <c r="Q18" s="34">
        <v>15</v>
      </c>
      <c r="R18" s="34">
        <v>15</v>
      </c>
      <c r="S18" s="34">
        <v>22</v>
      </c>
      <c r="T18" s="34">
        <v>6</v>
      </c>
      <c r="U18" s="40"/>
      <c r="V18" s="34"/>
      <c r="W18" s="34">
        <v>1</v>
      </c>
      <c r="X18" s="34"/>
      <c r="Y18" s="34"/>
      <c r="Z18" s="34"/>
      <c r="AA18" s="34">
        <f t="shared" si="0"/>
        <v>114</v>
      </c>
      <c r="AB18" s="38">
        <f t="shared" si="1"/>
        <v>0.10193269668030923</v>
      </c>
      <c r="AC18" s="38">
        <f t="shared" si="2"/>
        <v>0.47368421052631576</v>
      </c>
    </row>
    <row r="19" spans="1:29" x14ac:dyDescent="0.25">
      <c r="A19" t="s">
        <v>213</v>
      </c>
      <c r="B19" s="34"/>
      <c r="C19" s="34">
        <v>1</v>
      </c>
      <c r="D19" s="34"/>
      <c r="E19" s="34"/>
      <c r="F19" s="40"/>
      <c r="G19" s="34"/>
      <c r="H19" s="34">
        <v>1</v>
      </c>
      <c r="I19" s="34"/>
      <c r="J19" s="34"/>
      <c r="K19" s="40"/>
      <c r="L19" s="34"/>
      <c r="M19" s="34">
        <v>1</v>
      </c>
      <c r="N19" s="34"/>
      <c r="O19" s="34"/>
      <c r="P19" s="40"/>
      <c r="Q19" s="34">
        <v>40</v>
      </c>
      <c r="R19" s="34">
        <v>40</v>
      </c>
      <c r="S19" s="34">
        <v>155</v>
      </c>
      <c r="T19" s="34">
        <v>24</v>
      </c>
      <c r="U19" s="40"/>
      <c r="V19" s="34">
        <v>36</v>
      </c>
      <c r="W19" s="34">
        <v>36</v>
      </c>
      <c r="X19" s="34">
        <v>30</v>
      </c>
      <c r="Y19" s="34">
        <v>19</v>
      </c>
      <c r="Z19" s="34"/>
      <c r="AA19" s="34">
        <f t="shared" si="0"/>
        <v>76</v>
      </c>
      <c r="AB19" s="38">
        <f t="shared" si="1"/>
        <v>8.9017735334242842E-2</v>
      </c>
      <c r="AC19" s="38">
        <f t="shared" si="2"/>
        <v>0.56578947368421051</v>
      </c>
    </row>
    <row r="20" spans="1:29" x14ac:dyDescent="0.25">
      <c r="A20" t="s">
        <v>154</v>
      </c>
      <c r="B20" s="34">
        <v>9</v>
      </c>
      <c r="C20" s="34">
        <v>9</v>
      </c>
      <c r="D20" s="34">
        <v>6</v>
      </c>
      <c r="E20" s="34">
        <v>5</v>
      </c>
      <c r="F20" s="40"/>
      <c r="G20" s="34">
        <v>7</v>
      </c>
      <c r="H20" s="34">
        <v>7</v>
      </c>
      <c r="I20" s="34">
        <v>10</v>
      </c>
      <c r="J20" s="34">
        <v>3</v>
      </c>
      <c r="K20" s="40"/>
      <c r="L20" s="34">
        <v>58</v>
      </c>
      <c r="M20" s="34">
        <v>63</v>
      </c>
      <c r="N20" s="34">
        <v>89</v>
      </c>
      <c r="O20" s="34">
        <v>30</v>
      </c>
      <c r="P20" s="40"/>
      <c r="Q20" s="34">
        <v>38</v>
      </c>
      <c r="R20" s="34">
        <v>44</v>
      </c>
      <c r="S20" s="34">
        <v>41</v>
      </c>
      <c r="T20" s="34">
        <v>16</v>
      </c>
      <c r="U20" s="40"/>
      <c r="V20" s="34">
        <v>7</v>
      </c>
      <c r="W20" s="34">
        <v>8</v>
      </c>
      <c r="X20" s="34">
        <v>7</v>
      </c>
      <c r="Y20" s="34">
        <v>2</v>
      </c>
      <c r="Z20" s="34"/>
      <c r="AA20" s="34">
        <f t="shared" si="0"/>
        <v>119</v>
      </c>
      <c r="AB20" s="38">
        <f t="shared" si="1"/>
        <v>8.8155047355251995E-2</v>
      </c>
      <c r="AC20" s="38">
        <f t="shared" si="2"/>
        <v>0.47058823529411764</v>
      </c>
    </row>
    <row r="21" spans="1:29" x14ac:dyDescent="0.25">
      <c r="A21" t="s">
        <v>108</v>
      </c>
      <c r="B21" s="34"/>
      <c r="C21" s="34">
        <v>1</v>
      </c>
      <c r="D21" s="34"/>
      <c r="E21" s="34"/>
      <c r="F21" s="40"/>
      <c r="G21" s="34"/>
      <c r="H21" s="34">
        <v>1</v>
      </c>
      <c r="I21" s="34"/>
      <c r="J21" s="34"/>
      <c r="K21" s="40"/>
      <c r="L21" s="34">
        <v>4</v>
      </c>
      <c r="M21" s="34">
        <v>202</v>
      </c>
      <c r="N21" s="34">
        <v>127</v>
      </c>
      <c r="O21" s="34">
        <v>1</v>
      </c>
      <c r="P21" s="40"/>
      <c r="Q21" s="34">
        <v>115</v>
      </c>
      <c r="R21" s="34">
        <v>161</v>
      </c>
      <c r="S21" s="34">
        <v>64</v>
      </c>
      <c r="T21" s="34">
        <v>53</v>
      </c>
      <c r="U21" s="40"/>
      <c r="V21" s="34">
        <v>29</v>
      </c>
      <c r="W21" s="34">
        <v>29</v>
      </c>
      <c r="X21" s="34">
        <v>13</v>
      </c>
      <c r="Y21" s="34">
        <v>14</v>
      </c>
      <c r="Z21" s="34"/>
      <c r="AA21" s="34">
        <f t="shared" si="0"/>
        <v>148</v>
      </c>
      <c r="AB21" s="38">
        <f t="shared" si="1"/>
        <v>7.1360551568701996E-2</v>
      </c>
      <c r="AC21" s="38">
        <f t="shared" si="2"/>
        <v>0.45945945945945948</v>
      </c>
    </row>
    <row r="22" spans="1:29" x14ac:dyDescent="0.25">
      <c r="A22" t="s">
        <v>39</v>
      </c>
      <c r="B22" s="34">
        <v>36</v>
      </c>
      <c r="C22" s="34">
        <v>37</v>
      </c>
      <c r="D22" s="34">
        <v>25</v>
      </c>
      <c r="E22" s="34">
        <v>16</v>
      </c>
      <c r="F22" s="40"/>
      <c r="G22" s="34">
        <v>12</v>
      </c>
      <c r="H22" s="34">
        <v>85</v>
      </c>
      <c r="I22" s="34">
        <v>139</v>
      </c>
      <c r="J22" s="34">
        <v>9</v>
      </c>
      <c r="K22" s="40"/>
      <c r="L22" s="34">
        <v>3</v>
      </c>
      <c r="M22" s="34">
        <v>140</v>
      </c>
      <c r="N22" s="34">
        <v>154</v>
      </c>
      <c r="O22" s="34">
        <v>0</v>
      </c>
      <c r="P22" s="40"/>
      <c r="Q22" s="34">
        <v>9</v>
      </c>
      <c r="R22" s="34">
        <v>24</v>
      </c>
      <c r="S22" s="34">
        <v>12</v>
      </c>
      <c r="T22" s="34">
        <v>4</v>
      </c>
      <c r="U22" s="40"/>
      <c r="V22" s="34">
        <v>1</v>
      </c>
      <c r="W22" s="34">
        <v>3</v>
      </c>
      <c r="X22" s="34">
        <v>0</v>
      </c>
      <c r="Y22" s="34">
        <v>0</v>
      </c>
      <c r="Z22" s="34"/>
      <c r="AA22" s="34">
        <f t="shared" si="0"/>
        <v>61</v>
      </c>
      <c r="AB22" s="38">
        <f t="shared" si="1"/>
        <v>3.8454247522540598E-2</v>
      </c>
      <c r="AC22" s="38">
        <f t="shared" si="2"/>
        <v>0.47540983606557374</v>
      </c>
    </row>
    <row r="23" spans="1:29" x14ac:dyDescent="0.25">
      <c r="A23" t="s">
        <v>59</v>
      </c>
      <c r="B23" s="34"/>
      <c r="C23" s="34">
        <v>1</v>
      </c>
      <c r="D23" s="34"/>
      <c r="E23" s="34"/>
      <c r="F23" s="40"/>
      <c r="G23" s="34"/>
      <c r="H23" s="34">
        <v>1</v>
      </c>
      <c r="I23" s="34"/>
      <c r="J23" s="34"/>
      <c r="K23" s="40"/>
      <c r="L23" s="34">
        <v>41</v>
      </c>
      <c r="M23" s="34">
        <v>73</v>
      </c>
      <c r="N23" s="34">
        <v>75</v>
      </c>
      <c r="O23" s="34">
        <v>17</v>
      </c>
      <c r="P23" s="40"/>
      <c r="Q23" s="34">
        <v>10</v>
      </c>
      <c r="R23" s="34">
        <v>19</v>
      </c>
      <c r="S23" s="34">
        <v>10</v>
      </c>
      <c r="T23" s="34">
        <v>3</v>
      </c>
      <c r="U23" s="40"/>
      <c r="V23" s="34"/>
      <c r="W23" s="34">
        <v>1</v>
      </c>
      <c r="X23" s="34"/>
      <c r="Y23" s="34"/>
      <c r="Z23" s="34"/>
      <c r="AA23" s="34">
        <f t="shared" si="0"/>
        <v>51</v>
      </c>
      <c r="AB23" s="38">
        <f t="shared" si="1"/>
        <v>3.3556086482254339E-2</v>
      </c>
      <c r="AC23" s="38">
        <f t="shared" si="2"/>
        <v>0.39215686274509803</v>
      </c>
    </row>
    <row r="24" spans="1:29" x14ac:dyDescent="0.25">
      <c r="A24" t="s">
        <v>153</v>
      </c>
      <c r="B24" s="34">
        <v>12</v>
      </c>
      <c r="C24" s="34">
        <v>12</v>
      </c>
      <c r="D24" s="34">
        <v>7</v>
      </c>
      <c r="E24" s="34">
        <v>4</v>
      </c>
      <c r="F24" s="40"/>
      <c r="G24" s="34">
        <v>9</v>
      </c>
      <c r="H24" s="34">
        <v>9</v>
      </c>
      <c r="I24" s="34">
        <v>15</v>
      </c>
      <c r="J24" s="34">
        <v>5</v>
      </c>
      <c r="K24" s="40"/>
      <c r="L24" s="34">
        <v>6</v>
      </c>
      <c r="M24" s="34">
        <v>6</v>
      </c>
      <c r="N24" s="34">
        <v>6</v>
      </c>
      <c r="O24" s="34">
        <v>2</v>
      </c>
      <c r="P24" s="40"/>
      <c r="Q24" s="34">
        <v>3</v>
      </c>
      <c r="R24" s="34">
        <v>3</v>
      </c>
      <c r="S24" s="34">
        <v>1</v>
      </c>
      <c r="T24" s="34">
        <v>2</v>
      </c>
      <c r="U24" s="40"/>
      <c r="V24" s="34"/>
      <c r="W24" s="34">
        <v>1</v>
      </c>
      <c r="X24" s="34"/>
      <c r="Y24" s="34"/>
      <c r="Z24" s="34"/>
      <c r="AA24" s="34">
        <f t="shared" si="0"/>
        <v>30</v>
      </c>
      <c r="AB24" s="38">
        <f t="shared" si="1"/>
        <v>2.0122783083219645E-2</v>
      </c>
      <c r="AC24" s="38">
        <f t="shared" si="2"/>
        <v>0.43333333333333335</v>
      </c>
    </row>
    <row r="25" spans="1:29" x14ac:dyDescent="0.25">
      <c r="A25" t="s">
        <v>122</v>
      </c>
      <c r="B25" s="34">
        <v>17</v>
      </c>
      <c r="C25" s="34">
        <v>31</v>
      </c>
      <c r="D25" s="34">
        <v>39</v>
      </c>
      <c r="E25" s="34">
        <v>6</v>
      </c>
      <c r="F25" s="40"/>
      <c r="G25" s="34"/>
      <c r="H25" s="34">
        <v>1</v>
      </c>
      <c r="I25" s="34"/>
      <c r="J25" s="34"/>
      <c r="K25" s="40"/>
      <c r="L25" s="34">
        <v>10</v>
      </c>
      <c r="M25" s="34">
        <v>19</v>
      </c>
      <c r="N25" s="34">
        <v>5</v>
      </c>
      <c r="O25" s="34">
        <v>4</v>
      </c>
      <c r="P25" s="40"/>
      <c r="Q25" s="34"/>
      <c r="R25" s="34">
        <v>1</v>
      </c>
      <c r="S25" s="34"/>
      <c r="T25" s="34"/>
      <c r="U25" s="40"/>
      <c r="V25" s="34"/>
      <c r="W25" s="34">
        <v>1</v>
      </c>
      <c r="X25" s="34"/>
      <c r="Y25" s="34"/>
      <c r="Z25" s="34"/>
      <c r="AA25" s="34">
        <f t="shared" si="0"/>
        <v>27</v>
      </c>
      <c r="AB25" s="38">
        <f t="shared" si="1"/>
        <v>1.7400639741324001E-2</v>
      </c>
      <c r="AC25" s="38">
        <f t="shared" si="2"/>
        <v>0.37037037037037035</v>
      </c>
    </row>
    <row r="26" spans="1:29" x14ac:dyDescent="0.25">
      <c r="A26" t="s">
        <v>152</v>
      </c>
      <c r="B26" s="34">
        <v>16</v>
      </c>
      <c r="C26" s="34">
        <v>16</v>
      </c>
      <c r="D26" s="34">
        <v>12</v>
      </c>
      <c r="E26" s="34">
        <v>6</v>
      </c>
      <c r="F26" s="40"/>
      <c r="G26" s="34">
        <v>8</v>
      </c>
      <c r="H26" s="34">
        <v>8</v>
      </c>
      <c r="I26" s="34">
        <v>8</v>
      </c>
      <c r="J26" s="34">
        <v>4</v>
      </c>
      <c r="K26" s="40"/>
      <c r="L26" s="34">
        <v>2</v>
      </c>
      <c r="M26" s="34">
        <v>2</v>
      </c>
      <c r="N26" s="34">
        <v>0</v>
      </c>
      <c r="O26" s="34">
        <v>1</v>
      </c>
      <c r="P26" s="40"/>
      <c r="Q26" s="34"/>
      <c r="R26" s="34">
        <v>1</v>
      </c>
      <c r="S26" s="34"/>
      <c r="T26" s="34"/>
      <c r="U26" s="40"/>
      <c r="V26" s="34"/>
      <c r="W26" s="34">
        <v>1</v>
      </c>
      <c r="X26" s="34"/>
      <c r="Y26" s="34"/>
      <c r="Z26" s="34"/>
      <c r="AA26" s="34">
        <f t="shared" si="0"/>
        <v>26</v>
      </c>
      <c r="AB26" s="38">
        <f t="shared" si="1"/>
        <v>1.5688949522510234E-2</v>
      </c>
      <c r="AC26" s="38">
        <f t="shared" si="2"/>
        <v>0.42307692307692307</v>
      </c>
    </row>
    <row r="27" spans="1:29" x14ac:dyDescent="0.25">
      <c r="A27" t="s">
        <v>168</v>
      </c>
      <c r="B27" s="34">
        <v>23</v>
      </c>
      <c r="C27" s="34">
        <v>122</v>
      </c>
      <c r="D27" s="34">
        <v>75</v>
      </c>
      <c r="E27" s="34">
        <v>10</v>
      </c>
      <c r="F27" s="40"/>
      <c r="G27" s="34">
        <v>6</v>
      </c>
      <c r="H27" s="34">
        <v>27</v>
      </c>
      <c r="I27" s="34">
        <v>10</v>
      </c>
      <c r="J27" s="34">
        <v>4</v>
      </c>
      <c r="K27" s="40"/>
      <c r="L27" s="34"/>
      <c r="M27" s="34">
        <v>1</v>
      </c>
      <c r="N27" s="34"/>
      <c r="O27" s="34"/>
      <c r="P27" s="40"/>
      <c r="Q27" s="34"/>
      <c r="R27" s="34">
        <v>1</v>
      </c>
      <c r="S27" s="34"/>
      <c r="T27" s="34"/>
      <c r="U27" s="40"/>
      <c r="V27" s="34"/>
      <c r="W27" s="34">
        <v>1</v>
      </c>
      <c r="X27" s="34"/>
      <c r="Y27" s="34"/>
      <c r="Z27" s="34"/>
      <c r="AA27" s="34">
        <f t="shared" si="0"/>
        <v>29</v>
      </c>
      <c r="AB27" s="38">
        <f t="shared" si="1"/>
        <v>1.547120275733878E-2</v>
      </c>
      <c r="AC27" s="38">
        <f t="shared" si="2"/>
        <v>0.48275862068965519</v>
      </c>
    </row>
    <row r="28" spans="1:29" x14ac:dyDescent="0.25">
      <c r="A28" t="s">
        <v>144</v>
      </c>
      <c r="B28" s="34">
        <v>10</v>
      </c>
      <c r="C28" s="34">
        <v>10</v>
      </c>
      <c r="D28" s="34">
        <v>7</v>
      </c>
      <c r="E28" s="34">
        <v>6</v>
      </c>
      <c r="F28" s="40"/>
      <c r="G28" s="34">
        <v>1</v>
      </c>
      <c r="H28" s="34">
        <v>3</v>
      </c>
      <c r="I28" s="34">
        <v>2</v>
      </c>
      <c r="J28" s="34">
        <v>1</v>
      </c>
      <c r="K28" s="40"/>
      <c r="L28" s="34">
        <v>1</v>
      </c>
      <c r="M28" s="34">
        <v>1</v>
      </c>
      <c r="N28" s="34">
        <v>2</v>
      </c>
      <c r="O28" s="34">
        <v>1</v>
      </c>
      <c r="P28" s="40"/>
      <c r="Q28" s="34">
        <v>1</v>
      </c>
      <c r="R28" s="34">
        <v>1</v>
      </c>
      <c r="S28" s="34">
        <v>1</v>
      </c>
      <c r="T28" s="34">
        <v>0</v>
      </c>
      <c r="U28" s="40"/>
      <c r="V28" s="34"/>
      <c r="W28" s="34">
        <v>1</v>
      </c>
      <c r="X28" s="34"/>
      <c r="Y28" s="34"/>
      <c r="Z28" s="34"/>
      <c r="AA28" s="34">
        <f t="shared" si="0"/>
        <v>13</v>
      </c>
      <c r="AB28" s="38">
        <f t="shared" si="1"/>
        <v>8.0718508412914967E-3</v>
      </c>
      <c r="AC28" s="38">
        <f t="shared" si="2"/>
        <v>0.61538461538461542</v>
      </c>
    </row>
    <row r="29" spans="1:29" x14ac:dyDescent="0.25">
      <c r="A29" t="s">
        <v>159</v>
      </c>
      <c r="B29" s="34">
        <v>5</v>
      </c>
      <c r="C29" s="34">
        <v>5</v>
      </c>
      <c r="D29" s="34">
        <v>2</v>
      </c>
      <c r="E29" s="34">
        <v>1</v>
      </c>
      <c r="F29" s="40"/>
      <c r="G29" s="34">
        <v>2</v>
      </c>
      <c r="H29" s="34">
        <v>2</v>
      </c>
      <c r="I29" s="34">
        <v>1</v>
      </c>
      <c r="J29" s="34">
        <v>1</v>
      </c>
      <c r="K29" s="40"/>
      <c r="L29" s="34">
        <v>3</v>
      </c>
      <c r="M29" s="34">
        <v>3</v>
      </c>
      <c r="N29" s="34">
        <v>0</v>
      </c>
      <c r="O29" s="34">
        <v>1</v>
      </c>
      <c r="P29" s="40"/>
      <c r="Q29" s="34">
        <v>1</v>
      </c>
      <c r="R29" s="34">
        <v>1</v>
      </c>
      <c r="S29" s="34">
        <v>0</v>
      </c>
      <c r="T29" s="34">
        <v>0</v>
      </c>
      <c r="U29" s="40"/>
      <c r="V29" s="34"/>
      <c r="W29" s="34">
        <v>1</v>
      </c>
      <c r="X29" s="34"/>
      <c r="Y29" s="34"/>
      <c r="Z29" s="34"/>
      <c r="AA29" s="34">
        <f t="shared" si="0"/>
        <v>11</v>
      </c>
      <c r="AB29" s="38">
        <f t="shared" si="1"/>
        <v>4.7748976807639835E-3</v>
      </c>
      <c r="AC29" s="38">
        <f t="shared" si="2"/>
        <v>0.27272727272727271</v>
      </c>
    </row>
    <row r="30" spans="1:29" x14ac:dyDescent="0.25">
      <c r="A30" t="s">
        <v>25</v>
      </c>
      <c r="B30" s="34">
        <v>4</v>
      </c>
      <c r="C30" s="34">
        <v>6</v>
      </c>
      <c r="D30" s="34">
        <v>0</v>
      </c>
      <c r="E30" s="34">
        <v>2</v>
      </c>
      <c r="F30" s="40"/>
      <c r="G30" s="34">
        <v>3</v>
      </c>
      <c r="H30" s="34">
        <v>3</v>
      </c>
      <c r="I30" s="34">
        <v>0</v>
      </c>
      <c r="J30" s="34">
        <v>1</v>
      </c>
      <c r="K30" s="40"/>
      <c r="L30" s="34">
        <v>1</v>
      </c>
      <c r="M30" s="34">
        <v>15</v>
      </c>
      <c r="N30" s="34">
        <v>21</v>
      </c>
      <c r="O30" s="34">
        <v>0</v>
      </c>
      <c r="P30" s="40"/>
      <c r="Q30" s="34">
        <v>3</v>
      </c>
      <c r="R30" s="34">
        <v>4</v>
      </c>
      <c r="S30" s="34">
        <v>0</v>
      </c>
      <c r="T30" s="34">
        <v>1</v>
      </c>
      <c r="U30" s="40"/>
      <c r="V30" s="34"/>
      <c r="W30" s="34">
        <v>1</v>
      </c>
      <c r="X30" s="34"/>
      <c r="Y30" s="34"/>
      <c r="Z30" s="34"/>
      <c r="AA30" s="34">
        <f t="shared" si="0"/>
        <v>11</v>
      </c>
      <c r="AB30" s="38">
        <f t="shared" si="1"/>
        <v>4.2291950886766717E-3</v>
      </c>
      <c r="AC30" s="38">
        <f t="shared" si="2"/>
        <v>0.36363636363636365</v>
      </c>
    </row>
    <row r="31" spans="1:29" x14ac:dyDescent="0.25">
      <c r="A31" t="s">
        <v>34</v>
      </c>
      <c r="B31" s="34">
        <v>4</v>
      </c>
      <c r="C31" s="34">
        <v>11</v>
      </c>
      <c r="D31" s="34">
        <v>7</v>
      </c>
      <c r="E31" s="34">
        <v>3</v>
      </c>
      <c r="F31" s="40"/>
      <c r="G31" s="34"/>
      <c r="H31" s="34">
        <v>1</v>
      </c>
      <c r="I31" s="34"/>
      <c r="J31" s="34"/>
      <c r="K31" s="40"/>
      <c r="L31" s="34">
        <v>1</v>
      </c>
      <c r="M31" s="34">
        <v>12</v>
      </c>
      <c r="N31" s="34">
        <v>17</v>
      </c>
      <c r="O31" s="34">
        <v>0</v>
      </c>
      <c r="P31" s="40"/>
      <c r="Q31" s="34">
        <v>1</v>
      </c>
      <c r="R31" s="34">
        <v>3</v>
      </c>
      <c r="S31" s="34">
        <v>3</v>
      </c>
      <c r="T31" s="34">
        <v>0</v>
      </c>
      <c r="U31" s="40"/>
      <c r="V31" s="34"/>
      <c r="W31" s="34">
        <v>1</v>
      </c>
      <c r="X31" s="34"/>
      <c r="Y31" s="34"/>
      <c r="Z31" s="34"/>
      <c r="AA31" s="34">
        <f t="shared" si="0"/>
        <v>6</v>
      </c>
      <c r="AB31" s="38">
        <f t="shared" si="1"/>
        <v>3.7387862251436598E-3</v>
      </c>
      <c r="AC31" s="38">
        <f t="shared" si="2"/>
        <v>0.5</v>
      </c>
    </row>
    <row r="32" spans="1:29" x14ac:dyDescent="0.25">
      <c r="A32" t="s">
        <v>18</v>
      </c>
      <c r="B32" s="34"/>
      <c r="C32" s="34">
        <v>1</v>
      </c>
      <c r="D32" s="34"/>
      <c r="E32" s="34"/>
      <c r="F32" s="40"/>
      <c r="G32" s="34"/>
      <c r="H32" s="34">
        <v>1</v>
      </c>
      <c r="I32" s="34"/>
      <c r="J32" s="34"/>
      <c r="K32" s="40"/>
      <c r="L32" s="34">
        <v>2</v>
      </c>
      <c r="M32" s="34">
        <v>54</v>
      </c>
      <c r="N32" s="34">
        <v>107</v>
      </c>
      <c r="O32" s="34">
        <v>1</v>
      </c>
      <c r="P32" s="40"/>
      <c r="Q32" s="34"/>
      <c r="R32" s="34">
        <v>1</v>
      </c>
      <c r="S32" s="34"/>
      <c r="T32" s="34"/>
      <c r="U32" s="40"/>
      <c r="V32" s="34"/>
      <c r="W32" s="34">
        <v>1</v>
      </c>
      <c r="X32" s="34"/>
      <c r="Y32" s="34"/>
      <c r="Z32" s="34"/>
      <c r="AA32" s="34">
        <f t="shared" si="0"/>
        <v>2</v>
      </c>
      <c r="AB32" s="38">
        <f t="shared" si="1"/>
        <v>2.0337527158809559E-3</v>
      </c>
      <c r="AC32" s="38">
        <f t="shared" si="2"/>
        <v>0.5</v>
      </c>
    </row>
    <row r="33" spans="1:29" x14ac:dyDescent="0.25">
      <c r="A33" t="s">
        <v>189</v>
      </c>
      <c r="B33" s="34">
        <v>3</v>
      </c>
      <c r="C33" s="34">
        <v>6</v>
      </c>
      <c r="D33" s="34">
        <v>4</v>
      </c>
      <c r="E33" s="34">
        <v>2</v>
      </c>
      <c r="F33" s="40"/>
      <c r="G33" s="34"/>
      <c r="H33" s="34">
        <v>1</v>
      </c>
      <c r="I33" s="34"/>
      <c r="J33" s="34"/>
      <c r="K33" s="40"/>
      <c r="L33" s="34"/>
      <c r="M33" s="34">
        <v>1</v>
      </c>
      <c r="N33" s="34"/>
      <c r="O33" s="34"/>
      <c r="P33" s="40"/>
      <c r="Q33" s="34"/>
      <c r="R33" s="34">
        <v>1</v>
      </c>
      <c r="S33" s="34"/>
      <c r="T33" s="34"/>
      <c r="U33" s="40"/>
      <c r="V33" s="34"/>
      <c r="W33" s="34">
        <v>1</v>
      </c>
      <c r="X33" s="34"/>
      <c r="Y33" s="34"/>
      <c r="Z33" s="34"/>
      <c r="AA33" s="34">
        <f t="shared" si="0"/>
        <v>3</v>
      </c>
      <c r="AB33" s="38">
        <f t="shared" si="1"/>
        <v>1.7053206002728514E-3</v>
      </c>
      <c r="AC33" s="38">
        <f t="shared" si="2"/>
        <v>0.66666666666666663</v>
      </c>
    </row>
    <row r="34" spans="1:29" x14ac:dyDescent="0.25">
      <c r="A34" t="s">
        <v>109</v>
      </c>
      <c r="B34" s="34">
        <v>2</v>
      </c>
      <c r="C34" s="34">
        <v>108</v>
      </c>
      <c r="D34" s="34">
        <v>49</v>
      </c>
      <c r="E34" s="34">
        <v>0</v>
      </c>
      <c r="F34" s="40"/>
      <c r="G34" s="34"/>
      <c r="H34" s="34">
        <v>1</v>
      </c>
      <c r="I34" s="34"/>
      <c r="J34" s="34"/>
      <c r="K34" s="40"/>
      <c r="L34" s="34"/>
      <c r="M34" s="34">
        <v>1</v>
      </c>
      <c r="N34" s="34"/>
      <c r="O34" s="34"/>
      <c r="P34" s="40"/>
      <c r="Q34" s="34">
        <v>1</v>
      </c>
      <c r="R34" s="34">
        <v>102</v>
      </c>
      <c r="S34" s="34">
        <v>65</v>
      </c>
      <c r="T34" s="34">
        <v>0</v>
      </c>
      <c r="U34" s="40"/>
      <c r="V34" s="34"/>
      <c r="W34" s="34">
        <v>1</v>
      </c>
      <c r="X34" s="34"/>
      <c r="Y34" s="34"/>
      <c r="Z34" s="34"/>
      <c r="AA34" s="34">
        <f t="shared" si="0"/>
        <v>3</v>
      </c>
      <c r="AB34" s="38">
        <f t="shared" si="1"/>
        <v>1.5500212514898337E-3</v>
      </c>
      <c r="AC34" s="38">
        <f t="shared" si="2"/>
        <v>0</v>
      </c>
    </row>
    <row r="35" spans="1:29" x14ac:dyDescent="0.25">
      <c r="A35" t="s">
        <v>90</v>
      </c>
      <c r="B35" s="34">
        <v>2</v>
      </c>
      <c r="C35" s="34">
        <v>184</v>
      </c>
      <c r="D35" s="34">
        <v>144</v>
      </c>
      <c r="E35" s="34">
        <v>2</v>
      </c>
      <c r="F35" s="40"/>
      <c r="G35" s="34"/>
      <c r="H35" s="34">
        <v>1</v>
      </c>
      <c r="I35" s="34"/>
      <c r="J35" s="34"/>
      <c r="K35" s="40"/>
      <c r="L35" s="34"/>
      <c r="M35" s="34">
        <v>1</v>
      </c>
      <c r="N35" s="34"/>
      <c r="O35" s="34"/>
      <c r="P35" s="40"/>
      <c r="Q35" s="34"/>
      <c r="R35" s="34">
        <v>1</v>
      </c>
      <c r="S35" s="34"/>
      <c r="T35" s="34"/>
      <c r="U35" s="40"/>
      <c r="V35" s="34"/>
      <c r="W35" s="34">
        <v>1</v>
      </c>
      <c r="X35" s="34"/>
      <c r="Y35" s="34"/>
      <c r="Z35" s="34"/>
      <c r="AA35" s="34">
        <f t="shared" ref="AA35:AA51" si="3">B35+G35+L35+Q35+V35</f>
        <v>2</v>
      </c>
      <c r="AB35" s="38">
        <f t="shared" ref="AB35:AB51" si="4">(AA35+(B35/C35*D35+G35/H35*I35+L35/M35*N35+Q35/R35*S35+V35/W35*X35))/($D$1+$I$1+$N$1+$S$1+$X$1)</f>
        <v>1.2159677323684678E-3</v>
      </c>
      <c r="AC35" s="38">
        <f t="shared" ref="AC35:AC51" si="5">(E35+J35+O35+T35+Y35)/(AA35)</f>
        <v>1</v>
      </c>
    </row>
    <row r="36" spans="1:29" x14ac:dyDescent="0.25">
      <c r="A36" t="s">
        <v>184</v>
      </c>
      <c r="B36" s="34">
        <v>1</v>
      </c>
      <c r="C36" s="34">
        <v>9</v>
      </c>
      <c r="D36" s="34">
        <v>13</v>
      </c>
      <c r="E36" s="34">
        <v>0</v>
      </c>
      <c r="F36" s="40"/>
      <c r="G36" s="34"/>
      <c r="H36" s="34">
        <v>1</v>
      </c>
      <c r="I36" s="34"/>
      <c r="J36" s="34"/>
      <c r="K36" s="40"/>
      <c r="L36" s="34"/>
      <c r="M36" s="34">
        <v>1</v>
      </c>
      <c r="N36" s="34"/>
      <c r="O36" s="34"/>
      <c r="P36" s="40"/>
      <c r="Q36" s="34"/>
      <c r="R36" s="34">
        <v>1</v>
      </c>
      <c r="S36" s="34"/>
      <c r="T36" s="34"/>
      <c r="U36" s="40"/>
      <c r="V36" s="34"/>
      <c r="W36" s="34">
        <v>1</v>
      </c>
      <c r="X36" s="34"/>
      <c r="Y36" s="34"/>
      <c r="Z36" s="34"/>
      <c r="AA36" s="34">
        <f t="shared" si="3"/>
        <v>1</v>
      </c>
      <c r="AB36" s="38">
        <f t="shared" si="4"/>
        <v>8.3371229346672739E-4</v>
      </c>
      <c r="AC36" s="38">
        <f t="shared" si="5"/>
        <v>0</v>
      </c>
    </row>
    <row r="37" spans="1:29" x14ac:dyDescent="0.25">
      <c r="A37" t="s">
        <v>30</v>
      </c>
      <c r="B37" s="34"/>
      <c r="C37" s="34">
        <v>1</v>
      </c>
      <c r="D37" s="34"/>
      <c r="E37" s="34"/>
      <c r="F37" s="40"/>
      <c r="G37" s="34">
        <v>1</v>
      </c>
      <c r="H37" s="34">
        <v>196</v>
      </c>
      <c r="I37" s="34">
        <v>282</v>
      </c>
      <c r="J37" s="34">
        <v>0</v>
      </c>
      <c r="K37" s="40"/>
      <c r="L37" s="34"/>
      <c r="M37" s="34">
        <v>1</v>
      </c>
      <c r="N37" s="34"/>
      <c r="O37" s="34"/>
      <c r="P37" s="40"/>
      <c r="Q37" s="34"/>
      <c r="R37" s="34">
        <v>1</v>
      </c>
      <c r="S37" s="34"/>
      <c r="T37" s="34"/>
      <c r="U37" s="40"/>
      <c r="V37" s="34"/>
      <c r="W37" s="34">
        <v>1</v>
      </c>
      <c r="X37" s="34"/>
      <c r="Y37" s="34"/>
      <c r="Z37" s="34"/>
      <c r="AA37" s="34">
        <f t="shared" si="3"/>
        <v>1</v>
      </c>
      <c r="AB37" s="38">
        <f t="shared" si="4"/>
        <v>8.3177882339839063E-4</v>
      </c>
      <c r="AC37" s="38">
        <f t="shared" si="5"/>
        <v>0</v>
      </c>
    </row>
    <row r="38" spans="1:29" x14ac:dyDescent="0.25">
      <c r="A38" t="s">
        <v>89</v>
      </c>
      <c r="B38" s="34">
        <v>1</v>
      </c>
      <c r="C38" s="34">
        <v>5</v>
      </c>
      <c r="D38" s="34">
        <v>7</v>
      </c>
      <c r="E38" s="34">
        <v>0</v>
      </c>
      <c r="F38" s="40"/>
      <c r="G38" s="34"/>
      <c r="H38" s="34">
        <v>1</v>
      </c>
      <c r="I38" s="34"/>
      <c r="J38" s="34"/>
      <c r="K38" s="40"/>
      <c r="L38" s="34"/>
      <c r="M38" s="34">
        <v>1</v>
      </c>
      <c r="N38" s="34"/>
      <c r="O38" s="34"/>
      <c r="P38" s="40"/>
      <c r="Q38" s="34"/>
      <c r="R38" s="34">
        <v>1</v>
      </c>
      <c r="S38" s="34"/>
      <c r="T38" s="34"/>
      <c r="U38" s="40"/>
      <c r="V38" s="34"/>
      <c r="W38" s="34">
        <v>1</v>
      </c>
      <c r="X38" s="34"/>
      <c r="Y38" s="34"/>
      <c r="Z38" s="34"/>
      <c r="AA38" s="34">
        <f t="shared" si="3"/>
        <v>1</v>
      </c>
      <c r="AB38" s="38">
        <f t="shared" si="4"/>
        <v>8.1855388813096869E-4</v>
      </c>
      <c r="AC38" s="38">
        <f t="shared" si="5"/>
        <v>0</v>
      </c>
    </row>
    <row r="39" spans="1:29" x14ac:dyDescent="0.25">
      <c r="A39" t="s">
        <v>233</v>
      </c>
      <c r="B39" s="34"/>
      <c r="C39" s="34">
        <v>1</v>
      </c>
      <c r="D39" s="34"/>
      <c r="E39" s="34"/>
      <c r="F39" s="40"/>
      <c r="G39" s="34"/>
      <c r="H39" s="34">
        <v>1</v>
      </c>
      <c r="I39" s="34"/>
      <c r="J39" s="34"/>
      <c r="K39" s="40"/>
      <c r="L39" s="34"/>
      <c r="M39" s="34">
        <v>1</v>
      </c>
      <c r="N39" s="34"/>
      <c r="O39" s="34"/>
      <c r="P39" s="40"/>
      <c r="Q39" s="34">
        <v>1</v>
      </c>
      <c r="R39" s="34">
        <v>8</v>
      </c>
      <c r="S39" s="34">
        <v>9</v>
      </c>
      <c r="T39" s="34">
        <v>0</v>
      </c>
      <c r="U39" s="40"/>
      <c r="V39" s="34"/>
      <c r="W39" s="34">
        <v>1</v>
      </c>
      <c r="X39" s="34"/>
      <c r="Y39" s="34"/>
      <c r="Z39" s="34"/>
      <c r="AA39" s="34">
        <f t="shared" si="3"/>
        <v>1</v>
      </c>
      <c r="AB39" s="38">
        <f t="shared" si="4"/>
        <v>7.2476125511596176E-4</v>
      </c>
      <c r="AC39" s="38">
        <f t="shared" si="5"/>
        <v>0</v>
      </c>
    </row>
    <row r="40" spans="1:29" x14ac:dyDescent="0.25">
      <c r="A40" t="s">
        <v>17</v>
      </c>
      <c r="B40" s="34">
        <v>1</v>
      </c>
      <c r="C40" s="34">
        <v>20</v>
      </c>
      <c r="D40" s="34">
        <v>2</v>
      </c>
      <c r="E40" s="34">
        <v>1</v>
      </c>
      <c r="F40" s="40"/>
      <c r="G40" s="34"/>
      <c r="H40" s="34">
        <v>1</v>
      </c>
      <c r="I40" s="34"/>
      <c r="J40" s="34"/>
      <c r="K40" s="40"/>
      <c r="L40" s="34">
        <v>1</v>
      </c>
      <c r="M40" s="34">
        <v>7</v>
      </c>
      <c r="N40" s="34">
        <v>0</v>
      </c>
      <c r="O40" s="34">
        <v>0</v>
      </c>
      <c r="P40" s="40"/>
      <c r="Q40" s="34"/>
      <c r="R40" s="34">
        <v>1</v>
      </c>
      <c r="S40" s="34"/>
      <c r="T40" s="34"/>
      <c r="U40" s="40"/>
      <c r="V40" s="34"/>
      <c r="W40" s="34">
        <v>1</v>
      </c>
      <c r="X40" s="34"/>
      <c r="Y40" s="34"/>
      <c r="Z40" s="34"/>
      <c r="AA40" s="34">
        <f t="shared" si="3"/>
        <v>2</v>
      </c>
      <c r="AB40" s="38">
        <f t="shared" si="4"/>
        <v>7.1623465211459762E-4</v>
      </c>
      <c r="AC40" s="38">
        <f t="shared" si="5"/>
        <v>0.5</v>
      </c>
    </row>
    <row r="41" spans="1:29" x14ac:dyDescent="0.25">
      <c r="A41" t="s">
        <v>14</v>
      </c>
      <c r="B41" s="34">
        <v>1</v>
      </c>
      <c r="C41" s="34">
        <v>97</v>
      </c>
      <c r="D41" s="34">
        <v>100</v>
      </c>
      <c r="E41" s="34">
        <v>1</v>
      </c>
      <c r="F41" s="40"/>
      <c r="G41" s="34"/>
      <c r="H41" s="34">
        <v>1</v>
      </c>
      <c r="I41" s="34"/>
      <c r="J41" s="34"/>
      <c r="K41" s="40"/>
      <c r="L41" s="34"/>
      <c r="M41" s="34">
        <v>1</v>
      </c>
      <c r="N41" s="34"/>
      <c r="O41" s="34"/>
      <c r="P41" s="40"/>
      <c r="Q41" s="34"/>
      <c r="R41" s="34">
        <v>1</v>
      </c>
      <c r="S41" s="34"/>
      <c r="T41" s="34"/>
      <c r="U41" s="40"/>
      <c r="V41" s="34"/>
      <c r="W41" s="34">
        <v>1</v>
      </c>
      <c r="X41" s="34"/>
      <c r="Y41" s="34"/>
      <c r="Z41" s="34"/>
      <c r="AA41" s="34">
        <f t="shared" si="3"/>
        <v>1</v>
      </c>
      <c r="AB41" s="38">
        <f t="shared" si="4"/>
        <v>6.9267661495618909E-4</v>
      </c>
      <c r="AC41" s="38">
        <f t="shared" si="5"/>
        <v>1</v>
      </c>
    </row>
    <row r="42" spans="1:29" x14ac:dyDescent="0.25">
      <c r="A42" t="s">
        <v>71</v>
      </c>
      <c r="B42" s="34">
        <v>1</v>
      </c>
      <c r="C42" s="34">
        <v>147</v>
      </c>
      <c r="D42" s="34">
        <v>138</v>
      </c>
      <c r="E42" s="34">
        <v>1</v>
      </c>
      <c r="F42" s="40"/>
      <c r="G42" s="34"/>
      <c r="H42" s="34">
        <v>1</v>
      </c>
      <c r="I42" s="34"/>
      <c r="J42" s="34"/>
      <c r="K42" s="40"/>
      <c r="L42" s="34"/>
      <c r="M42" s="34">
        <v>1</v>
      </c>
      <c r="N42" s="34"/>
      <c r="O42" s="34"/>
      <c r="P42" s="40"/>
      <c r="Q42" s="34"/>
      <c r="R42" s="34">
        <v>1</v>
      </c>
      <c r="S42" s="34"/>
      <c r="T42" s="34"/>
      <c r="U42" s="40"/>
      <c r="V42" s="34"/>
      <c r="W42" s="34">
        <v>1</v>
      </c>
      <c r="X42" s="34"/>
      <c r="Y42" s="34"/>
      <c r="Z42" s="34"/>
      <c r="AA42" s="34">
        <f t="shared" si="3"/>
        <v>1</v>
      </c>
      <c r="AB42" s="38">
        <f t="shared" si="4"/>
        <v>6.6124676337110558E-4</v>
      </c>
      <c r="AC42" s="38">
        <f t="shared" si="5"/>
        <v>1</v>
      </c>
    </row>
    <row r="43" spans="1:29" x14ac:dyDescent="0.25">
      <c r="A43" t="s">
        <v>87</v>
      </c>
      <c r="B43" s="34"/>
      <c r="C43" s="34">
        <v>1</v>
      </c>
      <c r="D43" s="34"/>
      <c r="E43" s="34"/>
      <c r="F43" s="40"/>
      <c r="G43" s="34"/>
      <c r="H43" s="34">
        <v>1</v>
      </c>
      <c r="I43" s="34"/>
      <c r="J43" s="34"/>
      <c r="K43" s="40"/>
      <c r="L43" s="34">
        <v>1</v>
      </c>
      <c r="M43" s="34">
        <v>155</v>
      </c>
      <c r="N43" s="34">
        <v>140</v>
      </c>
      <c r="O43" s="34">
        <v>0</v>
      </c>
      <c r="P43" s="40"/>
      <c r="Q43" s="34"/>
      <c r="R43" s="34">
        <v>1</v>
      </c>
      <c r="S43" s="34"/>
      <c r="T43" s="34"/>
      <c r="U43" s="40"/>
      <c r="V43" s="34"/>
      <c r="W43" s="34">
        <v>1</v>
      </c>
      <c r="X43" s="34"/>
      <c r="Y43" s="34"/>
      <c r="Z43" s="34"/>
      <c r="AA43" s="34">
        <f t="shared" si="3"/>
        <v>1</v>
      </c>
      <c r="AB43" s="38">
        <f t="shared" si="4"/>
        <v>6.4912203494256926E-4</v>
      </c>
      <c r="AC43" s="38">
        <f t="shared" si="5"/>
        <v>0</v>
      </c>
    </row>
    <row r="44" spans="1:29" x14ac:dyDescent="0.25">
      <c r="A44" t="s">
        <v>128</v>
      </c>
      <c r="B44" s="34">
        <v>1</v>
      </c>
      <c r="C44" s="34">
        <v>32</v>
      </c>
      <c r="D44" s="34">
        <v>27</v>
      </c>
      <c r="E44" s="34">
        <v>1</v>
      </c>
      <c r="F44" s="40"/>
      <c r="G44" s="34"/>
      <c r="H44" s="34">
        <v>1</v>
      </c>
      <c r="I44" s="34"/>
      <c r="J44" s="34"/>
      <c r="K44" s="40"/>
      <c r="L44" s="34"/>
      <c r="M44" s="34">
        <v>1</v>
      </c>
      <c r="N44" s="34"/>
      <c r="O44" s="34"/>
      <c r="P44" s="40"/>
      <c r="Q44" s="34"/>
      <c r="R44" s="34">
        <v>1</v>
      </c>
      <c r="S44" s="34"/>
      <c r="T44" s="34"/>
      <c r="U44" s="40"/>
      <c r="V44" s="34"/>
      <c r="W44" s="34">
        <v>1</v>
      </c>
      <c r="X44" s="34"/>
      <c r="Y44" s="34"/>
      <c r="Z44" s="34"/>
      <c r="AA44" s="34">
        <f t="shared" si="3"/>
        <v>1</v>
      </c>
      <c r="AB44" s="38">
        <f t="shared" si="4"/>
        <v>6.288369713506139E-4</v>
      </c>
      <c r="AC44" s="38">
        <f t="shared" si="5"/>
        <v>1</v>
      </c>
    </row>
    <row r="45" spans="1:29" x14ac:dyDescent="0.25">
      <c r="A45" t="s">
        <v>177</v>
      </c>
      <c r="B45" s="34">
        <v>1</v>
      </c>
      <c r="C45" s="34">
        <v>46</v>
      </c>
      <c r="D45" s="34">
        <v>36</v>
      </c>
      <c r="E45" s="34">
        <v>0</v>
      </c>
      <c r="F45" s="40"/>
      <c r="G45" s="34"/>
      <c r="H45" s="34">
        <v>1</v>
      </c>
      <c r="I45" s="34"/>
      <c r="J45" s="34"/>
      <c r="K45" s="40"/>
      <c r="L45" s="34"/>
      <c r="M45" s="34">
        <v>1</v>
      </c>
      <c r="N45" s="34"/>
      <c r="O45" s="34"/>
      <c r="P45" s="40"/>
      <c r="Q45" s="34"/>
      <c r="R45" s="34">
        <v>1</v>
      </c>
      <c r="S45" s="34"/>
      <c r="T45" s="34"/>
      <c r="U45" s="40"/>
      <c r="V45" s="34"/>
      <c r="W45" s="34">
        <v>1</v>
      </c>
      <c r="X45" s="34"/>
      <c r="Y45" s="34"/>
      <c r="Z45" s="34"/>
      <c r="AA45" s="34">
        <f t="shared" si="3"/>
        <v>1</v>
      </c>
      <c r="AB45" s="38">
        <f t="shared" si="4"/>
        <v>6.0798386618423391E-4</v>
      </c>
      <c r="AC45" s="38">
        <f t="shared" si="5"/>
        <v>0</v>
      </c>
    </row>
    <row r="46" spans="1:29" x14ac:dyDescent="0.25">
      <c r="A46" t="s">
        <v>118</v>
      </c>
      <c r="B46" s="34"/>
      <c r="C46" s="34">
        <v>1</v>
      </c>
      <c r="D46" s="34"/>
      <c r="E46" s="34"/>
      <c r="F46" s="40"/>
      <c r="G46" s="34"/>
      <c r="H46" s="34">
        <v>1</v>
      </c>
      <c r="I46" s="34"/>
      <c r="J46" s="34"/>
      <c r="K46" s="40"/>
      <c r="L46" s="34">
        <v>1</v>
      </c>
      <c r="M46" s="34">
        <v>54</v>
      </c>
      <c r="N46" s="34">
        <v>42</v>
      </c>
      <c r="O46" s="34">
        <v>0</v>
      </c>
      <c r="P46" s="40"/>
      <c r="Q46" s="34"/>
      <c r="R46" s="34">
        <v>1</v>
      </c>
      <c r="S46" s="34"/>
      <c r="T46" s="34"/>
      <c r="U46" s="40"/>
      <c r="V46" s="34"/>
      <c r="W46" s="34">
        <v>1</v>
      </c>
      <c r="X46" s="34"/>
      <c r="Y46" s="34"/>
      <c r="Z46" s="34"/>
      <c r="AA46" s="34">
        <f t="shared" si="3"/>
        <v>1</v>
      </c>
      <c r="AB46" s="38">
        <f t="shared" si="4"/>
        <v>6.0633621343034714E-4</v>
      </c>
      <c r="AC46" s="38">
        <f t="shared" si="5"/>
        <v>0</v>
      </c>
    </row>
    <row r="47" spans="1:29" x14ac:dyDescent="0.25">
      <c r="A47" t="s">
        <v>26</v>
      </c>
      <c r="B47" s="34">
        <v>1</v>
      </c>
      <c r="C47" s="34">
        <v>123</v>
      </c>
      <c r="D47" s="34">
        <v>87</v>
      </c>
      <c r="E47" s="34">
        <v>0</v>
      </c>
      <c r="F47" s="40"/>
      <c r="G47" s="34"/>
      <c r="H47" s="34">
        <v>1</v>
      </c>
      <c r="I47" s="34"/>
      <c r="J47" s="34"/>
      <c r="K47" s="40"/>
      <c r="L47" s="34"/>
      <c r="M47" s="34">
        <v>1</v>
      </c>
      <c r="N47" s="34"/>
      <c r="O47" s="34"/>
      <c r="P47" s="40"/>
      <c r="Q47" s="34"/>
      <c r="R47" s="34">
        <v>1</v>
      </c>
      <c r="S47" s="34"/>
      <c r="T47" s="34"/>
      <c r="U47" s="40"/>
      <c r="V47" s="34"/>
      <c r="W47" s="34">
        <v>1</v>
      </c>
      <c r="X47" s="34"/>
      <c r="Y47" s="34"/>
      <c r="Z47" s="34"/>
      <c r="AA47" s="34">
        <f t="shared" si="3"/>
        <v>1</v>
      </c>
      <c r="AB47" s="38">
        <f t="shared" si="4"/>
        <v>5.8230459521511999E-4</v>
      </c>
      <c r="AC47" s="38">
        <f t="shared" si="5"/>
        <v>0</v>
      </c>
    </row>
    <row r="48" spans="1:29" x14ac:dyDescent="0.25">
      <c r="A48" t="s">
        <v>54</v>
      </c>
      <c r="B48" s="34">
        <v>1</v>
      </c>
      <c r="C48" s="34">
        <v>10</v>
      </c>
      <c r="D48" s="34">
        <v>6</v>
      </c>
      <c r="E48" s="34">
        <v>0</v>
      </c>
      <c r="F48" s="40"/>
      <c r="G48" s="34"/>
      <c r="H48" s="34">
        <v>1</v>
      </c>
      <c r="I48" s="34"/>
      <c r="J48" s="34"/>
      <c r="K48" s="40"/>
      <c r="L48" s="34"/>
      <c r="M48" s="34">
        <v>1</v>
      </c>
      <c r="N48" s="34"/>
      <c r="O48" s="34"/>
      <c r="P48" s="40"/>
      <c r="Q48" s="34"/>
      <c r="R48" s="34">
        <v>1</v>
      </c>
      <c r="S48" s="34"/>
      <c r="T48" s="34"/>
      <c r="U48" s="40"/>
      <c r="V48" s="34"/>
      <c r="W48" s="34">
        <v>1</v>
      </c>
      <c r="X48" s="34"/>
      <c r="Y48" s="34"/>
      <c r="Z48" s="34"/>
      <c r="AA48" s="34">
        <f t="shared" si="3"/>
        <v>1</v>
      </c>
      <c r="AB48" s="38">
        <f t="shared" si="4"/>
        <v>5.4570259208731246E-4</v>
      </c>
      <c r="AC48" s="38">
        <f t="shared" si="5"/>
        <v>0</v>
      </c>
    </row>
    <row r="49" spans="1:29" x14ac:dyDescent="0.25">
      <c r="A49" t="s">
        <v>57</v>
      </c>
      <c r="B49" s="34">
        <v>1</v>
      </c>
      <c r="C49" s="34">
        <v>218</v>
      </c>
      <c r="D49" s="34">
        <v>112</v>
      </c>
      <c r="E49" s="34">
        <v>1</v>
      </c>
      <c r="F49" s="40"/>
      <c r="G49" s="34"/>
      <c r="H49" s="34">
        <v>1</v>
      </c>
      <c r="I49" s="34"/>
      <c r="J49" s="34"/>
      <c r="K49" s="40"/>
      <c r="L49" s="34"/>
      <c r="M49" s="34">
        <v>1</v>
      </c>
      <c r="N49" s="34"/>
      <c r="O49" s="34"/>
      <c r="P49" s="40"/>
      <c r="Q49" s="34"/>
      <c r="R49" s="34">
        <v>1</v>
      </c>
      <c r="S49" s="34"/>
      <c r="T49" s="34"/>
      <c r="U49" s="40"/>
      <c r="V49" s="34"/>
      <c r="W49" s="34">
        <v>1</v>
      </c>
      <c r="X49" s="34"/>
      <c r="Y49" s="34"/>
      <c r="Z49" s="34"/>
      <c r="AA49" s="34">
        <f t="shared" si="3"/>
        <v>1</v>
      </c>
      <c r="AB49" s="38">
        <f t="shared" si="4"/>
        <v>5.1628972301838623E-4</v>
      </c>
      <c r="AC49" s="38">
        <f t="shared" si="5"/>
        <v>1</v>
      </c>
    </row>
    <row r="50" spans="1:29" x14ac:dyDescent="0.25">
      <c r="A50" t="s">
        <v>123</v>
      </c>
      <c r="B50" s="34">
        <v>1</v>
      </c>
      <c r="C50" s="34">
        <v>27</v>
      </c>
      <c r="D50" s="34">
        <v>9</v>
      </c>
      <c r="E50" s="34">
        <v>0</v>
      </c>
      <c r="F50" s="40"/>
      <c r="G50" s="34"/>
      <c r="H50" s="34">
        <v>1</v>
      </c>
      <c r="I50" s="34"/>
      <c r="J50" s="34"/>
      <c r="K50" s="40"/>
      <c r="L50" s="34"/>
      <c r="M50" s="34">
        <v>1</v>
      </c>
      <c r="N50" s="34"/>
      <c r="O50" s="34"/>
      <c r="P50" s="40"/>
      <c r="Q50" s="34"/>
      <c r="R50" s="34">
        <v>1</v>
      </c>
      <c r="S50" s="34"/>
      <c r="T50" s="34"/>
      <c r="U50" s="40"/>
      <c r="V50" s="34"/>
      <c r="W50" s="34">
        <v>1</v>
      </c>
      <c r="X50" s="34"/>
      <c r="Y50" s="34"/>
      <c r="Z50" s="34"/>
      <c r="AA50" s="34">
        <f t="shared" si="3"/>
        <v>1</v>
      </c>
      <c r="AB50" s="38">
        <f t="shared" si="4"/>
        <v>4.5475216007276033E-4</v>
      </c>
      <c r="AC50" s="38">
        <f t="shared" si="5"/>
        <v>0</v>
      </c>
    </row>
    <row r="51" spans="1:29" x14ac:dyDescent="0.25">
      <c r="A51" t="s">
        <v>161</v>
      </c>
      <c r="B51" s="34"/>
      <c r="C51" s="34">
        <v>1</v>
      </c>
      <c r="D51" s="34"/>
      <c r="E51" s="34"/>
      <c r="F51" s="40"/>
      <c r="G51" s="34">
        <v>1</v>
      </c>
      <c r="H51" s="34">
        <v>4</v>
      </c>
      <c r="I51" s="34">
        <v>0</v>
      </c>
      <c r="J51" s="34">
        <v>1</v>
      </c>
      <c r="K51" s="40"/>
      <c r="L51" s="34"/>
      <c r="M51" s="34">
        <v>1</v>
      </c>
      <c r="N51" s="34"/>
      <c r="O51" s="34"/>
      <c r="P51" s="40"/>
      <c r="Q51" s="34"/>
      <c r="R51" s="34">
        <v>1</v>
      </c>
      <c r="S51" s="34"/>
      <c r="T51" s="34"/>
      <c r="U51" s="40"/>
      <c r="V51" s="34"/>
      <c r="W51" s="34">
        <v>1</v>
      </c>
      <c r="X51" s="34"/>
      <c r="Y51" s="34"/>
      <c r="Z51" s="34"/>
      <c r="AA51" s="34">
        <f t="shared" si="3"/>
        <v>1</v>
      </c>
      <c r="AB51" s="38">
        <f t="shared" si="4"/>
        <v>3.4106412005457026E-4</v>
      </c>
      <c r="AC51" s="38">
        <f t="shared" si="5"/>
        <v>1</v>
      </c>
    </row>
    <row r="52" spans="1:29" x14ac:dyDescent="0.25">
      <c r="B52" s="34"/>
      <c r="C52" s="34">
        <v>1</v>
      </c>
      <c r="D52" s="34"/>
      <c r="E52" s="34"/>
      <c r="F52" s="40"/>
      <c r="G52" s="34"/>
      <c r="H52" s="34">
        <v>1</v>
      </c>
      <c r="I52" s="34"/>
      <c r="J52" s="34"/>
      <c r="K52" s="40"/>
      <c r="L52" s="34"/>
      <c r="M52" s="34">
        <v>1</v>
      </c>
      <c r="N52" s="34"/>
      <c r="O52" s="34"/>
      <c r="P52" s="40"/>
      <c r="Q52" s="34"/>
      <c r="R52" s="34">
        <v>1</v>
      </c>
      <c r="S52" s="34"/>
      <c r="T52" s="34"/>
      <c r="U52" s="40"/>
      <c r="V52" s="34"/>
      <c r="W52" s="34">
        <v>1</v>
      </c>
      <c r="X52" s="34"/>
      <c r="Y52" s="34"/>
      <c r="Z52" s="34"/>
      <c r="AA52" s="34">
        <f t="shared" ref="AA52:AA55" si="6">B52+G52+L52+Q52+V52</f>
        <v>0</v>
      </c>
      <c r="AB52" s="38">
        <f t="shared" ref="AB52:AB67" si="7">(AA52+(B52/C52*D52+G52/H52*I52+L52/M52*N52+Q52/R52*S52+V52/W52*X52))/($D$1+$I$1+$N$1+$S$1+$X$1)</f>
        <v>0</v>
      </c>
      <c r="AC52" s="38" t="e">
        <f t="shared" ref="AC52:AC55" si="8">(E52+J52+O52+T52+Y52)/(AA52)</f>
        <v>#DIV/0!</v>
      </c>
    </row>
    <row r="53" spans="1:29" x14ac:dyDescent="0.25">
      <c r="B53" s="34"/>
      <c r="C53" s="34">
        <v>1</v>
      </c>
      <c r="D53" s="34"/>
      <c r="E53" s="34"/>
      <c r="F53" s="40"/>
      <c r="G53" s="34"/>
      <c r="H53" s="34">
        <v>1</v>
      </c>
      <c r="I53" s="34"/>
      <c r="J53" s="34"/>
      <c r="K53" s="40"/>
      <c r="L53" s="34"/>
      <c r="M53" s="34">
        <v>1</v>
      </c>
      <c r="N53" s="34"/>
      <c r="O53" s="34"/>
      <c r="P53" s="40"/>
      <c r="Q53" s="34"/>
      <c r="R53" s="34">
        <v>1</v>
      </c>
      <c r="S53" s="34"/>
      <c r="T53" s="34"/>
      <c r="U53" s="40"/>
      <c r="V53" s="34"/>
      <c r="W53" s="34">
        <v>1</v>
      </c>
      <c r="X53" s="34"/>
      <c r="Y53" s="34"/>
      <c r="Z53" s="34"/>
      <c r="AA53" s="34">
        <f t="shared" si="6"/>
        <v>0</v>
      </c>
      <c r="AB53" s="38">
        <f t="shared" si="7"/>
        <v>0</v>
      </c>
      <c r="AC53" s="38" t="e">
        <f t="shared" si="8"/>
        <v>#DIV/0!</v>
      </c>
    </row>
    <row r="54" spans="1:29" x14ac:dyDescent="0.25">
      <c r="B54" s="34"/>
      <c r="C54" s="34">
        <v>1</v>
      </c>
      <c r="D54" s="34"/>
      <c r="E54" s="34"/>
      <c r="F54" s="40"/>
      <c r="G54" s="34"/>
      <c r="H54" s="34">
        <v>1</v>
      </c>
      <c r="I54" s="34"/>
      <c r="J54" s="34"/>
      <c r="K54" s="40"/>
      <c r="L54" s="34"/>
      <c r="M54" s="34">
        <v>1</v>
      </c>
      <c r="N54" s="34"/>
      <c r="O54" s="34"/>
      <c r="P54" s="40"/>
      <c r="Q54" s="34"/>
      <c r="R54" s="34">
        <v>1</v>
      </c>
      <c r="S54" s="34"/>
      <c r="T54" s="34"/>
      <c r="U54" s="40"/>
      <c r="V54" s="34"/>
      <c r="W54" s="34">
        <v>1</v>
      </c>
      <c r="X54" s="34"/>
      <c r="Y54" s="34"/>
      <c r="Z54" s="34"/>
      <c r="AA54" s="34">
        <f t="shared" si="6"/>
        <v>0</v>
      </c>
      <c r="AB54" s="38">
        <f t="shared" si="7"/>
        <v>0</v>
      </c>
      <c r="AC54" s="38" t="e">
        <f t="shared" si="8"/>
        <v>#DIV/0!</v>
      </c>
    </row>
    <row r="55" spans="1:29" x14ac:dyDescent="0.25">
      <c r="B55" s="34"/>
      <c r="C55" s="34">
        <v>1</v>
      </c>
      <c r="D55" s="34"/>
      <c r="E55" s="34"/>
      <c r="F55" s="40"/>
      <c r="G55" s="34"/>
      <c r="H55" s="34">
        <v>1</v>
      </c>
      <c r="I55" s="34"/>
      <c r="J55" s="34"/>
      <c r="K55" s="40"/>
      <c r="L55" s="34"/>
      <c r="M55" s="34">
        <v>1</v>
      </c>
      <c r="N55" s="34"/>
      <c r="O55" s="34"/>
      <c r="P55" s="40"/>
      <c r="Q55" s="34"/>
      <c r="R55" s="34">
        <v>1</v>
      </c>
      <c r="S55" s="34"/>
      <c r="T55" s="34"/>
      <c r="U55" s="40"/>
      <c r="V55" s="34"/>
      <c r="W55" s="34">
        <v>1</v>
      </c>
      <c r="X55" s="34"/>
      <c r="Y55" s="34"/>
      <c r="Z55" s="34"/>
      <c r="AA55" s="34">
        <f t="shared" si="6"/>
        <v>0</v>
      </c>
      <c r="AB55" s="38">
        <f t="shared" si="7"/>
        <v>0</v>
      </c>
      <c r="AC55" s="38" t="e">
        <f t="shared" si="8"/>
        <v>#DIV/0!</v>
      </c>
    </row>
    <row r="56" spans="1:29" x14ac:dyDescent="0.25">
      <c r="B56" s="34"/>
      <c r="C56" s="34">
        <v>1</v>
      </c>
      <c r="D56" s="34"/>
      <c r="E56" s="34"/>
      <c r="F56" s="40"/>
      <c r="G56" s="34"/>
      <c r="H56" s="34">
        <v>1</v>
      </c>
      <c r="I56" s="34"/>
      <c r="J56" s="34"/>
      <c r="K56" s="40"/>
      <c r="L56" s="34"/>
      <c r="M56" s="34">
        <v>1</v>
      </c>
      <c r="N56" s="34"/>
      <c r="O56" s="34"/>
      <c r="P56" s="40"/>
      <c r="Q56" s="34"/>
      <c r="R56" s="34">
        <v>1</v>
      </c>
      <c r="S56" s="34"/>
      <c r="T56" s="34"/>
      <c r="U56" s="40"/>
      <c r="V56" s="34"/>
      <c r="W56" s="34">
        <v>1</v>
      </c>
      <c r="X56" s="34"/>
      <c r="Y56" s="34"/>
      <c r="Z56" s="34"/>
      <c r="AA56" s="34">
        <f t="shared" ref="AA56:AA72" si="9">B56+G56+L56+Q56+V56</f>
        <v>0</v>
      </c>
      <c r="AB56" s="38">
        <f t="shared" si="7"/>
        <v>0</v>
      </c>
      <c r="AC56" s="38" t="e">
        <f t="shared" ref="AC56:AC72" si="10">(E56+J56+O56+T56+Y56)/(AA56)</f>
        <v>#DIV/0!</v>
      </c>
    </row>
    <row r="57" spans="1:29" x14ac:dyDescent="0.25">
      <c r="B57" s="34"/>
      <c r="C57" s="34">
        <v>1</v>
      </c>
      <c r="D57" s="34"/>
      <c r="E57" s="34"/>
      <c r="F57" s="40"/>
      <c r="G57" s="34"/>
      <c r="H57" s="34">
        <v>1</v>
      </c>
      <c r="I57" s="34"/>
      <c r="J57" s="34"/>
      <c r="K57" s="40"/>
      <c r="L57" s="34"/>
      <c r="M57" s="34">
        <v>1</v>
      </c>
      <c r="N57" s="34"/>
      <c r="O57" s="34"/>
      <c r="P57" s="40"/>
      <c r="Q57" s="34"/>
      <c r="R57" s="34">
        <v>1</v>
      </c>
      <c r="S57" s="34"/>
      <c r="T57" s="34"/>
      <c r="U57" s="40"/>
      <c r="V57" s="34"/>
      <c r="W57" s="34">
        <v>1</v>
      </c>
      <c r="X57" s="34"/>
      <c r="Y57" s="34"/>
      <c r="Z57" s="34"/>
      <c r="AA57" s="34">
        <f t="shared" si="9"/>
        <v>0</v>
      </c>
      <c r="AB57" s="38">
        <f t="shared" si="7"/>
        <v>0</v>
      </c>
      <c r="AC57" s="38" t="e">
        <f t="shared" si="10"/>
        <v>#DIV/0!</v>
      </c>
    </row>
    <row r="58" spans="1:29" x14ac:dyDescent="0.25">
      <c r="B58" s="34"/>
      <c r="C58" s="34">
        <v>1</v>
      </c>
      <c r="D58" s="34"/>
      <c r="E58" s="34"/>
      <c r="F58" s="40"/>
      <c r="G58" s="34"/>
      <c r="H58" s="34">
        <v>1</v>
      </c>
      <c r="I58" s="34"/>
      <c r="J58" s="34"/>
      <c r="K58" s="40"/>
      <c r="L58" s="34"/>
      <c r="M58" s="34">
        <v>1</v>
      </c>
      <c r="N58" s="34"/>
      <c r="O58" s="34"/>
      <c r="P58" s="40"/>
      <c r="Q58" s="34"/>
      <c r="R58" s="34">
        <v>1</v>
      </c>
      <c r="S58" s="34"/>
      <c r="T58" s="34"/>
      <c r="U58" s="40"/>
      <c r="V58" s="34"/>
      <c r="W58" s="34">
        <v>1</v>
      </c>
      <c r="X58" s="34"/>
      <c r="Y58" s="34"/>
      <c r="Z58" s="34"/>
      <c r="AA58" s="34">
        <f t="shared" si="9"/>
        <v>0</v>
      </c>
      <c r="AB58" s="38">
        <f t="shared" si="7"/>
        <v>0</v>
      </c>
      <c r="AC58" s="38" t="e">
        <f t="shared" si="10"/>
        <v>#DIV/0!</v>
      </c>
    </row>
    <row r="59" spans="1:29" x14ac:dyDescent="0.25">
      <c r="B59" s="34"/>
      <c r="C59" s="34">
        <v>1</v>
      </c>
      <c r="D59" s="34"/>
      <c r="E59" s="34"/>
      <c r="F59" s="40"/>
      <c r="G59" s="34"/>
      <c r="H59" s="34">
        <v>1</v>
      </c>
      <c r="I59" s="34"/>
      <c r="J59" s="34"/>
      <c r="K59" s="40"/>
      <c r="L59" s="34"/>
      <c r="M59" s="34">
        <v>1</v>
      </c>
      <c r="N59" s="34"/>
      <c r="O59" s="34"/>
      <c r="P59" s="40"/>
      <c r="Q59" s="34"/>
      <c r="R59" s="34">
        <v>1</v>
      </c>
      <c r="S59" s="34"/>
      <c r="T59" s="34"/>
      <c r="U59" s="40"/>
      <c r="V59" s="34"/>
      <c r="W59" s="34">
        <v>1</v>
      </c>
      <c r="X59" s="34"/>
      <c r="Y59" s="34"/>
      <c r="Z59" s="34"/>
      <c r="AA59" s="34">
        <f t="shared" si="9"/>
        <v>0</v>
      </c>
      <c r="AB59" s="38">
        <f t="shared" si="7"/>
        <v>0</v>
      </c>
      <c r="AC59" s="38" t="e">
        <f t="shared" si="10"/>
        <v>#DIV/0!</v>
      </c>
    </row>
    <row r="60" spans="1:29" x14ac:dyDescent="0.25">
      <c r="B60" s="34"/>
      <c r="C60" s="34">
        <v>1</v>
      </c>
      <c r="D60" s="34"/>
      <c r="E60" s="34"/>
      <c r="F60" s="40"/>
      <c r="G60" s="34"/>
      <c r="H60" s="34">
        <v>1</v>
      </c>
      <c r="I60" s="34"/>
      <c r="J60" s="34"/>
      <c r="K60" s="40"/>
      <c r="L60" s="34"/>
      <c r="M60" s="34">
        <v>1</v>
      </c>
      <c r="N60" s="34"/>
      <c r="O60" s="34"/>
      <c r="P60" s="40"/>
      <c r="Q60" s="34"/>
      <c r="R60" s="34">
        <v>1</v>
      </c>
      <c r="S60" s="34"/>
      <c r="T60" s="34"/>
      <c r="U60" s="40"/>
      <c r="V60" s="34"/>
      <c r="W60" s="34">
        <v>1</v>
      </c>
      <c r="X60" s="34"/>
      <c r="Y60" s="34"/>
      <c r="Z60" s="34"/>
      <c r="AA60" s="34">
        <f t="shared" si="9"/>
        <v>0</v>
      </c>
      <c r="AB60" s="38">
        <f t="shared" si="7"/>
        <v>0</v>
      </c>
      <c r="AC60" s="38" t="e">
        <f t="shared" si="10"/>
        <v>#DIV/0!</v>
      </c>
    </row>
    <row r="61" spans="1:29" x14ac:dyDescent="0.25">
      <c r="B61" s="34"/>
      <c r="C61" s="34">
        <v>1</v>
      </c>
      <c r="D61" s="34"/>
      <c r="E61" s="34"/>
      <c r="F61" s="40"/>
      <c r="G61" s="34"/>
      <c r="H61" s="34">
        <v>1</v>
      </c>
      <c r="I61" s="34"/>
      <c r="J61" s="34"/>
      <c r="K61" s="40"/>
      <c r="L61" s="34"/>
      <c r="M61" s="34">
        <v>1</v>
      </c>
      <c r="N61" s="34"/>
      <c r="O61" s="34"/>
      <c r="P61" s="40"/>
      <c r="Q61" s="34"/>
      <c r="R61" s="34">
        <v>1</v>
      </c>
      <c r="S61" s="34"/>
      <c r="T61" s="34"/>
      <c r="U61" s="40"/>
      <c r="V61" s="34"/>
      <c r="W61" s="34">
        <v>1</v>
      </c>
      <c r="X61" s="34"/>
      <c r="Y61" s="34"/>
      <c r="Z61" s="34"/>
      <c r="AA61" s="34">
        <f t="shared" si="9"/>
        <v>0</v>
      </c>
      <c r="AB61" s="38">
        <f t="shared" si="7"/>
        <v>0</v>
      </c>
      <c r="AC61" s="38" t="e">
        <f t="shared" si="10"/>
        <v>#DIV/0!</v>
      </c>
    </row>
    <row r="62" spans="1:29" x14ac:dyDescent="0.25">
      <c r="B62" s="34"/>
      <c r="C62" s="34">
        <v>1</v>
      </c>
      <c r="D62" s="34"/>
      <c r="E62" s="34"/>
      <c r="F62" s="40"/>
      <c r="G62" s="34"/>
      <c r="H62" s="34">
        <v>1</v>
      </c>
      <c r="I62" s="34"/>
      <c r="J62" s="34"/>
      <c r="K62" s="40"/>
      <c r="L62" s="34"/>
      <c r="M62" s="34">
        <v>1</v>
      </c>
      <c r="N62" s="34"/>
      <c r="O62" s="34"/>
      <c r="P62" s="40"/>
      <c r="Q62" s="34"/>
      <c r="R62" s="34">
        <v>1</v>
      </c>
      <c r="S62" s="34"/>
      <c r="T62" s="34"/>
      <c r="U62" s="40"/>
      <c r="V62" s="34"/>
      <c r="W62" s="34">
        <v>1</v>
      </c>
      <c r="X62" s="34"/>
      <c r="Y62" s="34"/>
      <c r="Z62" s="34"/>
      <c r="AA62" s="34">
        <f t="shared" si="9"/>
        <v>0</v>
      </c>
      <c r="AB62" s="38">
        <f t="shared" si="7"/>
        <v>0</v>
      </c>
      <c r="AC62" s="38" t="e">
        <f t="shared" si="10"/>
        <v>#DIV/0!</v>
      </c>
    </row>
    <row r="63" spans="1:29" x14ac:dyDescent="0.25">
      <c r="B63" s="34"/>
      <c r="C63" s="34">
        <v>1</v>
      </c>
      <c r="D63" s="34"/>
      <c r="E63" s="34"/>
      <c r="F63" s="40"/>
      <c r="G63" s="34"/>
      <c r="H63" s="34">
        <v>1</v>
      </c>
      <c r="I63" s="34"/>
      <c r="J63" s="34"/>
      <c r="K63" s="40"/>
      <c r="L63" s="34"/>
      <c r="M63" s="34">
        <v>1</v>
      </c>
      <c r="N63" s="34"/>
      <c r="O63" s="34"/>
      <c r="P63" s="40"/>
      <c r="Q63" s="34"/>
      <c r="R63" s="34">
        <v>1</v>
      </c>
      <c r="S63" s="34"/>
      <c r="T63" s="34"/>
      <c r="U63" s="40"/>
      <c r="V63" s="34"/>
      <c r="W63" s="34">
        <v>1</v>
      </c>
      <c r="X63" s="34"/>
      <c r="Y63" s="34"/>
      <c r="Z63" s="34"/>
      <c r="AA63" s="34">
        <f t="shared" si="9"/>
        <v>0</v>
      </c>
      <c r="AB63" s="38">
        <f t="shared" si="7"/>
        <v>0</v>
      </c>
      <c r="AC63" s="38" t="e">
        <f t="shared" si="10"/>
        <v>#DIV/0!</v>
      </c>
    </row>
    <row r="64" spans="1:29" x14ac:dyDescent="0.25">
      <c r="B64" s="34"/>
      <c r="C64" s="34">
        <v>1</v>
      </c>
      <c r="D64" s="34"/>
      <c r="E64" s="34"/>
      <c r="F64" s="40"/>
      <c r="G64" s="34"/>
      <c r="H64" s="34">
        <v>1</v>
      </c>
      <c r="I64" s="34"/>
      <c r="J64" s="34"/>
      <c r="K64" s="40"/>
      <c r="L64" s="34"/>
      <c r="M64" s="34">
        <v>1</v>
      </c>
      <c r="N64" s="34"/>
      <c r="O64" s="34"/>
      <c r="P64" s="40"/>
      <c r="Q64" s="34"/>
      <c r="R64" s="34">
        <v>1</v>
      </c>
      <c r="S64" s="34"/>
      <c r="T64" s="34"/>
      <c r="U64" s="40"/>
      <c r="V64" s="34"/>
      <c r="W64" s="34">
        <v>1</v>
      </c>
      <c r="X64" s="34"/>
      <c r="Y64" s="34"/>
      <c r="Z64" s="34"/>
      <c r="AA64" s="34">
        <f t="shared" si="9"/>
        <v>0</v>
      </c>
      <c r="AB64" s="38">
        <f t="shared" si="7"/>
        <v>0</v>
      </c>
      <c r="AC64" s="38" t="e">
        <f t="shared" si="10"/>
        <v>#DIV/0!</v>
      </c>
    </row>
    <row r="65" spans="2:29" x14ac:dyDescent="0.25">
      <c r="B65" s="34"/>
      <c r="C65" s="34">
        <v>1</v>
      </c>
      <c r="D65" s="34"/>
      <c r="E65" s="34"/>
      <c r="F65" s="40"/>
      <c r="G65" s="34"/>
      <c r="H65" s="34">
        <v>1</v>
      </c>
      <c r="I65" s="34"/>
      <c r="J65" s="34"/>
      <c r="K65" s="40"/>
      <c r="L65" s="34"/>
      <c r="M65" s="34">
        <v>1</v>
      </c>
      <c r="N65" s="34"/>
      <c r="O65" s="34"/>
      <c r="P65" s="40"/>
      <c r="Q65" s="34"/>
      <c r="R65" s="34">
        <v>1</v>
      </c>
      <c r="S65" s="34"/>
      <c r="T65" s="34"/>
      <c r="U65" s="40"/>
      <c r="V65" s="34"/>
      <c r="W65" s="34">
        <v>1</v>
      </c>
      <c r="X65" s="34"/>
      <c r="Y65" s="34"/>
      <c r="Z65" s="34"/>
      <c r="AA65" s="34">
        <f t="shared" si="9"/>
        <v>0</v>
      </c>
      <c r="AB65" s="38">
        <f t="shared" si="7"/>
        <v>0</v>
      </c>
      <c r="AC65" s="38" t="e">
        <f t="shared" si="10"/>
        <v>#DIV/0!</v>
      </c>
    </row>
    <row r="66" spans="2:29" x14ac:dyDescent="0.25">
      <c r="B66" s="34"/>
      <c r="C66" s="34">
        <v>1</v>
      </c>
      <c r="D66" s="34"/>
      <c r="E66" s="34"/>
      <c r="F66" s="40"/>
      <c r="G66" s="34"/>
      <c r="H66" s="34">
        <v>1</v>
      </c>
      <c r="I66" s="34"/>
      <c r="J66" s="34"/>
      <c r="K66" s="40"/>
      <c r="L66" s="34"/>
      <c r="M66" s="34">
        <v>1</v>
      </c>
      <c r="N66" s="34"/>
      <c r="O66" s="34"/>
      <c r="P66" s="40"/>
      <c r="Q66" s="34"/>
      <c r="R66" s="34">
        <v>1</v>
      </c>
      <c r="S66" s="34"/>
      <c r="T66" s="34"/>
      <c r="U66" s="40"/>
      <c r="V66" s="34"/>
      <c r="W66" s="34">
        <v>1</v>
      </c>
      <c r="X66" s="34"/>
      <c r="Y66" s="34"/>
      <c r="Z66" s="34"/>
      <c r="AA66" s="34">
        <f t="shared" si="9"/>
        <v>0</v>
      </c>
      <c r="AB66" s="38">
        <f t="shared" si="7"/>
        <v>0</v>
      </c>
      <c r="AC66" s="38" t="e">
        <f t="shared" si="10"/>
        <v>#DIV/0!</v>
      </c>
    </row>
    <row r="67" spans="2:29" x14ac:dyDescent="0.25">
      <c r="B67" s="34"/>
      <c r="C67" s="34">
        <v>1</v>
      </c>
      <c r="D67" s="34"/>
      <c r="E67" s="34"/>
      <c r="F67" s="40"/>
      <c r="G67" s="34"/>
      <c r="H67" s="34">
        <v>1</v>
      </c>
      <c r="I67" s="34"/>
      <c r="J67" s="34"/>
      <c r="K67" s="40"/>
      <c r="L67" s="34"/>
      <c r="M67" s="34">
        <v>1</v>
      </c>
      <c r="N67" s="34"/>
      <c r="O67" s="34"/>
      <c r="P67" s="40"/>
      <c r="Q67" s="34"/>
      <c r="R67" s="34">
        <v>1</v>
      </c>
      <c r="S67" s="34"/>
      <c r="T67" s="34"/>
      <c r="U67" s="40"/>
      <c r="V67" s="34"/>
      <c r="W67" s="34">
        <v>1</v>
      </c>
      <c r="X67" s="34"/>
      <c r="Y67" s="34"/>
      <c r="Z67" s="34"/>
      <c r="AA67" s="34">
        <f t="shared" si="9"/>
        <v>0</v>
      </c>
      <c r="AB67" s="38">
        <f t="shared" si="7"/>
        <v>0</v>
      </c>
      <c r="AC67" s="38" t="e">
        <f t="shared" si="10"/>
        <v>#DIV/0!</v>
      </c>
    </row>
    <row r="68" spans="2:29" x14ac:dyDescent="0.25">
      <c r="B68" s="34"/>
      <c r="C68" s="34">
        <v>1</v>
      </c>
      <c r="D68" s="34"/>
      <c r="E68" s="34"/>
      <c r="F68" s="40"/>
      <c r="G68" s="34"/>
      <c r="H68" s="34">
        <v>1</v>
      </c>
      <c r="I68" s="34"/>
      <c r="J68" s="34"/>
      <c r="K68" s="40"/>
      <c r="L68" s="34"/>
      <c r="M68" s="34">
        <v>1</v>
      </c>
      <c r="N68" s="34"/>
      <c r="O68" s="34"/>
      <c r="P68" s="40"/>
      <c r="Q68" s="34"/>
      <c r="R68" s="34">
        <v>1</v>
      </c>
      <c r="S68" s="34"/>
      <c r="T68" s="34"/>
      <c r="U68" s="40"/>
      <c r="V68" s="34"/>
      <c r="W68" s="34">
        <v>1</v>
      </c>
      <c r="X68" s="34"/>
      <c r="Y68" s="34"/>
      <c r="Z68" s="34"/>
      <c r="AA68" s="34">
        <f t="shared" si="9"/>
        <v>0</v>
      </c>
      <c r="AB68" s="38">
        <f t="shared" ref="AB68:AB72" si="11">(AA68+(B68/C68*D68+G68/H68*I68+L68/M68*N68+Q68/R68*S68+V68/W68*X68))/($D$1+$I$1+$N$1+$S$1+$X$1)</f>
        <v>0</v>
      </c>
      <c r="AC68" s="38" t="e">
        <f t="shared" si="10"/>
        <v>#DIV/0!</v>
      </c>
    </row>
    <row r="69" spans="2:29" x14ac:dyDescent="0.25">
      <c r="B69" s="34"/>
      <c r="C69" s="34">
        <v>1</v>
      </c>
      <c r="D69" s="34"/>
      <c r="E69" s="34"/>
      <c r="F69" s="40"/>
      <c r="G69" s="34"/>
      <c r="H69" s="34">
        <v>1</v>
      </c>
      <c r="I69" s="34"/>
      <c r="J69" s="34"/>
      <c r="K69" s="40"/>
      <c r="L69" s="34"/>
      <c r="M69" s="34">
        <v>1</v>
      </c>
      <c r="N69" s="34"/>
      <c r="O69" s="34"/>
      <c r="P69" s="40"/>
      <c r="Q69" s="34"/>
      <c r="R69" s="34">
        <v>1</v>
      </c>
      <c r="S69" s="34"/>
      <c r="T69" s="34"/>
      <c r="U69" s="40"/>
      <c r="V69" s="34"/>
      <c r="W69" s="34">
        <v>1</v>
      </c>
      <c r="X69" s="34"/>
      <c r="Y69" s="34"/>
      <c r="Z69" s="34"/>
      <c r="AA69" s="34">
        <f t="shared" si="9"/>
        <v>0</v>
      </c>
      <c r="AB69" s="38">
        <f t="shared" si="11"/>
        <v>0</v>
      </c>
      <c r="AC69" s="38" t="e">
        <f t="shared" si="10"/>
        <v>#DIV/0!</v>
      </c>
    </row>
    <row r="70" spans="2:29" x14ac:dyDescent="0.25">
      <c r="B70" s="34"/>
      <c r="C70" s="34">
        <v>1</v>
      </c>
      <c r="D70" s="34"/>
      <c r="E70" s="34"/>
      <c r="F70" s="40"/>
      <c r="G70" s="34"/>
      <c r="H70" s="34">
        <v>1</v>
      </c>
      <c r="I70" s="34"/>
      <c r="J70" s="34"/>
      <c r="K70" s="40"/>
      <c r="L70" s="34"/>
      <c r="M70" s="34">
        <v>1</v>
      </c>
      <c r="N70" s="34"/>
      <c r="O70" s="34"/>
      <c r="P70" s="40"/>
      <c r="Q70" s="34"/>
      <c r="R70" s="34">
        <v>1</v>
      </c>
      <c r="S70" s="34"/>
      <c r="T70" s="34"/>
      <c r="U70" s="40"/>
      <c r="V70" s="34"/>
      <c r="W70" s="34">
        <v>1</v>
      </c>
      <c r="X70" s="34"/>
      <c r="Y70" s="34"/>
      <c r="Z70" s="34"/>
      <c r="AA70" s="34">
        <f t="shared" si="9"/>
        <v>0</v>
      </c>
      <c r="AB70" s="38">
        <f t="shared" si="11"/>
        <v>0</v>
      </c>
      <c r="AC70" s="38" t="e">
        <f t="shared" si="10"/>
        <v>#DIV/0!</v>
      </c>
    </row>
    <row r="71" spans="2:29" x14ac:dyDescent="0.25">
      <c r="B71" s="34"/>
      <c r="C71" s="34">
        <v>1</v>
      </c>
      <c r="D71" s="34"/>
      <c r="E71" s="34"/>
      <c r="F71" s="40"/>
      <c r="G71" s="34"/>
      <c r="H71" s="34">
        <v>1</v>
      </c>
      <c r="I71" s="34"/>
      <c r="J71" s="34"/>
      <c r="K71" s="40"/>
      <c r="L71" s="34"/>
      <c r="M71" s="34">
        <v>1</v>
      </c>
      <c r="N71" s="34"/>
      <c r="O71" s="34"/>
      <c r="P71" s="40"/>
      <c r="Q71" s="34"/>
      <c r="R71" s="34">
        <v>1</v>
      </c>
      <c r="S71" s="34"/>
      <c r="T71" s="34"/>
      <c r="U71" s="40"/>
      <c r="V71" s="34"/>
      <c r="W71" s="34">
        <v>1</v>
      </c>
      <c r="X71" s="34"/>
      <c r="Y71" s="34"/>
      <c r="Z71" s="34"/>
      <c r="AA71" s="34">
        <f t="shared" si="9"/>
        <v>0</v>
      </c>
      <c r="AB71" s="38">
        <f t="shared" si="11"/>
        <v>0</v>
      </c>
      <c r="AC71" s="38" t="e">
        <f t="shared" si="10"/>
        <v>#DIV/0!</v>
      </c>
    </row>
    <row r="72" spans="2:29" x14ac:dyDescent="0.25">
      <c r="B72" s="34"/>
      <c r="C72" s="34">
        <v>1</v>
      </c>
      <c r="D72" s="34"/>
      <c r="E72" s="34"/>
      <c r="F72" s="40"/>
      <c r="G72" s="34"/>
      <c r="H72" s="34">
        <v>1</v>
      </c>
      <c r="I72" s="34"/>
      <c r="J72" s="34"/>
      <c r="K72" s="40"/>
      <c r="L72" s="34"/>
      <c r="M72" s="34">
        <v>1</v>
      </c>
      <c r="N72" s="34"/>
      <c r="O72" s="34"/>
      <c r="P72" s="40"/>
      <c r="Q72" s="34"/>
      <c r="R72" s="34">
        <v>1</v>
      </c>
      <c r="S72" s="34"/>
      <c r="T72" s="34"/>
      <c r="U72" s="40"/>
      <c r="V72" s="34"/>
      <c r="W72" s="34">
        <v>1</v>
      </c>
      <c r="X72" s="34"/>
      <c r="Y72" s="34"/>
      <c r="Z72" s="34"/>
      <c r="AA72" s="34">
        <f t="shared" si="9"/>
        <v>0</v>
      </c>
      <c r="AB72" s="38">
        <f t="shared" si="11"/>
        <v>0</v>
      </c>
      <c r="AC72" s="38" t="e">
        <f t="shared" si="10"/>
        <v>#DIV/0!</v>
      </c>
    </row>
    <row r="73" spans="2:29" x14ac:dyDescent="0.25">
      <c r="B73" s="34"/>
      <c r="C73" s="34"/>
      <c r="D73" s="34"/>
      <c r="E73" s="34"/>
      <c r="F73" s="40"/>
      <c r="G73" s="34"/>
      <c r="H73" s="34"/>
      <c r="I73" s="34"/>
      <c r="J73" s="34"/>
      <c r="K73" s="40"/>
      <c r="L73" s="34"/>
      <c r="M73" s="34"/>
      <c r="N73" s="34"/>
      <c r="O73" s="34"/>
      <c r="P73" s="40"/>
      <c r="Q73" s="34"/>
      <c r="R73" s="34"/>
      <c r="S73" s="34"/>
      <c r="T73" s="34"/>
      <c r="U73" s="40"/>
      <c r="V73" s="34"/>
      <c r="W73" s="34"/>
      <c r="X73" s="34"/>
      <c r="Y73" s="34"/>
      <c r="Z73" s="34"/>
      <c r="AA73" s="34"/>
      <c r="AB73" s="38"/>
      <c r="AC73" s="38"/>
    </row>
    <row r="74" spans="2:29" x14ac:dyDescent="0.25">
      <c r="B74" s="34"/>
      <c r="C74" s="34"/>
      <c r="D74" s="34"/>
      <c r="E74" s="34"/>
      <c r="F74" s="40"/>
      <c r="G74" s="34"/>
      <c r="H74" s="34"/>
      <c r="I74" s="34"/>
      <c r="J74" s="34"/>
      <c r="K74" s="40"/>
      <c r="L74" s="34"/>
      <c r="M74" s="34"/>
      <c r="N74" s="34"/>
      <c r="O74" s="34"/>
      <c r="P74" s="40"/>
      <c r="Q74" s="34"/>
      <c r="R74" s="34"/>
      <c r="S74" s="34"/>
      <c r="T74" s="34"/>
      <c r="U74" s="40"/>
      <c r="V74" s="34"/>
      <c r="W74" s="34"/>
      <c r="X74" s="34"/>
      <c r="Y74" s="34"/>
      <c r="Z74" s="34"/>
      <c r="AA74" s="34"/>
      <c r="AB74" s="38"/>
      <c r="AC74" s="38"/>
    </row>
    <row r="75" spans="2:29" x14ac:dyDescent="0.25">
      <c r="B75" s="34"/>
      <c r="C75" s="34"/>
      <c r="D75" s="34"/>
      <c r="E75" s="34"/>
      <c r="F75" s="40"/>
      <c r="G75" s="34"/>
      <c r="H75" s="34"/>
      <c r="I75" s="34"/>
      <c r="J75" s="34"/>
      <c r="K75" s="40"/>
      <c r="L75" s="34"/>
      <c r="M75" s="34"/>
      <c r="N75" s="34"/>
      <c r="O75" s="34"/>
      <c r="P75" s="40"/>
      <c r="Q75" s="34"/>
      <c r="R75" s="34"/>
      <c r="S75" s="34"/>
      <c r="T75" s="34"/>
      <c r="U75" s="40"/>
      <c r="V75" s="34"/>
      <c r="W75" s="34"/>
      <c r="X75" s="34"/>
      <c r="Y75" s="34"/>
      <c r="Z75" s="34"/>
      <c r="AA75" s="34"/>
      <c r="AB75" s="38"/>
      <c r="AC75" s="38"/>
    </row>
    <row r="76" spans="2:29" x14ac:dyDescent="0.25">
      <c r="B76" s="34"/>
      <c r="C76" s="34"/>
      <c r="D76" s="34"/>
      <c r="E76" s="34"/>
      <c r="F76" s="40"/>
      <c r="G76" s="34"/>
      <c r="H76" s="34"/>
      <c r="I76" s="34"/>
      <c r="J76" s="34"/>
      <c r="K76" s="40"/>
      <c r="L76" s="34"/>
      <c r="M76" s="34"/>
      <c r="N76" s="34"/>
      <c r="O76" s="34"/>
      <c r="P76" s="40"/>
      <c r="Q76" s="34"/>
      <c r="R76" s="34"/>
      <c r="S76" s="34"/>
      <c r="T76" s="34"/>
      <c r="U76" s="40"/>
      <c r="V76" s="34"/>
      <c r="W76" s="34"/>
      <c r="X76" s="34"/>
      <c r="Y76" s="34"/>
      <c r="Z76" s="34"/>
      <c r="AA76" s="34"/>
      <c r="AB76" s="38"/>
      <c r="AC76" s="38"/>
    </row>
    <row r="77" spans="2:29" x14ac:dyDescent="0.25">
      <c r="B77" s="34"/>
      <c r="C77" s="34"/>
      <c r="D77" s="34"/>
      <c r="E77" s="34"/>
      <c r="F77" s="40"/>
      <c r="G77" s="34"/>
      <c r="H77" s="34"/>
      <c r="I77" s="34"/>
      <c r="J77" s="34"/>
      <c r="K77" s="40"/>
      <c r="L77" s="34"/>
      <c r="M77" s="34"/>
      <c r="N77" s="34"/>
      <c r="O77" s="34"/>
      <c r="P77" s="40"/>
      <c r="Q77" s="34"/>
      <c r="R77" s="34"/>
      <c r="S77" s="34"/>
      <c r="T77" s="34"/>
      <c r="U77" s="40"/>
      <c r="V77" s="34"/>
      <c r="W77" s="34"/>
      <c r="X77" s="34"/>
      <c r="Y77" s="34"/>
      <c r="Z77" s="34"/>
      <c r="AA77" s="34"/>
      <c r="AB77" s="38"/>
      <c r="AC77" s="38"/>
    </row>
    <row r="78" spans="2:29" x14ac:dyDescent="0.25">
      <c r="B78" s="34"/>
      <c r="C78" s="34"/>
      <c r="D78" s="34"/>
      <c r="E78" s="34"/>
      <c r="F78" s="40"/>
      <c r="G78" s="34"/>
      <c r="H78" s="34"/>
      <c r="I78" s="34"/>
      <c r="J78" s="34"/>
      <c r="K78" s="40"/>
      <c r="L78" s="34"/>
      <c r="M78" s="34"/>
      <c r="N78" s="34"/>
      <c r="O78" s="34"/>
      <c r="P78" s="40"/>
      <c r="Q78" s="34"/>
      <c r="R78" s="34"/>
      <c r="S78" s="34"/>
      <c r="T78" s="34"/>
      <c r="U78" s="40"/>
      <c r="V78" s="34"/>
      <c r="W78" s="34"/>
      <c r="X78" s="34"/>
      <c r="Y78" s="34"/>
      <c r="Z78" s="34"/>
      <c r="AA78" s="34"/>
      <c r="AB78" s="38"/>
      <c r="AC78" s="38"/>
    </row>
    <row r="79" spans="2:29" x14ac:dyDescent="0.25">
      <c r="B79" s="34"/>
      <c r="C79" s="34"/>
      <c r="D79" s="34"/>
      <c r="E79" s="34"/>
      <c r="F79" s="40"/>
      <c r="G79" s="34"/>
      <c r="H79" s="34"/>
      <c r="I79" s="34"/>
      <c r="J79" s="34"/>
      <c r="K79" s="40"/>
      <c r="L79" s="34"/>
      <c r="M79" s="34"/>
      <c r="N79" s="34"/>
      <c r="O79" s="34"/>
      <c r="P79" s="40"/>
      <c r="Q79" s="34"/>
      <c r="R79" s="34"/>
      <c r="S79" s="34"/>
      <c r="T79" s="34"/>
      <c r="U79" s="40"/>
      <c r="V79" s="34"/>
      <c r="W79" s="34"/>
      <c r="X79" s="34"/>
      <c r="Y79" s="34"/>
      <c r="Z79" s="34"/>
      <c r="AA79" s="34"/>
      <c r="AB79" s="38"/>
      <c r="AC79" s="38"/>
    </row>
    <row r="80" spans="2:29" x14ac:dyDescent="0.25">
      <c r="B80" s="34"/>
      <c r="C80" s="34"/>
      <c r="D80" s="34"/>
      <c r="E80" s="34"/>
      <c r="F80" s="40"/>
      <c r="G80" s="34"/>
      <c r="H80" s="34"/>
      <c r="I80" s="34"/>
      <c r="J80" s="34"/>
      <c r="K80" s="40"/>
      <c r="L80" s="34"/>
      <c r="M80" s="34"/>
      <c r="N80" s="34"/>
      <c r="O80" s="34"/>
      <c r="P80" s="40"/>
      <c r="Q80" s="34"/>
      <c r="R80" s="34"/>
      <c r="S80" s="34"/>
      <c r="T80" s="34"/>
      <c r="U80" s="40"/>
      <c r="V80" s="34"/>
      <c r="W80" s="34"/>
      <c r="X80" s="34"/>
      <c r="Y80" s="34"/>
      <c r="Z80" s="34"/>
      <c r="AA80" s="34"/>
      <c r="AB80" s="38"/>
      <c r="AC80" s="38"/>
    </row>
    <row r="81" spans="2:29" x14ac:dyDescent="0.25">
      <c r="B81" s="34"/>
      <c r="C81" s="34"/>
      <c r="D81" s="34"/>
      <c r="E81" s="34"/>
      <c r="F81" s="40"/>
      <c r="G81" s="34"/>
      <c r="H81" s="34"/>
      <c r="I81" s="34"/>
      <c r="J81" s="34"/>
      <c r="K81" s="40"/>
      <c r="L81" s="34"/>
      <c r="M81" s="34"/>
      <c r="N81" s="34"/>
      <c r="O81" s="34"/>
      <c r="P81" s="40"/>
      <c r="Q81" s="34"/>
      <c r="R81" s="34"/>
      <c r="S81" s="34"/>
      <c r="T81" s="34"/>
      <c r="U81" s="40"/>
      <c r="V81" s="34"/>
      <c r="W81" s="34"/>
      <c r="X81" s="34"/>
      <c r="Y81" s="34"/>
      <c r="Z81" s="34"/>
      <c r="AA81" s="34"/>
      <c r="AB81" s="38"/>
      <c r="AC81" s="38"/>
    </row>
    <row r="82" spans="2:29" x14ac:dyDescent="0.25">
      <c r="B82" s="34"/>
      <c r="C82" s="34"/>
      <c r="D82" s="34"/>
      <c r="E82" s="34"/>
      <c r="F82" s="40"/>
      <c r="G82" s="34"/>
      <c r="H82" s="34"/>
      <c r="I82" s="34"/>
      <c r="J82" s="34"/>
      <c r="K82" s="40"/>
      <c r="L82" s="34"/>
      <c r="M82" s="34"/>
      <c r="N82" s="34"/>
      <c r="O82" s="34"/>
      <c r="P82" s="40"/>
      <c r="Q82" s="34"/>
      <c r="R82" s="34"/>
      <c r="S82" s="34"/>
      <c r="T82" s="34"/>
      <c r="U82" s="40"/>
      <c r="V82" s="34"/>
      <c r="W82" s="34"/>
      <c r="X82" s="34"/>
      <c r="Y82" s="34"/>
      <c r="Z82" s="34"/>
      <c r="AA82" s="34"/>
      <c r="AB82" s="38"/>
      <c r="AC82" s="38"/>
    </row>
    <row r="83" spans="2:29" x14ac:dyDescent="0.25">
      <c r="B83" s="34"/>
      <c r="C83" s="34"/>
      <c r="D83" s="34"/>
      <c r="E83" s="34"/>
      <c r="F83" s="40"/>
      <c r="G83" s="34"/>
      <c r="H83" s="34"/>
      <c r="I83" s="34"/>
      <c r="J83" s="34"/>
      <c r="K83" s="40"/>
      <c r="L83" s="34"/>
      <c r="M83" s="34"/>
      <c r="N83" s="34"/>
      <c r="O83" s="34"/>
      <c r="P83" s="40"/>
      <c r="Q83" s="34"/>
      <c r="R83" s="34"/>
      <c r="S83" s="34"/>
      <c r="T83" s="34"/>
      <c r="U83" s="40"/>
      <c r="V83" s="34"/>
      <c r="W83" s="34"/>
      <c r="X83" s="34"/>
      <c r="Y83" s="34"/>
      <c r="Z83" s="34"/>
      <c r="AA83" s="34"/>
      <c r="AB83" s="38"/>
      <c r="AC83" s="38"/>
    </row>
    <row r="84" spans="2:29" x14ac:dyDescent="0.25">
      <c r="B84" s="34"/>
      <c r="C84" s="34"/>
      <c r="D84" s="34"/>
      <c r="E84" s="34"/>
      <c r="F84" s="40"/>
      <c r="G84" s="34"/>
      <c r="H84" s="34"/>
      <c r="I84" s="34"/>
      <c r="J84" s="34"/>
      <c r="K84" s="40"/>
      <c r="L84" s="34"/>
      <c r="M84" s="34"/>
      <c r="N84" s="34"/>
      <c r="O84" s="34"/>
      <c r="P84" s="40"/>
      <c r="Q84" s="34"/>
      <c r="R84" s="34"/>
      <c r="S84" s="34"/>
      <c r="T84" s="34"/>
      <c r="U84" s="40"/>
      <c r="V84" s="34"/>
      <c r="W84" s="34"/>
      <c r="X84" s="34"/>
      <c r="Y84" s="34"/>
      <c r="Z84" s="34"/>
      <c r="AA84" s="34"/>
      <c r="AB84" s="38"/>
      <c r="AC84" s="38"/>
    </row>
    <row r="85" spans="2:29" x14ac:dyDescent="0.25">
      <c r="B85" s="34"/>
      <c r="C85" s="34"/>
      <c r="D85" s="34"/>
      <c r="E85" s="34"/>
      <c r="F85" s="40"/>
      <c r="G85" s="34"/>
      <c r="H85" s="34"/>
      <c r="I85" s="34"/>
      <c r="J85" s="34"/>
      <c r="K85" s="40"/>
      <c r="L85" s="34"/>
      <c r="M85" s="34"/>
      <c r="N85" s="34"/>
      <c r="O85" s="34"/>
      <c r="P85" s="40"/>
      <c r="Q85" s="34"/>
      <c r="R85" s="34"/>
      <c r="S85" s="34"/>
      <c r="T85" s="34"/>
      <c r="U85" s="40"/>
      <c r="V85" s="34"/>
      <c r="W85" s="34"/>
      <c r="X85" s="34"/>
      <c r="Y85" s="34"/>
      <c r="Z85" s="34"/>
      <c r="AA85" s="34"/>
      <c r="AB85" s="38"/>
      <c r="AC85" s="38"/>
    </row>
    <row r="86" spans="2:29" x14ac:dyDescent="0.25">
      <c r="B86" s="34"/>
      <c r="C86" s="34"/>
      <c r="D86" s="34"/>
      <c r="E86" s="34"/>
      <c r="F86" s="40"/>
      <c r="G86" s="34"/>
      <c r="H86" s="34"/>
      <c r="I86" s="34"/>
      <c r="J86" s="34"/>
      <c r="K86" s="40"/>
      <c r="L86" s="34"/>
      <c r="M86" s="34"/>
      <c r="N86" s="34"/>
      <c r="O86" s="34"/>
      <c r="P86" s="40"/>
      <c r="Q86" s="34"/>
      <c r="R86" s="34"/>
      <c r="S86" s="34"/>
      <c r="T86" s="34"/>
      <c r="U86" s="40"/>
      <c r="V86" s="34"/>
      <c r="W86" s="34"/>
      <c r="X86" s="34"/>
      <c r="Y86" s="34"/>
      <c r="Z86" s="34"/>
      <c r="AA86" s="34"/>
      <c r="AB86" s="38"/>
      <c r="AC86" s="38"/>
    </row>
    <row r="87" spans="2:29" x14ac:dyDescent="0.25">
      <c r="B87" s="34"/>
      <c r="C87" s="34"/>
      <c r="D87" s="34"/>
      <c r="E87" s="34"/>
      <c r="F87" s="40"/>
      <c r="G87" s="34"/>
      <c r="H87" s="34"/>
      <c r="I87" s="34"/>
      <c r="J87" s="34"/>
      <c r="K87" s="40"/>
      <c r="L87" s="34"/>
      <c r="M87" s="34"/>
      <c r="N87" s="34"/>
      <c r="O87" s="34"/>
      <c r="P87" s="40"/>
      <c r="Q87" s="34"/>
      <c r="R87" s="34"/>
      <c r="S87" s="34"/>
      <c r="T87" s="34"/>
      <c r="U87" s="40"/>
      <c r="V87" s="34"/>
      <c r="W87" s="34"/>
      <c r="X87" s="34"/>
      <c r="Y87" s="34"/>
      <c r="Z87" s="34"/>
      <c r="AA87" s="34"/>
      <c r="AB87" s="38"/>
      <c r="AC87" s="38"/>
    </row>
    <row r="88" spans="2:29" x14ac:dyDescent="0.25">
      <c r="B88" s="34"/>
      <c r="C88" s="34"/>
      <c r="D88" s="34"/>
      <c r="E88" s="34"/>
      <c r="F88" s="40"/>
      <c r="G88" s="34"/>
      <c r="H88" s="34"/>
      <c r="I88" s="34"/>
      <c r="J88" s="34"/>
      <c r="K88" s="40"/>
      <c r="L88" s="34"/>
      <c r="M88" s="34"/>
      <c r="N88" s="34"/>
      <c r="O88" s="34"/>
      <c r="P88" s="40"/>
      <c r="Q88" s="34"/>
      <c r="R88" s="34"/>
      <c r="S88" s="34"/>
      <c r="T88" s="34"/>
      <c r="U88" s="40"/>
      <c r="V88" s="34"/>
      <c r="W88" s="34"/>
      <c r="X88" s="34"/>
      <c r="Y88" s="34"/>
      <c r="Z88" s="34"/>
      <c r="AA88" s="34"/>
      <c r="AB88" s="38"/>
      <c r="AC88" s="38"/>
    </row>
    <row r="89" spans="2:29" x14ac:dyDescent="0.25">
      <c r="B89" s="34"/>
      <c r="C89" s="34"/>
      <c r="D89" s="34"/>
      <c r="E89" s="34"/>
      <c r="F89" s="40"/>
      <c r="G89" s="34"/>
      <c r="H89" s="34"/>
      <c r="I89" s="34"/>
      <c r="J89" s="34"/>
      <c r="K89" s="40"/>
      <c r="L89" s="34"/>
      <c r="M89" s="34"/>
      <c r="N89" s="34"/>
      <c r="O89" s="34"/>
      <c r="P89" s="40"/>
      <c r="Q89" s="34"/>
      <c r="R89" s="34"/>
      <c r="S89" s="34"/>
      <c r="T89" s="34"/>
      <c r="U89" s="40"/>
      <c r="V89" s="34"/>
      <c r="W89" s="34"/>
      <c r="X89" s="34"/>
      <c r="Y89" s="34"/>
      <c r="Z89" s="34"/>
      <c r="AA89" s="34"/>
      <c r="AB89" s="38"/>
      <c r="AC89" s="38"/>
    </row>
    <row r="90" spans="2:29" x14ac:dyDescent="0.25">
      <c r="B90" s="34"/>
      <c r="C90" s="34"/>
      <c r="D90" s="34"/>
      <c r="E90" s="34"/>
      <c r="F90" s="40"/>
      <c r="G90" s="34"/>
      <c r="H90" s="34"/>
      <c r="I90" s="34"/>
      <c r="J90" s="34"/>
      <c r="K90" s="40"/>
      <c r="L90" s="34"/>
      <c r="M90" s="34"/>
      <c r="N90" s="34"/>
      <c r="O90" s="34"/>
      <c r="P90" s="40"/>
      <c r="Q90" s="34"/>
      <c r="R90" s="34"/>
      <c r="S90" s="34"/>
      <c r="T90" s="34"/>
      <c r="U90" s="40"/>
      <c r="V90" s="34"/>
      <c r="W90" s="34"/>
      <c r="X90" s="34"/>
      <c r="Y90" s="34"/>
      <c r="Z90" s="34"/>
      <c r="AA90" s="34"/>
      <c r="AB90" s="38"/>
      <c r="AC90" s="38"/>
    </row>
    <row r="91" spans="2:29" x14ac:dyDescent="0.25">
      <c r="B91" s="34"/>
      <c r="C91" s="34"/>
      <c r="D91" s="34"/>
      <c r="E91" s="34"/>
      <c r="F91" s="40"/>
      <c r="G91" s="34"/>
      <c r="H91" s="34"/>
      <c r="I91" s="34"/>
      <c r="J91" s="34"/>
      <c r="K91" s="40"/>
      <c r="L91" s="34"/>
      <c r="M91" s="34"/>
      <c r="N91" s="34"/>
      <c r="O91" s="34"/>
      <c r="P91" s="40"/>
      <c r="Q91" s="34"/>
      <c r="R91" s="34"/>
      <c r="S91" s="34"/>
      <c r="T91" s="34"/>
      <c r="U91" s="40"/>
      <c r="V91" s="34"/>
      <c r="W91" s="34"/>
      <c r="X91" s="34"/>
      <c r="Y91" s="34"/>
      <c r="Z91" s="34"/>
      <c r="AA91" s="34"/>
      <c r="AB91" s="38"/>
      <c r="AC91" s="38"/>
    </row>
    <row r="92" spans="2:29" x14ac:dyDescent="0.25">
      <c r="B92" s="34"/>
      <c r="C92" s="34"/>
      <c r="D92" s="34"/>
      <c r="E92" s="34"/>
      <c r="F92" s="40"/>
      <c r="G92" s="34"/>
      <c r="H92" s="34"/>
      <c r="I92" s="34"/>
      <c r="J92" s="34"/>
      <c r="K92" s="40"/>
      <c r="L92" s="34"/>
      <c r="M92" s="34"/>
      <c r="N92" s="34"/>
      <c r="O92" s="34"/>
      <c r="P92" s="40"/>
      <c r="Q92" s="34"/>
      <c r="R92" s="34"/>
      <c r="S92" s="34"/>
      <c r="T92" s="34"/>
      <c r="U92" s="40"/>
      <c r="V92" s="34"/>
      <c r="W92" s="34"/>
      <c r="X92" s="34"/>
      <c r="Y92" s="34"/>
      <c r="Z92" s="34"/>
      <c r="AA92" s="34"/>
      <c r="AB92" s="38"/>
      <c r="AC92" s="38"/>
    </row>
    <row r="93" spans="2:29" x14ac:dyDescent="0.25">
      <c r="B93" s="34"/>
      <c r="C93" s="34"/>
      <c r="D93" s="34"/>
      <c r="E93" s="34"/>
      <c r="F93" s="40"/>
      <c r="G93" s="34"/>
      <c r="H93" s="34"/>
      <c r="I93" s="34"/>
      <c r="J93" s="34"/>
      <c r="K93" s="40"/>
      <c r="L93" s="34"/>
      <c r="M93" s="34"/>
      <c r="N93" s="34"/>
      <c r="O93" s="34"/>
      <c r="P93" s="40"/>
      <c r="Q93" s="34"/>
      <c r="R93" s="34"/>
      <c r="S93" s="34"/>
      <c r="T93" s="34"/>
      <c r="U93" s="40"/>
      <c r="V93" s="34"/>
      <c r="W93" s="34"/>
      <c r="X93" s="34"/>
      <c r="Y93" s="34"/>
      <c r="Z93" s="34"/>
      <c r="AA93" s="34"/>
      <c r="AB93" s="38"/>
      <c r="AC93" s="38"/>
    </row>
    <row r="94" spans="2:29" x14ac:dyDescent="0.25">
      <c r="B94" s="34"/>
      <c r="C94" s="34"/>
      <c r="D94" s="34"/>
      <c r="E94" s="34"/>
      <c r="F94" s="40"/>
      <c r="G94" s="34"/>
      <c r="H94" s="34"/>
      <c r="I94" s="34"/>
      <c r="J94" s="34"/>
      <c r="K94" s="40"/>
      <c r="L94" s="34"/>
      <c r="M94" s="34"/>
      <c r="N94" s="34"/>
      <c r="O94" s="34"/>
      <c r="P94" s="40"/>
      <c r="Q94" s="34"/>
      <c r="R94" s="34"/>
      <c r="S94" s="34"/>
      <c r="T94" s="34"/>
      <c r="U94" s="40"/>
      <c r="V94" s="34"/>
      <c r="W94" s="34"/>
      <c r="X94" s="34"/>
      <c r="Y94" s="34"/>
      <c r="Z94" s="34"/>
      <c r="AA94" s="34"/>
      <c r="AB94" s="38"/>
      <c r="AC94" s="38"/>
    </row>
    <row r="95" spans="2:29" x14ac:dyDescent="0.25">
      <c r="B95" s="34"/>
      <c r="C95" s="34"/>
      <c r="D95" s="34"/>
      <c r="E95" s="34"/>
      <c r="F95" s="40"/>
      <c r="G95" s="34"/>
      <c r="H95" s="34"/>
      <c r="I95" s="34"/>
      <c r="J95" s="34"/>
      <c r="K95" s="40"/>
      <c r="L95" s="34"/>
      <c r="M95" s="34"/>
      <c r="N95" s="34"/>
      <c r="O95" s="34"/>
      <c r="P95" s="40"/>
      <c r="Q95" s="34"/>
      <c r="R95" s="34"/>
      <c r="S95" s="34"/>
      <c r="T95" s="34"/>
      <c r="U95" s="40"/>
      <c r="V95" s="34"/>
      <c r="W95" s="34"/>
      <c r="X95" s="34"/>
      <c r="Y95" s="34"/>
      <c r="Z95" s="34"/>
      <c r="AA95" s="34"/>
      <c r="AB95" s="38"/>
      <c r="AC95" s="38"/>
    </row>
    <row r="96" spans="2:29" x14ac:dyDescent="0.25">
      <c r="B96" s="34"/>
      <c r="C96" s="34"/>
      <c r="D96" s="34"/>
      <c r="E96" s="34"/>
      <c r="F96" s="40"/>
      <c r="G96" s="34"/>
      <c r="H96" s="34"/>
      <c r="I96" s="34"/>
      <c r="J96" s="34"/>
      <c r="K96" s="40"/>
      <c r="L96" s="34"/>
      <c r="M96" s="34"/>
      <c r="N96" s="34"/>
      <c r="O96" s="34"/>
      <c r="P96" s="40"/>
      <c r="Q96" s="34"/>
      <c r="R96" s="34"/>
      <c r="S96" s="34"/>
      <c r="T96" s="34"/>
      <c r="U96" s="40"/>
      <c r="V96" s="34"/>
      <c r="W96" s="34"/>
      <c r="X96" s="34"/>
      <c r="Y96" s="34"/>
      <c r="Z96" s="34"/>
      <c r="AA96" s="34"/>
      <c r="AB96" s="38"/>
      <c r="AC96" s="38"/>
    </row>
    <row r="97" spans="2:29" x14ac:dyDescent="0.25">
      <c r="B97" s="34"/>
      <c r="C97" s="34"/>
      <c r="D97" s="34"/>
      <c r="E97" s="34"/>
      <c r="F97" s="40"/>
      <c r="G97" s="34"/>
      <c r="H97" s="34"/>
      <c r="I97" s="34"/>
      <c r="J97" s="34"/>
      <c r="K97" s="40"/>
      <c r="L97" s="34"/>
      <c r="M97" s="34"/>
      <c r="N97" s="34"/>
      <c r="O97" s="34"/>
      <c r="P97" s="40"/>
      <c r="Q97" s="34"/>
      <c r="R97" s="34"/>
      <c r="S97" s="34"/>
      <c r="T97" s="34"/>
      <c r="U97" s="40"/>
      <c r="V97" s="34"/>
      <c r="W97" s="34"/>
      <c r="X97" s="34"/>
      <c r="Y97" s="34"/>
      <c r="Z97" s="34"/>
      <c r="AA97" s="34"/>
      <c r="AB97" s="38"/>
      <c r="AC97" s="38"/>
    </row>
    <row r="98" spans="2:29" x14ac:dyDescent="0.25">
      <c r="B98" s="34"/>
      <c r="C98" s="34"/>
      <c r="D98" s="34"/>
      <c r="E98" s="34"/>
      <c r="F98" s="40"/>
      <c r="G98" s="34"/>
      <c r="H98" s="34"/>
      <c r="I98" s="34"/>
      <c r="J98" s="34"/>
      <c r="K98" s="40"/>
      <c r="L98" s="34"/>
      <c r="M98" s="34"/>
      <c r="N98" s="34"/>
      <c r="O98" s="34"/>
      <c r="P98" s="40"/>
      <c r="Q98" s="34"/>
      <c r="R98" s="34"/>
      <c r="S98" s="34"/>
      <c r="T98" s="34"/>
      <c r="U98" s="40"/>
      <c r="V98" s="34"/>
      <c r="W98" s="34"/>
      <c r="X98" s="34"/>
      <c r="Y98" s="34"/>
      <c r="Z98" s="34"/>
      <c r="AA98" s="34"/>
      <c r="AB98" s="38"/>
      <c r="AC98" s="38"/>
    </row>
    <row r="99" spans="2:29" x14ac:dyDescent="0.25">
      <c r="B99" s="34"/>
      <c r="C99" s="34"/>
      <c r="D99" s="34"/>
      <c r="E99" s="34"/>
      <c r="F99" s="40"/>
      <c r="G99" s="34"/>
      <c r="H99" s="34"/>
      <c r="I99" s="34"/>
      <c r="J99" s="34"/>
      <c r="K99" s="40"/>
      <c r="L99" s="34"/>
      <c r="M99" s="34"/>
      <c r="N99" s="34"/>
      <c r="O99" s="34"/>
      <c r="P99" s="40"/>
      <c r="Q99" s="34"/>
      <c r="R99" s="34"/>
      <c r="S99" s="34"/>
      <c r="T99" s="34"/>
      <c r="U99" s="40"/>
      <c r="V99" s="34"/>
      <c r="W99" s="34"/>
      <c r="X99" s="34"/>
      <c r="Y99" s="34"/>
      <c r="Z99" s="34"/>
      <c r="AA99" s="34"/>
      <c r="AB99" s="38"/>
      <c r="AC99" s="38"/>
    </row>
    <row r="100" spans="2:29" x14ac:dyDescent="0.25">
      <c r="B100" s="34"/>
      <c r="C100" s="34"/>
      <c r="D100" s="34"/>
      <c r="E100" s="34"/>
      <c r="F100" s="40"/>
      <c r="G100" s="34"/>
      <c r="H100" s="34"/>
      <c r="I100" s="34"/>
      <c r="J100" s="34"/>
      <c r="K100" s="40"/>
      <c r="L100" s="34"/>
      <c r="M100" s="34"/>
      <c r="N100" s="34"/>
      <c r="O100" s="34"/>
      <c r="P100" s="40"/>
      <c r="Q100" s="34"/>
      <c r="R100" s="34"/>
      <c r="S100" s="34"/>
      <c r="T100" s="34"/>
      <c r="U100" s="40"/>
      <c r="V100" s="34"/>
      <c r="W100" s="34"/>
      <c r="X100" s="34"/>
      <c r="Y100" s="34"/>
      <c r="Z100" s="34"/>
      <c r="AA100" s="34"/>
      <c r="AB100" s="38"/>
      <c r="AC100" s="38"/>
    </row>
    <row r="101" spans="2:29" x14ac:dyDescent="0.25">
      <c r="B101" s="34"/>
      <c r="C101" s="34"/>
      <c r="D101" s="34"/>
      <c r="E101" s="34"/>
      <c r="F101" s="40"/>
      <c r="G101" s="34"/>
      <c r="H101" s="34"/>
      <c r="I101" s="34"/>
      <c r="J101" s="34"/>
      <c r="K101" s="40"/>
      <c r="L101" s="34"/>
      <c r="M101" s="34"/>
      <c r="N101" s="34"/>
      <c r="O101" s="34"/>
      <c r="P101" s="40"/>
      <c r="Q101" s="34"/>
      <c r="R101" s="34"/>
      <c r="S101" s="34"/>
      <c r="T101" s="34"/>
      <c r="U101" s="40"/>
      <c r="V101" s="34"/>
      <c r="W101" s="34"/>
      <c r="X101" s="34"/>
      <c r="Y101" s="34"/>
      <c r="Z101" s="34"/>
      <c r="AA101" s="34"/>
      <c r="AB101" s="38"/>
      <c r="AC101" s="38"/>
    </row>
    <row r="102" spans="2:29" x14ac:dyDescent="0.25">
      <c r="B102" s="34"/>
      <c r="C102" s="34"/>
      <c r="D102" s="34"/>
      <c r="E102" s="34"/>
      <c r="F102" s="40"/>
      <c r="G102" s="34"/>
      <c r="H102" s="34"/>
      <c r="I102" s="34"/>
      <c r="J102" s="34"/>
      <c r="K102" s="40"/>
      <c r="L102" s="34"/>
      <c r="M102" s="34"/>
      <c r="N102" s="34"/>
      <c r="O102" s="34"/>
      <c r="P102" s="40"/>
      <c r="Q102" s="34"/>
      <c r="R102" s="34"/>
      <c r="S102" s="34"/>
      <c r="T102" s="34"/>
      <c r="U102" s="40"/>
      <c r="V102" s="34"/>
      <c r="W102" s="34"/>
      <c r="X102" s="34"/>
      <c r="Y102" s="34"/>
      <c r="Z102" s="34"/>
      <c r="AA102" s="34"/>
      <c r="AB102" s="38"/>
      <c r="AC102" s="38"/>
    </row>
    <row r="103" spans="2:29" x14ac:dyDescent="0.25">
      <c r="B103" s="34"/>
      <c r="C103" s="34"/>
      <c r="D103" s="34"/>
      <c r="E103" s="34"/>
      <c r="F103" s="40"/>
      <c r="G103" s="34"/>
      <c r="H103" s="34"/>
      <c r="I103" s="34"/>
      <c r="J103" s="34"/>
      <c r="K103" s="40"/>
      <c r="L103" s="34"/>
      <c r="M103" s="34"/>
      <c r="N103" s="34"/>
      <c r="O103" s="34"/>
      <c r="P103" s="40"/>
      <c r="Q103" s="34"/>
      <c r="R103" s="34"/>
      <c r="S103" s="34"/>
      <c r="T103" s="34"/>
      <c r="U103" s="40"/>
      <c r="V103" s="34"/>
      <c r="W103" s="34"/>
      <c r="X103" s="34"/>
      <c r="Y103" s="34"/>
      <c r="Z103" s="34"/>
      <c r="AA103" s="34"/>
      <c r="AB103" s="38"/>
      <c r="AC103" s="38"/>
    </row>
    <row r="104" spans="2:29" x14ac:dyDescent="0.25">
      <c r="B104" s="34"/>
      <c r="C104" s="34"/>
      <c r="D104" s="34"/>
      <c r="E104" s="34"/>
      <c r="F104" s="40"/>
      <c r="G104" s="34"/>
      <c r="H104" s="34"/>
      <c r="I104" s="34"/>
      <c r="J104" s="34"/>
      <c r="K104" s="40"/>
      <c r="L104" s="34"/>
      <c r="M104" s="34"/>
      <c r="N104" s="34"/>
      <c r="O104" s="34"/>
      <c r="P104" s="40"/>
      <c r="Q104" s="34"/>
      <c r="R104" s="34"/>
      <c r="S104" s="34"/>
      <c r="T104" s="34"/>
      <c r="U104" s="40"/>
      <c r="V104" s="34"/>
      <c r="W104" s="34"/>
      <c r="X104" s="34"/>
      <c r="Y104" s="34"/>
      <c r="Z104" s="34"/>
      <c r="AA104" s="34"/>
      <c r="AB104" s="38"/>
      <c r="AC104" s="38"/>
    </row>
    <row r="105" spans="2:29" x14ac:dyDescent="0.25">
      <c r="B105" s="34"/>
      <c r="C105" s="34"/>
      <c r="D105" s="34"/>
      <c r="E105" s="34"/>
      <c r="F105" s="40"/>
      <c r="G105" s="34"/>
      <c r="H105" s="34"/>
      <c r="I105" s="34"/>
      <c r="J105" s="34"/>
      <c r="K105" s="40"/>
      <c r="L105" s="34"/>
      <c r="M105" s="34"/>
      <c r="N105" s="34"/>
      <c r="O105" s="34"/>
      <c r="P105" s="40"/>
      <c r="Q105" s="34"/>
      <c r="R105" s="34"/>
      <c r="S105" s="34"/>
      <c r="T105" s="34"/>
      <c r="U105" s="40"/>
      <c r="V105" s="34"/>
      <c r="W105" s="34"/>
      <c r="X105" s="34"/>
      <c r="Y105" s="34"/>
      <c r="Z105" s="34"/>
      <c r="AA105" s="34"/>
      <c r="AB105" s="38"/>
      <c r="AC105" s="38"/>
    </row>
    <row r="106" spans="2:29" x14ac:dyDescent="0.25">
      <c r="B106" s="34"/>
      <c r="C106" s="34"/>
      <c r="D106" s="34"/>
      <c r="E106" s="34"/>
      <c r="F106" s="40"/>
      <c r="G106" s="34"/>
      <c r="H106" s="34"/>
      <c r="I106" s="34"/>
      <c r="J106" s="34"/>
      <c r="K106" s="40"/>
      <c r="L106" s="34"/>
      <c r="M106" s="34"/>
      <c r="N106" s="34"/>
      <c r="O106" s="34"/>
      <c r="P106" s="40"/>
      <c r="Q106" s="34"/>
      <c r="R106" s="34"/>
      <c r="S106" s="34"/>
      <c r="T106" s="34"/>
      <c r="U106" s="40"/>
      <c r="V106" s="34"/>
      <c r="W106" s="34"/>
      <c r="X106" s="34"/>
      <c r="Y106" s="34"/>
      <c r="Z106" s="34"/>
      <c r="AA106" s="34"/>
      <c r="AB106" s="38"/>
      <c r="AC106" s="38"/>
    </row>
    <row r="107" spans="2:29" x14ac:dyDescent="0.25">
      <c r="B107" s="34"/>
      <c r="C107" s="34"/>
      <c r="D107" s="34"/>
      <c r="E107" s="34"/>
      <c r="F107" s="40"/>
      <c r="G107" s="34"/>
      <c r="H107" s="34"/>
      <c r="I107" s="34"/>
      <c r="J107" s="34"/>
      <c r="K107" s="40"/>
      <c r="L107" s="34"/>
      <c r="M107" s="34"/>
      <c r="N107" s="34"/>
      <c r="O107" s="34"/>
      <c r="P107" s="40"/>
      <c r="Q107" s="34"/>
      <c r="R107" s="34"/>
      <c r="S107" s="34"/>
      <c r="T107" s="34"/>
      <c r="U107" s="40"/>
      <c r="V107" s="34"/>
      <c r="W107" s="34"/>
      <c r="X107" s="34"/>
      <c r="Y107" s="34"/>
      <c r="Z107" s="34"/>
      <c r="AA107" s="34"/>
      <c r="AB107" s="38"/>
      <c r="AC107" s="38"/>
    </row>
    <row r="108" spans="2:29" x14ac:dyDescent="0.25">
      <c r="B108" s="34"/>
      <c r="C108" s="34"/>
      <c r="D108" s="34"/>
      <c r="E108" s="34"/>
      <c r="F108" s="40"/>
      <c r="G108" s="34"/>
      <c r="H108" s="34"/>
      <c r="I108" s="34"/>
      <c r="J108" s="34"/>
      <c r="K108" s="40"/>
      <c r="L108" s="34"/>
      <c r="M108" s="34"/>
      <c r="N108" s="34"/>
      <c r="O108" s="34"/>
      <c r="P108" s="40"/>
      <c r="Q108" s="34"/>
      <c r="R108" s="34"/>
      <c r="S108" s="34"/>
      <c r="T108" s="34"/>
      <c r="U108" s="40"/>
      <c r="V108" s="34"/>
      <c r="W108" s="34"/>
      <c r="X108" s="34"/>
      <c r="Y108" s="34"/>
      <c r="Z108" s="34"/>
      <c r="AA108" s="34"/>
      <c r="AB108" s="38"/>
      <c r="AC108" s="38"/>
    </row>
    <row r="109" spans="2:29" x14ac:dyDescent="0.25">
      <c r="B109" s="34"/>
      <c r="C109" s="34"/>
      <c r="D109" s="34"/>
      <c r="E109" s="34"/>
      <c r="F109" s="40"/>
      <c r="G109" s="34"/>
      <c r="H109" s="34"/>
      <c r="I109" s="34"/>
      <c r="J109" s="34"/>
      <c r="K109" s="40"/>
      <c r="L109" s="34"/>
      <c r="M109" s="34"/>
      <c r="N109" s="34"/>
      <c r="O109" s="34"/>
      <c r="P109" s="40"/>
      <c r="Q109" s="34"/>
      <c r="R109" s="34"/>
      <c r="S109" s="34"/>
      <c r="T109" s="34"/>
      <c r="U109" s="40"/>
      <c r="V109" s="34"/>
      <c r="W109" s="34"/>
      <c r="X109" s="34"/>
      <c r="Y109" s="34"/>
      <c r="Z109" s="34"/>
      <c r="AA109" s="34"/>
      <c r="AB109" s="38"/>
      <c r="AC109" s="38"/>
    </row>
    <row r="110" spans="2:29" x14ac:dyDescent="0.25">
      <c r="B110" s="34"/>
      <c r="C110" s="34"/>
      <c r="D110" s="34"/>
      <c r="E110" s="34"/>
      <c r="F110" s="40"/>
      <c r="G110" s="34"/>
      <c r="H110" s="34"/>
      <c r="I110" s="34"/>
      <c r="J110" s="34"/>
      <c r="K110" s="40"/>
      <c r="L110" s="34"/>
      <c r="M110" s="34"/>
      <c r="N110" s="34"/>
      <c r="O110" s="34"/>
      <c r="P110" s="40"/>
      <c r="Q110" s="34"/>
      <c r="R110" s="34"/>
      <c r="S110" s="34"/>
      <c r="T110" s="34"/>
      <c r="U110" s="40"/>
      <c r="V110" s="34"/>
      <c r="W110" s="34"/>
      <c r="X110" s="34"/>
      <c r="Y110" s="34"/>
      <c r="Z110" s="34"/>
      <c r="AA110" s="34"/>
      <c r="AB110" s="38"/>
      <c r="AC110" s="38"/>
    </row>
    <row r="111" spans="2:29" x14ac:dyDescent="0.25">
      <c r="B111" s="34"/>
      <c r="C111" s="34"/>
      <c r="D111" s="34"/>
      <c r="E111" s="34"/>
      <c r="F111" s="40"/>
      <c r="G111" s="34"/>
      <c r="H111" s="34"/>
      <c r="I111" s="34"/>
      <c r="J111" s="34"/>
      <c r="K111" s="40"/>
      <c r="L111" s="34"/>
      <c r="M111" s="34"/>
      <c r="N111" s="34"/>
      <c r="O111" s="34"/>
      <c r="P111" s="40"/>
      <c r="Q111" s="34"/>
      <c r="R111" s="34"/>
      <c r="S111" s="34"/>
      <c r="T111" s="34"/>
      <c r="U111" s="40"/>
      <c r="V111" s="34"/>
      <c r="W111" s="34"/>
      <c r="X111" s="34"/>
      <c r="Y111" s="34"/>
      <c r="Z111" s="34"/>
      <c r="AA111" s="34"/>
      <c r="AB111" s="38"/>
      <c r="AC111" s="38"/>
    </row>
    <row r="112" spans="2:29" x14ac:dyDescent="0.25">
      <c r="B112" s="34"/>
      <c r="C112" s="34"/>
      <c r="D112" s="34"/>
      <c r="E112" s="34"/>
      <c r="F112" s="40"/>
      <c r="G112" s="34"/>
      <c r="H112" s="34"/>
      <c r="I112" s="34"/>
      <c r="J112" s="34"/>
      <c r="K112" s="40"/>
      <c r="L112" s="34"/>
      <c r="M112" s="34"/>
      <c r="N112" s="34"/>
      <c r="O112" s="34"/>
      <c r="P112" s="40"/>
      <c r="Q112" s="34"/>
      <c r="R112" s="34"/>
      <c r="S112" s="34"/>
      <c r="T112" s="34"/>
      <c r="U112" s="40"/>
      <c r="V112" s="34"/>
      <c r="W112" s="34"/>
      <c r="X112" s="34"/>
      <c r="Y112" s="34"/>
      <c r="Z112" s="34"/>
      <c r="AA112" s="34"/>
      <c r="AB112" s="38"/>
      <c r="AC112" s="38"/>
    </row>
    <row r="113" spans="2:29" x14ac:dyDescent="0.25">
      <c r="B113" s="34"/>
      <c r="C113" s="34"/>
      <c r="D113" s="34"/>
      <c r="E113" s="34"/>
      <c r="F113" s="40"/>
      <c r="G113" s="34"/>
      <c r="H113" s="34"/>
      <c r="I113" s="34"/>
      <c r="J113" s="34"/>
      <c r="K113" s="40"/>
      <c r="L113" s="34"/>
      <c r="M113" s="34"/>
      <c r="N113" s="34"/>
      <c r="O113" s="34"/>
      <c r="P113" s="40"/>
      <c r="Q113" s="34"/>
      <c r="R113" s="34"/>
      <c r="S113" s="34"/>
      <c r="T113" s="34"/>
      <c r="U113" s="40"/>
      <c r="V113" s="34"/>
      <c r="W113" s="34"/>
      <c r="X113" s="34"/>
      <c r="Y113" s="34"/>
      <c r="Z113" s="34"/>
      <c r="AA113" s="34"/>
      <c r="AB113" s="38"/>
      <c r="AC113" s="38"/>
    </row>
    <row r="114" spans="2:29" x14ac:dyDescent="0.25">
      <c r="B114" s="34"/>
      <c r="C114" s="34"/>
      <c r="D114" s="34"/>
      <c r="E114" s="34"/>
      <c r="F114" s="40"/>
      <c r="G114" s="34"/>
      <c r="H114" s="34"/>
      <c r="I114" s="34"/>
      <c r="J114" s="34"/>
      <c r="K114" s="40"/>
      <c r="L114" s="34"/>
      <c r="M114" s="34"/>
      <c r="N114" s="34"/>
      <c r="O114" s="34"/>
      <c r="P114" s="40"/>
      <c r="Q114" s="34"/>
      <c r="R114" s="34"/>
      <c r="S114" s="34"/>
      <c r="T114" s="34"/>
      <c r="U114" s="40"/>
      <c r="V114" s="34"/>
      <c r="W114" s="34"/>
      <c r="X114" s="34"/>
      <c r="Y114" s="34"/>
      <c r="Z114" s="34"/>
      <c r="AA114" s="34"/>
      <c r="AB114" s="38"/>
      <c r="AC114" s="38"/>
    </row>
    <row r="115" spans="2:29" x14ac:dyDescent="0.25">
      <c r="B115" s="34"/>
      <c r="C115" s="34"/>
      <c r="D115" s="34"/>
      <c r="E115" s="34"/>
      <c r="F115" s="40"/>
      <c r="G115" s="34"/>
      <c r="H115" s="34"/>
      <c r="I115" s="34"/>
      <c r="J115" s="34"/>
      <c r="K115" s="40"/>
      <c r="L115" s="34"/>
      <c r="M115" s="34"/>
      <c r="N115" s="34"/>
      <c r="O115" s="34"/>
      <c r="P115" s="40"/>
      <c r="Q115" s="34"/>
      <c r="R115" s="34"/>
      <c r="S115" s="34"/>
      <c r="T115" s="34"/>
      <c r="U115" s="40"/>
      <c r="V115" s="34"/>
      <c r="W115" s="34"/>
      <c r="X115" s="34"/>
      <c r="Y115" s="34"/>
      <c r="Z115" s="34"/>
      <c r="AA115" s="34"/>
      <c r="AB115" s="38"/>
      <c r="AC115" s="38"/>
    </row>
    <row r="116" spans="2:29" x14ac:dyDescent="0.25">
      <c r="B116" s="34"/>
      <c r="C116" s="34"/>
      <c r="D116" s="34"/>
      <c r="E116" s="34"/>
      <c r="F116" s="40"/>
      <c r="G116" s="34"/>
      <c r="H116" s="34"/>
      <c r="I116" s="34"/>
      <c r="J116" s="34"/>
      <c r="K116" s="40"/>
      <c r="L116" s="34"/>
      <c r="M116" s="34"/>
      <c r="N116" s="34"/>
      <c r="O116" s="34"/>
      <c r="P116" s="40"/>
      <c r="Q116" s="34"/>
      <c r="R116" s="34"/>
      <c r="S116" s="34"/>
      <c r="T116" s="34"/>
      <c r="U116" s="40"/>
      <c r="V116" s="34"/>
      <c r="W116" s="34"/>
      <c r="X116" s="34"/>
      <c r="Y116" s="34"/>
      <c r="Z116" s="34"/>
      <c r="AA116" s="34"/>
      <c r="AB116" s="38"/>
      <c r="AC116" s="38"/>
    </row>
    <row r="117" spans="2:29" x14ac:dyDescent="0.25">
      <c r="B117" s="34"/>
      <c r="C117" s="34"/>
      <c r="D117" s="34"/>
      <c r="E117" s="34"/>
      <c r="F117" s="40"/>
      <c r="G117" s="34"/>
      <c r="H117" s="34"/>
      <c r="I117" s="34"/>
      <c r="J117" s="34"/>
      <c r="K117" s="40"/>
      <c r="L117" s="34"/>
      <c r="M117" s="34"/>
      <c r="N117" s="34"/>
      <c r="O117" s="34"/>
      <c r="P117" s="40"/>
      <c r="Q117" s="34"/>
      <c r="R117" s="34"/>
      <c r="S117" s="34"/>
      <c r="T117" s="34"/>
      <c r="U117" s="40"/>
      <c r="V117" s="34"/>
      <c r="W117" s="34"/>
      <c r="X117" s="34"/>
      <c r="Y117" s="34"/>
      <c r="Z117" s="34"/>
      <c r="AA117" s="34"/>
      <c r="AB117" s="38"/>
      <c r="AC117" s="38"/>
    </row>
    <row r="118" spans="2:29" x14ac:dyDescent="0.25">
      <c r="B118" s="34"/>
      <c r="C118" s="34"/>
      <c r="D118" s="34"/>
      <c r="E118" s="34"/>
      <c r="F118" s="40"/>
      <c r="G118" s="34"/>
      <c r="H118" s="34"/>
      <c r="I118" s="34"/>
      <c r="J118" s="34"/>
      <c r="K118" s="40"/>
      <c r="L118" s="34"/>
      <c r="M118" s="34"/>
      <c r="N118" s="34"/>
      <c r="O118" s="34"/>
      <c r="P118" s="40"/>
      <c r="Q118" s="34"/>
      <c r="R118" s="34"/>
      <c r="S118" s="34"/>
      <c r="T118" s="34"/>
      <c r="U118" s="40"/>
      <c r="V118" s="34"/>
      <c r="W118" s="34"/>
      <c r="X118" s="34"/>
      <c r="Y118" s="34"/>
      <c r="Z118" s="34"/>
      <c r="AA118" s="34"/>
      <c r="AB118" s="38"/>
      <c r="AC118" s="38"/>
    </row>
    <row r="119" spans="2:29" x14ac:dyDescent="0.25">
      <c r="B119" s="34"/>
      <c r="C119" s="34"/>
      <c r="D119" s="34"/>
      <c r="E119" s="34"/>
      <c r="F119" s="40"/>
      <c r="G119" s="34"/>
      <c r="H119" s="34"/>
      <c r="I119" s="34"/>
      <c r="J119" s="34"/>
      <c r="K119" s="40"/>
      <c r="L119" s="34"/>
      <c r="M119" s="34"/>
      <c r="N119" s="34"/>
      <c r="O119" s="34"/>
      <c r="P119" s="40"/>
      <c r="Q119" s="34"/>
      <c r="R119" s="34"/>
      <c r="S119" s="34"/>
      <c r="T119" s="34"/>
      <c r="U119" s="40"/>
      <c r="V119" s="34"/>
      <c r="W119" s="34"/>
      <c r="X119" s="34"/>
      <c r="Y119" s="34"/>
      <c r="Z119" s="34"/>
      <c r="AA119" s="34"/>
      <c r="AB119" s="38"/>
      <c r="AC119" s="38"/>
    </row>
    <row r="120" spans="2:29" x14ac:dyDescent="0.25">
      <c r="B120" s="34"/>
      <c r="C120" s="34"/>
      <c r="D120" s="34"/>
      <c r="E120" s="34"/>
      <c r="F120" s="40"/>
      <c r="G120" s="34"/>
      <c r="H120" s="34"/>
      <c r="I120" s="34"/>
      <c r="J120" s="34"/>
      <c r="K120" s="40"/>
      <c r="L120" s="34"/>
      <c r="M120" s="34"/>
      <c r="N120" s="34"/>
      <c r="O120" s="34"/>
      <c r="P120" s="40"/>
      <c r="Q120" s="34"/>
      <c r="R120" s="34"/>
      <c r="S120" s="34"/>
      <c r="T120" s="34"/>
      <c r="U120" s="40"/>
      <c r="V120" s="34"/>
      <c r="W120" s="34"/>
      <c r="X120" s="34"/>
      <c r="Y120" s="34"/>
      <c r="Z120" s="34"/>
      <c r="AA120" s="34"/>
      <c r="AB120" s="38"/>
      <c r="AC120" s="38"/>
    </row>
    <row r="121" spans="2:29" x14ac:dyDescent="0.25">
      <c r="B121" s="34"/>
      <c r="C121" s="34"/>
      <c r="D121" s="34"/>
      <c r="E121" s="34"/>
      <c r="F121" s="40"/>
      <c r="G121" s="34"/>
      <c r="H121" s="34"/>
      <c r="I121" s="34"/>
      <c r="J121" s="34"/>
      <c r="K121" s="40"/>
      <c r="L121" s="34"/>
      <c r="M121" s="34"/>
      <c r="N121" s="34"/>
      <c r="O121" s="34"/>
      <c r="P121" s="40"/>
      <c r="Q121" s="34"/>
      <c r="R121" s="34"/>
      <c r="S121" s="34"/>
      <c r="T121" s="34"/>
      <c r="U121" s="40"/>
      <c r="V121" s="34"/>
      <c r="W121" s="34"/>
      <c r="X121" s="34"/>
      <c r="Y121" s="34"/>
      <c r="Z121" s="34"/>
      <c r="AA121" s="34"/>
      <c r="AB121" s="38"/>
      <c r="AC121" s="38"/>
    </row>
    <row r="122" spans="2:29" x14ac:dyDescent="0.25">
      <c r="B122" s="34"/>
      <c r="C122" s="34"/>
      <c r="D122" s="34"/>
      <c r="E122" s="34"/>
      <c r="F122" s="40"/>
      <c r="G122" s="34"/>
      <c r="H122" s="34"/>
      <c r="I122" s="34"/>
      <c r="J122" s="34"/>
      <c r="K122" s="40"/>
      <c r="L122" s="34"/>
      <c r="M122" s="34"/>
      <c r="N122" s="34"/>
      <c r="O122" s="34"/>
      <c r="P122" s="40"/>
      <c r="Q122" s="34"/>
      <c r="R122" s="34"/>
      <c r="S122" s="34"/>
      <c r="T122" s="34"/>
      <c r="U122" s="40"/>
      <c r="V122" s="34"/>
      <c r="W122" s="34"/>
      <c r="X122" s="34"/>
      <c r="Y122" s="34"/>
      <c r="Z122" s="34"/>
      <c r="AA122" s="34"/>
      <c r="AB122" s="38"/>
      <c r="AC122" s="38"/>
    </row>
    <row r="123" spans="2:29" x14ac:dyDescent="0.25">
      <c r="B123" s="34"/>
      <c r="C123" s="34"/>
      <c r="D123" s="34"/>
      <c r="E123" s="34"/>
      <c r="F123" s="40"/>
      <c r="G123" s="34"/>
      <c r="H123" s="34"/>
      <c r="I123" s="34"/>
      <c r="J123" s="34"/>
      <c r="K123" s="40"/>
      <c r="L123" s="34"/>
      <c r="M123" s="34"/>
      <c r="N123" s="34"/>
      <c r="O123" s="34"/>
      <c r="P123" s="40"/>
      <c r="Q123" s="34"/>
      <c r="R123" s="34"/>
      <c r="S123" s="34"/>
      <c r="T123" s="34"/>
      <c r="U123" s="40"/>
      <c r="V123" s="34"/>
      <c r="W123" s="34"/>
      <c r="X123" s="34"/>
      <c r="Y123" s="34"/>
      <c r="Z123" s="34"/>
      <c r="AA123" s="34"/>
      <c r="AB123" s="38"/>
      <c r="AC123" s="38"/>
    </row>
    <row r="124" spans="2:29" x14ac:dyDescent="0.25">
      <c r="B124" s="34"/>
      <c r="C124" s="34"/>
      <c r="D124" s="34"/>
      <c r="E124" s="34"/>
      <c r="F124" s="40"/>
      <c r="G124" s="34"/>
      <c r="H124" s="34"/>
      <c r="I124" s="34"/>
      <c r="J124" s="34"/>
      <c r="K124" s="40"/>
      <c r="L124" s="34"/>
      <c r="M124" s="34"/>
      <c r="N124" s="34"/>
      <c r="O124" s="34"/>
      <c r="P124" s="40"/>
      <c r="Q124" s="34"/>
      <c r="R124" s="34"/>
      <c r="S124" s="34"/>
      <c r="T124" s="34"/>
      <c r="U124" s="40"/>
      <c r="V124" s="34"/>
      <c r="W124" s="34"/>
      <c r="X124" s="34"/>
      <c r="Y124" s="34"/>
      <c r="Z124" s="34"/>
      <c r="AA124" s="34"/>
      <c r="AB124" s="38"/>
      <c r="AC124" s="38"/>
    </row>
    <row r="125" spans="2:29" x14ac:dyDescent="0.25">
      <c r="B125" s="34"/>
      <c r="C125" s="34"/>
      <c r="D125" s="34"/>
      <c r="E125" s="34"/>
      <c r="F125" s="40"/>
      <c r="G125" s="34"/>
      <c r="H125" s="34"/>
      <c r="I125" s="34"/>
      <c r="J125" s="34"/>
      <c r="K125" s="40"/>
      <c r="L125" s="34"/>
      <c r="M125" s="34"/>
      <c r="N125" s="34"/>
      <c r="O125" s="34"/>
      <c r="P125" s="40"/>
      <c r="Q125" s="34"/>
      <c r="R125" s="34"/>
      <c r="S125" s="34"/>
      <c r="T125" s="34"/>
      <c r="U125" s="40"/>
      <c r="V125" s="34"/>
      <c r="W125" s="34"/>
      <c r="X125" s="34"/>
      <c r="Y125" s="34"/>
      <c r="Z125" s="34"/>
      <c r="AA125" s="34"/>
      <c r="AB125" s="38"/>
      <c r="AC125" s="38"/>
    </row>
    <row r="126" spans="2:29" x14ac:dyDescent="0.25">
      <c r="B126" s="34"/>
      <c r="C126" s="34"/>
      <c r="D126" s="34"/>
      <c r="E126" s="34"/>
      <c r="F126" s="40"/>
      <c r="G126" s="34"/>
      <c r="H126" s="34"/>
      <c r="I126" s="34"/>
      <c r="J126" s="34"/>
      <c r="K126" s="40"/>
      <c r="L126" s="34"/>
      <c r="M126" s="34"/>
      <c r="N126" s="34"/>
      <c r="O126" s="34"/>
      <c r="P126" s="40"/>
      <c r="Q126" s="34"/>
      <c r="R126" s="34"/>
      <c r="S126" s="34"/>
      <c r="T126" s="34"/>
      <c r="U126" s="40"/>
      <c r="V126" s="34"/>
      <c r="W126" s="34"/>
      <c r="X126" s="34"/>
      <c r="Y126" s="34"/>
      <c r="Z126" s="34"/>
      <c r="AA126" s="34"/>
      <c r="AB126" s="38"/>
      <c r="AC126" s="38"/>
    </row>
    <row r="127" spans="2:29" x14ac:dyDescent="0.25">
      <c r="B127" s="34"/>
      <c r="C127" s="34"/>
      <c r="D127" s="34"/>
      <c r="E127" s="34"/>
      <c r="F127" s="40"/>
      <c r="G127" s="34"/>
      <c r="H127" s="34"/>
      <c r="I127" s="34"/>
      <c r="J127" s="34"/>
      <c r="K127" s="40"/>
      <c r="L127" s="34"/>
      <c r="M127" s="34"/>
      <c r="N127" s="34"/>
      <c r="O127" s="34"/>
      <c r="P127" s="40"/>
      <c r="Q127" s="34"/>
      <c r="R127" s="34"/>
      <c r="S127" s="34"/>
      <c r="T127" s="34"/>
      <c r="U127" s="40"/>
      <c r="V127" s="34"/>
      <c r="W127" s="34"/>
      <c r="X127" s="34"/>
      <c r="Y127" s="34"/>
      <c r="Z127" s="34"/>
      <c r="AA127" s="34"/>
      <c r="AB127" s="38"/>
      <c r="AC127" s="38"/>
    </row>
    <row r="128" spans="2:29" x14ac:dyDescent="0.25">
      <c r="B128" s="34"/>
      <c r="C128" s="34"/>
      <c r="D128" s="34"/>
      <c r="E128" s="34"/>
      <c r="F128" s="40"/>
      <c r="G128" s="34"/>
      <c r="H128" s="34"/>
      <c r="I128" s="34"/>
      <c r="J128" s="34"/>
      <c r="K128" s="40"/>
      <c r="L128" s="34"/>
      <c r="M128" s="34"/>
      <c r="N128" s="34"/>
      <c r="O128" s="34"/>
      <c r="P128" s="40"/>
      <c r="Q128" s="34"/>
      <c r="R128" s="34"/>
      <c r="S128" s="34"/>
      <c r="T128" s="34"/>
      <c r="U128" s="40"/>
      <c r="V128" s="34"/>
      <c r="W128" s="34"/>
      <c r="X128" s="34"/>
      <c r="Y128" s="34"/>
      <c r="Z128" s="34"/>
      <c r="AA128" s="34"/>
      <c r="AB128" s="38"/>
      <c r="AC128" s="38"/>
    </row>
    <row r="129" spans="2:29" x14ac:dyDescent="0.25">
      <c r="B129" s="34"/>
      <c r="C129" s="34"/>
      <c r="D129" s="34"/>
      <c r="E129" s="34"/>
      <c r="F129" s="40"/>
      <c r="G129" s="34"/>
      <c r="H129" s="34"/>
      <c r="I129" s="34"/>
      <c r="J129" s="34"/>
      <c r="K129" s="40"/>
      <c r="L129" s="34"/>
      <c r="M129" s="34"/>
      <c r="N129" s="34"/>
      <c r="O129" s="34"/>
      <c r="P129" s="40"/>
      <c r="Q129" s="34"/>
      <c r="R129" s="34"/>
      <c r="S129" s="34"/>
      <c r="T129" s="34"/>
      <c r="U129" s="40"/>
      <c r="V129" s="34"/>
      <c r="W129" s="34"/>
      <c r="X129" s="34"/>
      <c r="Y129" s="34"/>
      <c r="Z129" s="34"/>
      <c r="AA129" s="34"/>
      <c r="AB129" s="38"/>
      <c r="AC129" s="38"/>
    </row>
    <row r="130" spans="2:29" x14ac:dyDescent="0.25">
      <c r="B130" s="34"/>
      <c r="C130" s="34"/>
      <c r="D130" s="34"/>
      <c r="E130" s="34"/>
      <c r="F130" s="40"/>
      <c r="G130" s="34"/>
      <c r="H130" s="34"/>
      <c r="I130" s="34"/>
      <c r="J130" s="34"/>
      <c r="K130" s="40"/>
      <c r="L130" s="34"/>
      <c r="M130" s="34"/>
      <c r="N130" s="34"/>
      <c r="O130" s="34"/>
      <c r="P130" s="40"/>
      <c r="Q130" s="34"/>
      <c r="R130" s="34"/>
      <c r="S130" s="34"/>
      <c r="T130" s="34"/>
      <c r="U130" s="40"/>
      <c r="V130" s="34"/>
      <c r="W130" s="34"/>
      <c r="X130" s="34"/>
      <c r="Y130" s="34"/>
      <c r="Z130" s="34"/>
      <c r="AA130" s="34"/>
      <c r="AB130" s="38"/>
      <c r="AC130" s="38"/>
    </row>
    <row r="131" spans="2:29" x14ac:dyDescent="0.25">
      <c r="B131" s="34"/>
      <c r="C131" s="34"/>
      <c r="D131" s="34"/>
      <c r="E131" s="34"/>
      <c r="F131" s="40"/>
      <c r="G131" s="34"/>
      <c r="H131" s="34"/>
      <c r="I131" s="34"/>
      <c r="J131" s="34"/>
      <c r="K131" s="40"/>
      <c r="L131" s="34"/>
      <c r="M131" s="34"/>
      <c r="N131" s="34"/>
      <c r="O131" s="34"/>
      <c r="P131" s="40"/>
      <c r="Q131" s="34"/>
      <c r="R131" s="34"/>
      <c r="S131" s="34"/>
      <c r="T131" s="34"/>
      <c r="U131" s="40"/>
      <c r="V131" s="34"/>
      <c r="W131" s="34"/>
      <c r="X131" s="34"/>
      <c r="Y131" s="34"/>
      <c r="Z131" s="34"/>
      <c r="AA131" s="34"/>
      <c r="AB131" s="38"/>
      <c r="AC131" s="38"/>
    </row>
    <row r="132" spans="2:29" x14ac:dyDescent="0.25">
      <c r="B132" s="34"/>
      <c r="C132" s="34"/>
      <c r="D132" s="34"/>
      <c r="E132" s="34"/>
      <c r="F132" s="40"/>
      <c r="G132" s="34"/>
      <c r="H132" s="34"/>
      <c r="I132" s="34"/>
      <c r="J132" s="34"/>
      <c r="K132" s="40"/>
      <c r="L132" s="34"/>
      <c r="M132" s="34"/>
      <c r="N132" s="34"/>
      <c r="O132" s="34"/>
      <c r="P132" s="40"/>
      <c r="Q132" s="34"/>
      <c r="R132" s="34"/>
      <c r="S132" s="34"/>
      <c r="T132" s="34"/>
      <c r="U132" s="40"/>
      <c r="V132" s="34"/>
      <c r="W132" s="34"/>
      <c r="X132" s="34"/>
      <c r="Y132" s="34"/>
      <c r="Z132" s="34"/>
      <c r="AA132" s="34"/>
      <c r="AB132" s="38"/>
      <c r="AC132" s="38"/>
    </row>
    <row r="133" spans="2:29" x14ac:dyDescent="0.25">
      <c r="B133" s="34"/>
      <c r="C133" s="34"/>
      <c r="D133" s="34"/>
      <c r="E133" s="34"/>
      <c r="F133" s="40"/>
      <c r="G133" s="34"/>
      <c r="H133" s="34"/>
      <c r="I133" s="34"/>
      <c r="J133" s="34"/>
      <c r="K133" s="40"/>
      <c r="L133" s="34"/>
      <c r="M133" s="34"/>
      <c r="N133" s="34"/>
      <c r="O133" s="34"/>
      <c r="P133" s="40"/>
      <c r="Q133" s="34"/>
      <c r="R133" s="34"/>
      <c r="S133" s="34"/>
      <c r="T133" s="34"/>
      <c r="U133" s="40"/>
      <c r="V133" s="34"/>
      <c r="W133" s="34"/>
      <c r="X133" s="34"/>
      <c r="Y133" s="34"/>
      <c r="Z133" s="34"/>
      <c r="AA133" s="34"/>
      <c r="AB133" s="38"/>
      <c r="AC133" s="38"/>
    </row>
    <row r="134" spans="2:29" x14ac:dyDescent="0.25">
      <c r="B134" s="34"/>
      <c r="C134" s="34"/>
      <c r="D134" s="34"/>
      <c r="E134" s="34"/>
      <c r="F134" s="40"/>
      <c r="G134" s="34"/>
      <c r="H134" s="34"/>
      <c r="I134" s="34"/>
      <c r="J134" s="34"/>
      <c r="K134" s="40"/>
      <c r="L134" s="34"/>
      <c r="M134" s="34"/>
      <c r="N134" s="34"/>
      <c r="O134" s="34"/>
      <c r="P134" s="40"/>
      <c r="Q134" s="34"/>
      <c r="R134" s="34"/>
      <c r="S134" s="34"/>
      <c r="T134" s="34"/>
      <c r="U134" s="40"/>
      <c r="V134" s="34"/>
      <c r="W134" s="34"/>
      <c r="X134" s="34"/>
      <c r="Y134" s="34"/>
      <c r="Z134" s="34"/>
      <c r="AA134" s="34"/>
      <c r="AB134" s="38"/>
      <c r="AC134" s="38"/>
    </row>
    <row r="135" spans="2:29" x14ac:dyDescent="0.25">
      <c r="B135" s="34"/>
      <c r="C135" s="34"/>
      <c r="D135" s="34"/>
      <c r="E135" s="34"/>
      <c r="F135" s="40"/>
      <c r="G135" s="34"/>
      <c r="H135" s="34"/>
      <c r="I135" s="34"/>
      <c r="J135" s="34"/>
      <c r="K135" s="40"/>
      <c r="L135" s="34"/>
      <c r="M135" s="34"/>
      <c r="N135" s="34"/>
      <c r="O135" s="34"/>
      <c r="P135" s="40"/>
      <c r="Q135" s="34"/>
      <c r="R135" s="34"/>
      <c r="S135" s="34"/>
      <c r="T135" s="34"/>
      <c r="U135" s="40"/>
      <c r="V135" s="34"/>
      <c r="W135" s="34"/>
      <c r="X135" s="34"/>
      <c r="Y135" s="34"/>
      <c r="Z135" s="34"/>
      <c r="AA135" s="34"/>
      <c r="AB135" s="38"/>
      <c r="AC135" s="38"/>
    </row>
    <row r="136" spans="2:29" x14ac:dyDescent="0.25">
      <c r="B136" s="34"/>
      <c r="C136" s="34"/>
      <c r="D136" s="34"/>
      <c r="E136" s="34"/>
      <c r="F136" s="40"/>
      <c r="G136" s="34"/>
      <c r="H136" s="34"/>
      <c r="I136" s="34"/>
      <c r="J136" s="34"/>
      <c r="K136" s="40"/>
      <c r="L136" s="34"/>
      <c r="M136" s="34"/>
      <c r="N136" s="34"/>
      <c r="O136" s="34"/>
      <c r="P136" s="40"/>
      <c r="Q136" s="34"/>
      <c r="R136" s="34"/>
      <c r="S136" s="34"/>
      <c r="T136" s="34"/>
      <c r="U136" s="40"/>
      <c r="V136" s="34"/>
      <c r="W136" s="34"/>
      <c r="X136" s="34"/>
      <c r="Y136" s="34"/>
      <c r="Z136" s="34"/>
      <c r="AA136" s="34"/>
      <c r="AB136" s="38"/>
      <c r="AC136" s="38"/>
    </row>
    <row r="137" spans="2:29" x14ac:dyDescent="0.25">
      <c r="B137" s="34"/>
      <c r="C137" s="34"/>
      <c r="D137" s="34"/>
      <c r="E137" s="34"/>
      <c r="F137" s="40"/>
      <c r="G137" s="34"/>
      <c r="H137" s="34"/>
      <c r="I137" s="34"/>
      <c r="J137" s="34"/>
      <c r="K137" s="40"/>
      <c r="L137" s="34"/>
      <c r="M137" s="34"/>
      <c r="N137" s="34"/>
      <c r="O137" s="34"/>
      <c r="P137" s="40"/>
      <c r="Q137" s="34"/>
      <c r="R137" s="34"/>
      <c r="S137" s="34"/>
      <c r="T137" s="34"/>
      <c r="U137" s="40"/>
      <c r="V137" s="34"/>
      <c r="W137" s="34"/>
      <c r="X137" s="34"/>
      <c r="Y137" s="34"/>
      <c r="Z137" s="34"/>
      <c r="AA137" s="34"/>
      <c r="AB137" s="38"/>
      <c r="AC137" s="38"/>
    </row>
    <row r="138" spans="2:29" x14ac:dyDescent="0.25">
      <c r="B138" s="34"/>
      <c r="C138" s="34"/>
      <c r="D138" s="34"/>
      <c r="E138" s="34"/>
      <c r="F138" s="40"/>
      <c r="G138" s="34"/>
      <c r="H138" s="34"/>
      <c r="I138" s="34"/>
      <c r="J138" s="34"/>
      <c r="K138" s="40"/>
      <c r="L138" s="34"/>
      <c r="M138" s="34"/>
      <c r="N138" s="34"/>
      <c r="O138" s="34"/>
      <c r="P138" s="40"/>
      <c r="Q138" s="34"/>
      <c r="R138" s="34"/>
      <c r="S138" s="34"/>
      <c r="T138" s="34"/>
      <c r="U138" s="40"/>
      <c r="V138" s="34"/>
      <c r="W138" s="34"/>
      <c r="X138" s="34"/>
      <c r="Y138" s="34"/>
      <c r="Z138" s="34"/>
      <c r="AA138" s="34"/>
      <c r="AB138" s="38"/>
      <c r="AC138" s="38"/>
    </row>
    <row r="139" spans="2:29" x14ac:dyDescent="0.25">
      <c r="B139" s="34"/>
      <c r="C139" s="34"/>
      <c r="D139" s="34"/>
      <c r="E139" s="34"/>
      <c r="F139" s="40"/>
      <c r="G139" s="34"/>
      <c r="H139" s="34"/>
      <c r="I139" s="34"/>
      <c r="J139" s="34"/>
      <c r="K139" s="40"/>
      <c r="L139" s="34"/>
      <c r="M139" s="34"/>
      <c r="N139" s="34"/>
      <c r="O139" s="34"/>
      <c r="P139" s="40"/>
      <c r="Q139" s="34"/>
      <c r="R139" s="34"/>
      <c r="S139" s="34"/>
      <c r="T139" s="34"/>
      <c r="U139" s="40"/>
      <c r="V139" s="34"/>
      <c r="W139" s="34"/>
      <c r="X139" s="34"/>
      <c r="Y139" s="34"/>
      <c r="Z139" s="34"/>
      <c r="AA139" s="34"/>
      <c r="AB139" s="38"/>
      <c r="AC139" s="38"/>
    </row>
    <row r="140" spans="2:29" x14ac:dyDescent="0.25">
      <c r="B140" s="34"/>
      <c r="C140" s="34"/>
      <c r="D140" s="34"/>
      <c r="E140" s="34"/>
      <c r="F140" s="40"/>
      <c r="G140" s="34"/>
      <c r="H140" s="34"/>
      <c r="I140" s="34"/>
      <c r="J140" s="34"/>
      <c r="K140" s="40"/>
      <c r="L140" s="34"/>
      <c r="M140" s="34"/>
      <c r="N140" s="34"/>
      <c r="O140" s="34"/>
      <c r="P140" s="40"/>
      <c r="Q140" s="34"/>
      <c r="R140" s="34"/>
      <c r="S140" s="34"/>
      <c r="T140" s="34"/>
      <c r="U140" s="40"/>
      <c r="V140" s="34"/>
      <c r="W140" s="34"/>
      <c r="X140" s="34"/>
      <c r="Y140" s="34"/>
      <c r="Z140" s="34"/>
      <c r="AA140" s="34"/>
      <c r="AB140" s="38"/>
      <c r="AC140" s="38"/>
    </row>
    <row r="141" spans="2:29" x14ac:dyDescent="0.25">
      <c r="B141" s="34"/>
      <c r="C141" s="34"/>
      <c r="D141" s="34"/>
      <c r="E141" s="34"/>
      <c r="F141" s="40"/>
      <c r="G141" s="34"/>
      <c r="H141" s="34"/>
      <c r="I141" s="34"/>
      <c r="J141" s="34"/>
      <c r="K141" s="40"/>
      <c r="L141" s="34"/>
      <c r="M141" s="34"/>
      <c r="N141" s="34"/>
      <c r="O141" s="34"/>
      <c r="P141" s="40"/>
      <c r="Q141" s="34"/>
      <c r="R141" s="34"/>
      <c r="S141" s="34"/>
      <c r="T141" s="34"/>
      <c r="U141" s="40"/>
      <c r="V141" s="34"/>
      <c r="W141" s="34"/>
      <c r="X141" s="34"/>
      <c r="Y141" s="34"/>
      <c r="Z141" s="34"/>
      <c r="AA141" s="34"/>
      <c r="AB141" s="38"/>
      <c r="AC141" s="38"/>
    </row>
    <row r="142" spans="2:29" x14ac:dyDescent="0.25">
      <c r="B142" s="34"/>
      <c r="C142" s="34"/>
      <c r="D142" s="34"/>
      <c r="E142" s="34"/>
      <c r="F142" s="40"/>
      <c r="G142" s="34"/>
      <c r="H142" s="34"/>
      <c r="I142" s="34"/>
      <c r="J142" s="34"/>
      <c r="K142" s="40"/>
      <c r="L142" s="34"/>
      <c r="M142" s="34"/>
      <c r="N142" s="34"/>
      <c r="O142" s="34"/>
      <c r="P142" s="40"/>
      <c r="Q142" s="34"/>
      <c r="R142" s="34"/>
      <c r="S142" s="34"/>
      <c r="T142" s="34"/>
      <c r="U142" s="40"/>
      <c r="V142" s="34"/>
      <c r="W142" s="34"/>
      <c r="X142" s="34"/>
      <c r="Y142" s="34"/>
      <c r="Z142" s="34"/>
      <c r="AA142" s="34"/>
      <c r="AB142" s="38"/>
      <c r="AC142" s="38"/>
    </row>
    <row r="143" spans="2:29" x14ac:dyDescent="0.25">
      <c r="B143" s="34"/>
      <c r="C143" s="34"/>
      <c r="D143" s="34"/>
      <c r="E143" s="34"/>
      <c r="F143" s="40"/>
      <c r="G143" s="34"/>
      <c r="H143" s="34"/>
      <c r="I143" s="34"/>
      <c r="J143" s="34"/>
      <c r="K143" s="40"/>
      <c r="L143" s="34"/>
      <c r="M143" s="34"/>
      <c r="N143" s="34"/>
      <c r="O143" s="34"/>
      <c r="P143" s="40"/>
      <c r="Q143" s="34"/>
      <c r="R143" s="34"/>
      <c r="S143" s="34"/>
      <c r="T143" s="34"/>
      <c r="U143" s="40"/>
      <c r="V143" s="34"/>
      <c r="W143" s="34"/>
      <c r="X143" s="34"/>
      <c r="Y143" s="34"/>
      <c r="Z143" s="34"/>
      <c r="AA143" s="34"/>
      <c r="AB143" s="38"/>
      <c r="AC143" s="38"/>
    </row>
    <row r="144" spans="2:29" x14ac:dyDescent="0.25">
      <c r="B144" s="34"/>
      <c r="C144" s="34"/>
      <c r="D144" s="34"/>
      <c r="E144" s="34"/>
      <c r="F144" s="40"/>
      <c r="G144" s="34"/>
      <c r="H144" s="34"/>
      <c r="I144" s="34"/>
      <c r="J144" s="34"/>
      <c r="K144" s="40"/>
      <c r="L144" s="34"/>
      <c r="M144" s="34"/>
      <c r="N144" s="34"/>
      <c r="O144" s="34"/>
      <c r="P144" s="40"/>
      <c r="Q144" s="34"/>
      <c r="R144" s="34"/>
      <c r="S144" s="34"/>
      <c r="T144" s="34"/>
      <c r="U144" s="40"/>
      <c r="V144" s="34"/>
      <c r="W144" s="34"/>
      <c r="X144" s="34"/>
      <c r="Y144" s="34"/>
      <c r="Z144" s="34"/>
      <c r="AA144" s="34"/>
      <c r="AB144" s="38"/>
      <c r="AC144" s="38"/>
    </row>
    <row r="145" spans="2:29" x14ac:dyDescent="0.25">
      <c r="B145" s="34"/>
      <c r="C145" s="34"/>
      <c r="D145" s="34"/>
      <c r="E145" s="34"/>
      <c r="F145" s="40"/>
      <c r="G145" s="34"/>
      <c r="H145" s="34"/>
      <c r="I145" s="34"/>
      <c r="J145" s="34"/>
      <c r="K145" s="40"/>
      <c r="L145" s="34"/>
      <c r="M145" s="34"/>
      <c r="N145" s="34"/>
      <c r="O145" s="34"/>
      <c r="P145" s="40"/>
      <c r="Q145" s="34"/>
      <c r="R145" s="34"/>
      <c r="S145" s="34"/>
      <c r="T145" s="34"/>
      <c r="U145" s="40"/>
      <c r="V145" s="34"/>
      <c r="W145" s="34"/>
      <c r="X145" s="34"/>
      <c r="Y145" s="34"/>
      <c r="Z145" s="34"/>
      <c r="AA145" s="34"/>
      <c r="AB145" s="38"/>
      <c r="AC145" s="38"/>
    </row>
    <row r="146" spans="2:29" x14ac:dyDescent="0.25">
      <c r="B146" s="34"/>
      <c r="C146" s="34"/>
      <c r="D146" s="34"/>
      <c r="E146" s="34"/>
      <c r="F146" s="40"/>
      <c r="G146" s="34"/>
      <c r="H146" s="34"/>
      <c r="I146" s="34"/>
      <c r="J146" s="34"/>
      <c r="K146" s="40"/>
      <c r="L146" s="34"/>
      <c r="M146" s="34"/>
      <c r="N146" s="34"/>
      <c r="O146" s="34"/>
      <c r="P146" s="40"/>
      <c r="Q146" s="34"/>
      <c r="R146" s="34"/>
      <c r="S146" s="34"/>
      <c r="T146" s="34"/>
      <c r="U146" s="40"/>
      <c r="V146" s="34"/>
      <c r="W146" s="34"/>
      <c r="X146" s="34"/>
      <c r="Y146" s="34"/>
      <c r="Z146" s="34"/>
      <c r="AA146" s="34"/>
      <c r="AB146" s="38"/>
      <c r="AC146" s="38"/>
    </row>
    <row r="147" spans="2:29" x14ac:dyDescent="0.25">
      <c r="B147" s="34"/>
      <c r="C147" s="34"/>
      <c r="D147" s="34"/>
      <c r="E147" s="34"/>
      <c r="F147" s="40"/>
      <c r="G147" s="34"/>
      <c r="H147" s="34"/>
      <c r="I147" s="34"/>
      <c r="J147" s="34"/>
      <c r="K147" s="40"/>
      <c r="L147" s="34"/>
      <c r="M147" s="34"/>
      <c r="N147" s="34"/>
      <c r="O147" s="34"/>
      <c r="P147" s="40"/>
      <c r="Q147" s="34"/>
      <c r="R147" s="34"/>
      <c r="S147" s="34"/>
      <c r="T147" s="34"/>
      <c r="U147" s="40"/>
      <c r="V147" s="34"/>
      <c r="W147" s="34"/>
      <c r="X147" s="34"/>
      <c r="Y147" s="34"/>
      <c r="Z147" s="34"/>
      <c r="AA147" s="34"/>
      <c r="AB147" s="38"/>
      <c r="AC147" s="38"/>
    </row>
    <row r="148" spans="2:29" x14ac:dyDescent="0.25">
      <c r="B148" s="34"/>
      <c r="C148" s="34"/>
      <c r="D148" s="34"/>
      <c r="E148" s="34"/>
      <c r="F148" s="40"/>
      <c r="G148" s="34"/>
      <c r="H148" s="34"/>
      <c r="I148" s="34"/>
      <c r="J148" s="34"/>
      <c r="K148" s="40"/>
      <c r="L148" s="34"/>
      <c r="M148" s="34"/>
      <c r="N148" s="34"/>
      <c r="O148" s="34"/>
      <c r="P148" s="40"/>
      <c r="Q148" s="34"/>
      <c r="R148" s="34"/>
      <c r="S148" s="34"/>
      <c r="T148" s="34"/>
      <c r="U148" s="40"/>
      <c r="V148" s="34"/>
      <c r="W148" s="34"/>
      <c r="X148" s="34"/>
      <c r="Y148" s="34"/>
      <c r="Z148" s="34"/>
      <c r="AA148" s="34"/>
      <c r="AB148" s="38"/>
      <c r="AC148" s="38"/>
    </row>
    <row r="149" spans="2:29" x14ac:dyDescent="0.25">
      <c r="B149" s="34"/>
      <c r="C149" s="34"/>
      <c r="D149" s="34"/>
      <c r="E149" s="34"/>
      <c r="F149" s="40"/>
      <c r="G149" s="34"/>
      <c r="H149" s="34"/>
      <c r="I149" s="34"/>
      <c r="J149" s="34"/>
      <c r="K149" s="40"/>
      <c r="L149" s="34"/>
      <c r="M149" s="34"/>
      <c r="N149" s="34"/>
      <c r="O149" s="34"/>
      <c r="P149" s="40"/>
      <c r="Q149" s="34"/>
      <c r="R149" s="34"/>
      <c r="S149" s="34"/>
      <c r="T149" s="34"/>
      <c r="U149" s="40"/>
      <c r="V149" s="34"/>
      <c r="W149" s="34"/>
      <c r="X149" s="34"/>
      <c r="Y149" s="34"/>
      <c r="Z149" s="34"/>
      <c r="AA149" s="34"/>
      <c r="AB149" s="38"/>
      <c r="AC149" s="38"/>
    </row>
    <row r="150" spans="2:29" x14ac:dyDescent="0.25">
      <c r="B150" s="34"/>
      <c r="C150" s="34"/>
      <c r="D150" s="34"/>
      <c r="E150" s="34"/>
      <c r="F150" s="40"/>
      <c r="G150" s="34"/>
      <c r="H150" s="34"/>
      <c r="I150" s="34"/>
      <c r="J150" s="34"/>
      <c r="K150" s="40"/>
      <c r="L150" s="34"/>
      <c r="M150" s="34"/>
      <c r="N150" s="34"/>
      <c r="O150" s="34"/>
      <c r="P150" s="40"/>
      <c r="Q150" s="34"/>
      <c r="R150" s="34"/>
      <c r="S150" s="34"/>
      <c r="T150" s="34"/>
      <c r="U150" s="40"/>
      <c r="V150" s="34"/>
      <c r="W150" s="34"/>
      <c r="X150" s="34"/>
      <c r="Y150" s="34"/>
      <c r="Z150" s="34"/>
      <c r="AA150" s="34"/>
      <c r="AB150" s="38"/>
      <c r="AC150" s="38"/>
    </row>
    <row r="151" spans="2:29" x14ac:dyDescent="0.25">
      <c r="B151" s="34"/>
      <c r="C151" s="34"/>
      <c r="D151" s="34"/>
      <c r="E151" s="34"/>
      <c r="F151" s="40"/>
      <c r="G151" s="34"/>
      <c r="H151" s="34"/>
      <c r="I151" s="34"/>
      <c r="J151" s="34"/>
      <c r="K151" s="40"/>
      <c r="L151" s="34"/>
      <c r="M151" s="34"/>
      <c r="N151" s="34"/>
      <c r="O151" s="34"/>
      <c r="P151" s="40"/>
      <c r="Q151" s="34"/>
      <c r="R151" s="34"/>
      <c r="S151" s="34"/>
      <c r="T151" s="34"/>
      <c r="U151" s="40"/>
      <c r="V151" s="34"/>
      <c r="W151" s="34"/>
      <c r="X151" s="34"/>
      <c r="Y151" s="34"/>
      <c r="Z151" s="34"/>
      <c r="AA151" s="34"/>
      <c r="AB151" s="38"/>
      <c r="AC151" s="38"/>
    </row>
    <row r="152" spans="2:29" x14ac:dyDescent="0.25">
      <c r="B152" s="34"/>
      <c r="C152" s="34"/>
      <c r="D152" s="34"/>
      <c r="E152" s="34"/>
      <c r="F152" s="40"/>
      <c r="G152" s="34"/>
      <c r="H152" s="34"/>
      <c r="I152" s="34"/>
      <c r="J152" s="34"/>
      <c r="K152" s="40"/>
      <c r="L152" s="34"/>
      <c r="M152" s="34"/>
      <c r="N152" s="34"/>
      <c r="O152" s="34"/>
      <c r="P152" s="40"/>
      <c r="Q152" s="34"/>
      <c r="R152" s="34"/>
      <c r="S152" s="34"/>
      <c r="T152" s="34"/>
      <c r="U152" s="40"/>
      <c r="V152" s="34"/>
      <c r="W152" s="34"/>
      <c r="X152" s="34"/>
      <c r="Y152" s="34"/>
      <c r="Z152" s="34"/>
      <c r="AA152" s="34"/>
      <c r="AB152" s="38"/>
      <c r="AC152" s="38"/>
    </row>
    <row r="153" spans="2:29" x14ac:dyDescent="0.25">
      <c r="B153" s="34"/>
      <c r="C153" s="34"/>
      <c r="D153" s="34"/>
      <c r="E153" s="34"/>
      <c r="F153" s="40"/>
      <c r="G153" s="34"/>
      <c r="H153" s="34"/>
      <c r="I153" s="34"/>
      <c r="J153" s="34"/>
      <c r="K153" s="40"/>
      <c r="L153" s="34"/>
      <c r="M153" s="34"/>
      <c r="N153" s="34"/>
      <c r="O153" s="34"/>
      <c r="P153" s="40"/>
      <c r="Q153" s="34"/>
      <c r="R153" s="34"/>
      <c r="S153" s="34"/>
      <c r="T153" s="34"/>
      <c r="U153" s="40"/>
      <c r="V153" s="34"/>
      <c r="W153" s="34"/>
      <c r="X153" s="34"/>
      <c r="Y153" s="34"/>
      <c r="Z153" s="34"/>
      <c r="AA153" s="34"/>
      <c r="AB153" s="38"/>
      <c r="AC153" s="38"/>
    </row>
    <row r="154" spans="2:29" x14ac:dyDescent="0.25">
      <c r="B154" s="34"/>
      <c r="C154" s="34"/>
      <c r="D154" s="34"/>
      <c r="E154" s="34"/>
      <c r="F154" s="40"/>
      <c r="G154" s="34"/>
      <c r="H154" s="34"/>
      <c r="I154" s="34"/>
      <c r="J154" s="34"/>
      <c r="K154" s="40"/>
      <c r="L154" s="34"/>
      <c r="M154" s="34"/>
      <c r="N154" s="34"/>
      <c r="O154" s="34"/>
      <c r="P154" s="40"/>
      <c r="Q154" s="34"/>
      <c r="R154" s="34"/>
      <c r="S154" s="34"/>
      <c r="T154" s="34"/>
      <c r="U154" s="40"/>
      <c r="V154" s="34"/>
      <c r="W154" s="34"/>
      <c r="X154" s="34"/>
      <c r="Y154" s="34"/>
      <c r="Z154" s="34"/>
      <c r="AA154" s="34"/>
      <c r="AB154" s="38"/>
      <c r="AC154" s="38"/>
    </row>
    <row r="155" spans="2:29" x14ac:dyDescent="0.25">
      <c r="B155" s="34"/>
      <c r="C155" s="34"/>
      <c r="D155" s="34"/>
      <c r="E155" s="34"/>
      <c r="F155" s="40"/>
      <c r="G155" s="34"/>
      <c r="H155" s="34"/>
      <c r="I155" s="34"/>
      <c r="J155" s="34"/>
      <c r="K155" s="40"/>
      <c r="L155" s="34"/>
      <c r="M155" s="34"/>
      <c r="N155" s="34"/>
      <c r="O155" s="34"/>
      <c r="P155" s="40"/>
      <c r="Q155" s="34"/>
      <c r="R155" s="34"/>
      <c r="S155" s="34"/>
      <c r="T155" s="34"/>
      <c r="U155" s="40"/>
      <c r="V155" s="34"/>
      <c r="W155" s="34"/>
      <c r="X155" s="34"/>
      <c r="Y155" s="34"/>
      <c r="Z155" s="34"/>
      <c r="AA155" s="34"/>
      <c r="AB155" s="38"/>
      <c r="AC155" s="38"/>
    </row>
    <row r="156" spans="2:29" x14ac:dyDescent="0.25">
      <c r="B156" s="34"/>
      <c r="C156" s="34"/>
      <c r="D156" s="34"/>
      <c r="E156" s="34"/>
      <c r="F156" s="40"/>
      <c r="G156" s="34"/>
      <c r="H156" s="34"/>
      <c r="I156" s="34"/>
      <c r="J156" s="34"/>
      <c r="K156" s="40"/>
      <c r="L156" s="34"/>
      <c r="M156" s="34"/>
      <c r="N156" s="34"/>
      <c r="O156" s="34"/>
      <c r="P156" s="40"/>
      <c r="Q156" s="34"/>
      <c r="R156" s="34"/>
      <c r="S156" s="34"/>
      <c r="T156" s="34"/>
      <c r="U156" s="40"/>
      <c r="V156" s="34"/>
      <c r="W156" s="34"/>
      <c r="X156" s="34"/>
      <c r="Y156" s="34"/>
      <c r="Z156" s="34"/>
      <c r="AA156" s="34"/>
      <c r="AB156" s="38"/>
      <c r="AC156" s="38"/>
    </row>
    <row r="157" spans="2:29" x14ac:dyDescent="0.25">
      <c r="B157" s="34"/>
      <c r="C157" s="34"/>
      <c r="D157" s="34"/>
      <c r="E157" s="34"/>
      <c r="F157" s="40"/>
      <c r="G157" s="34"/>
      <c r="H157" s="34"/>
      <c r="I157" s="34"/>
      <c r="J157" s="34"/>
      <c r="K157" s="40"/>
      <c r="L157" s="34"/>
      <c r="M157" s="34"/>
      <c r="N157" s="34"/>
      <c r="O157" s="34"/>
      <c r="P157" s="40"/>
      <c r="Q157" s="34"/>
      <c r="R157" s="34"/>
      <c r="S157" s="34"/>
      <c r="T157" s="34"/>
      <c r="U157" s="40"/>
      <c r="V157" s="34"/>
      <c r="W157" s="34"/>
      <c r="X157" s="34"/>
      <c r="Y157" s="34"/>
      <c r="Z157" s="34"/>
      <c r="AA157" s="34"/>
      <c r="AB157" s="38"/>
      <c r="AC157" s="38"/>
    </row>
    <row r="158" spans="2:29" x14ac:dyDescent="0.25">
      <c r="B158" s="34"/>
      <c r="C158" s="34"/>
      <c r="D158" s="34"/>
      <c r="E158" s="34"/>
      <c r="F158" s="40"/>
      <c r="G158" s="34"/>
      <c r="H158" s="34"/>
      <c r="I158" s="34"/>
      <c r="J158" s="34"/>
      <c r="K158" s="40"/>
      <c r="L158" s="34"/>
      <c r="M158" s="34"/>
      <c r="N158" s="34"/>
      <c r="O158" s="34"/>
      <c r="P158" s="40"/>
      <c r="Q158" s="34"/>
      <c r="R158" s="34"/>
      <c r="S158" s="34"/>
      <c r="T158" s="34"/>
      <c r="U158" s="40"/>
      <c r="V158" s="34"/>
      <c r="W158" s="34"/>
      <c r="X158" s="34"/>
      <c r="Y158" s="34"/>
      <c r="Z158" s="34"/>
      <c r="AA158" s="34"/>
      <c r="AB158" s="38"/>
      <c r="AC158" s="38"/>
    </row>
    <row r="159" spans="2:29" x14ac:dyDescent="0.25">
      <c r="B159" s="34"/>
      <c r="C159" s="34"/>
      <c r="D159" s="34"/>
      <c r="E159" s="34"/>
      <c r="F159" s="40"/>
      <c r="G159" s="34"/>
      <c r="H159" s="34"/>
      <c r="I159" s="34"/>
      <c r="J159" s="34"/>
      <c r="K159" s="40"/>
      <c r="L159" s="34"/>
      <c r="M159" s="34"/>
      <c r="N159" s="34"/>
      <c r="O159" s="34"/>
      <c r="P159" s="40"/>
      <c r="Q159" s="34"/>
      <c r="R159" s="34"/>
      <c r="S159" s="34"/>
      <c r="T159" s="34"/>
      <c r="U159" s="40"/>
      <c r="V159" s="34"/>
      <c r="W159" s="34"/>
      <c r="X159" s="34"/>
      <c r="Y159" s="34"/>
      <c r="Z159" s="34"/>
      <c r="AA159" s="34"/>
      <c r="AB159" s="38"/>
      <c r="AC159" s="38"/>
    </row>
    <row r="160" spans="2:29" x14ac:dyDescent="0.25">
      <c r="B160" s="34"/>
      <c r="C160" s="34"/>
      <c r="D160" s="34"/>
      <c r="E160" s="34"/>
      <c r="F160" s="40"/>
      <c r="G160" s="34"/>
      <c r="H160" s="34"/>
      <c r="I160" s="34"/>
      <c r="J160" s="34"/>
      <c r="K160" s="40"/>
      <c r="L160" s="34"/>
      <c r="M160" s="34"/>
      <c r="N160" s="34"/>
      <c r="O160" s="34"/>
      <c r="P160" s="40"/>
      <c r="Q160" s="34"/>
      <c r="R160" s="34"/>
      <c r="S160" s="34"/>
      <c r="T160" s="34"/>
      <c r="U160" s="40"/>
      <c r="V160" s="34"/>
      <c r="W160" s="34"/>
      <c r="X160" s="34"/>
      <c r="Y160" s="34"/>
      <c r="Z160" s="34"/>
      <c r="AA160" s="34"/>
      <c r="AB160" s="38"/>
      <c r="AC160" s="38"/>
    </row>
    <row r="161" spans="2:29" x14ac:dyDescent="0.25">
      <c r="B161" s="34"/>
      <c r="C161" s="34"/>
      <c r="D161" s="34"/>
      <c r="E161" s="34"/>
      <c r="F161" s="40"/>
      <c r="G161" s="34"/>
      <c r="H161" s="34"/>
      <c r="I161" s="34"/>
      <c r="J161" s="34"/>
      <c r="K161" s="40"/>
      <c r="L161" s="34"/>
      <c r="M161" s="34"/>
      <c r="N161" s="34"/>
      <c r="O161" s="34"/>
      <c r="P161" s="40"/>
      <c r="Q161" s="34"/>
      <c r="R161" s="34"/>
      <c r="S161" s="34"/>
      <c r="T161" s="34"/>
      <c r="U161" s="40"/>
      <c r="V161" s="34"/>
      <c r="W161" s="34"/>
      <c r="X161" s="34"/>
      <c r="Y161" s="34"/>
      <c r="Z161" s="34"/>
      <c r="AA161" s="34"/>
      <c r="AB161" s="38"/>
      <c r="AC161" s="38"/>
    </row>
    <row r="162" spans="2:29" x14ac:dyDescent="0.25">
      <c r="B162" s="34"/>
      <c r="C162" s="34"/>
      <c r="D162" s="34"/>
      <c r="E162" s="34"/>
      <c r="F162" s="40"/>
      <c r="G162" s="34"/>
      <c r="H162" s="34"/>
      <c r="I162" s="34"/>
      <c r="J162" s="34"/>
      <c r="K162" s="40"/>
      <c r="L162" s="34"/>
      <c r="M162" s="34"/>
      <c r="N162" s="34"/>
      <c r="O162" s="34"/>
      <c r="P162" s="40"/>
      <c r="Q162" s="34"/>
      <c r="R162" s="34"/>
      <c r="S162" s="34"/>
      <c r="T162" s="34"/>
      <c r="U162" s="40"/>
      <c r="V162" s="34"/>
      <c r="W162" s="34"/>
      <c r="X162" s="34"/>
      <c r="Y162" s="34"/>
      <c r="Z162" s="34"/>
      <c r="AA162" s="34"/>
      <c r="AB162" s="38"/>
      <c r="AC162" s="38"/>
    </row>
    <row r="163" spans="2:29" x14ac:dyDescent="0.25">
      <c r="B163" s="34"/>
      <c r="C163" s="34"/>
      <c r="D163" s="34"/>
      <c r="E163" s="34"/>
      <c r="F163" s="40"/>
      <c r="G163" s="34"/>
      <c r="H163" s="34"/>
      <c r="I163" s="34"/>
      <c r="J163" s="34"/>
      <c r="K163" s="40"/>
      <c r="L163" s="34"/>
      <c r="M163" s="34"/>
      <c r="N163" s="34"/>
      <c r="O163" s="34"/>
      <c r="P163" s="40"/>
      <c r="Q163" s="34"/>
      <c r="R163" s="34"/>
      <c r="S163" s="34"/>
      <c r="T163" s="34"/>
      <c r="U163" s="40"/>
      <c r="V163" s="34"/>
      <c r="W163" s="34"/>
      <c r="X163" s="34"/>
      <c r="Y163" s="34"/>
      <c r="Z163" s="34"/>
      <c r="AA163" s="34"/>
      <c r="AB163" s="38"/>
      <c r="AC163" s="38"/>
    </row>
    <row r="164" spans="2:29" x14ac:dyDescent="0.25">
      <c r="B164" s="34"/>
      <c r="C164" s="34"/>
      <c r="D164" s="34"/>
      <c r="E164" s="34"/>
      <c r="F164" s="40"/>
      <c r="G164" s="34"/>
      <c r="H164" s="34"/>
      <c r="I164" s="34"/>
      <c r="J164" s="34"/>
      <c r="K164" s="40"/>
      <c r="L164" s="34"/>
      <c r="M164" s="34"/>
      <c r="N164" s="34"/>
      <c r="O164" s="34"/>
      <c r="P164" s="40"/>
      <c r="Q164" s="34"/>
      <c r="R164" s="34"/>
      <c r="S164" s="34"/>
      <c r="T164" s="34"/>
      <c r="U164" s="40"/>
      <c r="V164" s="34"/>
      <c r="W164" s="34"/>
      <c r="X164" s="34"/>
      <c r="Y164" s="34"/>
      <c r="Z164" s="34"/>
      <c r="AA164" s="34"/>
      <c r="AB164" s="38"/>
      <c r="AC164" s="38"/>
    </row>
    <row r="165" spans="2:29" x14ac:dyDescent="0.25">
      <c r="B165" s="34"/>
      <c r="C165" s="34"/>
      <c r="D165" s="34"/>
      <c r="E165" s="34"/>
      <c r="F165" s="40"/>
      <c r="G165" s="34"/>
      <c r="H165" s="34"/>
      <c r="I165" s="34"/>
      <c r="J165" s="34"/>
      <c r="K165" s="40"/>
      <c r="L165" s="34"/>
      <c r="M165" s="34"/>
      <c r="N165" s="34"/>
      <c r="O165" s="34"/>
      <c r="P165" s="40"/>
      <c r="Q165" s="34"/>
      <c r="R165" s="34"/>
      <c r="S165" s="34"/>
      <c r="T165" s="34"/>
      <c r="U165" s="40"/>
      <c r="V165" s="34"/>
      <c r="W165" s="34"/>
      <c r="X165" s="34"/>
      <c r="Y165" s="34"/>
      <c r="Z165" s="34"/>
      <c r="AA165" s="34"/>
      <c r="AB165" s="38"/>
      <c r="AC165" s="38"/>
    </row>
    <row r="166" spans="2:29" x14ac:dyDescent="0.25">
      <c r="B166" s="34"/>
      <c r="C166" s="34"/>
      <c r="D166" s="34"/>
      <c r="E166" s="34"/>
      <c r="F166" s="40"/>
      <c r="G166" s="34"/>
      <c r="H166" s="34"/>
      <c r="I166" s="34"/>
      <c r="J166" s="34"/>
      <c r="K166" s="40"/>
      <c r="L166" s="34"/>
      <c r="M166" s="34"/>
      <c r="N166" s="34"/>
      <c r="O166" s="34"/>
      <c r="P166" s="40"/>
      <c r="Q166" s="34"/>
      <c r="R166" s="34"/>
      <c r="S166" s="34"/>
      <c r="T166" s="34"/>
      <c r="U166" s="40"/>
      <c r="V166" s="34"/>
      <c r="W166" s="34"/>
      <c r="X166" s="34"/>
      <c r="Y166" s="34"/>
      <c r="Z166" s="34"/>
      <c r="AA166" s="34"/>
      <c r="AB166" s="38"/>
      <c r="AC166" s="38"/>
    </row>
    <row r="167" spans="2:29" x14ac:dyDescent="0.25">
      <c r="B167" s="34"/>
      <c r="C167" s="34"/>
      <c r="D167" s="34"/>
      <c r="E167" s="34"/>
      <c r="F167" s="40"/>
      <c r="G167" s="34"/>
      <c r="H167" s="34"/>
      <c r="I167" s="34"/>
      <c r="J167" s="34"/>
      <c r="K167" s="40"/>
      <c r="L167" s="34"/>
      <c r="M167" s="34"/>
      <c r="N167" s="34"/>
      <c r="O167" s="34"/>
      <c r="P167" s="40"/>
      <c r="Q167" s="34"/>
      <c r="R167" s="34"/>
      <c r="S167" s="34"/>
      <c r="T167" s="34"/>
      <c r="U167" s="40"/>
      <c r="V167" s="34"/>
      <c r="W167" s="34"/>
      <c r="X167" s="34"/>
      <c r="Y167" s="34"/>
      <c r="Z167" s="34"/>
      <c r="AA167" s="34"/>
      <c r="AB167" s="38"/>
      <c r="AC167" s="38"/>
    </row>
    <row r="168" spans="2:29" x14ac:dyDescent="0.25">
      <c r="B168" s="34"/>
      <c r="C168" s="34"/>
      <c r="D168" s="34"/>
      <c r="E168" s="34"/>
      <c r="F168" s="40"/>
      <c r="G168" s="34"/>
      <c r="H168" s="34"/>
      <c r="I168" s="34"/>
      <c r="J168" s="34"/>
      <c r="K168" s="40"/>
      <c r="L168" s="34"/>
      <c r="M168" s="34"/>
      <c r="N168" s="34"/>
      <c r="O168" s="34"/>
      <c r="P168" s="40"/>
      <c r="Q168" s="34"/>
      <c r="R168" s="34"/>
      <c r="S168" s="34"/>
      <c r="T168" s="34"/>
      <c r="U168" s="40"/>
      <c r="V168" s="34"/>
      <c r="W168" s="34"/>
      <c r="X168" s="34"/>
      <c r="Y168" s="34"/>
      <c r="Z168" s="34"/>
      <c r="AA168" s="34"/>
      <c r="AB168" s="38"/>
      <c r="AC168" s="38"/>
    </row>
    <row r="169" spans="2:29" x14ac:dyDescent="0.25">
      <c r="B169" s="34"/>
      <c r="C169" s="34"/>
      <c r="D169" s="34"/>
      <c r="E169" s="34"/>
      <c r="F169" s="40"/>
      <c r="G169" s="34"/>
      <c r="H169" s="34"/>
      <c r="I169" s="34"/>
      <c r="J169" s="34"/>
      <c r="K169" s="40"/>
      <c r="L169" s="34"/>
      <c r="M169" s="34"/>
      <c r="N169" s="34"/>
      <c r="O169" s="34"/>
      <c r="P169" s="40"/>
      <c r="Q169" s="34"/>
      <c r="R169" s="34"/>
      <c r="S169" s="34"/>
      <c r="T169" s="34"/>
      <c r="U169" s="40"/>
      <c r="V169" s="34"/>
      <c r="W169" s="34"/>
      <c r="X169" s="34"/>
      <c r="Y169" s="34"/>
      <c r="Z169" s="34"/>
      <c r="AA169" s="34"/>
      <c r="AB169" s="38"/>
      <c r="AC169" s="38"/>
    </row>
    <row r="170" spans="2:29" x14ac:dyDescent="0.25">
      <c r="B170" s="34"/>
      <c r="C170" s="34"/>
      <c r="D170" s="34"/>
      <c r="E170" s="34"/>
      <c r="F170" s="40"/>
      <c r="G170" s="34"/>
      <c r="H170" s="34"/>
      <c r="I170" s="34"/>
      <c r="J170" s="34"/>
      <c r="K170" s="40"/>
      <c r="L170" s="34"/>
      <c r="M170" s="34"/>
      <c r="N170" s="34"/>
      <c r="O170" s="34"/>
      <c r="P170" s="40"/>
      <c r="Q170" s="34"/>
      <c r="R170" s="34"/>
      <c r="S170" s="34"/>
      <c r="T170" s="34"/>
      <c r="U170" s="40"/>
      <c r="V170" s="34"/>
      <c r="W170" s="34"/>
      <c r="X170" s="34"/>
      <c r="Y170" s="34"/>
      <c r="Z170" s="34"/>
      <c r="AA170" s="34"/>
      <c r="AB170" s="38"/>
      <c r="AC170" s="38"/>
    </row>
    <row r="171" spans="2:29" x14ac:dyDescent="0.25">
      <c r="B171" s="34"/>
      <c r="C171" s="34"/>
      <c r="D171" s="34"/>
      <c r="E171" s="34"/>
      <c r="F171" s="40"/>
      <c r="G171" s="34"/>
      <c r="H171" s="34"/>
      <c r="I171" s="34"/>
      <c r="J171" s="34"/>
      <c r="K171" s="40"/>
      <c r="L171" s="34"/>
      <c r="M171" s="34"/>
      <c r="N171" s="34"/>
      <c r="O171" s="34"/>
      <c r="P171" s="40"/>
      <c r="Q171" s="34"/>
      <c r="R171" s="34"/>
      <c r="S171" s="34"/>
      <c r="T171" s="34"/>
      <c r="U171" s="40"/>
      <c r="V171" s="34"/>
      <c r="W171" s="34"/>
      <c r="X171" s="34"/>
      <c r="Y171" s="34"/>
      <c r="Z171" s="34"/>
      <c r="AA171" s="34"/>
      <c r="AB171" s="38"/>
      <c r="AC171" s="38"/>
    </row>
    <row r="172" spans="2:29" x14ac:dyDescent="0.25">
      <c r="B172" s="34"/>
      <c r="C172" s="34"/>
      <c r="D172" s="34"/>
      <c r="E172" s="34"/>
      <c r="F172" s="40"/>
      <c r="G172" s="34"/>
      <c r="H172" s="34"/>
      <c r="I172" s="34"/>
      <c r="J172" s="34"/>
      <c r="K172" s="40"/>
      <c r="L172" s="34"/>
      <c r="M172" s="34"/>
      <c r="N172" s="34"/>
      <c r="O172" s="34"/>
      <c r="P172" s="40"/>
      <c r="Q172" s="34"/>
      <c r="R172" s="34"/>
      <c r="S172" s="34"/>
      <c r="T172" s="34"/>
      <c r="U172" s="40"/>
      <c r="V172" s="34"/>
      <c r="W172" s="34"/>
      <c r="X172" s="34"/>
      <c r="Y172" s="34"/>
      <c r="Z172" s="34"/>
      <c r="AA172" s="34"/>
      <c r="AB172" s="38"/>
      <c r="AC172" s="38"/>
    </row>
    <row r="173" spans="2:29" x14ac:dyDescent="0.25">
      <c r="B173" s="34"/>
      <c r="C173" s="34"/>
      <c r="D173" s="34"/>
      <c r="E173" s="34"/>
      <c r="F173" s="40"/>
      <c r="G173" s="34"/>
      <c r="H173" s="34"/>
      <c r="I173" s="34"/>
      <c r="J173" s="34"/>
      <c r="K173" s="40"/>
      <c r="L173" s="34"/>
      <c r="M173" s="34"/>
      <c r="N173" s="34"/>
      <c r="O173" s="34"/>
      <c r="P173" s="40"/>
      <c r="Q173" s="34"/>
      <c r="R173" s="34"/>
      <c r="S173" s="34"/>
      <c r="T173" s="34"/>
      <c r="U173" s="40"/>
      <c r="V173" s="34"/>
      <c r="W173" s="34"/>
      <c r="X173" s="34"/>
      <c r="Y173" s="34"/>
      <c r="Z173" s="34"/>
      <c r="AA173" s="34"/>
      <c r="AB173" s="38"/>
      <c r="AC173" s="38"/>
    </row>
    <row r="174" spans="2:29" x14ac:dyDescent="0.25">
      <c r="B174" s="34"/>
      <c r="C174" s="34"/>
      <c r="D174" s="34"/>
      <c r="E174" s="34"/>
      <c r="F174" s="40"/>
      <c r="G174" s="34"/>
      <c r="H174" s="34"/>
      <c r="I174" s="34"/>
      <c r="J174" s="34"/>
      <c r="K174" s="40"/>
      <c r="L174" s="34"/>
      <c r="M174" s="34"/>
      <c r="N174" s="34"/>
      <c r="O174" s="34"/>
      <c r="P174" s="40"/>
      <c r="Q174" s="34"/>
      <c r="R174" s="34"/>
      <c r="S174" s="34"/>
      <c r="T174" s="34"/>
      <c r="U174" s="40"/>
      <c r="V174" s="34"/>
      <c r="W174" s="34"/>
      <c r="X174" s="34"/>
      <c r="Y174" s="34"/>
      <c r="Z174" s="34"/>
      <c r="AA174" s="34"/>
      <c r="AB174" s="38"/>
      <c r="AC174" s="38"/>
    </row>
    <row r="175" spans="2:29" x14ac:dyDescent="0.25">
      <c r="B175" s="34"/>
      <c r="C175" s="34"/>
      <c r="D175" s="34"/>
      <c r="E175" s="34"/>
      <c r="F175" s="40"/>
      <c r="G175" s="34"/>
      <c r="H175" s="34"/>
      <c r="I175" s="34"/>
      <c r="J175" s="34"/>
      <c r="K175" s="40"/>
      <c r="L175" s="34"/>
      <c r="M175" s="34"/>
      <c r="N175" s="34"/>
      <c r="O175" s="34"/>
      <c r="P175" s="40"/>
      <c r="Q175" s="34"/>
      <c r="R175" s="34"/>
      <c r="S175" s="34"/>
      <c r="T175" s="34"/>
      <c r="U175" s="40"/>
      <c r="V175" s="34"/>
      <c r="W175" s="34"/>
      <c r="X175" s="34"/>
      <c r="Y175" s="34"/>
      <c r="Z175" s="34"/>
      <c r="AA175" s="34"/>
      <c r="AB175" s="38"/>
      <c r="AC175" s="38"/>
    </row>
    <row r="176" spans="2:29" x14ac:dyDescent="0.25">
      <c r="B176" s="34"/>
      <c r="C176" s="34"/>
      <c r="D176" s="34"/>
      <c r="E176" s="34"/>
      <c r="F176" s="40"/>
      <c r="G176" s="34"/>
      <c r="H176" s="34"/>
      <c r="I176" s="34"/>
      <c r="J176" s="34"/>
      <c r="K176" s="40"/>
      <c r="L176" s="34"/>
      <c r="M176" s="34"/>
      <c r="N176" s="34"/>
      <c r="O176" s="34"/>
      <c r="P176" s="40"/>
      <c r="Q176" s="34"/>
      <c r="R176" s="34"/>
      <c r="S176" s="34"/>
      <c r="T176" s="34"/>
      <c r="U176" s="40"/>
      <c r="V176" s="34"/>
      <c r="W176" s="34"/>
      <c r="X176" s="34"/>
      <c r="Y176" s="34"/>
      <c r="Z176" s="34"/>
      <c r="AA176" s="34"/>
      <c r="AB176" s="38"/>
      <c r="AC176" s="38"/>
    </row>
    <row r="177" spans="2:29" x14ac:dyDescent="0.25">
      <c r="B177" s="34"/>
      <c r="C177" s="34"/>
      <c r="D177" s="34"/>
      <c r="E177" s="34"/>
      <c r="F177" s="40"/>
      <c r="G177" s="34"/>
      <c r="H177" s="34"/>
      <c r="I177" s="34"/>
      <c r="J177" s="34"/>
      <c r="K177" s="40"/>
      <c r="L177" s="34"/>
      <c r="M177" s="34"/>
      <c r="N177" s="34"/>
      <c r="O177" s="34"/>
      <c r="P177" s="40"/>
      <c r="Q177" s="34"/>
      <c r="R177" s="34"/>
      <c r="S177" s="34"/>
      <c r="T177" s="34"/>
      <c r="U177" s="40"/>
      <c r="V177" s="34"/>
      <c r="W177" s="34"/>
      <c r="X177" s="34"/>
      <c r="Y177" s="34"/>
      <c r="Z177" s="34"/>
      <c r="AA177" s="34"/>
      <c r="AB177" s="38"/>
      <c r="AC177" s="38"/>
    </row>
    <row r="178" spans="2:29" x14ac:dyDescent="0.25">
      <c r="B178" s="34"/>
      <c r="C178" s="34"/>
      <c r="D178" s="34"/>
      <c r="E178" s="34"/>
      <c r="F178" s="40"/>
      <c r="G178" s="34"/>
      <c r="H178" s="34"/>
      <c r="I178" s="34"/>
      <c r="J178" s="34"/>
      <c r="K178" s="40"/>
      <c r="L178" s="34"/>
      <c r="M178" s="34"/>
      <c r="N178" s="34"/>
      <c r="O178" s="34"/>
      <c r="P178" s="40"/>
      <c r="Q178" s="34"/>
      <c r="R178" s="34"/>
      <c r="S178" s="34"/>
      <c r="T178" s="34"/>
      <c r="U178" s="40"/>
      <c r="V178" s="34"/>
      <c r="W178" s="34"/>
      <c r="X178" s="34"/>
      <c r="Y178" s="34"/>
      <c r="Z178" s="34"/>
      <c r="AA178" s="34"/>
      <c r="AB178" s="38"/>
      <c r="AC178" s="38"/>
    </row>
    <row r="179" spans="2:29" x14ac:dyDescent="0.25">
      <c r="B179" s="34"/>
      <c r="C179" s="34"/>
      <c r="D179" s="34"/>
      <c r="E179" s="34"/>
      <c r="F179" s="40"/>
      <c r="G179" s="34"/>
      <c r="H179" s="34"/>
      <c r="I179" s="34"/>
      <c r="J179" s="34"/>
      <c r="K179" s="40"/>
      <c r="L179" s="34"/>
      <c r="M179" s="34"/>
      <c r="N179" s="34"/>
      <c r="O179" s="34"/>
      <c r="P179" s="40"/>
      <c r="Q179" s="34"/>
      <c r="R179" s="34"/>
      <c r="S179" s="34"/>
      <c r="T179" s="34"/>
      <c r="U179" s="40"/>
      <c r="V179" s="34"/>
      <c r="W179" s="34"/>
      <c r="X179" s="34"/>
      <c r="Y179" s="34"/>
      <c r="Z179" s="34"/>
      <c r="AA179" s="34"/>
      <c r="AB179" s="38"/>
      <c r="AC179" s="38"/>
    </row>
    <row r="180" spans="2:29" x14ac:dyDescent="0.25">
      <c r="B180" s="34"/>
      <c r="C180" s="34"/>
      <c r="D180" s="34"/>
      <c r="E180" s="34"/>
      <c r="F180" s="40"/>
      <c r="G180" s="34"/>
      <c r="H180" s="34"/>
      <c r="I180" s="34"/>
      <c r="J180" s="34"/>
      <c r="K180" s="40"/>
      <c r="L180" s="34"/>
      <c r="M180" s="34"/>
      <c r="N180" s="34"/>
      <c r="O180" s="34"/>
      <c r="P180" s="40"/>
      <c r="Q180" s="34"/>
      <c r="R180" s="34"/>
      <c r="S180" s="34"/>
      <c r="T180" s="34"/>
      <c r="U180" s="40"/>
      <c r="V180" s="34"/>
      <c r="W180" s="34"/>
      <c r="X180" s="34"/>
      <c r="Y180" s="34"/>
      <c r="Z180" s="34"/>
      <c r="AA180" s="34"/>
      <c r="AB180" s="38"/>
      <c r="AC180" s="38"/>
    </row>
    <row r="181" spans="2:29" x14ac:dyDescent="0.25">
      <c r="B181" s="34"/>
      <c r="C181" s="34"/>
      <c r="D181" s="34"/>
      <c r="E181" s="34"/>
      <c r="F181" s="40"/>
      <c r="G181" s="34"/>
      <c r="H181" s="34"/>
      <c r="I181" s="34"/>
      <c r="J181" s="34"/>
      <c r="K181" s="40"/>
      <c r="L181" s="34"/>
      <c r="M181" s="34"/>
      <c r="N181" s="34"/>
      <c r="O181" s="34"/>
      <c r="P181" s="40"/>
      <c r="Q181" s="34"/>
      <c r="R181" s="34"/>
      <c r="S181" s="34"/>
      <c r="T181" s="34"/>
      <c r="U181" s="40"/>
      <c r="V181" s="34"/>
      <c r="W181" s="34"/>
      <c r="X181" s="34"/>
      <c r="Y181" s="34"/>
      <c r="Z181" s="34"/>
      <c r="AA181" s="34"/>
      <c r="AB181" s="38"/>
      <c r="AC181" s="38"/>
    </row>
    <row r="182" spans="2:29" x14ac:dyDescent="0.25">
      <c r="B182" s="34"/>
      <c r="C182" s="34"/>
      <c r="D182" s="34"/>
      <c r="E182" s="34"/>
      <c r="F182" s="40"/>
      <c r="G182" s="34"/>
      <c r="H182" s="34"/>
      <c r="I182" s="34"/>
      <c r="J182" s="34"/>
      <c r="K182" s="40"/>
      <c r="L182" s="34"/>
      <c r="M182" s="34"/>
      <c r="N182" s="34"/>
      <c r="O182" s="34"/>
      <c r="P182" s="40"/>
      <c r="Q182" s="34"/>
      <c r="R182" s="34"/>
      <c r="S182" s="34"/>
      <c r="T182" s="34"/>
      <c r="U182" s="40"/>
      <c r="V182" s="34"/>
      <c r="W182" s="34"/>
      <c r="X182" s="34"/>
      <c r="Y182" s="34"/>
      <c r="Z182" s="34"/>
      <c r="AA182" s="34"/>
      <c r="AB182" s="38"/>
      <c r="AC182" s="38"/>
    </row>
    <row r="183" spans="2:29" x14ac:dyDescent="0.25">
      <c r="B183" s="34"/>
      <c r="C183" s="34"/>
      <c r="D183" s="34"/>
      <c r="E183" s="34"/>
      <c r="F183" s="40"/>
      <c r="G183" s="34"/>
      <c r="H183" s="34"/>
      <c r="I183" s="34"/>
      <c r="J183" s="34"/>
      <c r="K183" s="40"/>
      <c r="L183" s="34"/>
      <c r="M183" s="34"/>
      <c r="N183" s="34"/>
      <c r="O183" s="34"/>
      <c r="P183" s="40"/>
      <c r="Q183" s="34"/>
      <c r="R183" s="34"/>
      <c r="S183" s="34"/>
      <c r="T183" s="34"/>
      <c r="U183" s="40"/>
      <c r="V183" s="34"/>
      <c r="W183" s="34"/>
      <c r="X183" s="34"/>
      <c r="Y183" s="34"/>
      <c r="Z183" s="34"/>
      <c r="AA183" s="34"/>
      <c r="AB183" s="38"/>
      <c r="AC183" s="38"/>
    </row>
    <row r="184" spans="2:29" x14ac:dyDescent="0.25">
      <c r="B184" s="34"/>
      <c r="C184" s="34"/>
      <c r="D184" s="34"/>
      <c r="E184" s="34"/>
      <c r="F184" s="40"/>
      <c r="G184" s="34"/>
      <c r="H184" s="34"/>
      <c r="I184" s="34"/>
      <c r="J184" s="34"/>
      <c r="K184" s="40"/>
      <c r="L184" s="34"/>
      <c r="M184" s="34"/>
      <c r="N184" s="34"/>
      <c r="O184" s="34"/>
      <c r="P184" s="40"/>
      <c r="Q184" s="34"/>
      <c r="R184" s="34"/>
      <c r="S184" s="34"/>
      <c r="T184" s="34"/>
      <c r="U184" s="40"/>
      <c r="V184" s="34"/>
      <c r="W184" s="34"/>
      <c r="X184" s="34"/>
      <c r="Y184" s="34"/>
      <c r="Z184" s="34"/>
      <c r="AA184" s="34"/>
      <c r="AB184" s="38"/>
      <c r="AC184" s="38"/>
    </row>
    <row r="185" spans="2:29" x14ac:dyDescent="0.25">
      <c r="B185" s="34"/>
      <c r="C185" s="34"/>
      <c r="D185" s="34"/>
      <c r="E185" s="34"/>
      <c r="F185" s="40"/>
      <c r="G185" s="34"/>
      <c r="H185" s="34"/>
      <c r="I185" s="34"/>
      <c r="J185" s="34"/>
      <c r="K185" s="40"/>
      <c r="L185" s="34"/>
      <c r="M185" s="34"/>
      <c r="N185" s="34"/>
      <c r="O185" s="34"/>
      <c r="P185" s="40"/>
      <c r="Q185" s="34"/>
      <c r="R185" s="34"/>
      <c r="S185" s="34"/>
      <c r="T185" s="34"/>
      <c r="U185" s="40"/>
      <c r="V185" s="34"/>
      <c r="W185" s="34"/>
      <c r="X185" s="34"/>
      <c r="Y185" s="34"/>
      <c r="Z185" s="34"/>
      <c r="AA185" s="34"/>
      <c r="AB185" s="38"/>
      <c r="AC185" s="38"/>
    </row>
    <row r="186" spans="2:29" x14ac:dyDescent="0.25">
      <c r="B186" s="34"/>
      <c r="C186" s="34"/>
      <c r="D186" s="34"/>
      <c r="E186" s="34"/>
      <c r="F186" s="40"/>
      <c r="G186" s="34"/>
      <c r="H186" s="34"/>
      <c r="I186" s="34"/>
      <c r="J186" s="34"/>
      <c r="K186" s="40"/>
      <c r="L186" s="34"/>
      <c r="M186" s="34"/>
      <c r="N186" s="34"/>
      <c r="O186" s="34"/>
      <c r="P186" s="40"/>
      <c r="Q186" s="34"/>
      <c r="R186" s="34"/>
      <c r="S186" s="34"/>
      <c r="T186" s="34"/>
      <c r="U186" s="40"/>
      <c r="V186" s="34"/>
      <c r="W186" s="34"/>
      <c r="X186" s="34"/>
      <c r="Y186" s="34"/>
      <c r="Z186" s="34"/>
      <c r="AA186" s="34"/>
      <c r="AB186" s="38"/>
      <c r="AC186" s="38"/>
    </row>
    <row r="187" spans="2:29" x14ac:dyDescent="0.25">
      <c r="B187" s="34"/>
      <c r="C187" s="34"/>
      <c r="D187" s="34"/>
      <c r="E187" s="34"/>
      <c r="F187" s="40"/>
      <c r="G187" s="34"/>
      <c r="H187" s="34"/>
      <c r="I187" s="34"/>
      <c r="J187" s="34"/>
      <c r="K187" s="40"/>
      <c r="L187" s="34"/>
      <c r="M187" s="34"/>
      <c r="N187" s="34"/>
      <c r="O187" s="34"/>
      <c r="P187" s="40"/>
      <c r="Q187" s="34"/>
      <c r="R187" s="34"/>
      <c r="S187" s="34"/>
      <c r="T187" s="34"/>
      <c r="U187" s="40"/>
      <c r="V187" s="34"/>
      <c r="W187" s="34"/>
      <c r="X187" s="34"/>
      <c r="Y187" s="34"/>
      <c r="Z187" s="34"/>
      <c r="AA187" s="34"/>
      <c r="AB187" s="38"/>
      <c r="AC187" s="38"/>
    </row>
    <row r="188" spans="2:29" x14ac:dyDescent="0.25">
      <c r="B188" s="34"/>
      <c r="C188" s="34"/>
      <c r="D188" s="34"/>
      <c r="E188" s="34"/>
      <c r="F188" s="40"/>
      <c r="G188" s="34"/>
      <c r="H188" s="34"/>
      <c r="I188" s="34"/>
      <c r="J188" s="34"/>
      <c r="K188" s="40"/>
      <c r="L188" s="34"/>
      <c r="M188" s="34"/>
      <c r="N188" s="34"/>
      <c r="O188" s="34"/>
      <c r="P188" s="40"/>
      <c r="Q188" s="34"/>
      <c r="R188" s="34"/>
      <c r="S188" s="34"/>
      <c r="T188" s="34"/>
      <c r="U188" s="40"/>
      <c r="V188" s="34"/>
      <c r="W188" s="34"/>
      <c r="X188" s="34"/>
      <c r="Y188" s="34"/>
      <c r="Z188" s="34"/>
      <c r="AA188" s="34"/>
      <c r="AB188" s="38"/>
      <c r="AC188" s="38"/>
    </row>
    <row r="189" spans="2:29" x14ac:dyDescent="0.25">
      <c r="B189" s="34"/>
      <c r="C189" s="34"/>
      <c r="D189" s="34"/>
      <c r="E189" s="34"/>
      <c r="F189" s="40"/>
      <c r="G189" s="34"/>
      <c r="H189" s="34"/>
      <c r="I189" s="34"/>
      <c r="J189" s="34"/>
      <c r="K189" s="40"/>
      <c r="L189" s="34"/>
      <c r="M189" s="34"/>
      <c r="N189" s="34"/>
      <c r="O189" s="34"/>
      <c r="P189" s="40"/>
      <c r="Q189" s="34"/>
      <c r="R189" s="34"/>
      <c r="S189" s="34"/>
      <c r="T189" s="34"/>
      <c r="U189" s="40"/>
      <c r="V189" s="34"/>
      <c r="W189" s="34"/>
      <c r="X189" s="34"/>
      <c r="Y189" s="34"/>
      <c r="Z189" s="34"/>
      <c r="AA189" s="34"/>
      <c r="AB189" s="38"/>
      <c r="AC189" s="38"/>
    </row>
    <row r="190" spans="2:29" x14ac:dyDescent="0.25">
      <c r="B190" s="34"/>
      <c r="C190" s="34"/>
      <c r="D190" s="34"/>
      <c r="E190" s="34"/>
      <c r="F190" s="40"/>
      <c r="G190" s="34"/>
      <c r="H190" s="34"/>
      <c r="I190" s="34"/>
      <c r="J190" s="34"/>
      <c r="K190" s="40"/>
      <c r="L190" s="34"/>
      <c r="M190" s="34"/>
      <c r="N190" s="34"/>
      <c r="O190" s="34"/>
      <c r="P190" s="40"/>
      <c r="Q190" s="34"/>
      <c r="R190" s="34"/>
      <c r="S190" s="34"/>
      <c r="T190" s="34"/>
      <c r="U190" s="40"/>
      <c r="V190" s="34"/>
      <c r="W190" s="34"/>
      <c r="X190" s="34"/>
      <c r="Y190" s="34"/>
      <c r="Z190" s="34"/>
      <c r="AA190" s="34"/>
      <c r="AB190" s="38"/>
      <c r="AC190" s="38"/>
    </row>
    <row r="191" spans="2:29" x14ac:dyDescent="0.25">
      <c r="B191" s="34"/>
      <c r="C191" s="34"/>
      <c r="D191" s="34"/>
      <c r="E191" s="34"/>
      <c r="F191" s="40"/>
      <c r="G191" s="34"/>
      <c r="H191" s="34"/>
      <c r="I191" s="34"/>
      <c r="J191" s="34"/>
      <c r="K191" s="40"/>
      <c r="L191" s="34"/>
      <c r="M191" s="34"/>
      <c r="N191" s="34"/>
      <c r="O191" s="34"/>
      <c r="P191" s="40"/>
      <c r="Q191" s="34"/>
      <c r="R191" s="34"/>
      <c r="S191" s="34"/>
      <c r="T191" s="34"/>
      <c r="U191" s="40"/>
      <c r="V191" s="34"/>
      <c r="W191" s="34"/>
      <c r="X191" s="34"/>
      <c r="Y191" s="34"/>
      <c r="Z191" s="34"/>
      <c r="AA191" s="34"/>
      <c r="AB191" s="38"/>
      <c r="AC191" s="38"/>
    </row>
    <row r="192" spans="2:29" x14ac:dyDescent="0.25">
      <c r="B192" s="34"/>
      <c r="C192" s="34"/>
      <c r="D192" s="34"/>
      <c r="E192" s="34"/>
      <c r="F192" s="40"/>
      <c r="G192" s="34"/>
      <c r="H192" s="34"/>
      <c r="I192" s="34"/>
      <c r="J192" s="34"/>
      <c r="K192" s="40"/>
      <c r="L192" s="34"/>
      <c r="M192" s="34"/>
      <c r="N192" s="34"/>
      <c r="O192" s="34"/>
      <c r="P192" s="40"/>
      <c r="Q192" s="34"/>
      <c r="R192" s="34"/>
      <c r="S192" s="34"/>
      <c r="T192" s="34"/>
      <c r="U192" s="40"/>
      <c r="V192" s="34"/>
      <c r="W192" s="34"/>
      <c r="X192" s="34"/>
      <c r="Y192" s="34"/>
      <c r="Z192" s="34"/>
      <c r="AA192" s="34"/>
      <c r="AB192" s="38"/>
      <c r="AC192" s="38"/>
    </row>
    <row r="193" spans="2:29" x14ac:dyDescent="0.25">
      <c r="B193" s="34"/>
      <c r="C193" s="34"/>
      <c r="D193" s="34"/>
      <c r="E193" s="34"/>
      <c r="F193" s="40"/>
      <c r="G193" s="34"/>
      <c r="H193" s="34"/>
      <c r="I193" s="34"/>
      <c r="J193" s="34"/>
      <c r="K193" s="40"/>
      <c r="L193" s="34"/>
      <c r="M193" s="34"/>
      <c r="N193" s="34"/>
      <c r="O193" s="34"/>
      <c r="P193" s="40"/>
      <c r="Q193" s="34"/>
      <c r="R193" s="34"/>
      <c r="S193" s="34"/>
      <c r="T193" s="34"/>
      <c r="U193" s="40"/>
      <c r="V193" s="34"/>
      <c r="W193" s="34"/>
      <c r="X193" s="34"/>
      <c r="Y193" s="34"/>
      <c r="Z193" s="34"/>
      <c r="AA193" s="34"/>
      <c r="AB193" s="38"/>
      <c r="AC193" s="38"/>
    </row>
    <row r="194" spans="2:29" x14ac:dyDescent="0.25">
      <c r="B194" s="34"/>
      <c r="C194" s="34"/>
      <c r="D194" s="34"/>
      <c r="E194" s="34"/>
      <c r="F194" s="40"/>
      <c r="G194" s="34"/>
      <c r="H194" s="34"/>
      <c r="I194" s="34"/>
      <c r="J194" s="34"/>
      <c r="K194" s="40"/>
      <c r="L194" s="34"/>
      <c r="M194" s="34"/>
      <c r="N194" s="34"/>
      <c r="O194" s="34"/>
      <c r="P194" s="40"/>
      <c r="Q194" s="34"/>
      <c r="R194" s="34"/>
      <c r="S194" s="34"/>
      <c r="T194" s="34"/>
      <c r="U194" s="40"/>
      <c r="V194" s="34"/>
      <c r="W194" s="34"/>
      <c r="X194" s="34"/>
      <c r="Y194" s="34"/>
      <c r="Z194" s="34"/>
      <c r="AA194" s="34"/>
      <c r="AB194" s="38"/>
      <c r="AC194" s="38"/>
    </row>
    <row r="195" spans="2:29" x14ac:dyDescent="0.25">
      <c r="B195" s="34"/>
      <c r="C195" s="34"/>
      <c r="D195" s="34"/>
      <c r="E195" s="34"/>
      <c r="F195" s="40"/>
      <c r="G195" s="34"/>
      <c r="H195" s="34"/>
      <c r="I195" s="34"/>
      <c r="J195" s="34"/>
      <c r="K195" s="40"/>
      <c r="L195" s="34"/>
      <c r="M195" s="34"/>
      <c r="N195" s="34"/>
      <c r="O195" s="34"/>
      <c r="P195" s="40"/>
      <c r="Q195" s="34"/>
      <c r="R195" s="34"/>
      <c r="S195" s="34"/>
      <c r="T195" s="34"/>
      <c r="U195" s="40"/>
      <c r="V195" s="34"/>
      <c r="W195" s="34"/>
      <c r="X195" s="34"/>
      <c r="Y195" s="34"/>
      <c r="Z195" s="34"/>
      <c r="AA195" s="34"/>
      <c r="AB195" s="38"/>
      <c r="AC195" s="38"/>
    </row>
    <row r="196" spans="2:29" x14ac:dyDescent="0.25">
      <c r="B196" s="34"/>
      <c r="C196" s="34"/>
      <c r="D196" s="34"/>
      <c r="E196" s="34"/>
      <c r="F196" s="40"/>
      <c r="G196" s="34"/>
      <c r="H196" s="34"/>
      <c r="I196" s="34"/>
      <c r="J196" s="34"/>
      <c r="K196" s="40"/>
      <c r="L196" s="34"/>
      <c r="M196" s="34"/>
      <c r="N196" s="34"/>
      <c r="O196" s="34"/>
      <c r="P196" s="40"/>
      <c r="Q196" s="34"/>
      <c r="R196" s="34"/>
      <c r="S196" s="34"/>
      <c r="T196" s="34"/>
      <c r="U196" s="40"/>
      <c r="V196" s="34"/>
      <c r="W196" s="34"/>
      <c r="X196" s="34"/>
      <c r="Y196" s="34"/>
      <c r="Z196" s="34"/>
      <c r="AA196" s="34"/>
      <c r="AB196" s="38"/>
      <c r="AC196" s="38"/>
    </row>
    <row r="197" spans="2:29" x14ac:dyDescent="0.25">
      <c r="B197" s="34"/>
      <c r="C197" s="34"/>
      <c r="D197" s="34"/>
      <c r="E197" s="34"/>
      <c r="F197" s="40"/>
      <c r="G197" s="34"/>
      <c r="H197" s="34"/>
      <c r="I197" s="34"/>
      <c r="J197" s="34"/>
      <c r="K197" s="40"/>
      <c r="L197" s="34"/>
      <c r="M197" s="34"/>
      <c r="N197" s="34"/>
      <c r="O197" s="34"/>
      <c r="P197" s="40"/>
      <c r="Q197" s="34"/>
      <c r="R197" s="34"/>
      <c r="S197" s="34"/>
      <c r="T197" s="34"/>
      <c r="U197" s="40"/>
      <c r="V197" s="34"/>
      <c r="W197" s="34"/>
      <c r="X197" s="34"/>
      <c r="Y197" s="34"/>
      <c r="Z197" s="34"/>
      <c r="AA197" s="34"/>
      <c r="AB197" s="38"/>
      <c r="AC197" s="38"/>
    </row>
    <row r="198" spans="2:29" x14ac:dyDescent="0.25">
      <c r="B198" s="34"/>
      <c r="C198" s="34"/>
      <c r="D198" s="34"/>
      <c r="E198" s="34"/>
      <c r="F198" s="40"/>
      <c r="G198" s="34"/>
      <c r="H198" s="34"/>
      <c r="I198" s="34"/>
      <c r="J198" s="34"/>
      <c r="K198" s="40"/>
      <c r="L198" s="34"/>
      <c r="M198" s="34"/>
      <c r="N198" s="34"/>
      <c r="O198" s="34"/>
      <c r="P198" s="40"/>
      <c r="Q198" s="34"/>
      <c r="R198" s="34"/>
      <c r="S198" s="34"/>
      <c r="T198" s="34"/>
      <c r="U198" s="40"/>
      <c r="V198" s="34"/>
      <c r="W198" s="34"/>
      <c r="X198" s="34"/>
      <c r="Y198" s="34"/>
      <c r="Z198" s="34"/>
      <c r="AA198" s="34"/>
      <c r="AB198" s="38"/>
      <c r="AC198" s="38"/>
    </row>
    <row r="199" spans="2:29" x14ac:dyDescent="0.25">
      <c r="B199" s="34"/>
      <c r="C199" s="34"/>
      <c r="D199" s="34"/>
      <c r="E199" s="34"/>
      <c r="F199" s="40"/>
      <c r="G199" s="34"/>
      <c r="H199" s="34"/>
      <c r="I199" s="34"/>
      <c r="J199" s="34"/>
      <c r="K199" s="40"/>
      <c r="L199" s="34"/>
      <c r="M199" s="34"/>
      <c r="N199" s="34"/>
      <c r="O199" s="34"/>
      <c r="P199" s="40"/>
      <c r="Q199" s="34"/>
      <c r="R199" s="34"/>
      <c r="S199" s="34"/>
      <c r="T199" s="34"/>
      <c r="U199" s="40"/>
      <c r="V199" s="34"/>
      <c r="W199" s="34"/>
      <c r="X199" s="34"/>
      <c r="Y199" s="34"/>
      <c r="Z199" s="34"/>
      <c r="AA199" s="34"/>
      <c r="AB199" s="38"/>
      <c r="AC199" s="38"/>
    </row>
    <row r="200" spans="2:29" x14ac:dyDescent="0.25">
      <c r="B200" s="34"/>
      <c r="C200" s="34"/>
      <c r="D200" s="34"/>
      <c r="E200" s="34"/>
      <c r="F200" s="40"/>
      <c r="G200" s="34"/>
      <c r="H200" s="34"/>
      <c r="I200" s="34"/>
      <c r="J200" s="34"/>
      <c r="K200" s="40"/>
      <c r="L200" s="34"/>
      <c r="M200" s="34"/>
      <c r="N200" s="34"/>
      <c r="O200" s="34"/>
      <c r="P200" s="40"/>
      <c r="Q200" s="34"/>
      <c r="R200" s="34"/>
      <c r="S200" s="34"/>
      <c r="T200" s="34"/>
      <c r="U200" s="40"/>
      <c r="V200" s="34"/>
      <c r="W200" s="34"/>
      <c r="X200" s="34"/>
      <c r="Y200" s="34"/>
      <c r="Z200" s="34"/>
      <c r="AA200" s="34"/>
      <c r="AB200" s="38"/>
      <c r="AC200" s="38"/>
    </row>
    <row r="201" spans="2:29" x14ac:dyDescent="0.25">
      <c r="B201" s="34"/>
      <c r="C201" s="34"/>
      <c r="D201" s="34"/>
      <c r="E201" s="34"/>
      <c r="F201" s="40"/>
      <c r="G201" s="34"/>
      <c r="H201" s="34"/>
      <c r="I201" s="34"/>
      <c r="J201" s="34"/>
      <c r="K201" s="40"/>
      <c r="L201" s="34"/>
      <c r="M201" s="34"/>
      <c r="N201" s="34"/>
      <c r="O201" s="34"/>
      <c r="P201" s="40"/>
      <c r="Q201" s="34"/>
      <c r="R201" s="34"/>
      <c r="S201" s="34"/>
      <c r="T201" s="34"/>
      <c r="U201" s="40"/>
      <c r="V201" s="34"/>
      <c r="W201" s="34"/>
      <c r="X201" s="34"/>
      <c r="Y201" s="34"/>
      <c r="Z201" s="34"/>
      <c r="AA201" s="34"/>
      <c r="AB201" s="38"/>
      <c r="AC201" s="38"/>
    </row>
    <row r="202" spans="2:29" x14ac:dyDescent="0.25">
      <c r="B202" s="34"/>
      <c r="C202" s="34"/>
      <c r="D202" s="34"/>
      <c r="E202" s="34"/>
      <c r="F202" s="40"/>
      <c r="G202" s="34"/>
      <c r="H202" s="34"/>
      <c r="I202" s="34"/>
      <c r="J202" s="34"/>
      <c r="K202" s="40"/>
      <c r="L202" s="34"/>
      <c r="M202" s="34"/>
      <c r="N202" s="34"/>
      <c r="O202" s="34"/>
      <c r="P202" s="40"/>
      <c r="Q202" s="34"/>
      <c r="R202" s="34"/>
      <c r="S202" s="34"/>
      <c r="T202" s="34"/>
      <c r="U202" s="40"/>
      <c r="V202" s="34"/>
      <c r="W202" s="34"/>
      <c r="X202" s="34"/>
      <c r="Y202" s="34"/>
      <c r="Z202" s="34"/>
      <c r="AA202" s="34"/>
      <c r="AB202" s="38"/>
      <c r="AC202" s="38"/>
    </row>
    <row r="203" spans="2:29" x14ac:dyDescent="0.25">
      <c r="B203" s="34"/>
      <c r="C203" s="34"/>
      <c r="D203" s="34"/>
      <c r="E203" s="34"/>
      <c r="F203" s="40"/>
      <c r="G203" s="34"/>
      <c r="H203" s="34"/>
      <c r="I203" s="34"/>
      <c r="J203" s="34"/>
      <c r="K203" s="40"/>
      <c r="L203" s="34"/>
      <c r="M203" s="34"/>
      <c r="N203" s="34"/>
      <c r="O203" s="34"/>
      <c r="P203" s="40"/>
      <c r="Q203" s="34"/>
      <c r="R203" s="34"/>
      <c r="S203" s="34"/>
      <c r="T203" s="34"/>
      <c r="U203" s="40"/>
      <c r="V203" s="34"/>
      <c r="W203" s="34"/>
      <c r="X203" s="34"/>
      <c r="Y203" s="34"/>
      <c r="Z203" s="34"/>
      <c r="AA203" s="34"/>
      <c r="AB203" s="38"/>
      <c r="AC203" s="38"/>
    </row>
    <row r="204" spans="2:29" x14ac:dyDescent="0.25">
      <c r="B204" s="34"/>
      <c r="C204" s="34"/>
      <c r="D204" s="34"/>
      <c r="E204" s="34"/>
      <c r="F204" s="40"/>
      <c r="G204" s="34"/>
      <c r="H204" s="34"/>
      <c r="I204" s="34"/>
      <c r="J204" s="34"/>
      <c r="K204" s="40"/>
      <c r="L204" s="34"/>
      <c r="M204" s="34"/>
      <c r="N204" s="34"/>
      <c r="O204" s="34"/>
      <c r="P204" s="40"/>
      <c r="Q204" s="34"/>
      <c r="R204" s="34"/>
      <c r="S204" s="34"/>
      <c r="T204" s="34"/>
      <c r="U204" s="40"/>
      <c r="V204" s="34"/>
      <c r="W204" s="34"/>
      <c r="X204" s="34"/>
      <c r="Y204" s="34"/>
      <c r="Z204" s="34"/>
      <c r="AA204" s="34"/>
      <c r="AB204" s="38"/>
      <c r="AC204" s="38"/>
    </row>
    <row r="205" spans="2:29" x14ac:dyDescent="0.25">
      <c r="B205" s="34"/>
      <c r="C205" s="34"/>
      <c r="D205" s="34"/>
      <c r="E205" s="34"/>
      <c r="F205" s="40"/>
      <c r="G205" s="34"/>
      <c r="H205" s="34"/>
      <c r="I205" s="34"/>
      <c r="J205" s="34"/>
      <c r="K205" s="40"/>
      <c r="L205" s="34"/>
      <c r="M205" s="34"/>
      <c r="N205" s="34"/>
      <c r="O205" s="34"/>
      <c r="P205" s="40"/>
      <c r="Q205" s="34"/>
      <c r="R205" s="34"/>
      <c r="S205" s="34"/>
      <c r="T205" s="34"/>
      <c r="U205" s="40"/>
      <c r="V205" s="34"/>
      <c r="W205" s="34"/>
      <c r="X205" s="34"/>
      <c r="Y205" s="34"/>
      <c r="Z205" s="34"/>
      <c r="AA205" s="34"/>
      <c r="AB205" s="38"/>
      <c r="AC205" s="38"/>
    </row>
    <row r="206" spans="2:29" x14ac:dyDescent="0.25">
      <c r="B206" s="34"/>
      <c r="C206" s="34"/>
      <c r="D206" s="34"/>
      <c r="E206" s="34"/>
      <c r="F206" s="40"/>
      <c r="G206" s="34"/>
      <c r="H206" s="34"/>
      <c r="I206" s="34"/>
      <c r="J206" s="34"/>
      <c r="K206" s="40"/>
      <c r="L206" s="34"/>
      <c r="M206" s="34"/>
      <c r="N206" s="34"/>
      <c r="O206" s="34"/>
      <c r="P206" s="40"/>
      <c r="Q206" s="34"/>
      <c r="R206" s="34"/>
      <c r="S206" s="34"/>
      <c r="T206" s="34"/>
      <c r="U206" s="40"/>
      <c r="V206" s="34"/>
      <c r="W206" s="34"/>
      <c r="X206" s="34"/>
      <c r="Y206" s="34"/>
      <c r="Z206" s="34"/>
      <c r="AA206" s="34"/>
      <c r="AB206" s="38"/>
      <c r="AC206" s="38"/>
    </row>
    <row r="207" spans="2:29" x14ac:dyDescent="0.25">
      <c r="B207" s="34"/>
      <c r="C207" s="34"/>
      <c r="D207" s="34"/>
      <c r="E207" s="34"/>
      <c r="F207" s="40"/>
      <c r="G207" s="34"/>
      <c r="H207" s="34"/>
      <c r="I207" s="34"/>
      <c r="J207" s="34"/>
      <c r="K207" s="40"/>
      <c r="L207" s="34"/>
      <c r="M207" s="34"/>
      <c r="N207" s="34"/>
      <c r="O207" s="34"/>
      <c r="P207" s="40"/>
      <c r="Q207" s="34"/>
      <c r="R207" s="34"/>
      <c r="S207" s="34"/>
      <c r="T207" s="34"/>
      <c r="U207" s="40"/>
      <c r="V207" s="34"/>
      <c r="W207" s="34"/>
      <c r="X207" s="34"/>
      <c r="Y207" s="34"/>
      <c r="Z207" s="34"/>
      <c r="AA207" s="34"/>
      <c r="AB207" s="38"/>
      <c r="AC207" s="38"/>
    </row>
    <row r="208" spans="2:29" x14ac:dyDescent="0.25">
      <c r="B208" s="34"/>
      <c r="C208" s="34"/>
      <c r="D208" s="34"/>
      <c r="E208" s="34"/>
      <c r="F208" s="40"/>
      <c r="G208" s="34"/>
      <c r="H208" s="34"/>
      <c r="I208" s="34"/>
      <c r="J208" s="34"/>
      <c r="K208" s="40"/>
      <c r="L208" s="34"/>
      <c r="M208" s="34"/>
      <c r="N208" s="34"/>
      <c r="O208" s="34"/>
      <c r="P208" s="40"/>
      <c r="Q208" s="34"/>
      <c r="R208" s="34"/>
      <c r="S208" s="34"/>
      <c r="T208" s="34"/>
      <c r="U208" s="40"/>
      <c r="V208" s="34"/>
      <c r="W208" s="34"/>
      <c r="X208" s="34"/>
      <c r="Y208" s="34"/>
      <c r="Z208" s="34"/>
      <c r="AA208" s="34"/>
      <c r="AB208" s="38"/>
      <c r="AC208" s="38"/>
    </row>
    <row r="209" spans="2:29" x14ac:dyDescent="0.25">
      <c r="B209" s="34"/>
      <c r="C209" s="34"/>
      <c r="D209" s="34"/>
      <c r="E209" s="34"/>
      <c r="F209" s="40"/>
      <c r="G209" s="34"/>
      <c r="H209" s="34"/>
      <c r="I209" s="34"/>
      <c r="J209" s="34"/>
      <c r="K209" s="40"/>
      <c r="L209" s="34"/>
      <c r="M209" s="34"/>
      <c r="N209" s="34"/>
      <c r="O209" s="34"/>
      <c r="P209" s="40"/>
      <c r="Q209" s="34"/>
      <c r="R209" s="34"/>
      <c r="S209" s="34"/>
      <c r="T209" s="34"/>
      <c r="U209" s="40"/>
      <c r="V209" s="34"/>
      <c r="W209" s="34"/>
      <c r="X209" s="34"/>
      <c r="Y209" s="34"/>
      <c r="Z209" s="34"/>
      <c r="AA209" s="34"/>
      <c r="AB209" s="38"/>
      <c r="AC209" s="38"/>
    </row>
    <row r="210" spans="2:29" x14ac:dyDescent="0.25">
      <c r="B210" s="34"/>
      <c r="C210" s="34"/>
      <c r="D210" s="34"/>
      <c r="E210" s="34"/>
      <c r="F210" s="40"/>
      <c r="G210" s="34"/>
      <c r="H210" s="34"/>
      <c r="I210" s="34"/>
      <c r="J210" s="34"/>
      <c r="K210" s="40"/>
      <c r="L210" s="34"/>
      <c r="M210" s="34"/>
      <c r="N210" s="34"/>
      <c r="O210" s="34"/>
      <c r="P210" s="40"/>
      <c r="Q210" s="34"/>
      <c r="R210" s="34"/>
      <c r="S210" s="34"/>
      <c r="T210" s="34"/>
      <c r="U210" s="40"/>
      <c r="V210" s="34"/>
      <c r="W210" s="34"/>
      <c r="X210" s="34"/>
      <c r="Y210" s="34"/>
      <c r="Z210" s="34"/>
      <c r="AA210" s="34"/>
      <c r="AB210" s="38"/>
      <c r="AC210" s="38"/>
    </row>
    <row r="211" spans="2:29" x14ac:dyDescent="0.25">
      <c r="B211" s="34"/>
      <c r="C211" s="34"/>
      <c r="D211" s="34"/>
      <c r="E211" s="34"/>
      <c r="F211" s="40"/>
      <c r="G211" s="34"/>
      <c r="H211" s="34"/>
      <c r="I211" s="34"/>
      <c r="J211" s="34"/>
      <c r="K211" s="40"/>
      <c r="L211" s="34"/>
      <c r="M211" s="34"/>
      <c r="N211" s="34"/>
      <c r="O211" s="34"/>
      <c r="P211" s="40"/>
      <c r="Q211" s="34"/>
      <c r="R211" s="34"/>
      <c r="S211" s="34"/>
      <c r="T211" s="34"/>
      <c r="U211" s="40"/>
      <c r="V211" s="34"/>
      <c r="W211" s="34"/>
      <c r="X211" s="34"/>
      <c r="Y211" s="34"/>
      <c r="Z211" s="34"/>
      <c r="AA211" s="34"/>
      <c r="AB211" s="34"/>
      <c r="AC211" s="34"/>
    </row>
    <row r="212" spans="2:29" x14ac:dyDescent="0.25">
      <c r="B212" s="34"/>
      <c r="C212" s="34"/>
      <c r="D212" s="34"/>
      <c r="E212" s="34"/>
      <c r="F212" s="40"/>
      <c r="G212" s="34"/>
      <c r="H212" s="34"/>
      <c r="I212" s="34"/>
      <c r="J212" s="34"/>
      <c r="K212" s="40"/>
      <c r="L212" s="34"/>
      <c r="M212" s="34"/>
      <c r="N212" s="34"/>
      <c r="O212" s="34"/>
      <c r="P212" s="40"/>
      <c r="Q212" s="34"/>
      <c r="R212" s="34"/>
      <c r="S212" s="34"/>
      <c r="T212" s="34"/>
      <c r="U212" s="40"/>
      <c r="V212" s="34"/>
      <c r="W212" s="34"/>
      <c r="X212" s="34"/>
      <c r="Y212" s="34"/>
      <c r="Z212" s="34"/>
      <c r="AA212" s="34"/>
      <c r="AB212" s="34"/>
      <c r="AC212" s="34"/>
    </row>
    <row r="213" spans="2:29" x14ac:dyDescent="0.25">
      <c r="B213" s="34"/>
      <c r="C213" s="34"/>
      <c r="D213" s="34"/>
      <c r="E213" s="34"/>
      <c r="F213" s="40"/>
      <c r="G213" s="34"/>
      <c r="H213" s="34"/>
      <c r="I213" s="34"/>
      <c r="J213" s="34"/>
      <c r="K213" s="40"/>
      <c r="L213" s="34"/>
      <c r="M213" s="34"/>
      <c r="N213" s="34"/>
      <c r="O213" s="34"/>
      <c r="P213" s="40"/>
      <c r="Q213" s="34"/>
      <c r="R213" s="34"/>
      <c r="S213" s="34"/>
      <c r="T213" s="34"/>
      <c r="U213" s="40"/>
      <c r="V213" s="34"/>
      <c r="W213" s="34"/>
      <c r="X213" s="34"/>
      <c r="Y213" s="34"/>
      <c r="Z213" s="34"/>
      <c r="AA213" s="34"/>
      <c r="AB213" s="34"/>
      <c r="AC213" s="34"/>
    </row>
    <row r="214" spans="2:29" x14ac:dyDescent="0.25">
      <c r="B214" s="34"/>
      <c r="C214" s="34"/>
      <c r="D214" s="34"/>
      <c r="E214" s="34"/>
      <c r="F214" s="40"/>
      <c r="G214" s="34"/>
      <c r="H214" s="34"/>
      <c r="I214" s="34"/>
      <c r="J214" s="34"/>
      <c r="K214" s="40"/>
      <c r="L214" s="34"/>
      <c r="M214" s="34"/>
      <c r="N214" s="34"/>
      <c r="O214" s="34"/>
      <c r="P214" s="40"/>
      <c r="Q214" s="34"/>
      <c r="R214" s="34"/>
      <c r="S214" s="34"/>
      <c r="T214" s="34"/>
      <c r="U214" s="40"/>
      <c r="V214" s="34"/>
      <c r="W214" s="34"/>
      <c r="X214" s="34"/>
      <c r="Y214" s="34"/>
      <c r="Z214" s="34"/>
      <c r="AA214" s="34"/>
      <c r="AB214" s="34"/>
      <c r="AC214" s="34"/>
    </row>
    <row r="215" spans="2:29" x14ac:dyDescent="0.25">
      <c r="B215" s="34"/>
      <c r="C215" s="34"/>
      <c r="D215" s="34"/>
      <c r="E215" s="34"/>
      <c r="F215" s="40"/>
      <c r="G215" s="34"/>
      <c r="H215" s="34"/>
      <c r="I215" s="34"/>
      <c r="J215" s="34"/>
      <c r="K215" s="40"/>
      <c r="L215" s="34"/>
      <c r="M215" s="34"/>
      <c r="N215" s="34"/>
      <c r="O215" s="34"/>
      <c r="P215" s="40"/>
      <c r="Q215" s="34"/>
      <c r="R215" s="34"/>
      <c r="S215" s="34"/>
      <c r="T215" s="34"/>
      <c r="U215" s="40"/>
      <c r="V215" s="34"/>
      <c r="W215" s="34"/>
      <c r="X215" s="34"/>
      <c r="Y215" s="34"/>
      <c r="Z215" s="34"/>
      <c r="AA215" s="34"/>
      <c r="AB215" s="34"/>
      <c r="AC215" s="34"/>
    </row>
    <row r="216" spans="2:29" x14ac:dyDescent="0.25">
      <c r="B216" s="34"/>
      <c r="C216" s="34"/>
      <c r="D216" s="34"/>
      <c r="E216" s="34"/>
      <c r="F216" s="40"/>
      <c r="G216" s="34"/>
      <c r="H216" s="34"/>
      <c r="I216" s="34"/>
      <c r="J216" s="34"/>
      <c r="K216" s="40"/>
      <c r="L216" s="34"/>
      <c r="M216" s="34"/>
      <c r="N216" s="34"/>
      <c r="O216" s="34"/>
      <c r="P216" s="40"/>
      <c r="Q216" s="34"/>
      <c r="R216" s="34"/>
      <c r="S216" s="34"/>
      <c r="T216" s="34"/>
      <c r="U216" s="40"/>
      <c r="V216" s="34"/>
      <c r="W216" s="34"/>
      <c r="X216" s="34"/>
      <c r="Y216" s="34"/>
      <c r="Z216" s="34"/>
      <c r="AA216" s="34"/>
      <c r="AB216" s="34"/>
      <c r="AC216" s="34"/>
    </row>
    <row r="217" spans="2:29" x14ac:dyDescent="0.25">
      <c r="B217" s="34"/>
      <c r="C217" s="34"/>
      <c r="D217" s="34"/>
      <c r="E217" s="34"/>
      <c r="F217" s="40"/>
      <c r="G217" s="34"/>
      <c r="H217" s="34"/>
      <c r="I217" s="34"/>
      <c r="J217" s="34"/>
      <c r="K217" s="40"/>
      <c r="L217" s="34"/>
      <c r="M217" s="34"/>
      <c r="N217" s="34"/>
      <c r="O217" s="34"/>
      <c r="P217" s="40"/>
      <c r="Q217" s="34"/>
      <c r="R217" s="34"/>
      <c r="S217" s="34"/>
      <c r="T217" s="34"/>
      <c r="U217" s="40"/>
      <c r="V217" s="34"/>
      <c r="W217" s="34"/>
      <c r="X217" s="34"/>
      <c r="Y217" s="34"/>
      <c r="Z217" s="34"/>
      <c r="AA217" s="34"/>
      <c r="AB217" s="34"/>
      <c r="AC217" s="34"/>
    </row>
    <row r="218" spans="2:29" x14ac:dyDescent="0.25">
      <c r="B218" s="34"/>
      <c r="C218" s="34"/>
      <c r="D218" s="34"/>
      <c r="E218" s="34"/>
      <c r="F218" s="40"/>
      <c r="G218" s="34"/>
      <c r="H218" s="34"/>
      <c r="I218" s="34"/>
      <c r="J218" s="34"/>
      <c r="K218" s="40"/>
      <c r="L218" s="34"/>
      <c r="M218" s="34"/>
      <c r="N218" s="34"/>
      <c r="O218" s="34"/>
      <c r="P218" s="40"/>
      <c r="Q218" s="34"/>
      <c r="R218" s="34"/>
      <c r="S218" s="34"/>
      <c r="T218" s="34"/>
      <c r="U218" s="40"/>
      <c r="V218" s="34"/>
      <c r="W218" s="34"/>
      <c r="X218" s="34"/>
      <c r="Y218" s="34"/>
      <c r="Z218" s="34"/>
      <c r="AA218" s="34"/>
      <c r="AB218" s="34"/>
      <c r="AC218" s="34"/>
    </row>
    <row r="219" spans="2:29" x14ac:dyDescent="0.25">
      <c r="B219" s="34"/>
      <c r="C219" s="34"/>
      <c r="D219" s="34"/>
      <c r="E219" s="34"/>
      <c r="F219" s="40"/>
      <c r="G219" s="34"/>
      <c r="H219" s="34"/>
      <c r="I219" s="34"/>
      <c r="J219" s="34"/>
      <c r="K219" s="40"/>
      <c r="L219" s="34"/>
      <c r="M219" s="34"/>
      <c r="N219" s="34"/>
      <c r="O219" s="34"/>
      <c r="P219" s="40"/>
      <c r="Q219" s="34"/>
      <c r="R219" s="34"/>
      <c r="S219" s="34"/>
      <c r="T219" s="34"/>
      <c r="U219" s="40"/>
      <c r="V219" s="34"/>
      <c r="W219" s="34"/>
      <c r="X219" s="34"/>
      <c r="Y219" s="34"/>
      <c r="Z219" s="34"/>
      <c r="AA219" s="34"/>
      <c r="AB219" s="34"/>
      <c r="AC219" s="34"/>
    </row>
    <row r="220" spans="2:29" x14ac:dyDescent="0.25">
      <c r="B220" s="34"/>
      <c r="C220" s="34"/>
      <c r="D220" s="34"/>
      <c r="E220" s="34"/>
      <c r="F220" s="40"/>
      <c r="G220" s="34"/>
      <c r="H220" s="34"/>
      <c r="I220" s="34"/>
      <c r="J220" s="34"/>
      <c r="K220" s="40"/>
      <c r="L220" s="34"/>
      <c r="M220" s="34"/>
      <c r="N220" s="34"/>
      <c r="O220" s="34"/>
      <c r="P220" s="40"/>
      <c r="Q220" s="34"/>
      <c r="R220" s="34"/>
      <c r="S220" s="34"/>
      <c r="T220" s="34"/>
      <c r="U220" s="40"/>
      <c r="V220" s="34"/>
      <c r="W220" s="34"/>
      <c r="X220" s="34"/>
      <c r="Y220" s="34"/>
      <c r="Z220" s="34"/>
      <c r="AA220" s="34"/>
      <c r="AB220" s="34"/>
      <c r="AC220" s="34"/>
    </row>
    <row r="221" spans="2:29" x14ac:dyDescent="0.25">
      <c r="B221" s="34"/>
      <c r="C221" s="34"/>
      <c r="D221" s="34"/>
      <c r="E221" s="34"/>
      <c r="F221" s="40"/>
      <c r="G221" s="34"/>
      <c r="H221" s="34"/>
      <c r="I221" s="34"/>
      <c r="J221" s="34"/>
      <c r="K221" s="40"/>
      <c r="L221" s="34"/>
      <c r="M221" s="34"/>
      <c r="N221" s="34"/>
      <c r="O221" s="34"/>
      <c r="P221" s="40"/>
      <c r="Q221" s="34"/>
      <c r="R221" s="34"/>
      <c r="S221" s="34"/>
      <c r="T221" s="34"/>
      <c r="U221" s="40"/>
      <c r="V221" s="34"/>
      <c r="W221" s="34"/>
      <c r="X221" s="34"/>
      <c r="Y221" s="34"/>
      <c r="Z221" s="34"/>
      <c r="AA221" s="34"/>
      <c r="AB221" s="34"/>
      <c r="AC221" s="34"/>
    </row>
    <row r="222" spans="2:29" x14ac:dyDescent="0.25">
      <c r="B222" s="34"/>
      <c r="C222" s="34"/>
      <c r="D222" s="34"/>
      <c r="E222" s="34"/>
      <c r="F222" s="40"/>
      <c r="G222" s="34"/>
      <c r="H222" s="34"/>
      <c r="I222" s="34"/>
      <c r="J222" s="34"/>
      <c r="K222" s="40"/>
      <c r="L222" s="34"/>
      <c r="M222" s="34"/>
      <c r="N222" s="34"/>
      <c r="O222" s="34"/>
      <c r="P222" s="40"/>
      <c r="Q222" s="34"/>
      <c r="R222" s="34"/>
      <c r="S222" s="34"/>
      <c r="T222" s="34"/>
      <c r="U222" s="40"/>
      <c r="V222" s="34"/>
      <c r="W222" s="34"/>
      <c r="X222" s="34"/>
      <c r="Y222" s="34"/>
      <c r="Z222" s="34"/>
      <c r="AA222" s="34"/>
      <c r="AB222" s="34"/>
      <c r="AC222" s="34"/>
    </row>
    <row r="223" spans="2:29" x14ac:dyDescent="0.25">
      <c r="B223" s="34"/>
      <c r="C223" s="34"/>
      <c r="D223" s="34"/>
      <c r="E223" s="34"/>
      <c r="F223" s="40"/>
      <c r="G223" s="34"/>
      <c r="H223" s="34"/>
      <c r="I223" s="34"/>
      <c r="J223" s="34"/>
      <c r="K223" s="40"/>
      <c r="L223" s="34"/>
      <c r="M223" s="34"/>
      <c r="N223" s="34"/>
      <c r="O223" s="34"/>
      <c r="P223" s="40"/>
      <c r="Q223" s="34"/>
      <c r="R223" s="34"/>
      <c r="S223" s="34"/>
      <c r="T223" s="34"/>
      <c r="U223" s="40"/>
      <c r="V223" s="34"/>
      <c r="W223" s="34"/>
      <c r="X223" s="34"/>
      <c r="Y223" s="34"/>
      <c r="Z223" s="34"/>
      <c r="AA223" s="34"/>
      <c r="AB223" s="34"/>
      <c r="AC223" s="34"/>
    </row>
    <row r="224" spans="2:29" x14ac:dyDescent="0.25">
      <c r="B224" s="34"/>
      <c r="C224" s="34"/>
      <c r="D224" s="34"/>
      <c r="E224" s="34"/>
      <c r="F224" s="40"/>
      <c r="G224" s="34"/>
      <c r="H224" s="34"/>
      <c r="I224" s="34"/>
      <c r="J224" s="34"/>
      <c r="K224" s="40"/>
      <c r="L224" s="34"/>
      <c r="M224" s="34"/>
      <c r="N224" s="34"/>
      <c r="O224" s="34"/>
      <c r="P224" s="40"/>
      <c r="Q224" s="34"/>
      <c r="R224" s="34"/>
      <c r="S224" s="34"/>
      <c r="T224" s="34"/>
      <c r="U224" s="40"/>
      <c r="V224" s="34"/>
      <c r="W224" s="34"/>
      <c r="X224" s="34"/>
      <c r="Y224" s="34"/>
      <c r="Z224" s="34"/>
      <c r="AA224" s="34"/>
      <c r="AB224" s="34"/>
      <c r="AC224" s="34"/>
    </row>
    <row r="225" spans="2:29" x14ac:dyDescent="0.25">
      <c r="B225" s="34"/>
      <c r="C225" s="34"/>
      <c r="D225" s="34"/>
      <c r="E225" s="34"/>
      <c r="F225" s="40"/>
      <c r="G225" s="34"/>
      <c r="H225" s="34"/>
      <c r="I225" s="34"/>
      <c r="J225" s="34"/>
      <c r="K225" s="40"/>
      <c r="L225" s="34"/>
      <c r="M225" s="34"/>
      <c r="N225" s="34"/>
      <c r="O225" s="34"/>
      <c r="P225" s="40"/>
      <c r="Q225" s="34"/>
      <c r="R225" s="34"/>
      <c r="S225" s="34"/>
      <c r="T225" s="34"/>
      <c r="U225" s="40"/>
      <c r="V225" s="34"/>
      <c r="W225" s="34"/>
      <c r="X225" s="34"/>
      <c r="Y225" s="34"/>
      <c r="Z225" s="34"/>
      <c r="AA225" s="34"/>
      <c r="AB225" s="34"/>
      <c r="AC225" s="34"/>
    </row>
    <row r="226" spans="2:29" x14ac:dyDescent="0.25">
      <c r="B226" s="34"/>
      <c r="C226" s="34"/>
      <c r="D226" s="34"/>
      <c r="E226" s="34"/>
      <c r="F226" s="40"/>
      <c r="G226" s="34"/>
      <c r="H226" s="34"/>
      <c r="I226" s="34"/>
      <c r="J226" s="34"/>
      <c r="K226" s="40"/>
      <c r="L226" s="34"/>
      <c r="M226" s="34"/>
      <c r="N226" s="34"/>
      <c r="O226" s="34"/>
      <c r="P226" s="40"/>
      <c r="Q226" s="34"/>
      <c r="R226" s="34"/>
      <c r="S226" s="34"/>
      <c r="T226" s="34"/>
      <c r="U226" s="40"/>
      <c r="V226" s="34"/>
      <c r="W226" s="34"/>
      <c r="X226" s="34"/>
      <c r="Y226" s="34"/>
      <c r="Z226" s="34"/>
      <c r="AA226" s="34"/>
      <c r="AB226" s="34"/>
      <c r="AC226" s="34"/>
    </row>
    <row r="227" spans="2:29" x14ac:dyDescent="0.25">
      <c r="B227" s="34"/>
      <c r="C227" s="34"/>
      <c r="D227" s="34"/>
      <c r="E227" s="34"/>
      <c r="F227" s="40"/>
      <c r="G227" s="34"/>
      <c r="H227" s="34"/>
      <c r="I227" s="34"/>
      <c r="J227" s="34"/>
      <c r="K227" s="40"/>
      <c r="L227" s="34"/>
      <c r="M227" s="34"/>
      <c r="N227" s="34"/>
      <c r="O227" s="34"/>
      <c r="P227" s="40"/>
      <c r="Q227" s="34"/>
      <c r="R227" s="34"/>
      <c r="S227" s="34"/>
      <c r="T227" s="34"/>
      <c r="U227" s="40"/>
      <c r="V227" s="34"/>
      <c r="W227" s="34"/>
      <c r="X227" s="34"/>
      <c r="Y227" s="34"/>
      <c r="Z227" s="34"/>
      <c r="AA227" s="34"/>
      <c r="AB227" s="34"/>
      <c r="AC227" s="34"/>
    </row>
  </sheetData>
  <sortState xmlns:xlrd2="http://schemas.microsoft.com/office/spreadsheetml/2017/richdata2" ref="A3:AC51">
    <sortCondition descending="1" ref="AB3:AB51"/>
  </sortState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A886D-8536-4D63-987A-AB96E59F5346}">
  <sheetPr>
    <tabColor theme="9" tint="0.59999389629810485"/>
  </sheetPr>
  <dimension ref="A1:AC227"/>
  <sheetViews>
    <sheetView workbookViewId="0">
      <selection activeCell="AB8" sqref="AB8"/>
    </sheetView>
  </sheetViews>
  <sheetFormatPr baseColWidth="10" defaultColWidth="8.5703125" defaultRowHeight="15" x14ac:dyDescent="0.25"/>
  <cols>
    <col min="1" max="1" width="11.42578125" customWidth="1"/>
    <col min="2" max="5" width="10" customWidth="1"/>
    <col min="6" max="6" width="4.28515625" style="39" customWidth="1"/>
    <col min="7" max="10" width="10" customWidth="1"/>
    <col min="11" max="11" width="4.28515625" style="39" customWidth="1"/>
    <col min="12" max="15" width="10" customWidth="1"/>
    <col min="16" max="16" width="4.28515625" style="39" customWidth="1"/>
    <col min="17" max="20" width="10" customWidth="1"/>
    <col min="21" max="21" width="4.28515625" style="39" customWidth="1"/>
    <col min="22" max="25" width="10" customWidth="1"/>
    <col min="26" max="26" width="4.28515625" customWidth="1"/>
    <col min="27" max="29" width="10" customWidth="1"/>
  </cols>
  <sheetData>
    <row r="1" spans="1:29" ht="15.75" x14ac:dyDescent="0.25">
      <c r="A1" s="36" t="s">
        <v>228</v>
      </c>
      <c r="B1" s="34">
        <v>2022</v>
      </c>
      <c r="C1" s="35" t="s">
        <v>244</v>
      </c>
      <c r="D1" s="37">
        <v>686</v>
      </c>
      <c r="G1" s="34">
        <v>2023</v>
      </c>
      <c r="H1" s="35" t="s">
        <v>244</v>
      </c>
      <c r="I1" s="37">
        <v>688</v>
      </c>
      <c r="L1" s="34">
        <v>2024</v>
      </c>
      <c r="M1" s="35" t="s">
        <v>244</v>
      </c>
      <c r="N1" s="37">
        <v>679</v>
      </c>
      <c r="Q1" s="34">
        <v>2025</v>
      </c>
      <c r="R1" s="35" t="s">
        <v>244</v>
      </c>
      <c r="S1" s="37">
        <v>754</v>
      </c>
      <c r="V1" s="34">
        <v>2026</v>
      </c>
      <c r="W1" s="35" t="s">
        <v>244</v>
      </c>
      <c r="X1" s="37">
        <v>125</v>
      </c>
    </row>
    <row r="2" spans="1:29" x14ac:dyDescent="0.25">
      <c r="A2" s="33" t="s">
        <v>3</v>
      </c>
      <c r="B2" s="33" t="s">
        <v>245</v>
      </c>
      <c r="C2" s="33" t="s">
        <v>246</v>
      </c>
      <c r="D2" s="33" t="s">
        <v>247</v>
      </c>
      <c r="E2" s="33" t="s">
        <v>6</v>
      </c>
      <c r="G2" s="33" t="s">
        <v>245</v>
      </c>
      <c r="H2" s="33" t="s">
        <v>246</v>
      </c>
      <c r="I2" s="33" t="s">
        <v>247</v>
      </c>
      <c r="J2" s="33" t="s">
        <v>6</v>
      </c>
      <c r="L2" s="33" t="s">
        <v>245</v>
      </c>
      <c r="M2" s="33" t="s">
        <v>246</v>
      </c>
      <c r="N2" s="33" t="s">
        <v>247</v>
      </c>
      <c r="O2" s="33" t="s">
        <v>6</v>
      </c>
      <c r="Q2" s="33" t="s">
        <v>245</v>
      </c>
      <c r="R2" s="33" t="s">
        <v>246</v>
      </c>
      <c r="S2" s="33" t="s">
        <v>247</v>
      </c>
      <c r="T2" s="33" t="s">
        <v>6</v>
      </c>
      <c r="V2" s="33" t="s">
        <v>245</v>
      </c>
      <c r="W2" s="33" t="s">
        <v>246</v>
      </c>
      <c r="X2" s="33" t="s">
        <v>247</v>
      </c>
      <c r="Y2" s="33" t="s">
        <v>6</v>
      </c>
      <c r="AA2" s="37" t="s">
        <v>251</v>
      </c>
      <c r="AB2" s="37" t="s">
        <v>250</v>
      </c>
      <c r="AC2" s="37" t="s">
        <v>5</v>
      </c>
    </row>
    <row r="3" spans="1:29" x14ac:dyDescent="0.25">
      <c r="A3" t="s">
        <v>90</v>
      </c>
      <c r="B3" s="34">
        <v>182</v>
      </c>
      <c r="C3" s="34">
        <v>184</v>
      </c>
      <c r="D3" s="34">
        <v>144</v>
      </c>
      <c r="E3" s="34">
        <v>85</v>
      </c>
      <c r="F3" s="40"/>
      <c r="G3" s="34">
        <v>118</v>
      </c>
      <c r="H3" s="34">
        <v>139</v>
      </c>
      <c r="I3" s="34">
        <v>130</v>
      </c>
      <c r="J3" s="34">
        <v>56</v>
      </c>
      <c r="K3" s="40"/>
      <c r="L3" s="34">
        <v>162</v>
      </c>
      <c r="M3" s="34">
        <v>163</v>
      </c>
      <c r="N3" s="34">
        <v>165</v>
      </c>
      <c r="O3" s="34">
        <v>72</v>
      </c>
      <c r="P3" s="40"/>
      <c r="Q3" s="34">
        <v>130</v>
      </c>
      <c r="R3" s="34">
        <v>130</v>
      </c>
      <c r="S3" s="34">
        <v>101</v>
      </c>
      <c r="T3" s="34">
        <v>55</v>
      </c>
      <c r="U3" s="40"/>
      <c r="V3" s="34">
        <v>20</v>
      </c>
      <c r="W3" s="34">
        <v>21</v>
      </c>
      <c r="X3" s="34">
        <v>37</v>
      </c>
      <c r="Y3" s="34">
        <v>10</v>
      </c>
      <c r="Z3" s="34"/>
      <c r="AA3" s="34">
        <f t="shared" ref="AA3:AA34" si="0">B3+G3+L3+Q3+V3</f>
        <v>612</v>
      </c>
      <c r="AB3" s="38">
        <f t="shared" ref="AB3:AB34" si="1">(AA3+(B3/C3*D3+G3/H3*I3+L3/M3*N3+Q3/R3*S3+V3/W3*X3))/($D$1+$I$1+$N$1+$S$1+$X$1)</f>
        <v>0.39734663033368228</v>
      </c>
      <c r="AC3" s="38">
        <f t="shared" ref="AC3:AC34" si="2">(E3+J3+O3+T3+Y3)/(AA3)</f>
        <v>0.45424836601307189</v>
      </c>
    </row>
    <row r="4" spans="1:29" x14ac:dyDescent="0.25">
      <c r="A4" t="s">
        <v>176</v>
      </c>
      <c r="B4" s="34">
        <v>92</v>
      </c>
      <c r="C4" s="34">
        <v>92</v>
      </c>
      <c r="D4" s="34">
        <v>82</v>
      </c>
      <c r="E4" s="34">
        <v>48</v>
      </c>
      <c r="F4" s="40"/>
      <c r="G4" s="34">
        <v>207</v>
      </c>
      <c r="H4" s="34">
        <v>207</v>
      </c>
      <c r="I4" s="34">
        <v>150</v>
      </c>
      <c r="J4" s="34">
        <v>116</v>
      </c>
      <c r="K4" s="40"/>
      <c r="L4" s="34">
        <v>143</v>
      </c>
      <c r="M4" s="34">
        <v>143</v>
      </c>
      <c r="N4" s="34">
        <v>111</v>
      </c>
      <c r="O4" s="34">
        <v>70</v>
      </c>
      <c r="P4" s="40"/>
      <c r="Q4" s="34">
        <v>165</v>
      </c>
      <c r="R4" s="34">
        <v>165</v>
      </c>
      <c r="S4" s="34">
        <v>167</v>
      </c>
      <c r="T4" s="34">
        <v>88</v>
      </c>
      <c r="U4" s="40"/>
      <c r="V4" s="34">
        <v>24</v>
      </c>
      <c r="W4" s="34">
        <v>24</v>
      </c>
      <c r="X4" s="34">
        <v>9</v>
      </c>
      <c r="Y4" s="34">
        <v>15</v>
      </c>
      <c r="Z4" s="34"/>
      <c r="AA4" s="34">
        <f t="shared" si="0"/>
        <v>631</v>
      </c>
      <c r="AB4" s="38">
        <f t="shared" si="1"/>
        <v>0.39222373806275579</v>
      </c>
      <c r="AC4" s="38">
        <f t="shared" si="2"/>
        <v>0.53407290015847864</v>
      </c>
    </row>
    <row r="5" spans="1:29" x14ac:dyDescent="0.25">
      <c r="A5" t="s">
        <v>179</v>
      </c>
      <c r="B5" s="34">
        <v>44</v>
      </c>
      <c r="C5" s="34">
        <v>44</v>
      </c>
      <c r="D5" s="34">
        <v>35</v>
      </c>
      <c r="E5" s="34">
        <v>18</v>
      </c>
      <c r="F5" s="40"/>
      <c r="G5" s="34">
        <v>96</v>
      </c>
      <c r="H5" s="34">
        <v>96</v>
      </c>
      <c r="I5" s="34">
        <v>87</v>
      </c>
      <c r="J5" s="34">
        <v>43</v>
      </c>
      <c r="K5" s="40"/>
      <c r="L5" s="34">
        <v>130</v>
      </c>
      <c r="M5" s="34">
        <v>130</v>
      </c>
      <c r="N5" s="34">
        <v>89</v>
      </c>
      <c r="O5" s="34">
        <v>72</v>
      </c>
      <c r="P5" s="40"/>
      <c r="Q5" s="34">
        <v>182</v>
      </c>
      <c r="R5" s="34">
        <v>182</v>
      </c>
      <c r="S5" s="34">
        <v>208</v>
      </c>
      <c r="T5" s="34">
        <v>94</v>
      </c>
      <c r="U5" s="40"/>
      <c r="V5" s="34">
        <v>22</v>
      </c>
      <c r="W5" s="34">
        <v>22</v>
      </c>
      <c r="X5" s="34">
        <v>14</v>
      </c>
      <c r="Y5" s="34">
        <v>8</v>
      </c>
      <c r="Z5" s="34"/>
      <c r="AA5" s="34">
        <f t="shared" si="0"/>
        <v>474</v>
      </c>
      <c r="AB5" s="38">
        <f t="shared" si="1"/>
        <v>0.30934515688949521</v>
      </c>
      <c r="AC5" s="38">
        <f t="shared" si="2"/>
        <v>0.49578059071729957</v>
      </c>
    </row>
    <row r="6" spans="1:29" x14ac:dyDescent="0.25">
      <c r="A6" t="s">
        <v>178</v>
      </c>
      <c r="B6" s="34">
        <v>164</v>
      </c>
      <c r="C6" s="34">
        <v>164</v>
      </c>
      <c r="D6" s="34">
        <v>72</v>
      </c>
      <c r="E6" s="34">
        <v>74</v>
      </c>
      <c r="F6" s="40"/>
      <c r="G6" s="34">
        <v>57</v>
      </c>
      <c r="H6" s="34">
        <v>57</v>
      </c>
      <c r="I6" s="34">
        <v>12</v>
      </c>
      <c r="J6" s="34">
        <v>24</v>
      </c>
      <c r="K6" s="40"/>
      <c r="L6" s="34">
        <v>132</v>
      </c>
      <c r="M6" s="34">
        <v>132</v>
      </c>
      <c r="N6" s="34">
        <v>107</v>
      </c>
      <c r="O6" s="34">
        <v>63</v>
      </c>
      <c r="P6" s="40"/>
      <c r="Q6" s="34">
        <v>133</v>
      </c>
      <c r="R6" s="34">
        <v>133</v>
      </c>
      <c r="S6" s="34">
        <v>52</v>
      </c>
      <c r="T6" s="34">
        <v>61</v>
      </c>
      <c r="U6" s="40"/>
      <c r="V6" s="34">
        <v>12</v>
      </c>
      <c r="W6" s="34">
        <v>12</v>
      </c>
      <c r="X6" s="34">
        <v>10</v>
      </c>
      <c r="Y6" s="34">
        <v>5</v>
      </c>
      <c r="Z6" s="34"/>
      <c r="AA6" s="34">
        <f t="shared" si="0"/>
        <v>498</v>
      </c>
      <c r="AB6" s="38">
        <f t="shared" si="1"/>
        <v>0.25613915416098226</v>
      </c>
      <c r="AC6" s="38">
        <f t="shared" si="2"/>
        <v>0.45582329317269077</v>
      </c>
    </row>
    <row r="7" spans="1:29" x14ac:dyDescent="0.25">
      <c r="A7" t="s">
        <v>80</v>
      </c>
      <c r="B7" s="34">
        <v>27</v>
      </c>
      <c r="C7" s="34">
        <v>27</v>
      </c>
      <c r="D7" s="34">
        <v>9</v>
      </c>
      <c r="E7" s="34">
        <v>13</v>
      </c>
      <c r="F7" s="40"/>
      <c r="G7" s="34">
        <v>111</v>
      </c>
      <c r="H7" s="34">
        <v>150</v>
      </c>
      <c r="I7" s="34">
        <v>83</v>
      </c>
      <c r="J7" s="34">
        <v>53</v>
      </c>
      <c r="K7" s="40"/>
      <c r="L7" s="34">
        <v>169</v>
      </c>
      <c r="M7" s="34">
        <v>222</v>
      </c>
      <c r="N7" s="34">
        <v>110</v>
      </c>
      <c r="O7" s="34">
        <v>81</v>
      </c>
      <c r="P7" s="40"/>
      <c r="Q7" s="34">
        <v>167</v>
      </c>
      <c r="R7" s="34">
        <v>167</v>
      </c>
      <c r="S7" s="34">
        <v>54</v>
      </c>
      <c r="T7" s="34">
        <v>85</v>
      </c>
      <c r="U7" s="40"/>
      <c r="V7" s="34">
        <v>13</v>
      </c>
      <c r="W7" s="34">
        <v>13</v>
      </c>
      <c r="X7" s="34">
        <v>6</v>
      </c>
      <c r="Y7" s="34">
        <v>6</v>
      </c>
      <c r="Z7" s="34"/>
      <c r="AA7" s="34">
        <f t="shared" si="0"/>
        <v>487</v>
      </c>
      <c r="AB7" s="38">
        <f t="shared" si="1"/>
        <v>0.23914008824650027</v>
      </c>
      <c r="AC7" s="38">
        <f t="shared" si="2"/>
        <v>0.48870636550308011</v>
      </c>
    </row>
    <row r="8" spans="1:29" x14ac:dyDescent="0.25">
      <c r="A8" t="s">
        <v>169</v>
      </c>
      <c r="B8" s="34">
        <v>114</v>
      </c>
      <c r="C8" s="34">
        <v>114</v>
      </c>
      <c r="D8" s="34">
        <v>123</v>
      </c>
      <c r="E8" s="34">
        <v>67</v>
      </c>
      <c r="F8" s="40"/>
      <c r="G8" s="34">
        <v>33</v>
      </c>
      <c r="H8" s="34">
        <v>33</v>
      </c>
      <c r="I8" s="34">
        <v>49</v>
      </c>
      <c r="J8" s="34">
        <v>23</v>
      </c>
      <c r="K8" s="40"/>
      <c r="L8" s="34">
        <v>81</v>
      </c>
      <c r="M8" s="34">
        <v>81</v>
      </c>
      <c r="N8" s="34">
        <v>99</v>
      </c>
      <c r="O8" s="34">
        <v>37</v>
      </c>
      <c r="P8" s="40"/>
      <c r="Q8" s="34">
        <v>69</v>
      </c>
      <c r="R8" s="34">
        <v>69</v>
      </c>
      <c r="S8" s="34">
        <v>59</v>
      </c>
      <c r="T8" s="34">
        <v>30</v>
      </c>
      <c r="U8" s="40"/>
      <c r="V8" s="34">
        <v>13</v>
      </c>
      <c r="W8" s="34">
        <v>13</v>
      </c>
      <c r="X8" s="34">
        <v>6</v>
      </c>
      <c r="Y8" s="34">
        <v>5</v>
      </c>
      <c r="Z8" s="34"/>
      <c r="AA8" s="34">
        <f t="shared" si="0"/>
        <v>310</v>
      </c>
      <c r="AB8" s="38">
        <f t="shared" si="1"/>
        <v>0.2203274215552524</v>
      </c>
      <c r="AC8" s="38">
        <f t="shared" si="2"/>
        <v>0.52258064516129032</v>
      </c>
    </row>
    <row r="9" spans="1:29" x14ac:dyDescent="0.25">
      <c r="A9" t="s">
        <v>173</v>
      </c>
      <c r="B9" s="34">
        <v>74</v>
      </c>
      <c r="C9" s="34">
        <v>74</v>
      </c>
      <c r="D9" s="34">
        <v>29</v>
      </c>
      <c r="E9" s="34">
        <v>32</v>
      </c>
      <c r="F9" s="40"/>
      <c r="G9" s="34">
        <v>144</v>
      </c>
      <c r="H9" s="34">
        <v>144</v>
      </c>
      <c r="I9" s="34">
        <v>62</v>
      </c>
      <c r="J9" s="34">
        <v>69</v>
      </c>
      <c r="K9" s="40"/>
      <c r="L9" s="34">
        <v>35</v>
      </c>
      <c r="M9" s="34">
        <v>35</v>
      </c>
      <c r="N9" s="34">
        <v>29</v>
      </c>
      <c r="O9" s="34">
        <v>15</v>
      </c>
      <c r="P9" s="40"/>
      <c r="Q9" s="34">
        <v>35</v>
      </c>
      <c r="R9" s="34">
        <v>35</v>
      </c>
      <c r="S9" s="34">
        <v>62</v>
      </c>
      <c r="T9" s="34">
        <v>16</v>
      </c>
      <c r="U9" s="40"/>
      <c r="V9" s="34">
        <v>20</v>
      </c>
      <c r="W9" s="34">
        <v>20</v>
      </c>
      <c r="X9" s="34">
        <v>22</v>
      </c>
      <c r="Y9" s="34">
        <v>9</v>
      </c>
      <c r="Z9" s="34"/>
      <c r="AA9" s="34">
        <f t="shared" si="0"/>
        <v>308</v>
      </c>
      <c r="AB9" s="38">
        <f t="shared" si="1"/>
        <v>0.17462482946793997</v>
      </c>
      <c r="AC9" s="38">
        <f t="shared" si="2"/>
        <v>0.45779220779220781</v>
      </c>
    </row>
    <row r="10" spans="1:29" x14ac:dyDescent="0.25">
      <c r="A10" t="s">
        <v>182</v>
      </c>
      <c r="B10" s="34">
        <v>35</v>
      </c>
      <c r="C10" s="34">
        <v>35</v>
      </c>
      <c r="D10" s="34">
        <v>8</v>
      </c>
      <c r="E10" s="34">
        <v>16</v>
      </c>
      <c r="F10" s="40"/>
      <c r="G10" s="34">
        <v>48</v>
      </c>
      <c r="H10" s="34">
        <v>48</v>
      </c>
      <c r="I10" s="34">
        <v>22</v>
      </c>
      <c r="J10" s="34">
        <v>19</v>
      </c>
      <c r="K10" s="40"/>
      <c r="L10" s="34">
        <v>47</v>
      </c>
      <c r="M10" s="34">
        <v>47</v>
      </c>
      <c r="N10" s="34">
        <v>50</v>
      </c>
      <c r="O10" s="34">
        <v>21</v>
      </c>
      <c r="P10" s="40"/>
      <c r="Q10" s="34">
        <v>130</v>
      </c>
      <c r="R10" s="34">
        <v>130</v>
      </c>
      <c r="S10" s="34">
        <v>116</v>
      </c>
      <c r="T10" s="34">
        <v>69</v>
      </c>
      <c r="U10" s="40"/>
      <c r="V10" s="34">
        <v>13</v>
      </c>
      <c r="W10" s="34">
        <v>13</v>
      </c>
      <c r="X10" s="34">
        <v>6</v>
      </c>
      <c r="Y10" s="34">
        <v>4</v>
      </c>
      <c r="Z10" s="34"/>
      <c r="AA10" s="34">
        <f t="shared" si="0"/>
        <v>273</v>
      </c>
      <c r="AB10" s="38">
        <f t="shared" si="1"/>
        <v>0.16200545702592087</v>
      </c>
      <c r="AC10" s="38">
        <f t="shared" si="2"/>
        <v>0.47252747252747251</v>
      </c>
    </row>
    <row r="11" spans="1:29" x14ac:dyDescent="0.25">
      <c r="A11" t="s">
        <v>170</v>
      </c>
      <c r="B11" s="34">
        <v>96</v>
      </c>
      <c r="C11" s="34">
        <v>96</v>
      </c>
      <c r="D11" s="34">
        <v>218</v>
      </c>
      <c r="E11" s="34">
        <v>58</v>
      </c>
      <c r="F11" s="40"/>
      <c r="G11" s="34">
        <v>60</v>
      </c>
      <c r="H11" s="34">
        <v>60</v>
      </c>
      <c r="I11" s="34">
        <v>80</v>
      </c>
      <c r="J11" s="34">
        <v>26</v>
      </c>
      <c r="K11" s="40"/>
      <c r="L11" s="34">
        <v>5</v>
      </c>
      <c r="M11" s="34">
        <v>5</v>
      </c>
      <c r="N11" s="34">
        <v>1</v>
      </c>
      <c r="O11" s="34">
        <v>1</v>
      </c>
      <c r="P11" s="40"/>
      <c r="Q11" s="34">
        <v>4</v>
      </c>
      <c r="R11" s="34">
        <v>4</v>
      </c>
      <c r="S11" s="34">
        <v>0</v>
      </c>
      <c r="T11" s="34">
        <v>1</v>
      </c>
      <c r="U11" s="40"/>
      <c r="V11" s="34">
        <v>3</v>
      </c>
      <c r="W11" s="34">
        <v>3</v>
      </c>
      <c r="X11" s="34">
        <v>0</v>
      </c>
      <c r="Y11" s="34">
        <v>1</v>
      </c>
      <c r="Z11" s="34"/>
      <c r="AA11" s="34">
        <f t="shared" si="0"/>
        <v>168</v>
      </c>
      <c r="AB11" s="38">
        <f t="shared" si="1"/>
        <v>0.15927694406548432</v>
      </c>
      <c r="AC11" s="38">
        <f t="shared" si="2"/>
        <v>0.5178571428571429</v>
      </c>
    </row>
    <row r="12" spans="1:29" x14ac:dyDescent="0.25">
      <c r="A12" t="s">
        <v>29</v>
      </c>
      <c r="B12" s="34">
        <v>74</v>
      </c>
      <c r="C12" s="34">
        <v>75</v>
      </c>
      <c r="D12" s="34">
        <v>137</v>
      </c>
      <c r="E12" s="34">
        <v>29</v>
      </c>
      <c r="F12" s="40"/>
      <c r="G12" s="34">
        <v>61</v>
      </c>
      <c r="H12" s="34">
        <v>65</v>
      </c>
      <c r="I12" s="34">
        <v>56</v>
      </c>
      <c r="J12" s="34">
        <v>25</v>
      </c>
      <c r="K12" s="40"/>
      <c r="L12" s="34">
        <v>11</v>
      </c>
      <c r="M12" s="34">
        <v>47</v>
      </c>
      <c r="N12" s="34">
        <v>37</v>
      </c>
      <c r="O12" s="34">
        <v>5</v>
      </c>
      <c r="P12" s="40"/>
      <c r="Q12" s="34">
        <v>41</v>
      </c>
      <c r="R12" s="34">
        <v>42</v>
      </c>
      <c r="S12" s="34">
        <v>40</v>
      </c>
      <c r="T12" s="34">
        <v>19</v>
      </c>
      <c r="U12" s="40"/>
      <c r="V12" s="34">
        <v>13</v>
      </c>
      <c r="W12" s="34">
        <v>13</v>
      </c>
      <c r="X12" s="34">
        <v>16</v>
      </c>
      <c r="Y12" s="34">
        <v>7</v>
      </c>
      <c r="Z12" s="34"/>
      <c r="AA12" s="34">
        <f t="shared" si="0"/>
        <v>200</v>
      </c>
      <c r="AB12" s="38">
        <f t="shared" si="1"/>
        <v>0.15396806719061518</v>
      </c>
      <c r="AC12" s="38">
        <f t="shared" si="2"/>
        <v>0.42499999999999999</v>
      </c>
    </row>
    <row r="13" spans="1:29" x14ac:dyDescent="0.25">
      <c r="A13" t="s">
        <v>91</v>
      </c>
      <c r="B13" s="34"/>
      <c r="C13" s="34">
        <v>1</v>
      </c>
      <c r="D13" s="34"/>
      <c r="E13" s="34"/>
      <c r="F13" s="40"/>
      <c r="G13" s="34">
        <v>1</v>
      </c>
      <c r="H13" s="34">
        <v>54</v>
      </c>
      <c r="I13" s="34">
        <v>244</v>
      </c>
      <c r="J13" s="34">
        <v>0</v>
      </c>
      <c r="K13" s="40"/>
      <c r="L13" s="34">
        <v>24</v>
      </c>
      <c r="M13" s="34">
        <v>40</v>
      </c>
      <c r="N13" s="34">
        <v>35</v>
      </c>
      <c r="O13" s="34">
        <v>15</v>
      </c>
      <c r="P13" s="40"/>
      <c r="Q13" s="34">
        <v>120</v>
      </c>
      <c r="R13" s="34">
        <v>121</v>
      </c>
      <c r="S13" s="34">
        <v>166</v>
      </c>
      <c r="T13" s="34">
        <v>62</v>
      </c>
      <c r="U13" s="40"/>
      <c r="V13" s="34">
        <v>23</v>
      </c>
      <c r="W13" s="34">
        <v>23</v>
      </c>
      <c r="X13" s="34">
        <v>57</v>
      </c>
      <c r="Y13" s="34">
        <v>15</v>
      </c>
      <c r="Z13" s="34"/>
      <c r="AA13" s="34">
        <f t="shared" si="0"/>
        <v>168</v>
      </c>
      <c r="AB13" s="38">
        <f t="shared" si="1"/>
        <v>0.14159161585677771</v>
      </c>
      <c r="AC13" s="38">
        <f t="shared" si="2"/>
        <v>0.54761904761904767</v>
      </c>
    </row>
    <row r="14" spans="1:29" x14ac:dyDescent="0.25">
      <c r="A14" t="s">
        <v>31</v>
      </c>
      <c r="B14" s="34"/>
      <c r="C14" s="34">
        <v>1</v>
      </c>
      <c r="D14" s="34"/>
      <c r="E14" s="34"/>
      <c r="F14" s="40"/>
      <c r="G14" s="34"/>
      <c r="H14" s="34">
        <v>1</v>
      </c>
      <c r="I14" s="34"/>
      <c r="J14" s="34"/>
      <c r="K14" s="40"/>
      <c r="L14" s="34">
        <v>38</v>
      </c>
      <c r="M14" s="34">
        <v>118</v>
      </c>
      <c r="N14" s="34">
        <v>148</v>
      </c>
      <c r="O14" s="34">
        <v>18</v>
      </c>
      <c r="P14" s="40"/>
      <c r="Q14" s="34">
        <v>80</v>
      </c>
      <c r="R14" s="34">
        <v>133</v>
      </c>
      <c r="S14" s="34">
        <v>301</v>
      </c>
      <c r="T14" s="34">
        <v>51</v>
      </c>
      <c r="U14" s="40"/>
      <c r="V14" s="34">
        <v>6</v>
      </c>
      <c r="W14" s="34">
        <v>7</v>
      </c>
      <c r="X14" s="34">
        <v>28</v>
      </c>
      <c r="Y14" s="34">
        <v>2</v>
      </c>
      <c r="Z14" s="34"/>
      <c r="AA14" s="34">
        <f t="shared" si="0"/>
        <v>124</v>
      </c>
      <c r="AB14" s="38">
        <f t="shared" si="1"/>
        <v>0.12848350904778305</v>
      </c>
      <c r="AC14" s="38">
        <f t="shared" si="2"/>
        <v>0.57258064516129037</v>
      </c>
    </row>
    <row r="15" spans="1:29" x14ac:dyDescent="0.25">
      <c r="A15" t="s">
        <v>147</v>
      </c>
      <c r="B15" s="34">
        <v>7</v>
      </c>
      <c r="C15" s="34">
        <v>23</v>
      </c>
      <c r="D15" s="34">
        <v>10</v>
      </c>
      <c r="E15" s="34">
        <v>4</v>
      </c>
      <c r="F15" s="40"/>
      <c r="G15" s="34">
        <v>34</v>
      </c>
      <c r="H15" s="34">
        <v>64</v>
      </c>
      <c r="I15" s="34">
        <v>197</v>
      </c>
      <c r="J15" s="34">
        <v>18</v>
      </c>
      <c r="K15" s="40"/>
      <c r="L15" s="34">
        <v>38</v>
      </c>
      <c r="M15" s="34">
        <v>122</v>
      </c>
      <c r="N15" s="34">
        <v>374</v>
      </c>
      <c r="O15" s="34">
        <v>20</v>
      </c>
      <c r="P15" s="40"/>
      <c r="Q15" s="34">
        <v>2</v>
      </c>
      <c r="R15" s="34">
        <v>71</v>
      </c>
      <c r="S15" s="34">
        <v>66</v>
      </c>
      <c r="T15" s="34">
        <v>1</v>
      </c>
      <c r="U15" s="40"/>
      <c r="V15" s="34"/>
      <c r="W15" s="34">
        <v>1</v>
      </c>
      <c r="X15" s="34"/>
      <c r="Y15" s="34"/>
      <c r="Z15" s="34"/>
      <c r="AA15" s="34">
        <f t="shared" si="0"/>
        <v>81</v>
      </c>
      <c r="AB15" s="38">
        <f t="shared" si="1"/>
        <v>0.10472397219274747</v>
      </c>
      <c r="AC15" s="38">
        <f t="shared" si="2"/>
        <v>0.53086419753086422</v>
      </c>
    </row>
    <row r="16" spans="1:29" x14ac:dyDescent="0.25">
      <c r="A16" t="s">
        <v>172</v>
      </c>
      <c r="B16" s="34">
        <v>73</v>
      </c>
      <c r="C16" s="34">
        <v>73</v>
      </c>
      <c r="D16" s="34">
        <v>1</v>
      </c>
      <c r="E16" s="34">
        <v>36</v>
      </c>
      <c r="F16" s="40"/>
      <c r="G16" s="34">
        <v>87</v>
      </c>
      <c r="H16" s="34">
        <v>87</v>
      </c>
      <c r="I16" s="34">
        <v>1</v>
      </c>
      <c r="J16" s="34">
        <v>48</v>
      </c>
      <c r="K16" s="40"/>
      <c r="L16" s="34">
        <v>82</v>
      </c>
      <c r="M16" s="34">
        <v>82</v>
      </c>
      <c r="N16" s="34">
        <v>2</v>
      </c>
      <c r="O16" s="34">
        <v>49</v>
      </c>
      <c r="P16" s="40"/>
      <c r="Q16" s="34">
        <v>14</v>
      </c>
      <c r="R16" s="34">
        <v>14</v>
      </c>
      <c r="S16" s="34">
        <v>1</v>
      </c>
      <c r="T16" s="34">
        <v>3</v>
      </c>
      <c r="U16" s="40"/>
      <c r="V16" s="34">
        <v>15</v>
      </c>
      <c r="W16" s="34">
        <v>15</v>
      </c>
      <c r="X16" s="34">
        <v>13</v>
      </c>
      <c r="Y16" s="34">
        <v>6</v>
      </c>
      <c r="Z16" s="34"/>
      <c r="AA16" s="34">
        <f t="shared" si="0"/>
        <v>271</v>
      </c>
      <c r="AB16" s="38">
        <f t="shared" si="1"/>
        <v>9.8567530695770803E-2</v>
      </c>
      <c r="AC16" s="38">
        <f t="shared" si="2"/>
        <v>0.52398523985239853</v>
      </c>
    </row>
    <row r="17" spans="1:29" x14ac:dyDescent="0.25">
      <c r="A17" t="s">
        <v>168</v>
      </c>
      <c r="B17" s="34">
        <v>99</v>
      </c>
      <c r="C17" s="34">
        <v>122</v>
      </c>
      <c r="D17" s="34">
        <v>75</v>
      </c>
      <c r="E17" s="34">
        <v>56</v>
      </c>
      <c r="F17" s="40"/>
      <c r="G17" s="34">
        <v>21</v>
      </c>
      <c r="H17" s="34">
        <v>27</v>
      </c>
      <c r="I17" s="34">
        <v>10</v>
      </c>
      <c r="J17" s="34">
        <v>6</v>
      </c>
      <c r="K17" s="40"/>
      <c r="L17" s="34">
        <v>52</v>
      </c>
      <c r="M17" s="34">
        <v>52</v>
      </c>
      <c r="N17" s="34">
        <v>10</v>
      </c>
      <c r="O17" s="34">
        <v>30</v>
      </c>
      <c r="P17" s="40"/>
      <c r="Q17" s="34">
        <v>17</v>
      </c>
      <c r="R17" s="34">
        <v>17</v>
      </c>
      <c r="S17" s="34">
        <v>11</v>
      </c>
      <c r="T17" s="34">
        <v>8</v>
      </c>
      <c r="U17" s="40"/>
      <c r="V17" s="34">
        <v>1</v>
      </c>
      <c r="W17" s="34">
        <v>1</v>
      </c>
      <c r="X17" s="34">
        <v>0</v>
      </c>
      <c r="Y17" s="34">
        <v>0</v>
      </c>
      <c r="Z17" s="34"/>
      <c r="AA17" s="34">
        <f t="shared" si="0"/>
        <v>190</v>
      </c>
      <c r="AB17" s="38">
        <f t="shared" si="1"/>
        <v>9.537463626039655E-2</v>
      </c>
      <c r="AC17" s="38">
        <f t="shared" si="2"/>
        <v>0.52631578947368418</v>
      </c>
    </row>
    <row r="18" spans="1:29" x14ac:dyDescent="0.25">
      <c r="A18" t="s">
        <v>181</v>
      </c>
      <c r="B18" s="34">
        <v>8</v>
      </c>
      <c r="C18" s="34">
        <v>8</v>
      </c>
      <c r="D18" s="34">
        <v>4</v>
      </c>
      <c r="E18" s="34">
        <v>5</v>
      </c>
      <c r="F18" s="40"/>
      <c r="G18" s="34">
        <v>6</v>
      </c>
      <c r="H18" s="34">
        <v>6</v>
      </c>
      <c r="I18" s="34">
        <v>2</v>
      </c>
      <c r="J18" s="34">
        <v>4</v>
      </c>
      <c r="K18" s="40"/>
      <c r="L18" s="34">
        <v>18</v>
      </c>
      <c r="M18" s="34">
        <v>18</v>
      </c>
      <c r="N18" s="34">
        <v>12</v>
      </c>
      <c r="O18" s="34">
        <v>12</v>
      </c>
      <c r="P18" s="40"/>
      <c r="Q18" s="34">
        <v>59</v>
      </c>
      <c r="R18" s="34">
        <v>59</v>
      </c>
      <c r="S18" s="34">
        <v>92</v>
      </c>
      <c r="T18" s="34">
        <v>32</v>
      </c>
      <c r="U18" s="40"/>
      <c r="V18" s="34">
        <v>17</v>
      </c>
      <c r="W18" s="34">
        <v>17</v>
      </c>
      <c r="X18" s="34">
        <v>43</v>
      </c>
      <c r="Y18" s="34">
        <v>10</v>
      </c>
      <c r="Z18" s="34"/>
      <c r="AA18" s="34">
        <f t="shared" si="0"/>
        <v>108</v>
      </c>
      <c r="AB18" s="38">
        <f t="shared" si="1"/>
        <v>8.9017735334242842E-2</v>
      </c>
      <c r="AC18" s="38">
        <f t="shared" si="2"/>
        <v>0.58333333333333337</v>
      </c>
    </row>
    <row r="19" spans="1:29" x14ac:dyDescent="0.25">
      <c r="A19" t="s">
        <v>186</v>
      </c>
      <c r="B19" s="34"/>
      <c r="C19" s="34">
        <v>1</v>
      </c>
      <c r="D19" s="34"/>
      <c r="E19" s="34"/>
      <c r="F19" s="40"/>
      <c r="G19" s="34">
        <v>52</v>
      </c>
      <c r="H19" s="34">
        <v>52</v>
      </c>
      <c r="I19" s="34">
        <v>76</v>
      </c>
      <c r="J19" s="34">
        <v>27</v>
      </c>
      <c r="K19" s="40"/>
      <c r="L19" s="34">
        <v>46</v>
      </c>
      <c r="M19" s="34">
        <v>46</v>
      </c>
      <c r="N19" s="34">
        <v>19</v>
      </c>
      <c r="O19" s="34">
        <v>18</v>
      </c>
      <c r="P19" s="40"/>
      <c r="Q19" s="34">
        <v>4</v>
      </c>
      <c r="R19" s="34">
        <v>4</v>
      </c>
      <c r="S19" s="34">
        <v>0</v>
      </c>
      <c r="T19" s="34">
        <v>0</v>
      </c>
      <c r="U19" s="40"/>
      <c r="V19" s="34">
        <v>4</v>
      </c>
      <c r="W19" s="34">
        <v>4</v>
      </c>
      <c r="X19" s="34">
        <v>0</v>
      </c>
      <c r="Y19" s="34">
        <v>2</v>
      </c>
      <c r="Z19" s="34"/>
      <c r="AA19" s="34">
        <f t="shared" si="0"/>
        <v>106</v>
      </c>
      <c r="AB19" s="38">
        <f t="shared" si="1"/>
        <v>6.8553888130968618E-2</v>
      </c>
      <c r="AC19" s="38">
        <f t="shared" si="2"/>
        <v>0.44339622641509435</v>
      </c>
    </row>
    <row r="20" spans="1:29" x14ac:dyDescent="0.25">
      <c r="A20" t="s">
        <v>143</v>
      </c>
      <c r="B20" s="34">
        <v>50</v>
      </c>
      <c r="C20" s="34">
        <v>51</v>
      </c>
      <c r="D20" s="34">
        <v>60</v>
      </c>
      <c r="E20" s="34">
        <v>23</v>
      </c>
      <c r="F20" s="40"/>
      <c r="G20" s="34">
        <v>11</v>
      </c>
      <c r="H20" s="34">
        <v>11</v>
      </c>
      <c r="I20" s="34">
        <v>7</v>
      </c>
      <c r="J20" s="34">
        <v>7</v>
      </c>
      <c r="K20" s="40"/>
      <c r="L20" s="34">
        <v>15</v>
      </c>
      <c r="M20" s="34">
        <v>115</v>
      </c>
      <c r="N20" s="34">
        <v>297</v>
      </c>
      <c r="O20" s="34">
        <v>5</v>
      </c>
      <c r="P20" s="40"/>
      <c r="Q20" s="34">
        <v>1</v>
      </c>
      <c r="R20" s="34">
        <v>45</v>
      </c>
      <c r="S20" s="34">
        <v>36</v>
      </c>
      <c r="T20" s="34">
        <v>1</v>
      </c>
      <c r="U20" s="40"/>
      <c r="V20" s="34"/>
      <c r="W20" s="34">
        <v>1</v>
      </c>
      <c r="X20" s="34"/>
      <c r="Y20" s="34"/>
      <c r="Z20" s="34"/>
      <c r="AA20" s="34">
        <f t="shared" si="0"/>
        <v>77</v>
      </c>
      <c r="AB20" s="38">
        <f t="shared" si="1"/>
        <v>6.219736011137357E-2</v>
      </c>
      <c r="AC20" s="38">
        <f t="shared" si="2"/>
        <v>0.46753246753246752</v>
      </c>
    </row>
    <row r="21" spans="1:29" x14ac:dyDescent="0.25">
      <c r="A21" t="s">
        <v>171</v>
      </c>
      <c r="B21" s="34">
        <v>45</v>
      </c>
      <c r="C21" s="34">
        <v>45</v>
      </c>
      <c r="D21" s="34">
        <v>35</v>
      </c>
      <c r="E21" s="34">
        <v>25</v>
      </c>
      <c r="F21" s="40"/>
      <c r="G21" s="34">
        <v>33</v>
      </c>
      <c r="H21" s="34">
        <v>33</v>
      </c>
      <c r="I21" s="34">
        <v>24</v>
      </c>
      <c r="J21" s="34">
        <v>19</v>
      </c>
      <c r="K21" s="40"/>
      <c r="L21" s="34">
        <v>6</v>
      </c>
      <c r="M21" s="34">
        <v>6</v>
      </c>
      <c r="N21" s="34">
        <v>2</v>
      </c>
      <c r="O21" s="34">
        <v>2</v>
      </c>
      <c r="P21" s="40"/>
      <c r="Q21" s="34">
        <v>9</v>
      </c>
      <c r="R21" s="34">
        <v>9</v>
      </c>
      <c r="S21" s="34">
        <v>2</v>
      </c>
      <c r="T21" s="34">
        <v>3</v>
      </c>
      <c r="U21" s="40"/>
      <c r="V21" s="34">
        <v>10</v>
      </c>
      <c r="W21" s="34">
        <v>10</v>
      </c>
      <c r="X21" s="34">
        <v>0</v>
      </c>
      <c r="Y21" s="34">
        <v>6</v>
      </c>
      <c r="Z21" s="34"/>
      <c r="AA21" s="34">
        <f t="shared" si="0"/>
        <v>103</v>
      </c>
      <c r="AB21" s="38">
        <f t="shared" si="1"/>
        <v>5.6616643929058665E-2</v>
      </c>
      <c r="AC21" s="38">
        <f t="shared" si="2"/>
        <v>0.53398058252427183</v>
      </c>
    </row>
    <row r="22" spans="1:29" x14ac:dyDescent="0.25">
      <c r="A22" t="s">
        <v>183</v>
      </c>
      <c r="B22" s="34">
        <v>6</v>
      </c>
      <c r="C22" s="34">
        <v>6</v>
      </c>
      <c r="D22" s="34">
        <v>2</v>
      </c>
      <c r="E22" s="34">
        <v>2</v>
      </c>
      <c r="F22" s="40"/>
      <c r="G22" s="34">
        <v>32</v>
      </c>
      <c r="H22" s="34">
        <v>32</v>
      </c>
      <c r="I22" s="34">
        <v>53</v>
      </c>
      <c r="J22" s="34">
        <v>18</v>
      </c>
      <c r="K22" s="40"/>
      <c r="L22" s="34">
        <v>12</v>
      </c>
      <c r="M22" s="34">
        <v>12</v>
      </c>
      <c r="N22" s="34">
        <v>10</v>
      </c>
      <c r="O22" s="34">
        <v>10</v>
      </c>
      <c r="P22" s="40"/>
      <c r="Q22" s="34">
        <v>23</v>
      </c>
      <c r="R22" s="34">
        <v>23</v>
      </c>
      <c r="S22" s="34">
        <v>12</v>
      </c>
      <c r="T22" s="34">
        <v>15</v>
      </c>
      <c r="U22" s="40"/>
      <c r="V22" s="34">
        <v>2</v>
      </c>
      <c r="W22" s="34">
        <v>2</v>
      </c>
      <c r="X22" s="34">
        <v>4</v>
      </c>
      <c r="Y22" s="34">
        <v>1</v>
      </c>
      <c r="Z22" s="34"/>
      <c r="AA22" s="34">
        <f t="shared" si="0"/>
        <v>75</v>
      </c>
      <c r="AB22" s="38">
        <f t="shared" si="1"/>
        <v>5.3206002728512961E-2</v>
      </c>
      <c r="AC22" s="38">
        <f t="shared" si="2"/>
        <v>0.61333333333333329</v>
      </c>
    </row>
    <row r="23" spans="1:29" x14ac:dyDescent="0.25">
      <c r="A23" t="s">
        <v>81</v>
      </c>
      <c r="B23" s="34"/>
      <c r="C23" s="34">
        <v>1</v>
      </c>
      <c r="D23" s="34"/>
      <c r="E23" s="34"/>
      <c r="F23" s="40"/>
      <c r="G23" s="34"/>
      <c r="H23" s="34">
        <v>1</v>
      </c>
      <c r="I23" s="34"/>
      <c r="J23" s="34"/>
      <c r="K23" s="40"/>
      <c r="L23" s="34"/>
      <c r="M23" s="34">
        <v>1</v>
      </c>
      <c r="N23" s="34"/>
      <c r="O23" s="34"/>
      <c r="P23" s="40"/>
      <c r="Q23" s="34">
        <v>42</v>
      </c>
      <c r="R23" s="34">
        <v>42</v>
      </c>
      <c r="S23" s="34">
        <v>54</v>
      </c>
      <c r="T23" s="34">
        <v>20</v>
      </c>
      <c r="U23" s="40"/>
      <c r="V23" s="34">
        <v>3</v>
      </c>
      <c r="W23" s="34">
        <v>3</v>
      </c>
      <c r="X23" s="34">
        <v>2</v>
      </c>
      <c r="Y23" s="34">
        <v>2</v>
      </c>
      <c r="Z23" s="34"/>
      <c r="AA23" s="34">
        <f t="shared" si="0"/>
        <v>45</v>
      </c>
      <c r="AB23" s="38">
        <f t="shared" si="1"/>
        <v>3.4447476125511599E-2</v>
      </c>
      <c r="AC23" s="38">
        <f t="shared" si="2"/>
        <v>0.48888888888888887</v>
      </c>
    </row>
    <row r="24" spans="1:29" x14ac:dyDescent="0.25">
      <c r="A24" t="s">
        <v>30</v>
      </c>
      <c r="B24" s="34">
        <v>2</v>
      </c>
      <c r="C24" s="34">
        <v>43</v>
      </c>
      <c r="D24" s="34">
        <v>48</v>
      </c>
      <c r="E24" s="34">
        <v>2</v>
      </c>
      <c r="F24" s="40"/>
      <c r="G24" s="34">
        <v>12</v>
      </c>
      <c r="H24" s="34">
        <v>195</v>
      </c>
      <c r="I24" s="34">
        <v>282</v>
      </c>
      <c r="J24" s="34">
        <v>7</v>
      </c>
      <c r="K24" s="40"/>
      <c r="L24" s="34">
        <v>21</v>
      </c>
      <c r="M24" s="34">
        <v>164</v>
      </c>
      <c r="N24" s="34">
        <v>207</v>
      </c>
      <c r="O24" s="34">
        <v>12</v>
      </c>
      <c r="P24" s="40"/>
      <c r="Q24" s="34">
        <v>9</v>
      </c>
      <c r="R24" s="34">
        <v>60</v>
      </c>
      <c r="S24" s="34">
        <v>61</v>
      </c>
      <c r="T24" s="34">
        <v>5</v>
      </c>
      <c r="U24" s="40"/>
      <c r="V24" s="34"/>
      <c r="W24" s="34">
        <v>1</v>
      </c>
      <c r="X24" s="34"/>
      <c r="Y24" s="34"/>
      <c r="Z24" s="34"/>
      <c r="AA24" s="34">
        <f t="shared" si="0"/>
        <v>44</v>
      </c>
      <c r="AB24" s="38">
        <f t="shared" si="1"/>
        <v>3.3848056566970208E-2</v>
      </c>
      <c r="AC24" s="38">
        <f t="shared" si="2"/>
        <v>0.59090909090909094</v>
      </c>
    </row>
    <row r="25" spans="1:29" x14ac:dyDescent="0.25">
      <c r="A25" t="s">
        <v>184</v>
      </c>
      <c r="B25" s="34">
        <v>8</v>
      </c>
      <c r="C25" s="34">
        <v>9</v>
      </c>
      <c r="D25" s="34">
        <v>13</v>
      </c>
      <c r="E25" s="34">
        <v>4</v>
      </c>
      <c r="F25" s="40"/>
      <c r="G25" s="34">
        <v>47</v>
      </c>
      <c r="H25" s="34">
        <v>47</v>
      </c>
      <c r="I25" s="34">
        <v>26</v>
      </c>
      <c r="J25" s="34">
        <v>24</v>
      </c>
      <c r="K25" s="40"/>
      <c r="L25" s="34"/>
      <c r="M25" s="34">
        <v>1</v>
      </c>
      <c r="N25" s="34"/>
      <c r="O25" s="34"/>
      <c r="P25" s="40"/>
      <c r="Q25" s="34"/>
      <c r="R25" s="34">
        <v>1</v>
      </c>
      <c r="S25" s="34"/>
      <c r="T25" s="34"/>
      <c r="U25" s="40"/>
      <c r="V25" s="34"/>
      <c r="W25" s="34">
        <v>1</v>
      </c>
      <c r="X25" s="34"/>
      <c r="Y25" s="34"/>
      <c r="Z25" s="34"/>
      <c r="AA25" s="34">
        <f t="shared" si="0"/>
        <v>55</v>
      </c>
      <c r="AB25" s="38">
        <f t="shared" si="1"/>
        <v>3.1567379111717447E-2</v>
      </c>
      <c r="AC25" s="38">
        <f t="shared" si="2"/>
        <v>0.50909090909090904</v>
      </c>
    </row>
    <row r="26" spans="1:29" x14ac:dyDescent="0.25">
      <c r="A26" t="s">
        <v>177</v>
      </c>
      <c r="B26" s="34">
        <v>45</v>
      </c>
      <c r="C26" s="34">
        <v>46</v>
      </c>
      <c r="D26" s="34">
        <v>36</v>
      </c>
      <c r="E26" s="34">
        <v>24</v>
      </c>
      <c r="F26" s="40"/>
      <c r="G26" s="34">
        <v>3</v>
      </c>
      <c r="H26" s="34">
        <v>3</v>
      </c>
      <c r="I26" s="34">
        <v>1</v>
      </c>
      <c r="J26" s="34">
        <v>1</v>
      </c>
      <c r="K26" s="40"/>
      <c r="L26" s="34"/>
      <c r="M26" s="34">
        <v>1</v>
      </c>
      <c r="N26" s="34"/>
      <c r="O26" s="34"/>
      <c r="P26" s="40"/>
      <c r="Q26" s="34"/>
      <c r="R26" s="34">
        <v>1</v>
      </c>
      <c r="S26" s="34"/>
      <c r="T26" s="34"/>
      <c r="U26" s="40"/>
      <c r="V26" s="34"/>
      <c r="W26" s="34">
        <v>1</v>
      </c>
      <c r="X26" s="34"/>
      <c r="Y26" s="34"/>
      <c r="Z26" s="34"/>
      <c r="AA26" s="34">
        <f t="shared" si="0"/>
        <v>48</v>
      </c>
      <c r="AB26" s="38">
        <f t="shared" si="1"/>
        <v>2.8723530458508808E-2</v>
      </c>
      <c r="AC26" s="38">
        <f t="shared" si="2"/>
        <v>0.52083333333333337</v>
      </c>
    </row>
    <row r="27" spans="1:29" x14ac:dyDescent="0.25">
      <c r="A27" t="s">
        <v>174</v>
      </c>
      <c r="B27" s="34">
        <v>14</v>
      </c>
      <c r="C27" s="34">
        <v>14</v>
      </c>
      <c r="D27" s="34">
        <v>21</v>
      </c>
      <c r="E27" s="34">
        <v>10</v>
      </c>
      <c r="F27" s="40"/>
      <c r="G27" s="34">
        <v>3</v>
      </c>
      <c r="H27" s="34">
        <v>3</v>
      </c>
      <c r="I27" s="34">
        <v>7</v>
      </c>
      <c r="J27" s="34">
        <v>1</v>
      </c>
      <c r="K27" s="40"/>
      <c r="L27" s="34">
        <v>8</v>
      </c>
      <c r="M27" s="34">
        <v>8</v>
      </c>
      <c r="N27" s="34">
        <v>4</v>
      </c>
      <c r="O27" s="34">
        <v>3</v>
      </c>
      <c r="P27" s="40"/>
      <c r="Q27" s="34">
        <v>9</v>
      </c>
      <c r="R27" s="34">
        <v>9</v>
      </c>
      <c r="S27" s="34">
        <v>9</v>
      </c>
      <c r="T27" s="34">
        <v>5</v>
      </c>
      <c r="U27" s="40"/>
      <c r="V27" s="34"/>
      <c r="W27" s="34">
        <v>1</v>
      </c>
      <c r="X27" s="34"/>
      <c r="Y27" s="34"/>
      <c r="Z27" s="34"/>
      <c r="AA27" s="34">
        <f t="shared" si="0"/>
        <v>34</v>
      </c>
      <c r="AB27" s="38">
        <f t="shared" si="1"/>
        <v>2.557980900409277E-2</v>
      </c>
      <c r="AC27" s="38">
        <f t="shared" si="2"/>
        <v>0.55882352941176472</v>
      </c>
    </row>
    <row r="28" spans="1:29" x14ac:dyDescent="0.25">
      <c r="A28" t="s">
        <v>175</v>
      </c>
      <c r="B28" s="34">
        <v>25</v>
      </c>
      <c r="C28" s="34">
        <v>25</v>
      </c>
      <c r="D28" s="34">
        <v>5</v>
      </c>
      <c r="E28" s="34">
        <v>13</v>
      </c>
      <c r="F28" s="40"/>
      <c r="G28" s="34">
        <v>28</v>
      </c>
      <c r="H28" s="34">
        <v>28</v>
      </c>
      <c r="I28" s="34">
        <v>2</v>
      </c>
      <c r="J28" s="34">
        <v>17</v>
      </c>
      <c r="K28" s="40"/>
      <c r="L28" s="34">
        <v>4</v>
      </c>
      <c r="M28" s="34">
        <v>4</v>
      </c>
      <c r="N28" s="34">
        <v>0</v>
      </c>
      <c r="O28" s="34">
        <v>3</v>
      </c>
      <c r="P28" s="40"/>
      <c r="Q28" s="34">
        <v>1</v>
      </c>
      <c r="R28" s="34">
        <v>1</v>
      </c>
      <c r="S28" s="34">
        <v>0</v>
      </c>
      <c r="T28" s="34">
        <v>1</v>
      </c>
      <c r="U28" s="40"/>
      <c r="V28" s="34"/>
      <c r="W28" s="34">
        <v>1</v>
      </c>
      <c r="X28" s="34"/>
      <c r="Y28" s="34"/>
      <c r="Z28" s="34"/>
      <c r="AA28" s="34">
        <f t="shared" si="0"/>
        <v>58</v>
      </c>
      <c r="AB28" s="38">
        <f t="shared" si="1"/>
        <v>2.2169167803547066E-2</v>
      </c>
      <c r="AC28" s="38">
        <f t="shared" si="2"/>
        <v>0.58620689655172409</v>
      </c>
    </row>
    <row r="29" spans="1:29" x14ac:dyDescent="0.25">
      <c r="A29" t="s">
        <v>151</v>
      </c>
      <c r="B29" s="34"/>
      <c r="C29" s="34">
        <v>1</v>
      </c>
      <c r="D29" s="34"/>
      <c r="E29" s="34"/>
      <c r="F29" s="40"/>
      <c r="G29" s="34">
        <v>9</v>
      </c>
      <c r="H29" s="34">
        <v>50</v>
      </c>
      <c r="I29" s="34">
        <v>197</v>
      </c>
      <c r="J29" s="34">
        <v>6</v>
      </c>
      <c r="K29" s="40"/>
      <c r="L29" s="34"/>
      <c r="M29" s="34">
        <v>1</v>
      </c>
      <c r="N29" s="34"/>
      <c r="O29" s="34"/>
      <c r="P29" s="40"/>
      <c r="Q29" s="34"/>
      <c r="R29" s="34">
        <v>1</v>
      </c>
      <c r="S29" s="34"/>
      <c r="T29" s="34"/>
      <c r="U29" s="40"/>
      <c r="V29" s="34"/>
      <c r="W29" s="34">
        <v>1</v>
      </c>
      <c r="X29" s="34"/>
      <c r="Y29" s="34"/>
      <c r="Z29" s="34"/>
      <c r="AA29" s="34">
        <f t="shared" si="0"/>
        <v>9</v>
      </c>
      <c r="AB29" s="38">
        <f t="shared" si="1"/>
        <v>1.5163710777626195E-2</v>
      </c>
      <c r="AC29" s="38">
        <f t="shared" si="2"/>
        <v>0.66666666666666663</v>
      </c>
    </row>
    <row r="30" spans="1:29" x14ac:dyDescent="0.25">
      <c r="A30" t="s">
        <v>191</v>
      </c>
      <c r="B30" s="34">
        <v>6</v>
      </c>
      <c r="C30" s="34">
        <v>7</v>
      </c>
      <c r="D30" s="34">
        <v>0</v>
      </c>
      <c r="E30" s="34">
        <v>4</v>
      </c>
      <c r="F30" s="40"/>
      <c r="G30" s="34"/>
      <c r="H30" s="34">
        <v>1</v>
      </c>
      <c r="I30" s="34"/>
      <c r="J30" s="34"/>
      <c r="K30" s="40"/>
      <c r="L30" s="34">
        <v>2</v>
      </c>
      <c r="M30" s="34">
        <v>2</v>
      </c>
      <c r="N30" s="34">
        <v>0</v>
      </c>
      <c r="O30" s="34">
        <v>0</v>
      </c>
      <c r="P30" s="40"/>
      <c r="Q30" s="34">
        <v>14</v>
      </c>
      <c r="R30" s="34">
        <v>17</v>
      </c>
      <c r="S30" s="34">
        <v>24</v>
      </c>
      <c r="T30" s="34">
        <v>6</v>
      </c>
      <c r="U30" s="40"/>
      <c r="V30" s="34">
        <v>1</v>
      </c>
      <c r="W30" s="34">
        <v>1</v>
      </c>
      <c r="X30" s="34">
        <v>0</v>
      </c>
      <c r="Y30" s="34">
        <v>1</v>
      </c>
      <c r="Z30" s="34"/>
      <c r="AA30" s="34">
        <f t="shared" si="0"/>
        <v>23</v>
      </c>
      <c r="AB30" s="38">
        <f t="shared" si="1"/>
        <v>1.458550678115721E-2</v>
      </c>
      <c r="AC30" s="38">
        <f t="shared" si="2"/>
        <v>0.47826086956521741</v>
      </c>
    </row>
    <row r="31" spans="1:29" x14ac:dyDescent="0.25">
      <c r="A31" t="s">
        <v>77</v>
      </c>
      <c r="B31" s="34">
        <v>1</v>
      </c>
      <c r="C31" s="34">
        <v>3</v>
      </c>
      <c r="D31" s="34">
        <v>6</v>
      </c>
      <c r="E31" s="34">
        <v>0</v>
      </c>
      <c r="F31" s="40"/>
      <c r="G31" s="34">
        <v>1</v>
      </c>
      <c r="H31" s="34">
        <v>1</v>
      </c>
      <c r="I31" s="34">
        <v>0</v>
      </c>
      <c r="J31" s="34">
        <v>0</v>
      </c>
      <c r="K31" s="40"/>
      <c r="L31" s="34"/>
      <c r="M31" s="34">
        <v>1</v>
      </c>
      <c r="N31" s="34"/>
      <c r="O31" s="34"/>
      <c r="P31" s="40"/>
      <c r="Q31" s="34">
        <v>11</v>
      </c>
      <c r="R31" s="34">
        <v>122</v>
      </c>
      <c r="S31" s="34">
        <v>226</v>
      </c>
      <c r="T31" s="34">
        <v>4</v>
      </c>
      <c r="U31" s="40"/>
      <c r="V31" s="34">
        <v>3</v>
      </c>
      <c r="W31" s="34">
        <v>30</v>
      </c>
      <c r="X31" s="34">
        <v>30</v>
      </c>
      <c r="Y31" s="34">
        <v>1</v>
      </c>
      <c r="Z31" s="34"/>
      <c r="AA31" s="34">
        <f t="shared" si="0"/>
        <v>16</v>
      </c>
      <c r="AB31" s="38">
        <f t="shared" si="1"/>
        <v>1.4112226869143204E-2</v>
      </c>
      <c r="AC31" s="38">
        <f t="shared" si="2"/>
        <v>0.3125</v>
      </c>
    </row>
    <row r="32" spans="1:29" x14ac:dyDescent="0.25">
      <c r="A32" t="s">
        <v>23</v>
      </c>
      <c r="B32" s="34">
        <v>1</v>
      </c>
      <c r="C32" s="34">
        <v>7</v>
      </c>
      <c r="D32" s="34">
        <v>1</v>
      </c>
      <c r="E32" s="34">
        <v>1</v>
      </c>
      <c r="F32" s="40"/>
      <c r="G32" s="34"/>
      <c r="H32" s="34">
        <v>1</v>
      </c>
      <c r="I32" s="34"/>
      <c r="J32" s="34"/>
      <c r="K32" s="40"/>
      <c r="L32" s="34">
        <v>11</v>
      </c>
      <c r="M32" s="34">
        <v>121</v>
      </c>
      <c r="N32" s="34">
        <v>314</v>
      </c>
      <c r="O32" s="34">
        <v>5</v>
      </c>
      <c r="P32" s="40"/>
      <c r="Q32" s="34"/>
      <c r="R32" s="34">
        <v>1</v>
      </c>
      <c r="S32" s="34"/>
      <c r="T32" s="34"/>
      <c r="U32" s="40"/>
      <c r="V32" s="34"/>
      <c r="W32" s="34">
        <v>1</v>
      </c>
      <c r="X32" s="34"/>
      <c r="Y32" s="34"/>
      <c r="Z32" s="34"/>
      <c r="AA32" s="34">
        <f t="shared" si="0"/>
        <v>12</v>
      </c>
      <c r="AB32" s="38">
        <f t="shared" si="1"/>
        <v>1.3877323222480111E-2</v>
      </c>
      <c r="AC32" s="38">
        <f t="shared" si="2"/>
        <v>0.5</v>
      </c>
    </row>
    <row r="33" spans="1:29" x14ac:dyDescent="0.25">
      <c r="A33" t="s">
        <v>113</v>
      </c>
      <c r="B33" s="34"/>
      <c r="C33" s="34">
        <v>1</v>
      </c>
      <c r="D33" s="34"/>
      <c r="E33" s="34"/>
      <c r="F33" s="40"/>
      <c r="G33" s="34">
        <v>11</v>
      </c>
      <c r="H33" s="34">
        <v>107</v>
      </c>
      <c r="I33" s="34">
        <v>247</v>
      </c>
      <c r="J33" s="34">
        <v>8</v>
      </c>
      <c r="K33" s="40"/>
      <c r="L33" s="34">
        <v>2</v>
      </c>
      <c r="M33" s="34">
        <v>10</v>
      </c>
      <c r="N33" s="34">
        <v>1</v>
      </c>
      <c r="O33" s="34">
        <v>1</v>
      </c>
      <c r="P33" s="40"/>
      <c r="Q33" s="34"/>
      <c r="R33" s="34">
        <v>1</v>
      </c>
      <c r="S33" s="34"/>
      <c r="T33" s="34"/>
      <c r="U33" s="40"/>
      <c r="V33" s="34"/>
      <c r="W33" s="34">
        <v>1</v>
      </c>
      <c r="X33" s="34"/>
      <c r="Y33" s="34"/>
      <c r="Z33" s="34"/>
      <c r="AA33" s="34">
        <f t="shared" si="0"/>
        <v>13</v>
      </c>
      <c r="AB33" s="38">
        <f t="shared" si="1"/>
        <v>1.3162525021993856E-2</v>
      </c>
      <c r="AC33" s="38">
        <f t="shared" si="2"/>
        <v>0.69230769230769229</v>
      </c>
    </row>
    <row r="34" spans="1:29" x14ac:dyDescent="0.25">
      <c r="A34" t="s">
        <v>122</v>
      </c>
      <c r="B34" s="34">
        <v>3</v>
      </c>
      <c r="C34" s="34">
        <v>31</v>
      </c>
      <c r="D34" s="34">
        <v>39</v>
      </c>
      <c r="E34" s="34">
        <v>1</v>
      </c>
      <c r="F34" s="40"/>
      <c r="G34" s="34">
        <v>1</v>
      </c>
      <c r="H34" s="34">
        <v>2</v>
      </c>
      <c r="I34" s="34">
        <v>2</v>
      </c>
      <c r="J34" s="34">
        <v>1</v>
      </c>
      <c r="K34" s="40"/>
      <c r="L34" s="34">
        <v>8</v>
      </c>
      <c r="M34" s="34">
        <v>19</v>
      </c>
      <c r="N34" s="34">
        <v>5</v>
      </c>
      <c r="O34" s="34">
        <v>1</v>
      </c>
      <c r="P34" s="40"/>
      <c r="Q34" s="34">
        <v>5</v>
      </c>
      <c r="R34" s="34">
        <v>5</v>
      </c>
      <c r="S34" s="34">
        <v>3</v>
      </c>
      <c r="T34" s="34">
        <v>3</v>
      </c>
      <c r="U34" s="40"/>
      <c r="V34" s="34">
        <v>9</v>
      </c>
      <c r="W34" s="34">
        <v>9</v>
      </c>
      <c r="X34" s="34">
        <v>0</v>
      </c>
      <c r="Y34" s="34">
        <v>7</v>
      </c>
      <c r="Z34" s="34"/>
      <c r="AA34" s="34">
        <f t="shared" si="0"/>
        <v>26</v>
      </c>
      <c r="AB34" s="38">
        <f t="shared" si="1"/>
        <v>1.2237195329564061E-2</v>
      </c>
      <c r="AC34" s="38">
        <f t="shared" si="2"/>
        <v>0.5</v>
      </c>
    </row>
    <row r="35" spans="1:29" x14ac:dyDescent="0.25">
      <c r="A35" t="s">
        <v>123</v>
      </c>
      <c r="B35" s="34">
        <v>21</v>
      </c>
      <c r="C35" s="34">
        <v>27</v>
      </c>
      <c r="D35" s="34">
        <v>9</v>
      </c>
      <c r="E35" s="34">
        <v>11</v>
      </c>
      <c r="F35" s="40"/>
      <c r="G35" s="34">
        <v>4</v>
      </c>
      <c r="H35" s="34">
        <v>6</v>
      </c>
      <c r="I35" s="34">
        <v>1</v>
      </c>
      <c r="J35" s="34">
        <v>3</v>
      </c>
      <c r="K35" s="40"/>
      <c r="L35" s="34"/>
      <c r="M35" s="34">
        <v>1</v>
      </c>
      <c r="N35" s="34"/>
      <c r="O35" s="34"/>
      <c r="P35" s="40"/>
      <c r="Q35" s="34">
        <v>2</v>
      </c>
      <c r="R35" s="34">
        <v>6</v>
      </c>
      <c r="S35" s="34">
        <v>2</v>
      </c>
      <c r="T35" s="34">
        <v>2</v>
      </c>
      <c r="U35" s="40"/>
      <c r="V35" s="34"/>
      <c r="W35" s="34">
        <v>1</v>
      </c>
      <c r="X35" s="34"/>
      <c r="Y35" s="34"/>
      <c r="Z35" s="34"/>
      <c r="AA35" s="34">
        <f t="shared" ref="AA35:AA67" si="3">B35+G35+L35+Q35+V35</f>
        <v>27</v>
      </c>
      <c r="AB35" s="38">
        <f t="shared" ref="AB35:AB66" si="4">(AA35+(B35/C35*D35+G35/H35*I35+L35/M35*N35+Q35/R35*S35+V35/W35*X35))/($D$1+$I$1+$N$1+$S$1+$X$1)</f>
        <v>1.205093224192815E-2</v>
      </c>
      <c r="AC35" s="38">
        <f t="shared" ref="AC35:AC67" si="5">(E35+J35+O35+T35+Y35)/(AA35)</f>
        <v>0.59259259259259256</v>
      </c>
    </row>
    <row r="36" spans="1:29" x14ac:dyDescent="0.25">
      <c r="A36" t="s">
        <v>149</v>
      </c>
      <c r="B36" s="34"/>
      <c r="C36" s="34">
        <v>1</v>
      </c>
      <c r="D36" s="34"/>
      <c r="E36" s="34"/>
      <c r="F36" s="40"/>
      <c r="G36" s="34">
        <v>7</v>
      </c>
      <c r="H36" s="34">
        <v>29</v>
      </c>
      <c r="I36" s="34">
        <v>61</v>
      </c>
      <c r="J36" s="34">
        <v>4</v>
      </c>
      <c r="K36" s="40"/>
      <c r="L36" s="34">
        <v>4</v>
      </c>
      <c r="M36" s="34">
        <v>148</v>
      </c>
      <c r="N36" s="34">
        <v>338</v>
      </c>
      <c r="O36" s="34">
        <v>3</v>
      </c>
      <c r="P36" s="40"/>
      <c r="Q36" s="34"/>
      <c r="R36" s="34">
        <v>1</v>
      </c>
      <c r="S36" s="34"/>
      <c r="T36" s="34"/>
      <c r="U36" s="40"/>
      <c r="V36" s="34"/>
      <c r="W36" s="34">
        <v>1</v>
      </c>
      <c r="X36" s="34"/>
      <c r="Y36" s="34"/>
      <c r="Z36" s="34"/>
      <c r="AA36" s="34">
        <f t="shared" si="3"/>
        <v>11</v>
      </c>
      <c r="AB36" s="38">
        <f t="shared" si="4"/>
        <v>1.1889247294055123E-2</v>
      </c>
      <c r="AC36" s="38">
        <f t="shared" si="5"/>
        <v>0.63636363636363635</v>
      </c>
    </row>
    <row r="37" spans="1:29" x14ac:dyDescent="0.25">
      <c r="A37" t="s">
        <v>180</v>
      </c>
      <c r="B37" s="34">
        <v>12</v>
      </c>
      <c r="C37" s="34">
        <v>12</v>
      </c>
      <c r="D37" s="34">
        <v>4</v>
      </c>
      <c r="E37" s="34">
        <v>6</v>
      </c>
      <c r="F37" s="40"/>
      <c r="G37" s="34">
        <v>9</v>
      </c>
      <c r="H37" s="34">
        <v>9</v>
      </c>
      <c r="I37" s="34">
        <v>1</v>
      </c>
      <c r="J37" s="34">
        <v>1</v>
      </c>
      <c r="K37" s="40"/>
      <c r="L37" s="34">
        <v>1</v>
      </c>
      <c r="M37" s="34">
        <v>1</v>
      </c>
      <c r="N37" s="34">
        <v>0</v>
      </c>
      <c r="O37" s="34">
        <v>1</v>
      </c>
      <c r="P37" s="40"/>
      <c r="Q37" s="34">
        <v>3</v>
      </c>
      <c r="R37" s="34">
        <v>3</v>
      </c>
      <c r="S37" s="34">
        <v>0</v>
      </c>
      <c r="T37" s="34">
        <v>1</v>
      </c>
      <c r="U37" s="40"/>
      <c r="V37" s="34">
        <v>1</v>
      </c>
      <c r="W37" s="34">
        <v>1</v>
      </c>
      <c r="X37" s="34">
        <v>0</v>
      </c>
      <c r="Y37" s="34">
        <v>0</v>
      </c>
      <c r="Z37" s="34"/>
      <c r="AA37" s="34">
        <f t="shared" si="3"/>
        <v>26</v>
      </c>
      <c r="AB37" s="38">
        <f t="shared" si="4"/>
        <v>1.0572987721691678E-2</v>
      </c>
      <c r="AC37" s="38">
        <f t="shared" si="5"/>
        <v>0.34615384615384615</v>
      </c>
    </row>
    <row r="38" spans="1:29" x14ac:dyDescent="0.25">
      <c r="A38" t="s">
        <v>14</v>
      </c>
      <c r="B38" s="34"/>
      <c r="C38" s="34">
        <v>1</v>
      </c>
      <c r="D38" s="34"/>
      <c r="E38" s="34"/>
      <c r="F38" s="40"/>
      <c r="G38" s="34"/>
      <c r="H38" s="34">
        <v>1</v>
      </c>
      <c r="I38" s="34"/>
      <c r="J38" s="34"/>
      <c r="K38" s="40"/>
      <c r="L38" s="34">
        <v>25</v>
      </c>
      <c r="M38" s="34">
        <v>41</v>
      </c>
      <c r="N38" s="34">
        <v>6</v>
      </c>
      <c r="O38" s="34">
        <v>21</v>
      </c>
      <c r="P38" s="40"/>
      <c r="Q38" s="34">
        <v>1</v>
      </c>
      <c r="R38" s="34">
        <v>60</v>
      </c>
      <c r="S38" s="34">
        <v>44</v>
      </c>
      <c r="T38" s="34">
        <v>0</v>
      </c>
      <c r="U38" s="40"/>
      <c r="V38" s="34"/>
      <c r="W38" s="34">
        <v>1</v>
      </c>
      <c r="X38" s="34"/>
      <c r="Y38" s="34"/>
      <c r="Z38" s="34"/>
      <c r="AA38" s="34">
        <f t="shared" si="3"/>
        <v>26</v>
      </c>
      <c r="AB38" s="38">
        <f t="shared" si="4"/>
        <v>1.0365576370634101E-2</v>
      </c>
      <c r="AC38" s="38">
        <f t="shared" si="5"/>
        <v>0.80769230769230771</v>
      </c>
    </row>
    <row r="39" spans="1:29" x14ac:dyDescent="0.25">
      <c r="A39" t="s">
        <v>10</v>
      </c>
      <c r="B39" s="34">
        <v>8</v>
      </c>
      <c r="C39" s="34">
        <v>108</v>
      </c>
      <c r="D39" s="34">
        <v>38</v>
      </c>
      <c r="E39" s="34">
        <v>5</v>
      </c>
      <c r="F39" s="40"/>
      <c r="G39" s="34">
        <v>1</v>
      </c>
      <c r="H39" s="34">
        <v>118</v>
      </c>
      <c r="I39" s="34">
        <v>77</v>
      </c>
      <c r="J39" s="34">
        <v>1</v>
      </c>
      <c r="K39" s="40"/>
      <c r="L39" s="34"/>
      <c r="M39" s="34">
        <v>1</v>
      </c>
      <c r="N39" s="34"/>
      <c r="O39" s="34"/>
      <c r="P39" s="40"/>
      <c r="Q39" s="34">
        <v>9</v>
      </c>
      <c r="R39" s="34">
        <v>32</v>
      </c>
      <c r="S39" s="34">
        <v>12</v>
      </c>
      <c r="T39" s="34">
        <v>5</v>
      </c>
      <c r="U39" s="40"/>
      <c r="V39" s="34"/>
      <c r="W39" s="34">
        <v>1</v>
      </c>
      <c r="X39" s="34"/>
      <c r="Y39" s="34"/>
      <c r="Z39" s="34"/>
      <c r="AA39" s="34">
        <f t="shared" si="3"/>
        <v>18</v>
      </c>
      <c r="AB39" s="38">
        <f t="shared" si="4"/>
        <v>8.4728366943029234E-3</v>
      </c>
      <c r="AC39" s="38">
        <f t="shared" si="5"/>
        <v>0.61111111111111116</v>
      </c>
    </row>
    <row r="40" spans="1:29" x14ac:dyDescent="0.25">
      <c r="A40" t="s">
        <v>19</v>
      </c>
      <c r="B40" s="34">
        <v>1</v>
      </c>
      <c r="C40" s="34">
        <v>58</v>
      </c>
      <c r="D40" s="34">
        <v>44</v>
      </c>
      <c r="E40" s="34">
        <v>0</v>
      </c>
      <c r="F40" s="40"/>
      <c r="G40" s="34"/>
      <c r="H40" s="34">
        <v>1</v>
      </c>
      <c r="I40" s="34"/>
      <c r="J40" s="34"/>
      <c r="K40" s="40"/>
      <c r="L40" s="34">
        <v>4</v>
      </c>
      <c r="M40" s="34">
        <v>38</v>
      </c>
      <c r="N40" s="34">
        <v>26</v>
      </c>
      <c r="O40" s="34">
        <v>1</v>
      </c>
      <c r="P40" s="40"/>
      <c r="Q40" s="34">
        <v>3</v>
      </c>
      <c r="R40" s="34">
        <v>34</v>
      </c>
      <c r="S40" s="34">
        <v>18</v>
      </c>
      <c r="T40" s="34">
        <v>2</v>
      </c>
      <c r="U40" s="40"/>
      <c r="V40" s="34"/>
      <c r="W40" s="34">
        <v>1</v>
      </c>
      <c r="X40" s="34"/>
      <c r="Y40" s="34"/>
      <c r="Z40" s="34"/>
      <c r="AA40" s="34">
        <f t="shared" si="3"/>
        <v>8</v>
      </c>
      <c r="AB40" s="38">
        <f t="shared" si="4"/>
        <v>4.4623799757967176E-3</v>
      </c>
      <c r="AC40" s="38">
        <f t="shared" si="5"/>
        <v>0.375</v>
      </c>
    </row>
    <row r="41" spans="1:29" x14ac:dyDescent="0.25">
      <c r="A41" t="s">
        <v>127</v>
      </c>
      <c r="B41" s="34">
        <v>6</v>
      </c>
      <c r="C41" s="34">
        <v>11</v>
      </c>
      <c r="D41" s="34">
        <v>3</v>
      </c>
      <c r="E41" s="34">
        <v>2</v>
      </c>
      <c r="F41" s="40"/>
      <c r="G41" s="34">
        <v>2</v>
      </c>
      <c r="H41" s="34">
        <v>2</v>
      </c>
      <c r="I41" s="34">
        <v>1</v>
      </c>
      <c r="J41" s="34">
        <v>0</v>
      </c>
      <c r="K41" s="40"/>
      <c r="L41" s="34">
        <v>1</v>
      </c>
      <c r="M41" s="34">
        <v>1</v>
      </c>
      <c r="N41" s="34">
        <v>0</v>
      </c>
      <c r="O41" s="34">
        <v>0</v>
      </c>
      <c r="P41" s="40"/>
      <c r="Q41" s="34"/>
      <c r="R41" s="34">
        <v>1</v>
      </c>
      <c r="S41" s="34"/>
      <c r="T41" s="34"/>
      <c r="U41" s="40"/>
      <c r="V41" s="34"/>
      <c r="W41" s="34">
        <v>1</v>
      </c>
      <c r="X41" s="34"/>
      <c r="Y41" s="34"/>
      <c r="Z41" s="34"/>
      <c r="AA41" s="34">
        <f t="shared" si="3"/>
        <v>9</v>
      </c>
      <c r="AB41" s="38">
        <f t="shared" si="4"/>
        <v>3.9687461242713627E-3</v>
      </c>
      <c r="AC41" s="38">
        <f t="shared" si="5"/>
        <v>0.22222222222222221</v>
      </c>
    </row>
    <row r="42" spans="1:29" x14ac:dyDescent="0.25">
      <c r="A42" t="s">
        <v>185</v>
      </c>
      <c r="B42" s="34">
        <v>4</v>
      </c>
      <c r="C42" s="34">
        <v>4</v>
      </c>
      <c r="D42" s="34">
        <v>1</v>
      </c>
      <c r="E42" s="34">
        <v>1</v>
      </c>
      <c r="F42" s="40"/>
      <c r="G42" s="34">
        <v>1</v>
      </c>
      <c r="H42" s="34">
        <v>1</v>
      </c>
      <c r="I42" s="34">
        <v>0</v>
      </c>
      <c r="J42" s="34">
        <v>1</v>
      </c>
      <c r="K42" s="40"/>
      <c r="L42" s="34">
        <v>2</v>
      </c>
      <c r="M42" s="34">
        <v>2</v>
      </c>
      <c r="N42" s="34">
        <v>0</v>
      </c>
      <c r="O42" s="34">
        <v>1</v>
      </c>
      <c r="P42" s="40"/>
      <c r="Q42" s="34">
        <v>3</v>
      </c>
      <c r="R42" s="34">
        <v>3</v>
      </c>
      <c r="S42" s="34">
        <v>0</v>
      </c>
      <c r="T42" s="34">
        <v>1</v>
      </c>
      <c r="U42" s="40"/>
      <c r="V42" s="34"/>
      <c r="W42" s="34">
        <v>1</v>
      </c>
      <c r="X42" s="34"/>
      <c r="Y42" s="34"/>
      <c r="Z42" s="34"/>
      <c r="AA42" s="34">
        <f t="shared" si="3"/>
        <v>10</v>
      </c>
      <c r="AB42" s="38">
        <f t="shared" si="4"/>
        <v>3.751705320600273E-3</v>
      </c>
      <c r="AC42" s="38">
        <f t="shared" si="5"/>
        <v>0.4</v>
      </c>
    </row>
    <row r="43" spans="1:29" x14ac:dyDescent="0.25">
      <c r="A43" t="s">
        <v>118</v>
      </c>
      <c r="B43" s="34"/>
      <c r="C43" s="34">
        <v>1</v>
      </c>
      <c r="D43" s="34"/>
      <c r="E43" s="34"/>
      <c r="F43" s="40"/>
      <c r="G43" s="34"/>
      <c r="H43" s="34">
        <v>1</v>
      </c>
      <c r="I43" s="34"/>
      <c r="J43" s="34"/>
      <c r="K43" s="40"/>
      <c r="L43" s="34">
        <v>6</v>
      </c>
      <c r="M43" s="34">
        <v>54</v>
      </c>
      <c r="N43" s="34">
        <v>42</v>
      </c>
      <c r="O43" s="34">
        <v>5</v>
      </c>
      <c r="P43" s="40"/>
      <c r="Q43" s="34"/>
      <c r="R43" s="34">
        <v>1</v>
      </c>
      <c r="S43" s="34"/>
      <c r="T43" s="34"/>
      <c r="U43" s="40"/>
      <c r="V43" s="34"/>
      <c r="W43" s="34">
        <v>1</v>
      </c>
      <c r="X43" s="34"/>
      <c r="Y43" s="34"/>
      <c r="Z43" s="34"/>
      <c r="AA43" s="34">
        <f t="shared" si="3"/>
        <v>6</v>
      </c>
      <c r="AB43" s="38">
        <f t="shared" si="4"/>
        <v>3.6380172805820826E-3</v>
      </c>
      <c r="AC43" s="38">
        <f t="shared" si="5"/>
        <v>0.83333333333333337</v>
      </c>
    </row>
    <row r="44" spans="1:29" x14ac:dyDescent="0.25">
      <c r="A44" t="s">
        <v>112</v>
      </c>
      <c r="B44" s="34">
        <v>2</v>
      </c>
      <c r="C44" s="34">
        <v>63</v>
      </c>
      <c r="D44" s="34">
        <v>35</v>
      </c>
      <c r="E44" s="34">
        <v>0</v>
      </c>
      <c r="F44" s="40"/>
      <c r="G44" s="34">
        <v>2</v>
      </c>
      <c r="H44" s="34">
        <v>8</v>
      </c>
      <c r="I44" s="34">
        <v>4</v>
      </c>
      <c r="J44" s="34">
        <v>0</v>
      </c>
      <c r="K44" s="40"/>
      <c r="L44" s="34">
        <v>1</v>
      </c>
      <c r="M44" s="34">
        <v>12</v>
      </c>
      <c r="N44" s="34">
        <v>3</v>
      </c>
      <c r="O44" s="34">
        <v>1</v>
      </c>
      <c r="P44" s="40"/>
      <c r="Q44" s="34">
        <v>2</v>
      </c>
      <c r="R44" s="34">
        <v>113</v>
      </c>
      <c r="S44" s="34">
        <v>70</v>
      </c>
      <c r="T44" s="34">
        <v>2</v>
      </c>
      <c r="U44" s="40"/>
      <c r="V44" s="34"/>
      <c r="W44" s="34">
        <v>1</v>
      </c>
      <c r="X44" s="34"/>
      <c r="Y44" s="34"/>
      <c r="Z44" s="34"/>
      <c r="AA44" s="34">
        <f t="shared" si="3"/>
        <v>7</v>
      </c>
      <c r="AB44" s="38">
        <f t="shared" si="4"/>
        <v>3.6152964407259402E-3</v>
      </c>
      <c r="AC44" s="38">
        <f t="shared" si="5"/>
        <v>0.42857142857142855</v>
      </c>
    </row>
    <row r="45" spans="1:29" x14ac:dyDescent="0.25">
      <c r="A45" t="s">
        <v>78</v>
      </c>
      <c r="B45" s="34">
        <v>4</v>
      </c>
      <c r="C45" s="34">
        <v>9</v>
      </c>
      <c r="D45" s="34">
        <v>2</v>
      </c>
      <c r="E45" s="34">
        <v>1</v>
      </c>
      <c r="F45" s="40"/>
      <c r="G45" s="34">
        <v>2</v>
      </c>
      <c r="H45" s="34">
        <v>2</v>
      </c>
      <c r="I45" s="34">
        <v>0</v>
      </c>
      <c r="J45" s="34">
        <v>0</v>
      </c>
      <c r="K45" s="40"/>
      <c r="L45" s="34"/>
      <c r="M45" s="34">
        <v>1</v>
      </c>
      <c r="N45" s="34"/>
      <c r="O45" s="34"/>
      <c r="P45" s="40"/>
      <c r="Q45" s="34">
        <v>3</v>
      </c>
      <c r="R45" s="34">
        <v>6</v>
      </c>
      <c r="S45" s="34">
        <v>1</v>
      </c>
      <c r="T45" s="34">
        <v>1</v>
      </c>
      <c r="U45" s="40"/>
      <c r="V45" s="34"/>
      <c r="W45" s="34">
        <v>1</v>
      </c>
      <c r="X45" s="34"/>
      <c r="Y45" s="34"/>
      <c r="Z45" s="34"/>
      <c r="AA45" s="34">
        <f t="shared" si="3"/>
        <v>9</v>
      </c>
      <c r="AB45" s="38">
        <f t="shared" si="4"/>
        <v>3.5432772472335913E-3</v>
      </c>
      <c r="AC45" s="38">
        <f t="shared" si="5"/>
        <v>0.22222222222222221</v>
      </c>
    </row>
    <row r="46" spans="1:29" x14ac:dyDescent="0.25">
      <c r="A46" t="s">
        <v>45</v>
      </c>
      <c r="B46" s="34">
        <v>3</v>
      </c>
      <c r="C46" s="34">
        <v>60</v>
      </c>
      <c r="D46" s="34">
        <v>60</v>
      </c>
      <c r="E46" s="34">
        <v>1</v>
      </c>
      <c r="F46" s="40"/>
      <c r="G46" s="34">
        <v>2</v>
      </c>
      <c r="H46" s="34">
        <v>45</v>
      </c>
      <c r="I46" s="34">
        <v>51</v>
      </c>
      <c r="J46" s="34">
        <v>2</v>
      </c>
      <c r="K46" s="40"/>
      <c r="L46" s="34"/>
      <c r="M46" s="34">
        <v>1</v>
      </c>
      <c r="N46" s="34"/>
      <c r="O46" s="34"/>
      <c r="P46" s="40"/>
      <c r="Q46" s="34"/>
      <c r="R46" s="34">
        <v>1</v>
      </c>
      <c r="S46" s="34"/>
      <c r="T46" s="34"/>
      <c r="U46" s="40"/>
      <c r="V46" s="34"/>
      <c r="W46" s="34">
        <v>1</v>
      </c>
      <c r="X46" s="34"/>
      <c r="Y46" s="34"/>
      <c r="Z46" s="34"/>
      <c r="AA46" s="34">
        <f t="shared" si="3"/>
        <v>5</v>
      </c>
      <c r="AB46" s="38">
        <f t="shared" si="4"/>
        <v>3.5015916325602543E-3</v>
      </c>
      <c r="AC46" s="38">
        <f t="shared" si="5"/>
        <v>0.6</v>
      </c>
    </row>
    <row r="47" spans="1:29" x14ac:dyDescent="0.25">
      <c r="A47" t="s">
        <v>26</v>
      </c>
      <c r="B47" s="34">
        <v>2</v>
      </c>
      <c r="C47" s="34">
        <v>123</v>
      </c>
      <c r="D47" s="34">
        <v>97</v>
      </c>
      <c r="E47" s="34">
        <v>1</v>
      </c>
      <c r="F47" s="40"/>
      <c r="G47" s="34"/>
      <c r="H47" s="34">
        <v>1</v>
      </c>
      <c r="I47" s="34"/>
      <c r="J47" s="34"/>
      <c r="K47" s="40"/>
      <c r="L47" s="34">
        <v>3</v>
      </c>
      <c r="M47" s="34">
        <v>226</v>
      </c>
      <c r="N47" s="34">
        <v>209</v>
      </c>
      <c r="O47" s="34">
        <v>2</v>
      </c>
      <c r="P47" s="40"/>
      <c r="Q47" s="34"/>
      <c r="R47" s="34">
        <v>1</v>
      </c>
      <c r="S47" s="34"/>
      <c r="T47" s="34"/>
      <c r="U47" s="40"/>
      <c r="V47" s="34"/>
      <c r="W47" s="34">
        <v>1</v>
      </c>
      <c r="X47" s="34"/>
      <c r="Y47" s="34"/>
      <c r="Z47" s="34"/>
      <c r="AA47" s="34">
        <f t="shared" si="3"/>
        <v>5</v>
      </c>
      <c r="AB47" s="38">
        <f t="shared" si="4"/>
        <v>3.1894856942508744E-3</v>
      </c>
      <c r="AC47" s="38">
        <f t="shared" si="5"/>
        <v>0.6</v>
      </c>
    </row>
    <row r="48" spans="1:29" x14ac:dyDescent="0.25">
      <c r="A48" t="s">
        <v>187</v>
      </c>
      <c r="B48" s="34">
        <v>3</v>
      </c>
      <c r="C48" s="34">
        <v>3</v>
      </c>
      <c r="D48" s="34">
        <v>0</v>
      </c>
      <c r="E48" s="34">
        <v>1</v>
      </c>
      <c r="F48" s="40"/>
      <c r="G48" s="34">
        <v>4</v>
      </c>
      <c r="H48" s="34">
        <v>4</v>
      </c>
      <c r="I48" s="34">
        <v>0</v>
      </c>
      <c r="J48" s="34">
        <v>2</v>
      </c>
      <c r="K48" s="40"/>
      <c r="L48" s="34">
        <v>1</v>
      </c>
      <c r="M48" s="34">
        <v>1</v>
      </c>
      <c r="N48" s="34">
        <v>0</v>
      </c>
      <c r="O48" s="34">
        <v>0</v>
      </c>
      <c r="P48" s="40"/>
      <c r="Q48" s="34"/>
      <c r="R48" s="34">
        <v>1</v>
      </c>
      <c r="S48" s="34"/>
      <c r="T48" s="34"/>
      <c r="U48" s="40"/>
      <c r="V48" s="34">
        <v>1</v>
      </c>
      <c r="W48" s="34">
        <v>1</v>
      </c>
      <c r="X48" s="34">
        <v>0</v>
      </c>
      <c r="Y48" s="34">
        <v>1</v>
      </c>
      <c r="Z48" s="34"/>
      <c r="AA48" s="34">
        <f t="shared" si="3"/>
        <v>9</v>
      </c>
      <c r="AB48" s="38">
        <f t="shared" si="4"/>
        <v>3.0695770804911324E-3</v>
      </c>
      <c r="AC48" s="38">
        <f t="shared" si="5"/>
        <v>0.44444444444444442</v>
      </c>
    </row>
    <row r="49" spans="1:29" x14ac:dyDescent="0.25">
      <c r="A49" t="s">
        <v>190</v>
      </c>
      <c r="B49" s="34">
        <v>1</v>
      </c>
      <c r="C49" s="34">
        <v>1</v>
      </c>
      <c r="D49" s="34">
        <v>1</v>
      </c>
      <c r="E49" s="34">
        <v>1</v>
      </c>
      <c r="F49" s="40"/>
      <c r="G49" s="34">
        <v>3</v>
      </c>
      <c r="H49" s="34">
        <v>3</v>
      </c>
      <c r="I49" s="34">
        <v>0</v>
      </c>
      <c r="J49" s="34">
        <v>2</v>
      </c>
      <c r="K49" s="40"/>
      <c r="L49" s="34"/>
      <c r="M49" s="34">
        <v>1</v>
      </c>
      <c r="N49" s="34"/>
      <c r="O49" s="34"/>
      <c r="P49" s="40"/>
      <c r="Q49" s="34">
        <v>2</v>
      </c>
      <c r="R49" s="34">
        <v>2</v>
      </c>
      <c r="S49" s="34">
        <v>0</v>
      </c>
      <c r="T49" s="34">
        <v>1</v>
      </c>
      <c r="U49" s="40"/>
      <c r="V49" s="34"/>
      <c r="W49" s="34">
        <v>1</v>
      </c>
      <c r="X49" s="34"/>
      <c r="Y49" s="34"/>
      <c r="Z49" s="34"/>
      <c r="AA49" s="34">
        <f t="shared" si="3"/>
        <v>6</v>
      </c>
      <c r="AB49" s="38">
        <f t="shared" si="4"/>
        <v>2.3874488403819918E-3</v>
      </c>
      <c r="AC49" s="38">
        <f t="shared" si="5"/>
        <v>0.66666666666666663</v>
      </c>
    </row>
    <row r="50" spans="1:29" x14ac:dyDescent="0.25">
      <c r="A50" t="s">
        <v>189</v>
      </c>
      <c r="B50" s="34">
        <v>3</v>
      </c>
      <c r="C50" s="34">
        <v>6</v>
      </c>
      <c r="D50" s="34">
        <v>4</v>
      </c>
      <c r="E50" s="34">
        <v>3</v>
      </c>
      <c r="F50" s="40"/>
      <c r="G50" s="34">
        <v>2</v>
      </c>
      <c r="H50" s="34">
        <v>2</v>
      </c>
      <c r="I50" s="34">
        <v>0</v>
      </c>
      <c r="J50" s="34">
        <v>1</v>
      </c>
      <c r="K50" s="40"/>
      <c r="L50" s="34"/>
      <c r="M50" s="34">
        <v>1</v>
      </c>
      <c r="N50" s="34"/>
      <c r="O50" s="34"/>
      <c r="P50" s="40"/>
      <c r="Q50" s="34"/>
      <c r="R50" s="34">
        <v>1</v>
      </c>
      <c r="S50" s="34"/>
      <c r="T50" s="34"/>
      <c r="U50" s="40"/>
      <c r="V50" s="34"/>
      <c r="W50" s="34">
        <v>1</v>
      </c>
      <c r="X50" s="34"/>
      <c r="Y50" s="34"/>
      <c r="Z50" s="34"/>
      <c r="AA50" s="34">
        <f t="shared" si="3"/>
        <v>5</v>
      </c>
      <c r="AB50" s="38">
        <f t="shared" si="4"/>
        <v>2.3874488403819918E-3</v>
      </c>
      <c r="AC50" s="38">
        <f t="shared" si="5"/>
        <v>0.8</v>
      </c>
    </row>
    <row r="51" spans="1:29" x14ac:dyDescent="0.25">
      <c r="A51" t="s">
        <v>145</v>
      </c>
      <c r="B51" s="34"/>
      <c r="C51" s="34">
        <v>1</v>
      </c>
      <c r="D51" s="34"/>
      <c r="E51" s="34"/>
      <c r="F51" s="40"/>
      <c r="G51" s="34">
        <v>1</v>
      </c>
      <c r="H51" s="34">
        <v>130</v>
      </c>
      <c r="I51" s="34">
        <v>139</v>
      </c>
      <c r="J51" s="34">
        <v>1</v>
      </c>
      <c r="K51" s="40"/>
      <c r="L51" s="34">
        <v>2</v>
      </c>
      <c r="M51" s="34">
        <v>133</v>
      </c>
      <c r="N51" s="34">
        <v>148</v>
      </c>
      <c r="O51" s="34">
        <v>0</v>
      </c>
      <c r="P51" s="40"/>
      <c r="Q51" s="34"/>
      <c r="R51" s="34">
        <v>1</v>
      </c>
      <c r="S51" s="34"/>
      <c r="T51" s="34"/>
      <c r="U51" s="40"/>
      <c r="V51" s="34"/>
      <c r="W51" s="34">
        <v>1</v>
      </c>
      <c r="X51" s="34"/>
      <c r="Y51" s="34"/>
      <c r="Z51" s="34"/>
      <c r="AA51" s="34">
        <f t="shared" si="3"/>
        <v>3</v>
      </c>
      <c r="AB51" s="38">
        <f t="shared" si="4"/>
        <v>2.1469286081191013E-3</v>
      </c>
      <c r="AC51" s="38">
        <f t="shared" si="5"/>
        <v>0.33333333333333331</v>
      </c>
    </row>
    <row r="52" spans="1:29" x14ac:dyDescent="0.25">
      <c r="A52" t="s">
        <v>142</v>
      </c>
      <c r="B52" s="34"/>
      <c r="C52" s="34">
        <v>1</v>
      </c>
      <c r="D52" s="34"/>
      <c r="E52" s="34"/>
      <c r="F52" s="40"/>
      <c r="G52" s="34">
        <v>5</v>
      </c>
      <c r="H52" s="34">
        <v>24</v>
      </c>
      <c r="I52" s="34">
        <v>1</v>
      </c>
      <c r="J52" s="34">
        <v>3</v>
      </c>
      <c r="K52" s="40"/>
      <c r="L52" s="34"/>
      <c r="M52" s="34">
        <v>1</v>
      </c>
      <c r="N52" s="34"/>
      <c r="O52" s="34"/>
      <c r="P52" s="40"/>
      <c r="Q52" s="34"/>
      <c r="R52" s="34">
        <v>1</v>
      </c>
      <c r="S52" s="34"/>
      <c r="T52" s="34"/>
      <c r="U52" s="40"/>
      <c r="V52" s="34"/>
      <c r="W52" s="34">
        <v>1</v>
      </c>
      <c r="X52" s="34"/>
      <c r="Y52" s="34"/>
      <c r="Z52" s="34"/>
      <c r="AA52" s="34">
        <f t="shared" si="3"/>
        <v>5</v>
      </c>
      <c r="AB52" s="38">
        <f t="shared" si="4"/>
        <v>1.77637562528422E-3</v>
      </c>
      <c r="AC52" s="38">
        <f t="shared" si="5"/>
        <v>0.6</v>
      </c>
    </row>
    <row r="53" spans="1:29" x14ac:dyDescent="0.25">
      <c r="A53" t="s">
        <v>114</v>
      </c>
      <c r="B53" s="34"/>
      <c r="C53" s="34">
        <v>1</v>
      </c>
      <c r="D53" s="34"/>
      <c r="E53" s="34"/>
      <c r="F53" s="40"/>
      <c r="G53" s="34">
        <v>2</v>
      </c>
      <c r="H53" s="34">
        <v>36</v>
      </c>
      <c r="I53" s="34">
        <v>28</v>
      </c>
      <c r="J53" s="34">
        <v>1</v>
      </c>
      <c r="K53" s="40"/>
      <c r="L53" s="34"/>
      <c r="M53" s="34">
        <v>1</v>
      </c>
      <c r="N53" s="34"/>
      <c r="O53" s="34"/>
      <c r="P53" s="40"/>
      <c r="Q53" s="34"/>
      <c r="R53" s="34">
        <v>1</v>
      </c>
      <c r="S53" s="34"/>
      <c r="T53" s="34"/>
      <c r="U53" s="40"/>
      <c r="V53" s="34">
        <v>1</v>
      </c>
      <c r="W53" s="34">
        <v>1</v>
      </c>
      <c r="X53" s="34">
        <v>0</v>
      </c>
      <c r="Y53" s="34">
        <v>1</v>
      </c>
      <c r="Z53" s="34"/>
      <c r="AA53" s="34">
        <f t="shared" si="3"/>
        <v>3</v>
      </c>
      <c r="AB53" s="38">
        <f t="shared" si="4"/>
        <v>1.5537365469152644E-3</v>
      </c>
      <c r="AC53" s="38">
        <f t="shared" si="5"/>
        <v>0.66666666666666663</v>
      </c>
    </row>
    <row r="54" spans="1:29" x14ac:dyDescent="0.25">
      <c r="A54" t="s">
        <v>144</v>
      </c>
      <c r="B54" s="34"/>
      <c r="C54" s="34">
        <v>1</v>
      </c>
      <c r="D54" s="34"/>
      <c r="E54" s="34"/>
      <c r="F54" s="40"/>
      <c r="G54" s="34">
        <v>2</v>
      </c>
      <c r="H54" s="34">
        <v>3</v>
      </c>
      <c r="I54" s="34">
        <v>2</v>
      </c>
      <c r="J54" s="34">
        <v>0</v>
      </c>
      <c r="K54" s="40"/>
      <c r="L54" s="34"/>
      <c r="M54" s="34">
        <v>1</v>
      </c>
      <c r="N54" s="34"/>
      <c r="O54" s="34"/>
      <c r="P54" s="40"/>
      <c r="Q54" s="34"/>
      <c r="R54" s="34">
        <v>1</v>
      </c>
      <c r="S54" s="34"/>
      <c r="T54" s="34"/>
      <c r="U54" s="40"/>
      <c r="V54" s="34"/>
      <c r="W54" s="34">
        <v>1</v>
      </c>
      <c r="X54" s="34"/>
      <c r="Y54" s="34"/>
      <c r="Z54" s="34"/>
      <c r="AA54" s="34">
        <f t="shared" si="3"/>
        <v>2</v>
      </c>
      <c r="AB54" s="38">
        <f t="shared" si="4"/>
        <v>1.1368804001819007E-3</v>
      </c>
      <c r="AC54" s="38">
        <f t="shared" si="5"/>
        <v>0</v>
      </c>
    </row>
    <row r="55" spans="1:29" x14ac:dyDescent="0.25">
      <c r="A55" t="s">
        <v>195</v>
      </c>
      <c r="B55" s="34">
        <v>1</v>
      </c>
      <c r="C55" s="34">
        <v>1</v>
      </c>
      <c r="D55" s="34">
        <v>0</v>
      </c>
      <c r="E55" s="34">
        <v>1</v>
      </c>
      <c r="F55" s="40"/>
      <c r="G55" s="34"/>
      <c r="H55" s="34">
        <v>1</v>
      </c>
      <c r="I55" s="34"/>
      <c r="J55" s="34"/>
      <c r="K55" s="40"/>
      <c r="L55" s="34">
        <v>1</v>
      </c>
      <c r="M55" s="34">
        <v>43</v>
      </c>
      <c r="N55" s="34">
        <v>32</v>
      </c>
      <c r="O55" s="34">
        <v>1</v>
      </c>
      <c r="P55" s="40"/>
      <c r="Q55" s="34"/>
      <c r="R55" s="34">
        <v>1</v>
      </c>
      <c r="S55" s="34"/>
      <c r="T55" s="34"/>
      <c r="U55" s="40"/>
      <c r="V55" s="34"/>
      <c r="W55" s="34">
        <v>1</v>
      </c>
      <c r="X55" s="34"/>
      <c r="Y55" s="34"/>
      <c r="Z55" s="34"/>
      <c r="AA55" s="34">
        <f t="shared" si="3"/>
        <v>2</v>
      </c>
      <c r="AB55" s="38">
        <f t="shared" si="4"/>
        <v>9.359433992195184E-4</v>
      </c>
      <c r="AC55" s="38">
        <f t="shared" si="5"/>
        <v>1</v>
      </c>
    </row>
    <row r="56" spans="1:29" x14ac:dyDescent="0.25">
      <c r="A56" t="s">
        <v>52</v>
      </c>
      <c r="B56" s="34"/>
      <c r="C56" s="34">
        <v>1</v>
      </c>
      <c r="D56" s="34"/>
      <c r="E56" s="34"/>
      <c r="F56" s="40"/>
      <c r="G56" s="34"/>
      <c r="H56" s="34">
        <v>1</v>
      </c>
      <c r="I56" s="34"/>
      <c r="J56" s="34"/>
      <c r="K56" s="40"/>
      <c r="L56" s="34"/>
      <c r="M56" s="34">
        <v>1</v>
      </c>
      <c r="N56" s="34"/>
      <c r="O56" s="34"/>
      <c r="P56" s="40"/>
      <c r="Q56" s="34">
        <v>1</v>
      </c>
      <c r="R56" s="34">
        <v>12</v>
      </c>
      <c r="S56" s="34">
        <v>20</v>
      </c>
      <c r="T56" s="34">
        <v>0</v>
      </c>
      <c r="U56" s="40"/>
      <c r="V56" s="34"/>
      <c r="W56" s="34">
        <v>1</v>
      </c>
      <c r="X56" s="34"/>
      <c r="Y56" s="34"/>
      <c r="Z56" s="34"/>
      <c r="AA56" s="34">
        <f t="shared" si="3"/>
        <v>1</v>
      </c>
      <c r="AB56" s="38">
        <f t="shared" si="4"/>
        <v>9.0950432014552066E-4</v>
      </c>
      <c r="AC56" s="38">
        <f t="shared" si="5"/>
        <v>0</v>
      </c>
    </row>
    <row r="57" spans="1:29" x14ac:dyDescent="0.25">
      <c r="A57" t="s">
        <v>17</v>
      </c>
      <c r="B57" s="34"/>
      <c r="C57" s="34">
        <v>1</v>
      </c>
      <c r="D57" s="34"/>
      <c r="E57" s="34"/>
      <c r="F57" s="40"/>
      <c r="G57" s="34"/>
      <c r="H57" s="34">
        <v>1</v>
      </c>
      <c r="I57" s="34"/>
      <c r="J57" s="34"/>
      <c r="K57" s="40"/>
      <c r="L57" s="34">
        <v>2</v>
      </c>
      <c r="M57" s="34">
        <v>7</v>
      </c>
      <c r="N57" s="34">
        <v>0</v>
      </c>
      <c r="O57" s="34">
        <v>1</v>
      </c>
      <c r="P57" s="40"/>
      <c r="Q57" s="34"/>
      <c r="R57" s="34">
        <v>1</v>
      </c>
      <c r="S57" s="34"/>
      <c r="T57" s="34"/>
      <c r="U57" s="40"/>
      <c r="V57" s="34"/>
      <c r="W57" s="34">
        <v>1</v>
      </c>
      <c r="X57" s="34"/>
      <c r="Y57" s="34"/>
      <c r="Z57" s="34"/>
      <c r="AA57" s="34">
        <f t="shared" si="3"/>
        <v>2</v>
      </c>
      <c r="AB57" s="38">
        <f t="shared" si="4"/>
        <v>6.8212824010914052E-4</v>
      </c>
      <c r="AC57" s="38">
        <f t="shared" si="5"/>
        <v>0.5</v>
      </c>
    </row>
    <row r="58" spans="1:29" x14ac:dyDescent="0.25">
      <c r="A58" t="s">
        <v>57</v>
      </c>
      <c r="B58" s="34"/>
      <c r="C58" s="34">
        <v>1</v>
      </c>
      <c r="D58" s="34"/>
      <c r="E58" s="34"/>
      <c r="F58" s="40"/>
      <c r="G58" s="34"/>
      <c r="H58" s="34">
        <v>1</v>
      </c>
      <c r="I58" s="34"/>
      <c r="J58" s="34"/>
      <c r="K58" s="40"/>
      <c r="L58" s="34">
        <v>1</v>
      </c>
      <c r="M58" s="34">
        <v>98</v>
      </c>
      <c r="N58" s="34">
        <v>89</v>
      </c>
      <c r="O58" s="34">
        <v>0</v>
      </c>
      <c r="P58" s="40"/>
      <c r="Q58" s="34"/>
      <c r="R58" s="34">
        <v>1</v>
      </c>
      <c r="S58" s="34"/>
      <c r="T58" s="34"/>
      <c r="U58" s="40"/>
      <c r="V58" s="34"/>
      <c r="W58" s="34">
        <v>1</v>
      </c>
      <c r="X58" s="34"/>
      <c r="Y58" s="34"/>
      <c r="Z58" s="34"/>
      <c r="AA58" s="34">
        <f t="shared" si="3"/>
        <v>1</v>
      </c>
      <c r="AB58" s="38">
        <f t="shared" si="4"/>
        <v>6.5080602500208816E-4</v>
      </c>
      <c r="AC58" s="38">
        <f t="shared" si="5"/>
        <v>0</v>
      </c>
    </row>
    <row r="59" spans="1:29" x14ac:dyDescent="0.25">
      <c r="A59" t="s">
        <v>67</v>
      </c>
      <c r="B59" s="34">
        <v>1</v>
      </c>
      <c r="C59" s="34">
        <v>87</v>
      </c>
      <c r="D59" s="34">
        <v>79</v>
      </c>
      <c r="E59" s="34">
        <v>0</v>
      </c>
      <c r="F59" s="40"/>
      <c r="G59" s="34"/>
      <c r="H59" s="34">
        <v>1</v>
      </c>
      <c r="I59" s="34"/>
      <c r="J59" s="34"/>
      <c r="K59" s="40"/>
      <c r="L59" s="34"/>
      <c r="M59" s="34">
        <v>1</v>
      </c>
      <c r="N59" s="34"/>
      <c r="O59" s="34"/>
      <c r="P59" s="40"/>
      <c r="Q59" s="34"/>
      <c r="R59" s="34">
        <v>1</v>
      </c>
      <c r="S59" s="34"/>
      <c r="T59" s="34"/>
      <c r="U59" s="40"/>
      <c r="V59" s="34"/>
      <c r="W59" s="34">
        <v>1</v>
      </c>
      <c r="X59" s="34"/>
      <c r="Y59" s="34"/>
      <c r="Z59" s="34"/>
      <c r="AA59" s="34">
        <f t="shared" si="3"/>
        <v>1</v>
      </c>
      <c r="AB59" s="38">
        <f t="shared" si="4"/>
        <v>6.5076602217308812E-4</v>
      </c>
      <c r="AC59" s="38">
        <f t="shared" si="5"/>
        <v>0</v>
      </c>
    </row>
    <row r="60" spans="1:29" x14ac:dyDescent="0.25">
      <c r="A60" t="s">
        <v>128</v>
      </c>
      <c r="B60" s="34">
        <v>1</v>
      </c>
      <c r="C60" s="34">
        <v>32</v>
      </c>
      <c r="D60" s="34">
        <v>27</v>
      </c>
      <c r="E60" s="34">
        <v>0</v>
      </c>
      <c r="F60" s="40"/>
      <c r="G60" s="34"/>
      <c r="H60" s="34">
        <v>1</v>
      </c>
      <c r="I60" s="34"/>
      <c r="J60" s="34"/>
      <c r="K60" s="40"/>
      <c r="L60" s="34"/>
      <c r="M60" s="34">
        <v>1</v>
      </c>
      <c r="N60" s="34"/>
      <c r="O60" s="34"/>
      <c r="P60" s="40"/>
      <c r="Q60" s="34"/>
      <c r="R60" s="34">
        <v>1</v>
      </c>
      <c r="S60" s="34"/>
      <c r="T60" s="34"/>
      <c r="U60" s="40"/>
      <c r="V60" s="34"/>
      <c r="W60" s="34">
        <v>1</v>
      </c>
      <c r="X60" s="34"/>
      <c r="Y60" s="34"/>
      <c r="Z60" s="34"/>
      <c r="AA60" s="34">
        <f t="shared" si="3"/>
        <v>1</v>
      </c>
      <c r="AB60" s="38">
        <f t="shared" si="4"/>
        <v>6.288369713506139E-4</v>
      </c>
      <c r="AC60" s="38">
        <f t="shared" si="5"/>
        <v>0</v>
      </c>
    </row>
    <row r="61" spans="1:29" x14ac:dyDescent="0.25">
      <c r="A61" t="s">
        <v>134</v>
      </c>
      <c r="B61" s="34"/>
      <c r="C61" s="34">
        <v>1</v>
      </c>
      <c r="D61" s="34"/>
      <c r="E61" s="34"/>
      <c r="F61" s="40"/>
      <c r="G61" s="34"/>
      <c r="H61" s="34">
        <v>1</v>
      </c>
      <c r="I61" s="34"/>
      <c r="J61" s="34"/>
      <c r="K61" s="40"/>
      <c r="L61" s="34">
        <v>1</v>
      </c>
      <c r="M61" s="34">
        <v>126</v>
      </c>
      <c r="N61" s="34">
        <v>106</v>
      </c>
      <c r="O61" s="34">
        <v>1</v>
      </c>
      <c r="P61" s="40"/>
      <c r="Q61" s="34"/>
      <c r="R61" s="34">
        <v>1</v>
      </c>
      <c r="S61" s="34"/>
      <c r="T61" s="34"/>
      <c r="U61" s="40"/>
      <c r="V61" s="34"/>
      <c r="W61" s="34">
        <v>1</v>
      </c>
      <c r="X61" s="34"/>
      <c r="Y61" s="34"/>
      <c r="Z61" s="34"/>
      <c r="AA61" s="34">
        <f t="shared" si="3"/>
        <v>1</v>
      </c>
      <c r="AB61" s="38">
        <f t="shared" si="4"/>
        <v>6.2799107819571666E-4</v>
      </c>
      <c r="AC61" s="38">
        <f t="shared" si="5"/>
        <v>1</v>
      </c>
    </row>
    <row r="62" spans="1:29" x14ac:dyDescent="0.25">
      <c r="A62" t="s">
        <v>115</v>
      </c>
      <c r="B62" s="34"/>
      <c r="C62" s="34">
        <v>1</v>
      </c>
      <c r="D62" s="34"/>
      <c r="E62" s="34"/>
      <c r="F62" s="40"/>
      <c r="G62" s="34"/>
      <c r="H62" s="34">
        <v>1</v>
      </c>
      <c r="I62" s="34"/>
      <c r="J62" s="34"/>
      <c r="K62" s="40"/>
      <c r="L62" s="34">
        <v>1</v>
      </c>
      <c r="M62" s="34">
        <v>6</v>
      </c>
      <c r="N62" s="34">
        <v>2</v>
      </c>
      <c r="O62" s="34">
        <v>0</v>
      </c>
      <c r="P62" s="40"/>
      <c r="Q62" s="34"/>
      <c r="R62" s="34">
        <v>1</v>
      </c>
      <c r="S62" s="34"/>
      <c r="T62" s="34"/>
      <c r="U62" s="40"/>
      <c r="V62" s="34"/>
      <c r="W62" s="34">
        <v>1</v>
      </c>
      <c r="X62" s="34"/>
      <c r="Y62" s="34"/>
      <c r="Z62" s="34"/>
      <c r="AA62" s="34">
        <f t="shared" si="3"/>
        <v>1</v>
      </c>
      <c r="AB62" s="38">
        <f t="shared" si="4"/>
        <v>4.5475216007276033E-4</v>
      </c>
      <c r="AC62" s="38">
        <f t="shared" si="5"/>
        <v>0</v>
      </c>
    </row>
    <row r="63" spans="1:29" x14ac:dyDescent="0.25">
      <c r="A63" t="s">
        <v>21</v>
      </c>
      <c r="B63" s="34">
        <v>1</v>
      </c>
      <c r="C63" s="34">
        <v>4</v>
      </c>
      <c r="D63" s="34">
        <v>1</v>
      </c>
      <c r="E63" s="34">
        <v>1</v>
      </c>
      <c r="F63" s="40"/>
      <c r="G63" s="34"/>
      <c r="H63" s="34">
        <v>1</v>
      </c>
      <c r="I63" s="34"/>
      <c r="J63" s="34"/>
      <c r="K63" s="40"/>
      <c r="L63" s="34"/>
      <c r="M63" s="34">
        <v>1</v>
      </c>
      <c r="N63" s="34"/>
      <c r="O63" s="34"/>
      <c r="P63" s="40"/>
      <c r="Q63" s="34"/>
      <c r="R63" s="34">
        <v>1</v>
      </c>
      <c r="S63" s="34"/>
      <c r="T63" s="34"/>
      <c r="U63" s="40"/>
      <c r="V63" s="34"/>
      <c r="W63" s="34">
        <v>1</v>
      </c>
      <c r="X63" s="34"/>
      <c r="Y63" s="34"/>
      <c r="Z63" s="34"/>
      <c r="AA63" s="34">
        <f t="shared" si="3"/>
        <v>1</v>
      </c>
      <c r="AB63" s="38">
        <f t="shared" si="4"/>
        <v>4.2633015006821284E-4</v>
      </c>
      <c r="AC63" s="38">
        <f t="shared" si="5"/>
        <v>1</v>
      </c>
    </row>
    <row r="64" spans="1:29" x14ac:dyDescent="0.25">
      <c r="A64" t="s">
        <v>161</v>
      </c>
      <c r="B64" s="34"/>
      <c r="C64" s="34">
        <v>1</v>
      </c>
      <c r="D64" s="34"/>
      <c r="E64" s="34"/>
      <c r="F64" s="40"/>
      <c r="G64" s="34"/>
      <c r="H64" s="34">
        <v>1</v>
      </c>
      <c r="I64" s="34"/>
      <c r="J64" s="34"/>
      <c r="K64" s="40"/>
      <c r="L64" s="34"/>
      <c r="M64" s="34">
        <v>1</v>
      </c>
      <c r="N64" s="34"/>
      <c r="O64" s="34"/>
      <c r="P64" s="40"/>
      <c r="Q64" s="34">
        <v>1</v>
      </c>
      <c r="R64" s="34">
        <v>12</v>
      </c>
      <c r="S64" s="34">
        <v>1</v>
      </c>
      <c r="T64" s="34">
        <v>0</v>
      </c>
      <c r="U64" s="40"/>
      <c r="V64" s="34"/>
      <c r="W64" s="34">
        <v>1</v>
      </c>
      <c r="X64" s="34"/>
      <c r="Y64" s="34"/>
      <c r="Z64" s="34"/>
      <c r="AA64" s="34">
        <f t="shared" si="3"/>
        <v>1</v>
      </c>
      <c r="AB64" s="38">
        <f t="shared" si="4"/>
        <v>3.6948613005911775E-4</v>
      </c>
      <c r="AC64" s="38">
        <f t="shared" si="5"/>
        <v>0</v>
      </c>
    </row>
    <row r="65" spans="1:29" x14ac:dyDescent="0.25">
      <c r="A65" t="s">
        <v>93</v>
      </c>
      <c r="B65" s="34"/>
      <c r="C65" s="34">
        <v>1</v>
      </c>
      <c r="D65" s="34"/>
      <c r="E65" s="34"/>
      <c r="F65" s="40"/>
      <c r="G65" s="34"/>
      <c r="H65" s="34">
        <v>1</v>
      </c>
      <c r="I65" s="34"/>
      <c r="J65" s="34"/>
      <c r="K65" s="40"/>
      <c r="L65" s="34"/>
      <c r="M65" s="34">
        <v>1</v>
      </c>
      <c r="N65" s="34"/>
      <c r="O65" s="34"/>
      <c r="P65" s="40"/>
      <c r="Q65" s="34">
        <v>1</v>
      </c>
      <c r="R65" s="34">
        <v>2</v>
      </c>
      <c r="S65" s="34">
        <v>0</v>
      </c>
      <c r="T65" s="34">
        <v>1</v>
      </c>
      <c r="U65" s="40"/>
      <c r="V65" s="34"/>
      <c r="W65" s="34">
        <v>1</v>
      </c>
      <c r="X65" s="34"/>
      <c r="Y65" s="34"/>
      <c r="Z65" s="34"/>
      <c r="AA65" s="34">
        <f t="shared" si="3"/>
        <v>1</v>
      </c>
      <c r="AB65" s="38">
        <f t="shared" si="4"/>
        <v>3.4106412005457026E-4</v>
      </c>
      <c r="AC65" s="38">
        <f t="shared" si="5"/>
        <v>1</v>
      </c>
    </row>
    <row r="66" spans="1:29" x14ac:dyDescent="0.25">
      <c r="A66" t="s">
        <v>200</v>
      </c>
      <c r="B66" s="34">
        <v>1</v>
      </c>
      <c r="C66" s="34">
        <v>1</v>
      </c>
      <c r="D66" s="34">
        <v>0</v>
      </c>
      <c r="E66" s="34">
        <v>0</v>
      </c>
      <c r="F66" s="40"/>
      <c r="G66" s="34"/>
      <c r="H66" s="34">
        <v>1</v>
      </c>
      <c r="I66" s="34"/>
      <c r="J66" s="34"/>
      <c r="K66" s="40"/>
      <c r="L66" s="34"/>
      <c r="M66" s="34">
        <v>1</v>
      </c>
      <c r="N66" s="34"/>
      <c r="O66" s="34"/>
      <c r="P66" s="40"/>
      <c r="Q66" s="34"/>
      <c r="R66" s="34">
        <v>1</v>
      </c>
      <c r="S66" s="34"/>
      <c r="T66" s="34"/>
      <c r="U66" s="40"/>
      <c r="V66" s="34"/>
      <c r="W66" s="34">
        <v>1</v>
      </c>
      <c r="X66" s="34"/>
      <c r="Y66" s="34"/>
      <c r="Z66" s="34"/>
      <c r="AA66" s="34">
        <f t="shared" si="3"/>
        <v>1</v>
      </c>
      <c r="AB66" s="38">
        <f t="shared" si="4"/>
        <v>3.4106412005457026E-4</v>
      </c>
      <c r="AC66" s="38">
        <f t="shared" si="5"/>
        <v>0</v>
      </c>
    </row>
    <row r="67" spans="1:29" x14ac:dyDescent="0.25">
      <c r="A67" t="s">
        <v>99</v>
      </c>
      <c r="B67" s="34"/>
      <c r="C67" s="34">
        <v>1</v>
      </c>
      <c r="D67" s="34"/>
      <c r="E67" s="34"/>
      <c r="F67" s="40"/>
      <c r="G67" s="34"/>
      <c r="H67" s="34">
        <v>1</v>
      </c>
      <c r="I67" s="34"/>
      <c r="J67" s="34"/>
      <c r="K67" s="40"/>
      <c r="L67" s="34"/>
      <c r="M67" s="34">
        <v>1</v>
      </c>
      <c r="N67" s="34"/>
      <c r="O67" s="34"/>
      <c r="P67" s="40"/>
      <c r="Q67" s="34">
        <v>1</v>
      </c>
      <c r="R67" s="34">
        <v>1</v>
      </c>
      <c r="S67" s="34">
        <v>0</v>
      </c>
      <c r="T67" s="34">
        <v>0</v>
      </c>
      <c r="U67" s="40"/>
      <c r="V67" s="34"/>
      <c r="W67" s="34">
        <v>1</v>
      </c>
      <c r="X67" s="34"/>
      <c r="Y67" s="34"/>
      <c r="Z67" s="34"/>
      <c r="AA67" s="34">
        <f t="shared" si="3"/>
        <v>1</v>
      </c>
      <c r="AB67" s="38">
        <f t="shared" ref="AB67" si="6">(AA67+(B67/C67*D67+G67/H67*I67+L67/M67*N67+Q67/R67*S67+V67/W67*X67))/($D$1+$I$1+$N$1+$S$1+$X$1)</f>
        <v>3.4106412005457026E-4</v>
      </c>
      <c r="AC67" s="38">
        <f t="shared" si="5"/>
        <v>0</v>
      </c>
    </row>
    <row r="68" spans="1:29" x14ac:dyDescent="0.25">
      <c r="B68" s="34"/>
      <c r="C68" s="34">
        <v>1</v>
      </c>
      <c r="D68" s="34"/>
      <c r="E68" s="34"/>
      <c r="F68" s="40"/>
      <c r="G68" s="34"/>
      <c r="H68" s="34">
        <v>1</v>
      </c>
      <c r="I68" s="34"/>
      <c r="J68" s="34"/>
      <c r="K68" s="40"/>
      <c r="L68" s="34"/>
      <c r="M68" s="34">
        <v>1</v>
      </c>
      <c r="N68" s="34"/>
      <c r="O68" s="34"/>
      <c r="P68" s="40"/>
      <c r="Q68" s="34"/>
      <c r="R68" s="34">
        <v>1</v>
      </c>
      <c r="S68" s="34"/>
      <c r="T68" s="34"/>
      <c r="U68" s="40"/>
      <c r="V68" s="34"/>
      <c r="W68" s="34">
        <v>1</v>
      </c>
      <c r="X68" s="34"/>
      <c r="Y68" s="34"/>
      <c r="Z68" s="34"/>
      <c r="AA68" s="34">
        <f t="shared" ref="AA68:AA72" si="7">B68+G68+L68+Q68+V68</f>
        <v>0</v>
      </c>
      <c r="AB68" s="38">
        <f t="shared" ref="AB68:AB72" si="8">(AA68+(B68/C68*D68+G68/H68*I68+L68/M68*N68+Q68/R68*S68+V68/W68*X68))/($D$1+$I$1+$N$1+$S$1+$X$1)</f>
        <v>0</v>
      </c>
      <c r="AC68" s="38" t="e">
        <f t="shared" ref="AC68:AC72" si="9">(E68+J68+O68+T68+Y68)/(AA68)</f>
        <v>#DIV/0!</v>
      </c>
    </row>
    <row r="69" spans="1:29" x14ac:dyDescent="0.25">
      <c r="B69" s="34"/>
      <c r="C69" s="34">
        <v>1</v>
      </c>
      <c r="D69" s="34"/>
      <c r="E69" s="34"/>
      <c r="F69" s="40"/>
      <c r="G69" s="34"/>
      <c r="H69" s="34">
        <v>1</v>
      </c>
      <c r="I69" s="34"/>
      <c r="J69" s="34"/>
      <c r="K69" s="40"/>
      <c r="L69" s="34"/>
      <c r="M69" s="34">
        <v>1</v>
      </c>
      <c r="N69" s="34"/>
      <c r="O69" s="34"/>
      <c r="P69" s="40"/>
      <c r="Q69" s="34"/>
      <c r="R69" s="34">
        <v>1</v>
      </c>
      <c r="S69" s="34"/>
      <c r="T69" s="34"/>
      <c r="U69" s="40"/>
      <c r="V69" s="34"/>
      <c r="W69" s="34">
        <v>1</v>
      </c>
      <c r="X69" s="34"/>
      <c r="Y69" s="34"/>
      <c r="Z69" s="34"/>
      <c r="AA69" s="34">
        <f t="shared" si="7"/>
        <v>0</v>
      </c>
      <c r="AB69" s="38">
        <f t="shared" si="8"/>
        <v>0</v>
      </c>
      <c r="AC69" s="38" t="e">
        <f t="shared" si="9"/>
        <v>#DIV/0!</v>
      </c>
    </row>
    <row r="70" spans="1:29" x14ac:dyDescent="0.25">
      <c r="B70" s="34"/>
      <c r="C70" s="34">
        <v>1</v>
      </c>
      <c r="D70" s="34"/>
      <c r="E70" s="34"/>
      <c r="F70" s="40"/>
      <c r="G70" s="34"/>
      <c r="H70" s="34">
        <v>1</v>
      </c>
      <c r="I70" s="34"/>
      <c r="J70" s="34"/>
      <c r="K70" s="40"/>
      <c r="L70" s="34"/>
      <c r="M70" s="34">
        <v>1</v>
      </c>
      <c r="N70" s="34"/>
      <c r="O70" s="34"/>
      <c r="P70" s="40"/>
      <c r="Q70" s="34"/>
      <c r="R70" s="34">
        <v>1</v>
      </c>
      <c r="S70" s="34"/>
      <c r="T70" s="34"/>
      <c r="U70" s="40"/>
      <c r="V70" s="34"/>
      <c r="W70" s="34">
        <v>1</v>
      </c>
      <c r="X70" s="34"/>
      <c r="Y70" s="34"/>
      <c r="Z70" s="34"/>
      <c r="AA70" s="34">
        <f t="shared" si="7"/>
        <v>0</v>
      </c>
      <c r="AB70" s="38">
        <f t="shared" si="8"/>
        <v>0</v>
      </c>
      <c r="AC70" s="38" t="e">
        <f t="shared" si="9"/>
        <v>#DIV/0!</v>
      </c>
    </row>
    <row r="71" spans="1:29" x14ac:dyDescent="0.25">
      <c r="B71" s="34"/>
      <c r="C71" s="34">
        <v>1</v>
      </c>
      <c r="D71" s="34"/>
      <c r="E71" s="34"/>
      <c r="F71" s="40"/>
      <c r="G71" s="34"/>
      <c r="H71" s="34">
        <v>1</v>
      </c>
      <c r="I71" s="34"/>
      <c r="J71" s="34"/>
      <c r="K71" s="40"/>
      <c r="L71" s="34"/>
      <c r="M71" s="34">
        <v>1</v>
      </c>
      <c r="N71" s="34"/>
      <c r="O71" s="34"/>
      <c r="P71" s="40"/>
      <c r="Q71" s="34"/>
      <c r="R71" s="34">
        <v>1</v>
      </c>
      <c r="S71" s="34"/>
      <c r="T71" s="34"/>
      <c r="U71" s="40"/>
      <c r="V71" s="34"/>
      <c r="W71" s="34">
        <v>1</v>
      </c>
      <c r="X71" s="34"/>
      <c r="Y71" s="34"/>
      <c r="Z71" s="34"/>
      <c r="AA71" s="34">
        <f t="shared" si="7"/>
        <v>0</v>
      </c>
      <c r="AB71" s="38">
        <f t="shared" si="8"/>
        <v>0</v>
      </c>
      <c r="AC71" s="38" t="e">
        <f t="shared" si="9"/>
        <v>#DIV/0!</v>
      </c>
    </row>
    <row r="72" spans="1:29" x14ac:dyDescent="0.25">
      <c r="B72" s="34"/>
      <c r="C72" s="34">
        <v>1</v>
      </c>
      <c r="D72" s="34"/>
      <c r="E72" s="34"/>
      <c r="F72" s="40"/>
      <c r="G72" s="34"/>
      <c r="H72" s="34">
        <v>1</v>
      </c>
      <c r="I72" s="34"/>
      <c r="J72" s="34"/>
      <c r="K72" s="40"/>
      <c r="L72" s="34"/>
      <c r="M72" s="34">
        <v>1</v>
      </c>
      <c r="N72" s="34"/>
      <c r="O72" s="34"/>
      <c r="P72" s="40"/>
      <c r="Q72" s="34"/>
      <c r="R72" s="34">
        <v>1</v>
      </c>
      <c r="S72" s="34"/>
      <c r="T72" s="34"/>
      <c r="U72" s="40"/>
      <c r="V72" s="34"/>
      <c r="W72" s="34">
        <v>1</v>
      </c>
      <c r="X72" s="34"/>
      <c r="Y72" s="34"/>
      <c r="Z72" s="34"/>
      <c r="AA72" s="34">
        <f t="shared" si="7"/>
        <v>0</v>
      </c>
      <c r="AB72" s="38">
        <f t="shared" si="8"/>
        <v>0</v>
      </c>
      <c r="AC72" s="38" t="e">
        <f t="shared" si="9"/>
        <v>#DIV/0!</v>
      </c>
    </row>
    <row r="73" spans="1:29" x14ac:dyDescent="0.25">
      <c r="B73" s="34"/>
      <c r="C73" s="34"/>
      <c r="D73" s="34"/>
      <c r="E73" s="34"/>
      <c r="F73" s="40"/>
      <c r="G73" s="34"/>
      <c r="H73" s="34"/>
      <c r="I73" s="34"/>
      <c r="J73" s="34"/>
      <c r="K73" s="40"/>
      <c r="L73" s="34"/>
      <c r="M73" s="34"/>
      <c r="N73" s="34"/>
      <c r="O73" s="34"/>
      <c r="P73" s="40"/>
      <c r="Q73" s="34"/>
      <c r="R73" s="34"/>
      <c r="S73" s="34"/>
      <c r="T73" s="34"/>
      <c r="U73" s="40"/>
      <c r="V73" s="34"/>
      <c r="W73" s="34"/>
      <c r="X73" s="34"/>
      <c r="Y73" s="34"/>
      <c r="Z73" s="34"/>
      <c r="AA73" s="34"/>
      <c r="AB73" s="38"/>
      <c r="AC73" s="38"/>
    </row>
    <row r="74" spans="1:29" x14ac:dyDescent="0.25">
      <c r="B74" s="34"/>
      <c r="C74" s="34"/>
      <c r="D74" s="34"/>
      <c r="E74" s="34"/>
      <c r="F74" s="40"/>
      <c r="G74" s="34"/>
      <c r="H74" s="34"/>
      <c r="I74" s="34"/>
      <c r="J74" s="34"/>
      <c r="K74" s="40"/>
      <c r="L74" s="34"/>
      <c r="M74" s="34"/>
      <c r="N74" s="34"/>
      <c r="O74" s="34"/>
      <c r="P74" s="40"/>
      <c r="Q74" s="34"/>
      <c r="R74" s="34"/>
      <c r="S74" s="34"/>
      <c r="T74" s="34"/>
      <c r="U74" s="40"/>
      <c r="V74" s="34"/>
      <c r="W74" s="34"/>
      <c r="X74" s="34"/>
      <c r="Y74" s="34"/>
      <c r="Z74" s="34"/>
      <c r="AA74" s="34"/>
      <c r="AB74" s="38"/>
      <c r="AC74" s="38"/>
    </row>
    <row r="75" spans="1:29" x14ac:dyDescent="0.25">
      <c r="B75" s="34"/>
      <c r="C75" s="34"/>
      <c r="D75" s="34"/>
      <c r="E75" s="34"/>
      <c r="F75" s="40"/>
      <c r="G75" s="34"/>
      <c r="H75" s="34"/>
      <c r="I75" s="34"/>
      <c r="J75" s="34"/>
      <c r="K75" s="40"/>
      <c r="L75" s="34"/>
      <c r="M75" s="34"/>
      <c r="N75" s="34"/>
      <c r="O75" s="34"/>
      <c r="P75" s="40"/>
      <c r="Q75" s="34"/>
      <c r="R75" s="34"/>
      <c r="S75" s="34"/>
      <c r="T75" s="34"/>
      <c r="U75" s="40"/>
      <c r="V75" s="34"/>
      <c r="W75" s="34"/>
      <c r="X75" s="34"/>
      <c r="Y75" s="34"/>
      <c r="Z75" s="34"/>
      <c r="AA75" s="34"/>
      <c r="AB75" s="38"/>
      <c r="AC75" s="38"/>
    </row>
    <row r="76" spans="1:29" x14ac:dyDescent="0.25">
      <c r="B76" s="34"/>
      <c r="C76" s="34"/>
      <c r="D76" s="34"/>
      <c r="E76" s="34"/>
      <c r="F76" s="40"/>
      <c r="G76" s="34"/>
      <c r="H76" s="34"/>
      <c r="I76" s="34"/>
      <c r="J76" s="34"/>
      <c r="K76" s="40"/>
      <c r="L76" s="34"/>
      <c r="M76" s="34"/>
      <c r="N76" s="34"/>
      <c r="O76" s="34"/>
      <c r="P76" s="40"/>
      <c r="Q76" s="34"/>
      <c r="R76" s="34"/>
      <c r="S76" s="34"/>
      <c r="T76" s="34"/>
      <c r="U76" s="40"/>
      <c r="V76" s="34"/>
      <c r="W76" s="34"/>
      <c r="X76" s="34"/>
      <c r="Y76" s="34"/>
      <c r="Z76" s="34"/>
      <c r="AA76" s="34"/>
      <c r="AB76" s="38"/>
      <c r="AC76" s="38"/>
    </row>
    <row r="77" spans="1:29" x14ac:dyDescent="0.25">
      <c r="B77" s="34"/>
      <c r="C77" s="34"/>
      <c r="D77" s="34"/>
      <c r="E77" s="34"/>
      <c r="F77" s="40"/>
      <c r="G77" s="34"/>
      <c r="H77" s="34"/>
      <c r="I77" s="34"/>
      <c r="J77" s="34"/>
      <c r="K77" s="40"/>
      <c r="L77" s="34"/>
      <c r="M77" s="34"/>
      <c r="N77" s="34"/>
      <c r="O77" s="34"/>
      <c r="P77" s="40"/>
      <c r="Q77" s="34"/>
      <c r="R77" s="34"/>
      <c r="S77" s="34"/>
      <c r="T77" s="34"/>
      <c r="U77" s="40"/>
      <c r="V77" s="34"/>
      <c r="W77" s="34"/>
      <c r="X77" s="34"/>
      <c r="Y77" s="34"/>
      <c r="Z77" s="34"/>
      <c r="AA77" s="34"/>
      <c r="AB77" s="38"/>
      <c r="AC77" s="38"/>
    </row>
    <row r="78" spans="1:29" x14ac:dyDescent="0.25">
      <c r="B78" s="34"/>
      <c r="C78" s="34"/>
      <c r="D78" s="34"/>
      <c r="E78" s="34"/>
      <c r="F78" s="40"/>
      <c r="G78" s="34"/>
      <c r="H78" s="34"/>
      <c r="I78" s="34"/>
      <c r="J78" s="34"/>
      <c r="K78" s="40"/>
      <c r="L78" s="34"/>
      <c r="M78" s="34"/>
      <c r="N78" s="34"/>
      <c r="O78" s="34"/>
      <c r="P78" s="40"/>
      <c r="Q78" s="34"/>
      <c r="R78" s="34"/>
      <c r="S78" s="34"/>
      <c r="T78" s="34"/>
      <c r="U78" s="40"/>
      <c r="V78" s="34"/>
      <c r="W78" s="34"/>
      <c r="X78" s="34"/>
      <c r="Y78" s="34"/>
      <c r="Z78" s="34"/>
      <c r="AA78" s="34"/>
      <c r="AB78" s="38"/>
      <c r="AC78" s="38"/>
    </row>
    <row r="79" spans="1:29" x14ac:dyDescent="0.25">
      <c r="B79" s="34"/>
      <c r="C79" s="34"/>
      <c r="D79" s="34"/>
      <c r="E79" s="34"/>
      <c r="F79" s="40"/>
      <c r="G79" s="34"/>
      <c r="H79" s="34"/>
      <c r="I79" s="34"/>
      <c r="J79" s="34"/>
      <c r="K79" s="40"/>
      <c r="L79" s="34"/>
      <c r="M79" s="34"/>
      <c r="N79" s="34"/>
      <c r="O79" s="34"/>
      <c r="P79" s="40"/>
      <c r="Q79" s="34"/>
      <c r="R79" s="34"/>
      <c r="S79" s="34"/>
      <c r="T79" s="34"/>
      <c r="U79" s="40"/>
      <c r="V79" s="34"/>
      <c r="W79" s="34"/>
      <c r="X79" s="34"/>
      <c r="Y79" s="34"/>
      <c r="Z79" s="34"/>
      <c r="AA79" s="34"/>
      <c r="AB79" s="38"/>
      <c r="AC79" s="38"/>
    </row>
    <row r="80" spans="1:29" x14ac:dyDescent="0.25">
      <c r="B80" s="34"/>
      <c r="C80" s="34"/>
      <c r="D80" s="34"/>
      <c r="E80" s="34"/>
      <c r="F80" s="40"/>
      <c r="G80" s="34"/>
      <c r="H80" s="34"/>
      <c r="I80" s="34"/>
      <c r="J80" s="34"/>
      <c r="K80" s="40"/>
      <c r="L80" s="34"/>
      <c r="M80" s="34"/>
      <c r="N80" s="34"/>
      <c r="O80" s="34"/>
      <c r="P80" s="40"/>
      <c r="Q80" s="34"/>
      <c r="R80" s="34"/>
      <c r="S80" s="34"/>
      <c r="T80" s="34"/>
      <c r="U80" s="40"/>
      <c r="V80" s="34"/>
      <c r="W80" s="34"/>
      <c r="X80" s="34"/>
      <c r="Y80" s="34"/>
      <c r="Z80" s="34"/>
      <c r="AA80" s="34"/>
      <c r="AB80" s="38"/>
      <c r="AC80" s="38"/>
    </row>
    <row r="81" spans="2:29" x14ac:dyDescent="0.25">
      <c r="B81" s="34"/>
      <c r="C81" s="34"/>
      <c r="D81" s="34"/>
      <c r="E81" s="34"/>
      <c r="F81" s="40"/>
      <c r="G81" s="34"/>
      <c r="H81" s="34"/>
      <c r="I81" s="34"/>
      <c r="J81" s="34"/>
      <c r="K81" s="40"/>
      <c r="L81" s="34"/>
      <c r="M81" s="34"/>
      <c r="N81" s="34"/>
      <c r="O81" s="34"/>
      <c r="P81" s="40"/>
      <c r="Q81" s="34"/>
      <c r="R81" s="34"/>
      <c r="S81" s="34"/>
      <c r="T81" s="34"/>
      <c r="U81" s="40"/>
      <c r="V81" s="34"/>
      <c r="W81" s="34"/>
      <c r="X81" s="34"/>
      <c r="Y81" s="34"/>
      <c r="Z81" s="34"/>
      <c r="AA81" s="34"/>
      <c r="AB81" s="38"/>
      <c r="AC81" s="38"/>
    </row>
    <row r="82" spans="2:29" x14ac:dyDescent="0.25">
      <c r="B82" s="34"/>
      <c r="C82" s="34"/>
      <c r="D82" s="34"/>
      <c r="E82" s="34"/>
      <c r="F82" s="40"/>
      <c r="G82" s="34"/>
      <c r="H82" s="34"/>
      <c r="I82" s="34"/>
      <c r="J82" s="34"/>
      <c r="K82" s="40"/>
      <c r="L82" s="34"/>
      <c r="M82" s="34"/>
      <c r="N82" s="34"/>
      <c r="O82" s="34"/>
      <c r="P82" s="40"/>
      <c r="Q82" s="34"/>
      <c r="R82" s="34"/>
      <c r="S82" s="34"/>
      <c r="T82" s="34"/>
      <c r="U82" s="40"/>
      <c r="V82" s="34"/>
      <c r="W82" s="34"/>
      <c r="X82" s="34"/>
      <c r="Y82" s="34"/>
      <c r="Z82" s="34"/>
      <c r="AA82" s="34"/>
      <c r="AB82" s="38"/>
      <c r="AC82" s="38"/>
    </row>
    <row r="83" spans="2:29" x14ac:dyDescent="0.25">
      <c r="B83" s="34"/>
      <c r="C83" s="34"/>
      <c r="D83" s="34"/>
      <c r="E83" s="34"/>
      <c r="F83" s="40"/>
      <c r="G83" s="34"/>
      <c r="H83" s="34"/>
      <c r="I83" s="34"/>
      <c r="J83" s="34"/>
      <c r="K83" s="40"/>
      <c r="L83" s="34"/>
      <c r="M83" s="34"/>
      <c r="N83" s="34"/>
      <c r="O83" s="34"/>
      <c r="P83" s="40"/>
      <c r="Q83" s="34"/>
      <c r="R83" s="34"/>
      <c r="S83" s="34"/>
      <c r="T83" s="34"/>
      <c r="U83" s="40"/>
      <c r="V83" s="34"/>
      <c r="W83" s="34"/>
      <c r="X83" s="34"/>
      <c r="Y83" s="34"/>
      <c r="Z83" s="34"/>
      <c r="AA83" s="34"/>
      <c r="AB83" s="38"/>
      <c r="AC83" s="38"/>
    </row>
    <row r="84" spans="2:29" x14ac:dyDescent="0.25">
      <c r="B84" s="34"/>
      <c r="C84" s="34"/>
      <c r="D84" s="34"/>
      <c r="E84" s="34"/>
      <c r="F84" s="40"/>
      <c r="G84" s="34"/>
      <c r="H84" s="34"/>
      <c r="I84" s="34"/>
      <c r="J84" s="34"/>
      <c r="K84" s="40"/>
      <c r="L84" s="34"/>
      <c r="M84" s="34"/>
      <c r="N84" s="34"/>
      <c r="O84" s="34"/>
      <c r="P84" s="40"/>
      <c r="Q84" s="34"/>
      <c r="R84" s="34"/>
      <c r="S84" s="34"/>
      <c r="T84" s="34"/>
      <c r="U84" s="40"/>
      <c r="V84" s="34"/>
      <c r="W84" s="34"/>
      <c r="X84" s="34"/>
      <c r="Y84" s="34"/>
      <c r="Z84" s="34"/>
      <c r="AA84" s="34"/>
      <c r="AB84" s="38"/>
      <c r="AC84" s="38"/>
    </row>
    <row r="85" spans="2:29" x14ac:dyDescent="0.25">
      <c r="B85" s="34"/>
      <c r="C85" s="34"/>
      <c r="D85" s="34"/>
      <c r="E85" s="34"/>
      <c r="F85" s="40"/>
      <c r="G85" s="34"/>
      <c r="H85" s="34"/>
      <c r="I85" s="34"/>
      <c r="J85" s="34"/>
      <c r="K85" s="40"/>
      <c r="L85" s="34"/>
      <c r="M85" s="34"/>
      <c r="N85" s="34"/>
      <c r="O85" s="34"/>
      <c r="P85" s="40"/>
      <c r="Q85" s="34"/>
      <c r="R85" s="34"/>
      <c r="S85" s="34"/>
      <c r="T85" s="34"/>
      <c r="U85" s="40"/>
      <c r="V85" s="34"/>
      <c r="W85" s="34"/>
      <c r="X85" s="34"/>
      <c r="Y85" s="34"/>
      <c r="Z85" s="34"/>
      <c r="AA85" s="34"/>
      <c r="AB85" s="38"/>
      <c r="AC85" s="38"/>
    </row>
    <row r="86" spans="2:29" x14ac:dyDescent="0.25">
      <c r="B86" s="34"/>
      <c r="C86" s="34"/>
      <c r="D86" s="34"/>
      <c r="E86" s="34"/>
      <c r="F86" s="40"/>
      <c r="G86" s="34"/>
      <c r="H86" s="34"/>
      <c r="I86" s="34"/>
      <c r="J86" s="34"/>
      <c r="K86" s="40"/>
      <c r="L86" s="34"/>
      <c r="M86" s="34"/>
      <c r="N86" s="34"/>
      <c r="O86" s="34"/>
      <c r="P86" s="40"/>
      <c r="Q86" s="34"/>
      <c r="R86" s="34"/>
      <c r="S86" s="34"/>
      <c r="T86" s="34"/>
      <c r="U86" s="40"/>
      <c r="V86" s="34"/>
      <c r="W86" s="34"/>
      <c r="X86" s="34"/>
      <c r="Y86" s="34"/>
      <c r="Z86" s="34"/>
      <c r="AA86" s="34"/>
      <c r="AB86" s="38"/>
      <c r="AC86" s="38"/>
    </row>
    <row r="87" spans="2:29" x14ac:dyDescent="0.25">
      <c r="B87" s="34"/>
      <c r="C87" s="34"/>
      <c r="D87" s="34"/>
      <c r="E87" s="34"/>
      <c r="F87" s="40"/>
      <c r="G87" s="34"/>
      <c r="H87" s="34"/>
      <c r="I87" s="34"/>
      <c r="J87" s="34"/>
      <c r="K87" s="40"/>
      <c r="L87" s="34"/>
      <c r="M87" s="34"/>
      <c r="N87" s="34"/>
      <c r="O87" s="34"/>
      <c r="P87" s="40"/>
      <c r="Q87" s="34"/>
      <c r="R87" s="34"/>
      <c r="S87" s="34"/>
      <c r="T87" s="34"/>
      <c r="U87" s="40"/>
      <c r="V87" s="34"/>
      <c r="W87" s="34"/>
      <c r="X87" s="34"/>
      <c r="Y87" s="34"/>
      <c r="Z87" s="34"/>
      <c r="AA87" s="34"/>
      <c r="AB87" s="38"/>
      <c r="AC87" s="38"/>
    </row>
    <row r="88" spans="2:29" x14ac:dyDescent="0.25">
      <c r="B88" s="34"/>
      <c r="C88" s="34"/>
      <c r="D88" s="34"/>
      <c r="E88" s="34"/>
      <c r="F88" s="40"/>
      <c r="G88" s="34"/>
      <c r="H88" s="34"/>
      <c r="I88" s="34"/>
      <c r="J88" s="34"/>
      <c r="K88" s="40"/>
      <c r="L88" s="34"/>
      <c r="M88" s="34"/>
      <c r="N88" s="34"/>
      <c r="O88" s="34"/>
      <c r="P88" s="40"/>
      <c r="Q88" s="34"/>
      <c r="R88" s="34"/>
      <c r="S88" s="34"/>
      <c r="T88" s="34"/>
      <c r="U88" s="40"/>
      <c r="V88" s="34"/>
      <c r="W88" s="34"/>
      <c r="X88" s="34"/>
      <c r="Y88" s="34"/>
      <c r="Z88" s="34"/>
      <c r="AA88" s="34"/>
      <c r="AB88" s="38"/>
      <c r="AC88" s="38"/>
    </row>
    <row r="89" spans="2:29" x14ac:dyDescent="0.25">
      <c r="B89" s="34"/>
      <c r="C89" s="34"/>
      <c r="D89" s="34"/>
      <c r="E89" s="34"/>
      <c r="F89" s="40"/>
      <c r="G89" s="34"/>
      <c r="H89" s="34"/>
      <c r="I89" s="34"/>
      <c r="J89" s="34"/>
      <c r="K89" s="40"/>
      <c r="L89" s="34"/>
      <c r="M89" s="34"/>
      <c r="N89" s="34"/>
      <c r="O89" s="34"/>
      <c r="P89" s="40"/>
      <c r="Q89" s="34"/>
      <c r="R89" s="34"/>
      <c r="S89" s="34"/>
      <c r="T89" s="34"/>
      <c r="U89" s="40"/>
      <c r="V89" s="34"/>
      <c r="W89" s="34"/>
      <c r="X89" s="34"/>
      <c r="Y89" s="34"/>
      <c r="Z89" s="34"/>
      <c r="AA89" s="34"/>
      <c r="AB89" s="38"/>
      <c r="AC89" s="38"/>
    </row>
    <row r="90" spans="2:29" x14ac:dyDescent="0.25">
      <c r="B90" s="34"/>
      <c r="C90" s="34"/>
      <c r="D90" s="34"/>
      <c r="E90" s="34"/>
      <c r="F90" s="40"/>
      <c r="G90" s="34"/>
      <c r="H90" s="34"/>
      <c r="I90" s="34"/>
      <c r="J90" s="34"/>
      <c r="K90" s="40"/>
      <c r="L90" s="34"/>
      <c r="M90" s="34"/>
      <c r="N90" s="34"/>
      <c r="O90" s="34"/>
      <c r="P90" s="40"/>
      <c r="Q90" s="34"/>
      <c r="R90" s="34"/>
      <c r="S90" s="34"/>
      <c r="T90" s="34"/>
      <c r="U90" s="40"/>
      <c r="V90" s="34"/>
      <c r="W90" s="34"/>
      <c r="X90" s="34"/>
      <c r="Y90" s="34"/>
      <c r="Z90" s="34"/>
      <c r="AA90" s="34"/>
      <c r="AB90" s="38"/>
      <c r="AC90" s="38"/>
    </row>
    <row r="91" spans="2:29" x14ac:dyDescent="0.25">
      <c r="B91" s="34"/>
      <c r="C91" s="34"/>
      <c r="D91" s="34"/>
      <c r="E91" s="34"/>
      <c r="F91" s="40"/>
      <c r="G91" s="34"/>
      <c r="H91" s="34"/>
      <c r="I91" s="34"/>
      <c r="J91" s="34"/>
      <c r="K91" s="40"/>
      <c r="L91" s="34"/>
      <c r="M91" s="34"/>
      <c r="N91" s="34"/>
      <c r="O91" s="34"/>
      <c r="P91" s="40"/>
      <c r="Q91" s="34"/>
      <c r="R91" s="34"/>
      <c r="S91" s="34"/>
      <c r="T91" s="34"/>
      <c r="U91" s="40"/>
      <c r="V91" s="34"/>
      <c r="W91" s="34"/>
      <c r="X91" s="34"/>
      <c r="Y91" s="34"/>
      <c r="Z91" s="34"/>
      <c r="AA91" s="34"/>
      <c r="AB91" s="38"/>
      <c r="AC91" s="38"/>
    </row>
    <row r="92" spans="2:29" x14ac:dyDescent="0.25">
      <c r="B92" s="34"/>
      <c r="C92" s="34"/>
      <c r="D92" s="34"/>
      <c r="E92" s="34"/>
      <c r="F92" s="40"/>
      <c r="G92" s="34"/>
      <c r="H92" s="34"/>
      <c r="I92" s="34"/>
      <c r="J92" s="34"/>
      <c r="K92" s="40"/>
      <c r="L92" s="34"/>
      <c r="M92" s="34"/>
      <c r="N92" s="34"/>
      <c r="O92" s="34"/>
      <c r="P92" s="40"/>
      <c r="Q92" s="34"/>
      <c r="R92" s="34"/>
      <c r="S92" s="34"/>
      <c r="T92" s="34"/>
      <c r="U92" s="40"/>
      <c r="V92" s="34"/>
      <c r="W92" s="34"/>
      <c r="X92" s="34"/>
      <c r="Y92" s="34"/>
      <c r="Z92" s="34"/>
      <c r="AA92" s="34"/>
      <c r="AB92" s="38"/>
      <c r="AC92" s="38"/>
    </row>
    <row r="93" spans="2:29" x14ac:dyDescent="0.25">
      <c r="B93" s="34"/>
      <c r="C93" s="34"/>
      <c r="D93" s="34"/>
      <c r="E93" s="34"/>
      <c r="F93" s="40"/>
      <c r="G93" s="34"/>
      <c r="H93" s="34"/>
      <c r="I93" s="34"/>
      <c r="J93" s="34"/>
      <c r="K93" s="40"/>
      <c r="L93" s="34"/>
      <c r="M93" s="34"/>
      <c r="N93" s="34"/>
      <c r="O93" s="34"/>
      <c r="P93" s="40"/>
      <c r="Q93" s="34"/>
      <c r="R93" s="34"/>
      <c r="S93" s="34"/>
      <c r="T93" s="34"/>
      <c r="U93" s="40"/>
      <c r="V93" s="34"/>
      <c r="W93" s="34"/>
      <c r="X93" s="34"/>
      <c r="Y93" s="34"/>
      <c r="Z93" s="34"/>
      <c r="AA93" s="34"/>
      <c r="AB93" s="38"/>
      <c r="AC93" s="38"/>
    </row>
    <row r="94" spans="2:29" x14ac:dyDescent="0.25">
      <c r="B94" s="34"/>
      <c r="C94" s="34"/>
      <c r="D94" s="34"/>
      <c r="E94" s="34"/>
      <c r="F94" s="40"/>
      <c r="G94" s="34"/>
      <c r="H94" s="34"/>
      <c r="I94" s="34"/>
      <c r="J94" s="34"/>
      <c r="K94" s="40"/>
      <c r="L94" s="34"/>
      <c r="M94" s="34"/>
      <c r="N94" s="34"/>
      <c r="O94" s="34"/>
      <c r="P94" s="40"/>
      <c r="Q94" s="34"/>
      <c r="R94" s="34"/>
      <c r="S94" s="34"/>
      <c r="T94" s="34"/>
      <c r="U94" s="40"/>
      <c r="V94" s="34"/>
      <c r="W94" s="34"/>
      <c r="X94" s="34"/>
      <c r="Y94" s="34"/>
      <c r="Z94" s="34"/>
      <c r="AA94" s="34"/>
      <c r="AB94" s="38"/>
      <c r="AC94" s="38"/>
    </row>
    <row r="95" spans="2:29" x14ac:dyDescent="0.25">
      <c r="B95" s="34"/>
      <c r="C95" s="34"/>
      <c r="D95" s="34"/>
      <c r="E95" s="34"/>
      <c r="F95" s="40"/>
      <c r="G95" s="34"/>
      <c r="H95" s="34"/>
      <c r="I95" s="34"/>
      <c r="J95" s="34"/>
      <c r="K95" s="40"/>
      <c r="L95" s="34"/>
      <c r="M95" s="34"/>
      <c r="N95" s="34"/>
      <c r="O95" s="34"/>
      <c r="P95" s="40"/>
      <c r="Q95" s="34"/>
      <c r="R95" s="34"/>
      <c r="S95" s="34"/>
      <c r="T95" s="34"/>
      <c r="U95" s="40"/>
      <c r="V95" s="34"/>
      <c r="W95" s="34"/>
      <c r="X95" s="34"/>
      <c r="Y95" s="34"/>
      <c r="Z95" s="34"/>
      <c r="AA95" s="34"/>
      <c r="AB95" s="38"/>
      <c r="AC95" s="38"/>
    </row>
    <row r="96" spans="2:29" x14ac:dyDescent="0.25">
      <c r="B96" s="34"/>
      <c r="C96" s="34"/>
      <c r="D96" s="34"/>
      <c r="E96" s="34"/>
      <c r="F96" s="40"/>
      <c r="G96" s="34"/>
      <c r="H96" s="34"/>
      <c r="I96" s="34"/>
      <c r="J96" s="34"/>
      <c r="K96" s="40"/>
      <c r="L96" s="34"/>
      <c r="M96" s="34"/>
      <c r="N96" s="34"/>
      <c r="O96" s="34"/>
      <c r="P96" s="40"/>
      <c r="Q96" s="34"/>
      <c r="R96" s="34"/>
      <c r="S96" s="34"/>
      <c r="T96" s="34"/>
      <c r="U96" s="40"/>
      <c r="V96" s="34"/>
      <c r="W96" s="34"/>
      <c r="X96" s="34"/>
      <c r="Y96" s="34"/>
      <c r="Z96" s="34"/>
      <c r="AA96" s="34"/>
      <c r="AB96" s="38"/>
      <c r="AC96" s="38"/>
    </row>
    <row r="97" spans="2:29" x14ac:dyDescent="0.25">
      <c r="B97" s="34"/>
      <c r="C97" s="34"/>
      <c r="D97" s="34"/>
      <c r="E97" s="34"/>
      <c r="F97" s="40"/>
      <c r="G97" s="34"/>
      <c r="H97" s="34"/>
      <c r="I97" s="34"/>
      <c r="J97" s="34"/>
      <c r="K97" s="40"/>
      <c r="L97" s="34"/>
      <c r="M97" s="34"/>
      <c r="N97" s="34"/>
      <c r="O97" s="34"/>
      <c r="P97" s="40"/>
      <c r="Q97" s="34"/>
      <c r="R97" s="34"/>
      <c r="S97" s="34"/>
      <c r="T97" s="34"/>
      <c r="U97" s="40"/>
      <c r="V97" s="34"/>
      <c r="W97" s="34"/>
      <c r="X97" s="34"/>
      <c r="Y97" s="34"/>
      <c r="Z97" s="34"/>
      <c r="AA97" s="34"/>
      <c r="AB97" s="38"/>
      <c r="AC97" s="38"/>
    </row>
    <row r="98" spans="2:29" x14ac:dyDescent="0.25">
      <c r="B98" s="34"/>
      <c r="C98" s="34"/>
      <c r="D98" s="34"/>
      <c r="E98" s="34"/>
      <c r="F98" s="40"/>
      <c r="G98" s="34"/>
      <c r="H98" s="34"/>
      <c r="I98" s="34"/>
      <c r="J98" s="34"/>
      <c r="K98" s="40"/>
      <c r="L98" s="34"/>
      <c r="M98" s="34"/>
      <c r="N98" s="34"/>
      <c r="O98" s="34"/>
      <c r="P98" s="40"/>
      <c r="Q98" s="34"/>
      <c r="R98" s="34"/>
      <c r="S98" s="34"/>
      <c r="T98" s="34"/>
      <c r="U98" s="40"/>
      <c r="V98" s="34"/>
      <c r="W98" s="34"/>
      <c r="X98" s="34"/>
      <c r="Y98" s="34"/>
      <c r="Z98" s="34"/>
      <c r="AA98" s="34"/>
      <c r="AB98" s="38"/>
      <c r="AC98" s="38"/>
    </row>
    <row r="99" spans="2:29" x14ac:dyDescent="0.25">
      <c r="B99" s="34"/>
      <c r="C99" s="34"/>
      <c r="D99" s="34"/>
      <c r="E99" s="34"/>
      <c r="F99" s="40"/>
      <c r="G99" s="34"/>
      <c r="H99" s="34"/>
      <c r="I99" s="34"/>
      <c r="J99" s="34"/>
      <c r="K99" s="40"/>
      <c r="L99" s="34"/>
      <c r="M99" s="34"/>
      <c r="N99" s="34"/>
      <c r="O99" s="34"/>
      <c r="P99" s="40"/>
      <c r="Q99" s="34"/>
      <c r="R99" s="34"/>
      <c r="S99" s="34"/>
      <c r="T99" s="34"/>
      <c r="U99" s="40"/>
      <c r="V99" s="34"/>
      <c r="W99" s="34"/>
      <c r="X99" s="34"/>
      <c r="Y99" s="34"/>
      <c r="Z99" s="34"/>
      <c r="AA99" s="34"/>
      <c r="AB99" s="38"/>
      <c r="AC99" s="38"/>
    </row>
    <row r="100" spans="2:29" x14ac:dyDescent="0.25">
      <c r="B100" s="34"/>
      <c r="C100" s="34"/>
      <c r="D100" s="34"/>
      <c r="E100" s="34"/>
      <c r="F100" s="40"/>
      <c r="G100" s="34"/>
      <c r="H100" s="34"/>
      <c r="I100" s="34"/>
      <c r="J100" s="34"/>
      <c r="K100" s="40"/>
      <c r="L100" s="34"/>
      <c r="M100" s="34"/>
      <c r="N100" s="34"/>
      <c r="O100" s="34"/>
      <c r="P100" s="40"/>
      <c r="Q100" s="34"/>
      <c r="R100" s="34"/>
      <c r="S100" s="34"/>
      <c r="T100" s="34"/>
      <c r="U100" s="40"/>
      <c r="V100" s="34"/>
      <c r="W100" s="34"/>
      <c r="X100" s="34"/>
      <c r="Y100" s="34"/>
      <c r="Z100" s="34"/>
      <c r="AA100" s="34"/>
      <c r="AB100" s="38"/>
      <c r="AC100" s="38"/>
    </row>
    <row r="101" spans="2:29" x14ac:dyDescent="0.25">
      <c r="B101" s="34"/>
      <c r="C101" s="34"/>
      <c r="D101" s="34"/>
      <c r="E101" s="34"/>
      <c r="F101" s="40"/>
      <c r="G101" s="34"/>
      <c r="H101" s="34"/>
      <c r="I101" s="34"/>
      <c r="J101" s="34"/>
      <c r="K101" s="40"/>
      <c r="L101" s="34"/>
      <c r="M101" s="34"/>
      <c r="N101" s="34"/>
      <c r="O101" s="34"/>
      <c r="P101" s="40"/>
      <c r="Q101" s="34"/>
      <c r="R101" s="34"/>
      <c r="S101" s="34"/>
      <c r="T101" s="34"/>
      <c r="U101" s="40"/>
      <c r="V101" s="34"/>
      <c r="W101" s="34"/>
      <c r="X101" s="34"/>
      <c r="Y101" s="34"/>
      <c r="Z101" s="34"/>
      <c r="AA101" s="34"/>
      <c r="AB101" s="38"/>
      <c r="AC101" s="38"/>
    </row>
    <row r="102" spans="2:29" x14ac:dyDescent="0.25">
      <c r="B102" s="34"/>
      <c r="C102" s="34"/>
      <c r="D102" s="34"/>
      <c r="E102" s="34"/>
      <c r="F102" s="40"/>
      <c r="G102" s="34"/>
      <c r="H102" s="34"/>
      <c r="I102" s="34"/>
      <c r="J102" s="34"/>
      <c r="K102" s="40"/>
      <c r="L102" s="34"/>
      <c r="M102" s="34"/>
      <c r="N102" s="34"/>
      <c r="O102" s="34"/>
      <c r="P102" s="40"/>
      <c r="Q102" s="34"/>
      <c r="R102" s="34"/>
      <c r="S102" s="34"/>
      <c r="T102" s="34"/>
      <c r="U102" s="40"/>
      <c r="V102" s="34"/>
      <c r="W102" s="34"/>
      <c r="X102" s="34"/>
      <c r="Y102" s="34"/>
      <c r="Z102" s="34"/>
      <c r="AA102" s="34"/>
      <c r="AB102" s="38"/>
      <c r="AC102" s="38"/>
    </row>
    <row r="103" spans="2:29" x14ac:dyDescent="0.25">
      <c r="B103" s="34"/>
      <c r="C103" s="34"/>
      <c r="D103" s="34"/>
      <c r="E103" s="34"/>
      <c r="F103" s="40"/>
      <c r="G103" s="34"/>
      <c r="H103" s="34"/>
      <c r="I103" s="34"/>
      <c r="J103" s="34"/>
      <c r="K103" s="40"/>
      <c r="L103" s="34"/>
      <c r="M103" s="34"/>
      <c r="N103" s="34"/>
      <c r="O103" s="34"/>
      <c r="P103" s="40"/>
      <c r="Q103" s="34"/>
      <c r="R103" s="34"/>
      <c r="S103" s="34"/>
      <c r="T103" s="34"/>
      <c r="U103" s="40"/>
      <c r="V103" s="34"/>
      <c r="W103" s="34"/>
      <c r="X103" s="34"/>
      <c r="Y103" s="34"/>
      <c r="Z103" s="34"/>
      <c r="AA103" s="34"/>
      <c r="AB103" s="38"/>
      <c r="AC103" s="38"/>
    </row>
    <row r="104" spans="2:29" x14ac:dyDescent="0.25">
      <c r="B104" s="34"/>
      <c r="C104" s="34"/>
      <c r="D104" s="34"/>
      <c r="E104" s="34"/>
      <c r="F104" s="40"/>
      <c r="G104" s="34"/>
      <c r="H104" s="34"/>
      <c r="I104" s="34"/>
      <c r="J104" s="34"/>
      <c r="K104" s="40"/>
      <c r="L104" s="34"/>
      <c r="M104" s="34"/>
      <c r="N104" s="34"/>
      <c r="O104" s="34"/>
      <c r="P104" s="40"/>
      <c r="Q104" s="34"/>
      <c r="R104" s="34"/>
      <c r="S104" s="34"/>
      <c r="T104" s="34"/>
      <c r="U104" s="40"/>
      <c r="V104" s="34"/>
      <c r="W104" s="34"/>
      <c r="X104" s="34"/>
      <c r="Y104" s="34"/>
      <c r="Z104" s="34"/>
      <c r="AA104" s="34"/>
      <c r="AB104" s="38"/>
      <c r="AC104" s="38"/>
    </row>
    <row r="105" spans="2:29" x14ac:dyDescent="0.25">
      <c r="B105" s="34"/>
      <c r="C105" s="34"/>
      <c r="D105" s="34"/>
      <c r="E105" s="34"/>
      <c r="F105" s="40"/>
      <c r="G105" s="34"/>
      <c r="H105" s="34"/>
      <c r="I105" s="34"/>
      <c r="J105" s="34"/>
      <c r="K105" s="40"/>
      <c r="L105" s="34"/>
      <c r="M105" s="34"/>
      <c r="N105" s="34"/>
      <c r="O105" s="34"/>
      <c r="P105" s="40"/>
      <c r="Q105" s="34"/>
      <c r="R105" s="34"/>
      <c r="S105" s="34"/>
      <c r="T105" s="34"/>
      <c r="U105" s="40"/>
      <c r="V105" s="34"/>
      <c r="W105" s="34"/>
      <c r="X105" s="34"/>
      <c r="Y105" s="34"/>
      <c r="Z105" s="34"/>
      <c r="AA105" s="34"/>
      <c r="AB105" s="38"/>
      <c r="AC105" s="38"/>
    </row>
    <row r="106" spans="2:29" x14ac:dyDescent="0.25">
      <c r="B106" s="34"/>
      <c r="C106" s="34"/>
      <c r="D106" s="34"/>
      <c r="E106" s="34"/>
      <c r="F106" s="40"/>
      <c r="G106" s="34"/>
      <c r="H106" s="34"/>
      <c r="I106" s="34"/>
      <c r="J106" s="34"/>
      <c r="K106" s="40"/>
      <c r="L106" s="34"/>
      <c r="M106" s="34"/>
      <c r="N106" s="34"/>
      <c r="O106" s="34"/>
      <c r="P106" s="40"/>
      <c r="Q106" s="34"/>
      <c r="R106" s="34"/>
      <c r="S106" s="34"/>
      <c r="T106" s="34"/>
      <c r="U106" s="40"/>
      <c r="V106" s="34"/>
      <c r="W106" s="34"/>
      <c r="X106" s="34"/>
      <c r="Y106" s="34"/>
      <c r="Z106" s="34"/>
      <c r="AA106" s="34"/>
      <c r="AB106" s="38"/>
      <c r="AC106" s="38"/>
    </row>
    <row r="107" spans="2:29" x14ac:dyDescent="0.25">
      <c r="B107" s="34"/>
      <c r="C107" s="34"/>
      <c r="D107" s="34"/>
      <c r="E107" s="34"/>
      <c r="F107" s="40"/>
      <c r="G107" s="34"/>
      <c r="H107" s="34"/>
      <c r="I107" s="34"/>
      <c r="J107" s="34"/>
      <c r="K107" s="40"/>
      <c r="L107" s="34"/>
      <c r="M107" s="34"/>
      <c r="N107" s="34"/>
      <c r="O107" s="34"/>
      <c r="P107" s="40"/>
      <c r="Q107" s="34"/>
      <c r="R107" s="34"/>
      <c r="S107" s="34"/>
      <c r="T107" s="34"/>
      <c r="U107" s="40"/>
      <c r="V107" s="34"/>
      <c r="W107" s="34"/>
      <c r="X107" s="34"/>
      <c r="Y107" s="34"/>
      <c r="Z107" s="34"/>
      <c r="AA107" s="34"/>
      <c r="AB107" s="38"/>
      <c r="AC107" s="38"/>
    </row>
    <row r="108" spans="2:29" x14ac:dyDescent="0.25">
      <c r="B108" s="34"/>
      <c r="C108" s="34"/>
      <c r="D108" s="34"/>
      <c r="E108" s="34"/>
      <c r="F108" s="40"/>
      <c r="G108" s="34"/>
      <c r="H108" s="34"/>
      <c r="I108" s="34"/>
      <c r="J108" s="34"/>
      <c r="K108" s="40"/>
      <c r="L108" s="34"/>
      <c r="M108" s="34"/>
      <c r="N108" s="34"/>
      <c r="O108" s="34"/>
      <c r="P108" s="40"/>
      <c r="Q108" s="34"/>
      <c r="R108" s="34"/>
      <c r="S108" s="34"/>
      <c r="T108" s="34"/>
      <c r="U108" s="40"/>
      <c r="V108" s="34"/>
      <c r="W108" s="34"/>
      <c r="X108" s="34"/>
      <c r="Y108" s="34"/>
      <c r="Z108" s="34"/>
      <c r="AA108" s="34"/>
      <c r="AB108" s="38"/>
      <c r="AC108" s="38"/>
    </row>
    <row r="109" spans="2:29" x14ac:dyDescent="0.25">
      <c r="B109" s="34"/>
      <c r="C109" s="34"/>
      <c r="D109" s="34"/>
      <c r="E109" s="34"/>
      <c r="F109" s="40"/>
      <c r="G109" s="34"/>
      <c r="H109" s="34"/>
      <c r="I109" s="34"/>
      <c r="J109" s="34"/>
      <c r="K109" s="40"/>
      <c r="L109" s="34"/>
      <c r="M109" s="34"/>
      <c r="N109" s="34"/>
      <c r="O109" s="34"/>
      <c r="P109" s="40"/>
      <c r="Q109" s="34"/>
      <c r="R109" s="34"/>
      <c r="S109" s="34"/>
      <c r="T109" s="34"/>
      <c r="U109" s="40"/>
      <c r="V109" s="34"/>
      <c r="W109" s="34"/>
      <c r="X109" s="34"/>
      <c r="Y109" s="34"/>
      <c r="Z109" s="34"/>
      <c r="AA109" s="34"/>
      <c r="AB109" s="38"/>
      <c r="AC109" s="38"/>
    </row>
    <row r="110" spans="2:29" x14ac:dyDescent="0.25">
      <c r="B110" s="34"/>
      <c r="C110" s="34"/>
      <c r="D110" s="34"/>
      <c r="E110" s="34"/>
      <c r="F110" s="40"/>
      <c r="G110" s="34"/>
      <c r="H110" s="34"/>
      <c r="I110" s="34"/>
      <c r="J110" s="34"/>
      <c r="K110" s="40"/>
      <c r="L110" s="34"/>
      <c r="M110" s="34"/>
      <c r="N110" s="34"/>
      <c r="O110" s="34"/>
      <c r="P110" s="40"/>
      <c r="Q110" s="34"/>
      <c r="R110" s="34"/>
      <c r="S110" s="34"/>
      <c r="T110" s="34"/>
      <c r="U110" s="40"/>
      <c r="V110" s="34"/>
      <c r="W110" s="34"/>
      <c r="X110" s="34"/>
      <c r="Y110" s="34"/>
      <c r="Z110" s="34"/>
      <c r="AA110" s="34"/>
      <c r="AB110" s="38"/>
      <c r="AC110" s="38"/>
    </row>
    <row r="111" spans="2:29" x14ac:dyDescent="0.25">
      <c r="B111" s="34"/>
      <c r="C111" s="34"/>
      <c r="D111" s="34"/>
      <c r="E111" s="34"/>
      <c r="F111" s="40"/>
      <c r="G111" s="34"/>
      <c r="H111" s="34"/>
      <c r="I111" s="34"/>
      <c r="J111" s="34"/>
      <c r="K111" s="40"/>
      <c r="L111" s="34"/>
      <c r="M111" s="34"/>
      <c r="N111" s="34"/>
      <c r="O111" s="34"/>
      <c r="P111" s="40"/>
      <c r="Q111" s="34"/>
      <c r="R111" s="34"/>
      <c r="S111" s="34"/>
      <c r="T111" s="34"/>
      <c r="U111" s="40"/>
      <c r="V111" s="34"/>
      <c r="W111" s="34"/>
      <c r="X111" s="34"/>
      <c r="Y111" s="34"/>
      <c r="Z111" s="34"/>
      <c r="AA111" s="34"/>
      <c r="AB111" s="38"/>
      <c r="AC111" s="38"/>
    </row>
    <row r="112" spans="2:29" x14ac:dyDescent="0.25">
      <c r="B112" s="34"/>
      <c r="C112" s="34"/>
      <c r="D112" s="34"/>
      <c r="E112" s="34"/>
      <c r="F112" s="40"/>
      <c r="G112" s="34"/>
      <c r="H112" s="34"/>
      <c r="I112" s="34"/>
      <c r="J112" s="34"/>
      <c r="K112" s="40"/>
      <c r="L112" s="34"/>
      <c r="M112" s="34"/>
      <c r="N112" s="34"/>
      <c r="O112" s="34"/>
      <c r="P112" s="40"/>
      <c r="Q112" s="34"/>
      <c r="R112" s="34"/>
      <c r="S112" s="34"/>
      <c r="T112" s="34"/>
      <c r="U112" s="40"/>
      <c r="V112" s="34"/>
      <c r="W112" s="34"/>
      <c r="X112" s="34"/>
      <c r="Y112" s="34"/>
      <c r="Z112" s="34"/>
      <c r="AA112" s="34"/>
      <c r="AB112" s="38"/>
      <c r="AC112" s="38"/>
    </row>
    <row r="113" spans="2:29" x14ac:dyDescent="0.25">
      <c r="B113" s="34"/>
      <c r="C113" s="34"/>
      <c r="D113" s="34"/>
      <c r="E113" s="34"/>
      <c r="F113" s="40"/>
      <c r="G113" s="34"/>
      <c r="H113" s="34"/>
      <c r="I113" s="34"/>
      <c r="J113" s="34"/>
      <c r="K113" s="40"/>
      <c r="L113" s="34"/>
      <c r="M113" s="34"/>
      <c r="N113" s="34"/>
      <c r="O113" s="34"/>
      <c r="P113" s="40"/>
      <c r="Q113" s="34"/>
      <c r="R113" s="34"/>
      <c r="S113" s="34"/>
      <c r="T113" s="34"/>
      <c r="U113" s="40"/>
      <c r="V113" s="34"/>
      <c r="W113" s="34"/>
      <c r="X113" s="34"/>
      <c r="Y113" s="34"/>
      <c r="Z113" s="34"/>
      <c r="AA113" s="34"/>
      <c r="AB113" s="38"/>
      <c r="AC113" s="38"/>
    </row>
    <row r="114" spans="2:29" x14ac:dyDescent="0.25">
      <c r="B114" s="34"/>
      <c r="C114" s="34"/>
      <c r="D114" s="34"/>
      <c r="E114" s="34"/>
      <c r="F114" s="40"/>
      <c r="G114" s="34"/>
      <c r="H114" s="34"/>
      <c r="I114" s="34"/>
      <c r="J114" s="34"/>
      <c r="K114" s="40"/>
      <c r="L114" s="34"/>
      <c r="M114" s="34"/>
      <c r="N114" s="34"/>
      <c r="O114" s="34"/>
      <c r="P114" s="40"/>
      <c r="Q114" s="34"/>
      <c r="R114" s="34"/>
      <c r="S114" s="34"/>
      <c r="T114" s="34"/>
      <c r="U114" s="40"/>
      <c r="V114" s="34"/>
      <c r="W114" s="34"/>
      <c r="X114" s="34"/>
      <c r="Y114" s="34"/>
      <c r="Z114" s="34"/>
      <c r="AA114" s="34"/>
      <c r="AB114" s="38"/>
      <c r="AC114" s="38"/>
    </row>
    <row r="115" spans="2:29" x14ac:dyDescent="0.25">
      <c r="B115" s="34"/>
      <c r="C115" s="34"/>
      <c r="D115" s="34"/>
      <c r="E115" s="34"/>
      <c r="F115" s="40"/>
      <c r="G115" s="34"/>
      <c r="H115" s="34"/>
      <c r="I115" s="34"/>
      <c r="J115" s="34"/>
      <c r="K115" s="40"/>
      <c r="L115" s="34"/>
      <c r="M115" s="34"/>
      <c r="N115" s="34"/>
      <c r="O115" s="34"/>
      <c r="P115" s="40"/>
      <c r="Q115" s="34"/>
      <c r="R115" s="34"/>
      <c r="S115" s="34"/>
      <c r="T115" s="34"/>
      <c r="U115" s="40"/>
      <c r="V115" s="34"/>
      <c r="W115" s="34"/>
      <c r="X115" s="34"/>
      <c r="Y115" s="34"/>
      <c r="Z115" s="34"/>
      <c r="AA115" s="34"/>
      <c r="AB115" s="38"/>
      <c r="AC115" s="38"/>
    </row>
    <row r="116" spans="2:29" x14ac:dyDescent="0.25">
      <c r="B116" s="34"/>
      <c r="C116" s="34"/>
      <c r="D116" s="34"/>
      <c r="E116" s="34"/>
      <c r="F116" s="40"/>
      <c r="G116" s="34"/>
      <c r="H116" s="34"/>
      <c r="I116" s="34"/>
      <c r="J116" s="34"/>
      <c r="K116" s="40"/>
      <c r="L116" s="34"/>
      <c r="M116" s="34"/>
      <c r="N116" s="34"/>
      <c r="O116" s="34"/>
      <c r="P116" s="40"/>
      <c r="Q116" s="34"/>
      <c r="R116" s="34"/>
      <c r="S116" s="34"/>
      <c r="T116" s="34"/>
      <c r="U116" s="40"/>
      <c r="V116" s="34"/>
      <c r="W116" s="34"/>
      <c r="X116" s="34"/>
      <c r="Y116" s="34"/>
      <c r="Z116" s="34"/>
      <c r="AA116" s="34"/>
      <c r="AB116" s="38"/>
      <c r="AC116" s="38"/>
    </row>
    <row r="117" spans="2:29" x14ac:dyDescent="0.25">
      <c r="B117" s="34"/>
      <c r="C117" s="34"/>
      <c r="D117" s="34"/>
      <c r="E117" s="34"/>
      <c r="F117" s="40"/>
      <c r="G117" s="34"/>
      <c r="H117" s="34"/>
      <c r="I117" s="34"/>
      <c r="J117" s="34"/>
      <c r="K117" s="40"/>
      <c r="L117" s="34"/>
      <c r="M117" s="34"/>
      <c r="N117" s="34"/>
      <c r="O117" s="34"/>
      <c r="P117" s="40"/>
      <c r="Q117" s="34"/>
      <c r="R117" s="34"/>
      <c r="S117" s="34"/>
      <c r="T117" s="34"/>
      <c r="U117" s="40"/>
      <c r="V117" s="34"/>
      <c r="W117" s="34"/>
      <c r="X117" s="34"/>
      <c r="Y117" s="34"/>
      <c r="Z117" s="34"/>
      <c r="AA117" s="34"/>
      <c r="AB117" s="38"/>
      <c r="AC117" s="38"/>
    </row>
    <row r="118" spans="2:29" x14ac:dyDescent="0.25">
      <c r="B118" s="34"/>
      <c r="C118" s="34"/>
      <c r="D118" s="34"/>
      <c r="E118" s="34"/>
      <c r="F118" s="40"/>
      <c r="G118" s="34"/>
      <c r="H118" s="34"/>
      <c r="I118" s="34"/>
      <c r="J118" s="34"/>
      <c r="K118" s="40"/>
      <c r="L118" s="34"/>
      <c r="M118" s="34"/>
      <c r="N118" s="34"/>
      <c r="O118" s="34"/>
      <c r="P118" s="40"/>
      <c r="Q118" s="34"/>
      <c r="R118" s="34"/>
      <c r="S118" s="34"/>
      <c r="T118" s="34"/>
      <c r="U118" s="40"/>
      <c r="V118" s="34"/>
      <c r="W118" s="34"/>
      <c r="X118" s="34"/>
      <c r="Y118" s="34"/>
      <c r="Z118" s="34"/>
      <c r="AA118" s="34"/>
      <c r="AB118" s="38"/>
      <c r="AC118" s="38"/>
    </row>
    <row r="119" spans="2:29" x14ac:dyDescent="0.25">
      <c r="B119" s="34"/>
      <c r="C119" s="34"/>
      <c r="D119" s="34"/>
      <c r="E119" s="34"/>
      <c r="F119" s="40"/>
      <c r="G119" s="34"/>
      <c r="H119" s="34"/>
      <c r="I119" s="34"/>
      <c r="J119" s="34"/>
      <c r="K119" s="40"/>
      <c r="L119" s="34"/>
      <c r="M119" s="34"/>
      <c r="N119" s="34"/>
      <c r="O119" s="34"/>
      <c r="P119" s="40"/>
      <c r="Q119" s="34"/>
      <c r="R119" s="34"/>
      <c r="S119" s="34"/>
      <c r="T119" s="34"/>
      <c r="U119" s="40"/>
      <c r="V119" s="34"/>
      <c r="W119" s="34"/>
      <c r="X119" s="34"/>
      <c r="Y119" s="34"/>
      <c r="Z119" s="34"/>
      <c r="AA119" s="34"/>
      <c r="AB119" s="38"/>
      <c r="AC119" s="38"/>
    </row>
    <row r="120" spans="2:29" x14ac:dyDescent="0.25">
      <c r="B120" s="34"/>
      <c r="C120" s="34"/>
      <c r="D120" s="34"/>
      <c r="E120" s="34"/>
      <c r="F120" s="40"/>
      <c r="G120" s="34"/>
      <c r="H120" s="34"/>
      <c r="I120" s="34"/>
      <c r="J120" s="34"/>
      <c r="K120" s="40"/>
      <c r="L120" s="34"/>
      <c r="M120" s="34"/>
      <c r="N120" s="34"/>
      <c r="O120" s="34"/>
      <c r="P120" s="40"/>
      <c r="Q120" s="34"/>
      <c r="R120" s="34"/>
      <c r="S120" s="34"/>
      <c r="T120" s="34"/>
      <c r="U120" s="40"/>
      <c r="V120" s="34"/>
      <c r="W120" s="34"/>
      <c r="X120" s="34"/>
      <c r="Y120" s="34"/>
      <c r="Z120" s="34"/>
      <c r="AA120" s="34"/>
      <c r="AB120" s="38"/>
      <c r="AC120" s="38"/>
    </row>
    <row r="121" spans="2:29" x14ac:dyDescent="0.25">
      <c r="B121" s="34"/>
      <c r="C121" s="34"/>
      <c r="D121" s="34"/>
      <c r="E121" s="34"/>
      <c r="F121" s="40"/>
      <c r="G121" s="34"/>
      <c r="H121" s="34"/>
      <c r="I121" s="34"/>
      <c r="J121" s="34"/>
      <c r="K121" s="40"/>
      <c r="L121" s="34"/>
      <c r="M121" s="34"/>
      <c r="N121" s="34"/>
      <c r="O121" s="34"/>
      <c r="P121" s="40"/>
      <c r="Q121" s="34"/>
      <c r="R121" s="34"/>
      <c r="S121" s="34"/>
      <c r="T121" s="34"/>
      <c r="U121" s="40"/>
      <c r="V121" s="34"/>
      <c r="W121" s="34"/>
      <c r="X121" s="34"/>
      <c r="Y121" s="34"/>
      <c r="Z121" s="34"/>
      <c r="AA121" s="34"/>
      <c r="AB121" s="38"/>
      <c r="AC121" s="38"/>
    </row>
    <row r="122" spans="2:29" x14ac:dyDescent="0.25">
      <c r="B122" s="34"/>
      <c r="C122" s="34"/>
      <c r="D122" s="34"/>
      <c r="E122" s="34"/>
      <c r="F122" s="40"/>
      <c r="G122" s="34"/>
      <c r="H122" s="34"/>
      <c r="I122" s="34"/>
      <c r="J122" s="34"/>
      <c r="K122" s="40"/>
      <c r="L122" s="34"/>
      <c r="M122" s="34"/>
      <c r="N122" s="34"/>
      <c r="O122" s="34"/>
      <c r="P122" s="40"/>
      <c r="Q122" s="34"/>
      <c r="R122" s="34"/>
      <c r="S122" s="34"/>
      <c r="T122" s="34"/>
      <c r="U122" s="40"/>
      <c r="V122" s="34"/>
      <c r="W122" s="34"/>
      <c r="X122" s="34"/>
      <c r="Y122" s="34"/>
      <c r="Z122" s="34"/>
      <c r="AA122" s="34"/>
      <c r="AB122" s="38"/>
      <c r="AC122" s="38"/>
    </row>
    <row r="123" spans="2:29" x14ac:dyDescent="0.25">
      <c r="B123" s="34"/>
      <c r="C123" s="34"/>
      <c r="D123" s="34"/>
      <c r="E123" s="34"/>
      <c r="F123" s="40"/>
      <c r="G123" s="34"/>
      <c r="H123" s="34"/>
      <c r="I123" s="34"/>
      <c r="J123" s="34"/>
      <c r="K123" s="40"/>
      <c r="L123" s="34"/>
      <c r="M123" s="34"/>
      <c r="N123" s="34"/>
      <c r="O123" s="34"/>
      <c r="P123" s="40"/>
      <c r="Q123" s="34"/>
      <c r="R123" s="34"/>
      <c r="S123" s="34"/>
      <c r="T123" s="34"/>
      <c r="U123" s="40"/>
      <c r="V123" s="34"/>
      <c r="W123" s="34"/>
      <c r="X123" s="34"/>
      <c r="Y123" s="34"/>
      <c r="Z123" s="34"/>
      <c r="AA123" s="34"/>
      <c r="AB123" s="38"/>
      <c r="AC123" s="38"/>
    </row>
    <row r="124" spans="2:29" x14ac:dyDescent="0.25">
      <c r="B124" s="34"/>
      <c r="C124" s="34"/>
      <c r="D124" s="34"/>
      <c r="E124" s="34"/>
      <c r="F124" s="40"/>
      <c r="G124" s="34"/>
      <c r="H124" s="34"/>
      <c r="I124" s="34"/>
      <c r="J124" s="34"/>
      <c r="K124" s="40"/>
      <c r="L124" s="34"/>
      <c r="M124" s="34"/>
      <c r="N124" s="34"/>
      <c r="O124" s="34"/>
      <c r="P124" s="40"/>
      <c r="Q124" s="34"/>
      <c r="R124" s="34"/>
      <c r="S124" s="34"/>
      <c r="T124" s="34"/>
      <c r="U124" s="40"/>
      <c r="V124" s="34"/>
      <c r="W124" s="34"/>
      <c r="X124" s="34"/>
      <c r="Y124" s="34"/>
      <c r="Z124" s="34"/>
      <c r="AA124" s="34"/>
      <c r="AB124" s="38"/>
      <c r="AC124" s="38"/>
    </row>
    <row r="125" spans="2:29" x14ac:dyDescent="0.25">
      <c r="B125" s="34"/>
      <c r="C125" s="34"/>
      <c r="D125" s="34"/>
      <c r="E125" s="34"/>
      <c r="F125" s="40"/>
      <c r="G125" s="34"/>
      <c r="H125" s="34"/>
      <c r="I125" s="34"/>
      <c r="J125" s="34"/>
      <c r="K125" s="40"/>
      <c r="L125" s="34"/>
      <c r="M125" s="34"/>
      <c r="N125" s="34"/>
      <c r="O125" s="34"/>
      <c r="P125" s="40"/>
      <c r="Q125" s="34"/>
      <c r="R125" s="34"/>
      <c r="S125" s="34"/>
      <c r="T125" s="34"/>
      <c r="U125" s="40"/>
      <c r="V125" s="34"/>
      <c r="W125" s="34"/>
      <c r="X125" s="34"/>
      <c r="Y125" s="34"/>
      <c r="Z125" s="34"/>
      <c r="AA125" s="34"/>
      <c r="AB125" s="38"/>
      <c r="AC125" s="38"/>
    </row>
    <row r="126" spans="2:29" x14ac:dyDescent="0.25">
      <c r="B126" s="34"/>
      <c r="C126" s="34"/>
      <c r="D126" s="34"/>
      <c r="E126" s="34"/>
      <c r="F126" s="40"/>
      <c r="G126" s="34"/>
      <c r="H126" s="34"/>
      <c r="I126" s="34"/>
      <c r="J126" s="34"/>
      <c r="K126" s="40"/>
      <c r="L126" s="34"/>
      <c r="M126" s="34"/>
      <c r="N126" s="34"/>
      <c r="O126" s="34"/>
      <c r="P126" s="40"/>
      <c r="Q126" s="34"/>
      <c r="R126" s="34"/>
      <c r="S126" s="34"/>
      <c r="T126" s="34"/>
      <c r="U126" s="40"/>
      <c r="V126" s="34"/>
      <c r="W126" s="34"/>
      <c r="X126" s="34"/>
      <c r="Y126" s="34"/>
      <c r="Z126" s="34"/>
      <c r="AA126" s="34"/>
      <c r="AB126" s="38"/>
      <c r="AC126" s="38"/>
    </row>
    <row r="127" spans="2:29" x14ac:dyDescent="0.25">
      <c r="B127" s="34"/>
      <c r="C127" s="34"/>
      <c r="D127" s="34"/>
      <c r="E127" s="34"/>
      <c r="F127" s="40"/>
      <c r="G127" s="34"/>
      <c r="H127" s="34"/>
      <c r="I127" s="34"/>
      <c r="J127" s="34"/>
      <c r="K127" s="40"/>
      <c r="L127" s="34"/>
      <c r="M127" s="34"/>
      <c r="N127" s="34"/>
      <c r="O127" s="34"/>
      <c r="P127" s="40"/>
      <c r="Q127" s="34"/>
      <c r="R127" s="34"/>
      <c r="S127" s="34"/>
      <c r="T127" s="34"/>
      <c r="U127" s="40"/>
      <c r="V127" s="34"/>
      <c r="W127" s="34"/>
      <c r="X127" s="34"/>
      <c r="Y127" s="34"/>
      <c r="Z127" s="34"/>
      <c r="AA127" s="34"/>
      <c r="AB127" s="38"/>
      <c r="AC127" s="38"/>
    </row>
    <row r="128" spans="2:29" x14ac:dyDescent="0.25">
      <c r="B128" s="34"/>
      <c r="C128" s="34"/>
      <c r="D128" s="34"/>
      <c r="E128" s="34"/>
      <c r="F128" s="40"/>
      <c r="G128" s="34"/>
      <c r="H128" s="34"/>
      <c r="I128" s="34"/>
      <c r="J128" s="34"/>
      <c r="K128" s="40"/>
      <c r="L128" s="34"/>
      <c r="M128" s="34"/>
      <c r="N128" s="34"/>
      <c r="O128" s="34"/>
      <c r="P128" s="40"/>
      <c r="Q128" s="34"/>
      <c r="R128" s="34"/>
      <c r="S128" s="34"/>
      <c r="T128" s="34"/>
      <c r="U128" s="40"/>
      <c r="V128" s="34"/>
      <c r="W128" s="34"/>
      <c r="X128" s="34"/>
      <c r="Y128" s="34"/>
      <c r="Z128" s="34"/>
      <c r="AA128" s="34"/>
      <c r="AB128" s="38"/>
      <c r="AC128" s="38"/>
    </row>
    <row r="129" spans="2:29" x14ac:dyDescent="0.25">
      <c r="B129" s="34"/>
      <c r="C129" s="34"/>
      <c r="D129" s="34"/>
      <c r="E129" s="34"/>
      <c r="F129" s="40"/>
      <c r="G129" s="34"/>
      <c r="H129" s="34"/>
      <c r="I129" s="34"/>
      <c r="J129" s="34"/>
      <c r="K129" s="40"/>
      <c r="L129" s="34"/>
      <c r="M129" s="34"/>
      <c r="N129" s="34"/>
      <c r="O129" s="34"/>
      <c r="P129" s="40"/>
      <c r="Q129" s="34"/>
      <c r="R129" s="34"/>
      <c r="S129" s="34"/>
      <c r="T129" s="34"/>
      <c r="U129" s="40"/>
      <c r="V129" s="34"/>
      <c r="W129" s="34"/>
      <c r="X129" s="34"/>
      <c r="Y129" s="34"/>
      <c r="Z129" s="34"/>
      <c r="AA129" s="34"/>
      <c r="AB129" s="38"/>
      <c r="AC129" s="38"/>
    </row>
    <row r="130" spans="2:29" x14ac:dyDescent="0.25">
      <c r="B130" s="34"/>
      <c r="C130" s="34"/>
      <c r="D130" s="34"/>
      <c r="E130" s="34"/>
      <c r="F130" s="40"/>
      <c r="G130" s="34"/>
      <c r="H130" s="34"/>
      <c r="I130" s="34"/>
      <c r="J130" s="34"/>
      <c r="K130" s="40"/>
      <c r="L130" s="34"/>
      <c r="M130" s="34"/>
      <c r="N130" s="34"/>
      <c r="O130" s="34"/>
      <c r="P130" s="40"/>
      <c r="Q130" s="34"/>
      <c r="R130" s="34"/>
      <c r="S130" s="34"/>
      <c r="T130" s="34"/>
      <c r="U130" s="40"/>
      <c r="V130" s="34"/>
      <c r="W130" s="34"/>
      <c r="X130" s="34"/>
      <c r="Y130" s="34"/>
      <c r="Z130" s="34"/>
      <c r="AA130" s="34"/>
      <c r="AB130" s="38"/>
      <c r="AC130" s="38"/>
    </row>
    <row r="131" spans="2:29" x14ac:dyDescent="0.25">
      <c r="B131" s="34"/>
      <c r="C131" s="34"/>
      <c r="D131" s="34"/>
      <c r="E131" s="34"/>
      <c r="F131" s="40"/>
      <c r="G131" s="34"/>
      <c r="H131" s="34"/>
      <c r="I131" s="34"/>
      <c r="J131" s="34"/>
      <c r="K131" s="40"/>
      <c r="L131" s="34"/>
      <c r="M131" s="34"/>
      <c r="N131" s="34"/>
      <c r="O131" s="34"/>
      <c r="P131" s="40"/>
      <c r="Q131" s="34"/>
      <c r="R131" s="34"/>
      <c r="S131" s="34"/>
      <c r="T131" s="34"/>
      <c r="U131" s="40"/>
      <c r="V131" s="34"/>
      <c r="W131" s="34"/>
      <c r="X131" s="34"/>
      <c r="Y131" s="34"/>
      <c r="Z131" s="34"/>
      <c r="AA131" s="34"/>
      <c r="AB131" s="38"/>
      <c r="AC131" s="38"/>
    </row>
    <row r="132" spans="2:29" x14ac:dyDescent="0.25">
      <c r="B132" s="34"/>
      <c r="C132" s="34"/>
      <c r="D132" s="34"/>
      <c r="E132" s="34"/>
      <c r="F132" s="40"/>
      <c r="G132" s="34"/>
      <c r="H132" s="34"/>
      <c r="I132" s="34"/>
      <c r="J132" s="34"/>
      <c r="K132" s="40"/>
      <c r="L132" s="34"/>
      <c r="M132" s="34"/>
      <c r="N132" s="34"/>
      <c r="O132" s="34"/>
      <c r="P132" s="40"/>
      <c r="Q132" s="34"/>
      <c r="R132" s="34"/>
      <c r="S132" s="34"/>
      <c r="T132" s="34"/>
      <c r="U132" s="40"/>
      <c r="V132" s="34"/>
      <c r="W132" s="34"/>
      <c r="X132" s="34"/>
      <c r="Y132" s="34"/>
      <c r="Z132" s="34"/>
      <c r="AA132" s="34"/>
      <c r="AB132" s="38"/>
      <c r="AC132" s="38"/>
    </row>
    <row r="133" spans="2:29" x14ac:dyDescent="0.25">
      <c r="B133" s="34"/>
      <c r="C133" s="34"/>
      <c r="D133" s="34"/>
      <c r="E133" s="34"/>
      <c r="F133" s="40"/>
      <c r="G133" s="34"/>
      <c r="H133" s="34"/>
      <c r="I133" s="34"/>
      <c r="J133" s="34"/>
      <c r="K133" s="40"/>
      <c r="L133" s="34"/>
      <c r="M133" s="34"/>
      <c r="N133" s="34"/>
      <c r="O133" s="34"/>
      <c r="P133" s="40"/>
      <c r="Q133" s="34"/>
      <c r="R133" s="34"/>
      <c r="S133" s="34"/>
      <c r="T133" s="34"/>
      <c r="U133" s="40"/>
      <c r="V133" s="34"/>
      <c r="W133" s="34"/>
      <c r="X133" s="34"/>
      <c r="Y133" s="34"/>
      <c r="Z133" s="34"/>
      <c r="AA133" s="34"/>
      <c r="AB133" s="38"/>
      <c r="AC133" s="38"/>
    </row>
    <row r="134" spans="2:29" x14ac:dyDescent="0.25">
      <c r="B134" s="34"/>
      <c r="C134" s="34"/>
      <c r="D134" s="34"/>
      <c r="E134" s="34"/>
      <c r="F134" s="40"/>
      <c r="G134" s="34"/>
      <c r="H134" s="34"/>
      <c r="I134" s="34"/>
      <c r="J134" s="34"/>
      <c r="K134" s="40"/>
      <c r="L134" s="34"/>
      <c r="M134" s="34"/>
      <c r="N134" s="34"/>
      <c r="O134" s="34"/>
      <c r="P134" s="40"/>
      <c r="Q134" s="34"/>
      <c r="R134" s="34"/>
      <c r="S134" s="34"/>
      <c r="T134" s="34"/>
      <c r="U134" s="40"/>
      <c r="V134" s="34"/>
      <c r="W134" s="34"/>
      <c r="X134" s="34"/>
      <c r="Y134" s="34"/>
      <c r="Z134" s="34"/>
      <c r="AA134" s="34"/>
      <c r="AB134" s="38"/>
      <c r="AC134" s="38"/>
    </row>
    <row r="135" spans="2:29" x14ac:dyDescent="0.25">
      <c r="B135" s="34"/>
      <c r="C135" s="34"/>
      <c r="D135" s="34"/>
      <c r="E135" s="34"/>
      <c r="F135" s="40"/>
      <c r="G135" s="34"/>
      <c r="H135" s="34"/>
      <c r="I135" s="34"/>
      <c r="J135" s="34"/>
      <c r="K135" s="40"/>
      <c r="L135" s="34"/>
      <c r="M135" s="34"/>
      <c r="N135" s="34"/>
      <c r="O135" s="34"/>
      <c r="P135" s="40"/>
      <c r="Q135" s="34"/>
      <c r="R135" s="34"/>
      <c r="S135" s="34"/>
      <c r="T135" s="34"/>
      <c r="U135" s="40"/>
      <c r="V135" s="34"/>
      <c r="W135" s="34"/>
      <c r="X135" s="34"/>
      <c r="Y135" s="34"/>
      <c r="Z135" s="34"/>
      <c r="AA135" s="34"/>
      <c r="AB135" s="38"/>
      <c r="AC135" s="38"/>
    </row>
    <row r="136" spans="2:29" x14ac:dyDescent="0.25">
      <c r="B136" s="34"/>
      <c r="C136" s="34"/>
      <c r="D136" s="34"/>
      <c r="E136" s="34"/>
      <c r="F136" s="40"/>
      <c r="G136" s="34"/>
      <c r="H136" s="34"/>
      <c r="I136" s="34"/>
      <c r="J136" s="34"/>
      <c r="K136" s="40"/>
      <c r="L136" s="34"/>
      <c r="M136" s="34"/>
      <c r="N136" s="34"/>
      <c r="O136" s="34"/>
      <c r="P136" s="40"/>
      <c r="Q136" s="34"/>
      <c r="R136" s="34"/>
      <c r="S136" s="34"/>
      <c r="T136" s="34"/>
      <c r="U136" s="40"/>
      <c r="V136" s="34"/>
      <c r="W136" s="34"/>
      <c r="X136" s="34"/>
      <c r="Y136" s="34"/>
      <c r="Z136" s="34"/>
      <c r="AA136" s="34"/>
      <c r="AB136" s="38"/>
      <c r="AC136" s="38"/>
    </row>
    <row r="137" spans="2:29" x14ac:dyDescent="0.25">
      <c r="B137" s="34"/>
      <c r="C137" s="34"/>
      <c r="D137" s="34"/>
      <c r="E137" s="34"/>
      <c r="F137" s="40"/>
      <c r="G137" s="34"/>
      <c r="H137" s="34"/>
      <c r="I137" s="34"/>
      <c r="J137" s="34"/>
      <c r="K137" s="40"/>
      <c r="L137" s="34"/>
      <c r="M137" s="34"/>
      <c r="N137" s="34"/>
      <c r="O137" s="34"/>
      <c r="P137" s="40"/>
      <c r="Q137" s="34"/>
      <c r="R137" s="34"/>
      <c r="S137" s="34"/>
      <c r="T137" s="34"/>
      <c r="U137" s="40"/>
      <c r="V137" s="34"/>
      <c r="W137" s="34"/>
      <c r="X137" s="34"/>
      <c r="Y137" s="34"/>
      <c r="Z137" s="34"/>
      <c r="AA137" s="34"/>
      <c r="AB137" s="38"/>
      <c r="AC137" s="38"/>
    </row>
    <row r="138" spans="2:29" x14ac:dyDescent="0.25">
      <c r="B138" s="34"/>
      <c r="C138" s="34"/>
      <c r="D138" s="34"/>
      <c r="E138" s="34"/>
      <c r="F138" s="40"/>
      <c r="G138" s="34"/>
      <c r="H138" s="34"/>
      <c r="I138" s="34"/>
      <c r="J138" s="34"/>
      <c r="K138" s="40"/>
      <c r="L138" s="34"/>
      <c r="M138" s="34"/>
      <c r="N138" s="34"/>
      <c r="O138" s="34"/>
      <c r="P138" s="40"/>
      <c r="Q138" s="34"/>
      <c r="R138" s="34"/>
      <c r="S138" s="34"/>
      <c r="T138" s="34"/>
      <c r="U138" s="40"/>
      <c r="V138" s="34"/>
      <c r="W138" s="34"/>
      <c r="X138" s="34"/>
      <c r="Y138" s="34"/>
      <c r="Z138" s="34"/>
      <c r="AA138" s="34"/>
      <c r="AB138" s="38"/>
      <c r="AC138" s="38"/>
    </row>
    <row r="139" spans="2:29" x14ac:dyDescent="0.25">
      <c r="B139" s="34"/>
      <c r="C139" s="34"/>
      <c r="D139" s="34"/>
      <c r="E139" s="34"/>
      <c r="F139" s="40"/>
      <c r="G139" s="34"/>
      <c r="H139" s="34"/>
      <c r="I139" s="34"/>
      <c r="J139" s="34"/>
      <c r="K139" s="40"/>
      <c r="L139" s="34"/>
      <c r="M139" s="34"/>
      <c r="N139" s="34"/>
      <c r="O139" s="34"/>
      <c r="P139" s="40"/>
      <c r="Q139" s="34"/>
      <c r="R139" s="34"/>
      <c r="S139" s="34"/>
      <c r="T139" s="34"/>
      <c r="U139" s="40"/>
      <c r="V139" s="34"/>
      <c r="W139" s="34"/>
      <c r="X139" s="34"/>
      <c r="Y139" s="34"/>
      <c r="Z139" s="34"/>
      <c r="AA139" s="34"/>
      <c r="AB139" s="38"/>
      <c r="AC139" s="38"/>
    </row>
    <row r="140" spans="2:29" x14ac:dyDescent="0.25">
      <c r="B140" s="34"/>
      <c r="C140" s="34"/>
      <c r="D140" s="34"/>
      <c r="E140" s="34"/>
      <c r="F140" s="40"/>
      <c r="G140" s="34"/>
      <c r="H140" s="34"/>
      <c r="I140" s="34"/>
      <c r="J140" s="34"/>
      <c r="K140" s="40"/>
      <c r="L140" s="34"/>
      <c r="M140" s="34"/>
      <c r="N140" s="34"/>
      <c r="O140" s="34"/>
      <c r="P140" s="40"/>
      <c r="Q140" s="34"/>
      <c r="R140" s="34"/>
      <c r="S140" s="34"/>
      <c r="T140" s="34"/>
      <c r="U140" s="40"/>
      <c r="V140" s="34"/>
      <c r="W140" s="34"/>
      <c r="X140" s="34"/>
      <c r="Y140" s="34"/>
      <c r="Z140" s="34"/>
      <c r="AA140" s="34"/>
      <c r="AB140" s="38"/>
      <c r="AC140" s="38"/>
    </row>
    <row r="141" spans="2:29" x14ac:dyDescent="0.25">
      <c r="B141" s="34"/>
      <c r="C141" s="34"/>
      <c r="D141" s="34"/>
      <c r="E141" s="34"/>
      <c r="F141" s="40"/>
      <c r="G141" s="34"/>
      <c r="H141" s="34"/>
      <c r="I141" s="34"/>
      <c r="J141" s="34"/>
      <c r="K141" s="40"/>
      <c r="L141" s="34"/>
      <c r="M141" s="34"/>
      <c r="N141" s="34"/>
      <c r="O141" s="34"/>
      <c r="P141" s="40"/>
      <c r="Q141" s="34"/>
      <c r="R141" s="34"/>
      <c r="S141" s="34"/>
      <c r="T141" s="34"/>
      <c r="U141" s="40"/>
      <c r="V141" s="34"/>
      <c r="W141" s="34"/>
      <c r="X141" s="34"/>
      <c r="Y141" s="34"/>
      <c r="Z141" s="34"/>
      <c r="AA141" s="34"/>
      <c r="AB141" s="38"/>
      <c r="AC141" s="38"/>
    </row>
    <row r="142" spans="2:29" x14ac:dyDescent="0.25">
      <c r="B142" s="34"/>
      <c r="C142" s="34"/>
      <c r="D142" s="34"/>
      <c r="E142" s="34"/>
      <c r="F142" s="40"/>
      <c r="G142" s="34"/>
      <c r="H142" s="34"/>
      <c r="I142" s="34"/>
      <c r="J142" s="34"/>
      <c r="K142" s="40"/>
      <c r="L142" s="34"/>
      <c r="M142" s="34"/>
      <c r="N142" s="34"/>
      <c r="O142" s="34"/>
      <c r="P142" s="40"/>
      <c r="Q142" s="34"/>
      <c r="R142" s="34"/>
      <c r="S142" s="34"/>
      <c r="T142" s="34"/>
      <c r="U142" s="40"/>
      <c r="V142" s="34"/>
      <c r="W142" s="34"/>
      <c r="X142" s="34"/>
      <c r="Y142" s="34"/>
      <c r="Z142" s="34"/>
      <c r="AA142" s="34"/>
      <c r="AB142" s="38"/>
      <c r="AC142" s="38"/>
    </row>
    <row r="143" spans="2:29" x14ac:dyDescent="0.25">
      <c r="B143" s="34"/>
      <c r="C143" s="34"/>
      <c r="D143" s="34"/>
      <c r="E143" s="34"/>
      <c r="F143" s="40"/>
      <c r="G143" s="34"/>
      <c r="H143" s="34"/>
      <c r="I143" s="34"/>
      <c r="J143" s="34"/>
      <c r="K143" s="40"/>
      <c r="L143" s="34"/>
      <c r="M143" s="34"/>
      <c r="N143" s="34"/>
      <c r="O143" s="34"/>
      <c r="P143" s="40"/>
      <c r="Q143" s="34"/>
      <c r="R143" s="34"/>
      <c r="S143" s="34"/>
      <c r="T143" s="34"/>
      <c r="U143" s="40"/>
      <c r="V143" s="34"/>
      <c r="W143" s="34"/>
      <c r="X143" s="34"/>
      <c r="Y143" s="34"/>
      <c r="Z143" s="34"/>
      <c r="AA143" s="34"/>
      <c r="AB143" s="38"/>
      <c r="AC143" s="38"/>
    </row>
    <row r="144" spans="2:29" x14ac:dyDescent="0.25">
      <c r="B144" s="34"/>
      <c r="C144" s="34"/>
      <c r="D144" s="34"/>
      <c r="E144" s="34"/>
      <c r="F144" s="40"/>
      <c r="G144" s="34"/>
      <c r="H144" s="34"/>
      <c r="I144" s="34"/>
      <c r="J144" s="34"/>
      <c r="K144" s="40"/>
      <c r="L144" s="34"/>
      <c r="M144" s="34"/>
      <c r="N144" s="34"/>
      <c r="O144" s="34"/>
      <c r="P144" s="40"/>
      <c r="Q144" s="34"/>
      <c r="R144" s="34"/>
      <c r="S144" s="34"/>
      <c r="T144" s="34"/>
      <c r="U144" s="40"/>
      <c r="V144" s="34"/>
      <c r="W144" s="34"/>
      <c r="X144" s="34"/>
      <c r="Y144" s="34"/>
      <c r="Z144" s="34"/>
      <c r="AA144" s="34"/>
      <c r="AB144" s="38"/>
      <c r="AC144" s="38"/>
    </row>
    <row r="145" spans="2:29" x14ac:dyDescent="0.25">
      <c r="B145" s="34"/>
      <c r="C145" s="34"/>
      <c r="D145" s="34"/>
      <c r="E145" s="34"/>
      <c r="F145" s="40"/>
      <c r="G145" s="34"/>
      <c r="H145" s="34"/>
      <c r="I145" s="34"/>
      <c r="J145" s="34"/>
      <c r="K145" s="40"/>
      <c r="L145" s="34"/>
      <c r="M145" s="34"/>
      <c r="N145" s="34"/>
      <c r="O145" s="34"/>
      <c r="P145" s="40"/>
      <c r="Q145" s="34"/>
      <c r="R145" s="34"/>
      <c r="S145" s="34"/>
      <c r="T145" s="34"/>
      <c r="U145" s="40"/>
      <c r="V145" s="34"/>
      <c r="W145" s="34"/>
      <c r="X145" s="34"/>
      <c r="Y145" s="34"/>
      <c r="Z145" s="34"/>
      <c r="AA145" s="34"/>
      <c r="AB145" s="38"/>
      <c r="AC145" s="38"/>
    </row>
    <row r="146" spans="2:29" x14ac:dyDescent="0.25">
      <c r="B146" s="34"/>
      <c r="C146" s="34"/>
      <c r="D146" s="34"/>
      <c r="E146" s="34"/>
      <c r="F146" s="40"/>
      <c r="G146" s="34"/>
      <c r="H146" s="34"/>
      <c r="I146" s="34"/>
      <c r="J146" s="34"/>
      <c r="K146" s="40"/>
      <c r="L146" s="34"/>
      <c r="M146" s="34"/>
      <c r="N146" s="34"/>
      <c r="O146" s="34"/>
      <c r="P146" s="40"/>
      <c r="Q146" s="34"/>
      <c r="R146" s="34"/>
      <c r="S146" s="34"/>
      <c r="T146" s="34"/>
      <c r="U146" s="40"/>
      <c r="V146" s="34"/>
      <c r="W146" s="34"/>
      <c r="X146" s="34"/>
      <c r="Y146" s="34"/>
      <c r="Z146" s="34"/>
      <c r="AA146" s="34"/>
      <c r="AB146" s="38"/>
      <c r="AC146" s="38"/>
    </row>
    <row r="147" spans="2:29" x14ac:dyDescent="0.25">
      <c r="B147" s="34"/>
      <c r="C147" s="34"/>
      <c r="D147" s="34"/>
      <c r="E147" s="34"/>
      <c r="F147" s="40"/>
      <c r="G147" s="34"/>
      <c r="H147" s="34"/>
      <c r="I147" s="34"/>
      <c r="J147" s="34"/>
      <c r="K147" s="40"/>
      <c r="L147" s="34"/>
      <c r="M147" s="34"/>
      <c r="N147" s="34"/>
      <c r="O147" s="34"/>
      <c r="P147" s="40"/>
      <c r="Q147" s="34"/>
      <c r="R147" s="34"/>
      <c r="S147" s="34"/>
      <c r="T147" s="34"/>
      <c r="U147" s="40"/>
      <c r="V147" s="34"/>
      <c r="W147" s="34"/>
      <c r="X147" s="34"/>
      <c r="Y147" s="34"/>
      <c r="Z147" s="34"/>
      <c r="AA147" s="34"/>
      <c r="AB147" s="38"/>
      <c r="AC147" s="38"/>
    </row>
    <row r="148" spans="2:29" x14ac:dyDescent="0.25">
      <c r="B148" s="34"/>
      <c r="C148" s="34"/>
      <c r="D148" s="34"/>
      <c r="E148" s="34"/>
      <c r="F148" s="40"/>
      <c r="G148" s="34"/>
      <c r="H148" s="34"/>
      <c r="I148" s="34"/>
      <c r="J148" s="34"/>
      <c r="K148" s="40"/>
      <c r="L148" s="34"/>
      <c r="M148" s="34"/>
      <c r="N148" s="34"/>
      <c r="O148" s="34"/>
      <c r="P148" s="40"/>
      <c r="Q148" s="34"/>
      <c r="R148" s="34"/>
      <c r="S148" s="34"/>
      <c r="T148" s="34"/>
      <c r="U148" s="40"/>
      <c r="V148" s="34"/>
      <c r="W148" s="34"/>
      <c r="X148" s="34"/>
      <c r="Y148" s="34"/>
      <c r="Z148" s="34"/>
      <c r="AA148" s="34"/>
      <c r="AB148" s="38"/>
      <c r="AC148" s="38"/>
    </row>
    <row r="149" spans="2:29" x14ac:dyDescent="0.25">
      <c r="B149" s="34"/>
      <c r="C149" s="34"/>
      <c r="D149" s="34"/>
      <c r="E149" s="34"/>
      <c r="F149" s="40"/>
      <c r="G149" s="34"/>
      <c r="H149" s="34"/>
      <c r="I149" s="34"/>
      <c r="J149" s="34"/>
      <c r="K149" s="40"/>
      <c r="L149" s="34"/>
      <c r="M149" s="34"/>
      <c r="N149" s="34"/>
      <c r="O149" s="34"/>
      <c r="P149" s="40"/>
      <c r="Q149" s="34"/>
      <c r="R149" s="34"/>
      <c r="S149" s="34"/>
      <c r="T149" s="34"/>
      <c r="U149" s="40"/>
      <c r="V149" s="34"/>
      <c r="W149" s="34"/>
      <c r="X149" s="34"/>
      <c r="Y149" s="34"/>
      <c r="Z149" s="34"/>
      <c r="AA149" s="34"/>
      <c r="AB149" s="38"/>
      <c r="AC149" s="38"/>
    </row>
    <row r="150" spans="2:29" x14ac:dyDescent="0.25">
      <c r="B150" s="34"/>
      <c r="C150" s="34"/>
      <c r="D150" s="34"/>
      <c r="E150" s="34"/>
      <c r="F150" s="40"/>
      <c r="G150" s="34"/>
      <c r="H150" s="34"/>
      <c r="I150" s="34"/>
      <c r="J150" s="34"/>
      <c r="K150" s="40"/>
      <c r="L150" s="34"/>
      <c r="M150" s="34"/>
      <c r="N150" s="34"/>
      <c r="O150" s="34"/>
      <c r="P150" s="40"/>
      <c r="Q150" s="34"/>
      <c r="R150" s="34"/>
      <c r="S150" s="34"/>
      <c r="T150" s="34"/>
      <c r="U150" s="40"/>
      <c r="V150" s="34"/>
      <c r="W150" s="34"/>
      <c r="X150" s="34"/>
      <c r="Y150" s="34"/>
      <c r="Z150" s="34"/>
      <c r="AA150" s="34"/>
      <c r="AB150" s="38"/>
      <c r="AC150" s="38"/>
    </row>
    <row r="151" spans="2:29" x14ac:dyDescent="0.25">
      <c r="B151" s="34"/>
      <c r="C151" s="34"/>
      <c r="D151" s="34"/>
      <c r="E151" s="34"/>
      <c r="F151" s="40"/>
      <c r="G151" s="34"/>
      <c r="H151" s="34"/>
      <c r="I151" s="34"/>
      <c r="J151" s="34"/>
      <c r="K151" s="40"/>
      <c r="L151" s="34"/>
      <c r="M151" s="34"/>
      <c r="N151" s="34"/>
      <c r="O151" s="34"/>
      <c r="P151" s="40"/>
      <c r="Q151" s="34"/>
      <c r="R151" s="34"/>
      <c r="S151" s="34"/>
      <c r="T151" s="34"/>
      <c r="U151" s="40"/>
      <c r="V151" s="34"/>
      <c r="W151" s="34"/>
      <c r="X151" s="34"/>
      <c r="Y151" s="34"/>
      <c r="Z151" s="34"/>
      <c r="AA151" s="34"/>
      <c r="AB151" s="38"/>
      <c r="AC151" s="38"/>
    </row>
    <row r="152" spans="2:29" x14ac:dyDescent="0.25">
      <c r="B152" s="34"/>
      <c r="C152" s="34"/>
      <c r="D152" s="34"/>
      <c r="E152" s="34"/>
      <c r="F152" s="40"/>
      <c r="G152" s="34"/>
      <c r="H152" s="34"/>
      <c r="I152" s="34"/>
      <c r="J152" s="34"/>
      <c r="K152" s="40"/>
      <c r="L152" s="34"/>
      <c r="M152" s="34"/>
      <c r="N152" s="34"/>
      <c r="O152" s="34"/>
      <c r="P152" s="40"/>
      <c r="Q152" s="34"/>
      <c r="R152" s="34"/>
      <c r="S152" s="34"/>
      <c r="T152" s="34"/>
      <c r="U152" s="40"/>
      <c r="V152" s="34"/>
      <c r="W152" s="34"/>
      <c r="X152" s="34"/>
      <c r="Y152" s="34"/>
      <c r="Z152" s="34"/>
      <c r="AA152" s="34"/>
      <c r="AB152" s="38"/>
      <c r="AC152" s="38"/>
    </row>
    <row r="153" spans="2:29" x14ac:dyDescent="0.25">
      <c r="B153" s="34"/>
      <c r="C153" s="34"/>
      <c r="D153" s="34"/>
      <c r="E153" s="34"/>
      <c r="F153" s="40"/>
      <c r="G153" s="34"/>
      <c r="H153" s="34"/>
      <c r="I153" s="34"/>
      <c r="J153" s="34"/>
      <c r="K153" s="40"/>
      <c r="L153" s="34"/>
      <c r="M153" s="34"/>
      <c r="N153" s="34"/>
      <c r="O153" s="34"/>
      <c r="P153" s="40"/>
      <c r="Q153" s="34"/>
      <c r="R153" s="34"/>
      <c r="S153" s="34"/>
      <c r="T153" s="34"/>
      <c r="U153" s="40"/>
      <c r="V153" s="34"/>
      <c r="W153" s="34"/>
      <c r="X153" s="34"/>
      <c r="Y153" s="34"/>
      <c r="Z153" s="34"/>
      <c r="AA153" s="34"/>
      <c r="AB153" s="38"/>
      <c r="AC153" s="38"/>
    </row>
    <row r="154" spans="2:29" x14ac:dyDescent="0.25">
      <c r="B154" s="34"/>
      <c r="C154" s="34"/>
      <c r="D154" s="34"/>
      <c r="E154" s="34"/>
      <c r="F154" s="40"/>
      <c r="G154" s="34"/>
      <c r="H154" s="34"/>
      <c r="I154" s="34"/>
      <c r="J154" s="34"/>
      <c r="K154" s="40"/>
      <c r="L154" s="34"/>
      <c r="M154" s="34"/>
      <c r="N154" s="34"/>
      <c r="O154" s="34"/>
      <c r="P154" s="40"/>
      <c r="Q154" s="34"/>
      <c r="R154" s="34"/>
      <c r="S154" s="34"/>
      <c r="T154" s="34"/>
      <c r="U154" s="40"/>
      <c r="V154" s="34"/>
      <c r="W154" s="34"/>
      <c r="X154" s="34"/>
      <c r="Y154" s="34"/>
      <c r="Z154" s="34"/>
      <c r="AA154" s="34"/>
      <c r="AB154" s="38"/>
      <c r="AC154" s="38"/>
    </row>
    <row r="155" spans="2:29" x14ac:dyDescent="0.25">
      <c r="B155" s="34"/>
      <c r="C155" s="34"/>
      <c r="D155" s="34"/>
      <c r="E155" s="34"/>
      <c r="F155" s="40"/>
      <c r="G155" s="34"/>
      <c r="H155" s="34"/>
      <c r="I155" s="34"/>
      <c r="J155" s="34"/>
      <c r="K155" s="40"/>
      <c r="L155" s="34"/>
      <c r="M155" s="34"/>
      <c r="N155" s="34"/>
      <c r="O155" s="34"/>
      <c r="P155" s="40"/>
      <c r="Q155" s="34"/>
      <c r="R155" s="34"/>
      <c r="S155" s="34"/>
      <c r="T155" s="34"/>
      <c r="U155" s="40"/>
      <c r="V155" s="34"/>
      <c r="W155" s="34"/>
      <c r="X155" s="34"/>
      <c r="Y155" s="34"/>
      <c r="Z155" s="34"/>
      <c r="AA155" s="34"/>
      <c r="AB155" s="38"/>
      <c r="AC155" s="38"/>
    </row>
    <row r="156" spans="2:29" x14ac:dyDescent="0.25">
      <c r="B156" s="34"/>
      <c r="C156" s="34"/>
      <c r="D156" s="34"/>
      <c r="E156" s="34"/>
      <c r="F156" s="40"/>
      <c r="G156" s="34"/>
      <c r="H156" s="34"/>
      <c r="I156" s="34"/>
      <c r="J156" s="34"/>
      <c r="K156" s="40"/>
      <c r="L156" s="34"/>
      <c r="M156" s="34"/>
      <c r="N156" s="34"/>
      <c r="O156" s="34"/>
      <c r="P156" s="40"/>
      <c r="Q156" s="34"/>
      <c r="R156" s="34"/>
      <c r="S156" s="34"/>
      <c r="T156" s="34"/>
      <c r="U156" s="40"/>
      <c r="V156" s="34"/>
      <c r="W156" s="34"/>
      <c r="X156" s="34"/>
      <c r="Y156" s="34"/>
      <c r="Z156" s="34"/>
      <c r="AA156" s="34"/>
      <c r="AB156" s="38"/>
      <c r="AC156" s="38"/>
    </row>
    <row r="157" spans="2:29" x14ac:dyDescent="0.25">
      <c r="B157" s="34"/>
      <c r="C157" s="34"/>
      <c r="D157" s="34"/>
      <c r="E157" s="34"/>
      <c r="F157" s="40"/>
      <c r="G157" s="34"/>
      <c r="H157" s="34"/>
      <c r="I157" s="34"/>
      <c r="J157" s="34"/>
      <c r="K157" s="40"/>
      <c r="L157" s="34"/>
      <c r="M157" s="34"/>
      <c r="N157" s="34"/>
      <c r="O157" s="34"/>
      <c r="P157" s="40"/>
      <c r="Q157" s="34"/>
      <c r="R157" s="34"/>
      <c r="S157" s="34"/>
      <c r="T157" s="34"/>
      <c r="U157" s="40"/>
      <c r="V157" s="34"/>
      <c r="W157" s="34"/>
      <c r="X157" s="34"/>
      <c r="Y157" s="34"/>
      <c r="Z157" s="34"/>
      <c r="AA157" s="34"/>
      <c r="AB157" s="38"/>
      <c r="AC157" s="38"/>
    </row>
    <row r="158" spans="2:29" x14ac:dyDescent="0.25">
      <c r="B158" s="34"/>
      <c r="C158" s="34"/>
      <c r="D158" s="34"/>
      <c r="E158" s="34"/>
      <c r="F158" s="40"/>
      <c r="G158" s="34"/>
      <c r="H158" s="34"/>
      <c r="I158" s="34"/>
      <c r="J158" s="34"/>
      <c r="K158" s="40"/>
      <c r="L158" s="34"/>
      <c r="M158" s="34"/>
      <c r="N158" s="34"/>
      <c r="O158" s="34"/>
      <c r="P158" s="40"/>
      <c r="Q158" s="34"/>
      <c r="R158" s="34"/>
      <c r="S158" s="34"/>
      <c r="T158" s="34"/>
      <c r="U158" s="40"/>
      <c r="V158" s="34"/>
      <c r="W158" s="34"/>
      <c r="X158" s="34"/>
      <c r="Y158" s="34"/>
      <c r="Z158" s="34"/>
      <c r="AA158" s="34"/>
      <c r="AB158" s="38"/>
      <c r="AC158" s="38"/>
    </row>
    <row r="159" spans="2:29" x14ac:dyDescent="0.25">
      <c r="B159" s="34"/>
      <c r="C159" s="34"/>
      <c r="D159" s="34"/>
      <c r="E159" s="34"/>
      <c r="F159" s="40"/>
      <c r="G159" s="34"/>
      <c r="H159" s="34"/>
      <c r="I159" s="34"/>
      <c r="J159" s="34"/>
      <c r="K159" s="40"/>
      <c r="L159" s="34"/>
      <c r="M159" s="34"/>
      <c r="N159" s="34"/>
      <c r="O159" s="34"/>
      <c r="P159" s="40"/>
      <c r="Q159" s="34"/>
      <c r="R159" s="34"/>
      <c r="S159" s="34"/>
      <c r="T159" s="34"/>
      <c r="U159" s="40"/>
      <c r="V159" s="34"/>
      <c r="W159" s="34"/>
      <c r="X159" s="34"/>
      <c r="Y159" s="34"/>
      <c r="Z159" s="34"/>
      <c r="AA159" s="34"/>
      <c r="AB159" s="38"/>
      <c r="AC159" s="38"/>
    </row>
    <row r="160" spans="2:29" x14ac:dyDescent="0.25">
      <c r="B160" s="34"/>
      <c r="C160" s="34"/>
      <c r="D160" s="34"/>
      <c r="E160" s="34"/>
      <c r="F160" s="40"/>
      <c r="G160" s="34"/>
      <c r="H160" s="34"/>
      <c r="I160" s="34"/>
      <c r="J160" s="34"/>
      <c r="K160" s="40"/>
      <c r="L160" s="34"/>
      <c r="M160" s="34"/>
      <c r="N160" s="34"/>
      <c r="O160" s="34"/>
      <c r="P160" s="40"/>
      <c r="Q160" s="34"/>
      <c r="R160" s="34"/>
      <c r="S160" s="34"/>
      <c r="T160" s="34"/>
      <c r="U160" s="40"/>
      <c r="V160" s="34"/>
      <c r="W160" s="34"/>
      <c r="X160" s="34"/>
      <c r="Y160" s="34"/>
      <c r="Z160" s="34"/>
      <c r="AA160" s="34"/>
      <c r="AB160" s="38"/>
      <c r="AC160" s="38"/>
    </row>
    <row r="161" spans="2:29" x14ac:dyDescent="0.25">
      <c r="B161" s="34"/>
      <c r="C161" s="34"/>
      <c r="D161" s="34"/>
      <c r="E161" s="34"/>
      <c r="F161" s="40"/>
      <c r="G161" s="34"/>
      <c r="H161" s="34"/>
      <c r="I161" s="34"/>
      <c r="J161" s="34"/>
      <c r="K161" s="40"/>
      <c r="L161" s="34"/>
      <c r="M161" s="34"/>
      <c r="N161" s="34"/>
      <c r="O161" s="34"/>
      <c r="P161" s="40"/>
      <c r="Q161" s="34"/>
      <c r="R161" s="34"/>
      <c r="S161" s="34"/>
      <c r="T161" s="34"/>
      <c r="U161" s="40"/>
      <c r="V161" s="34"/>
      <c r="W161" s="34"/>
      <c r="X161" s="34"/>
      <c r="Y161" s="34"/>
      <c r="Z161" s="34"/>
      <c r="AA161" s="34"/>
      <c r="AB161" s="38"/>
      <c r="AC161" s="38"/>
    </row>
    <row r="162" spans="2:29" x14ac:dyDescent="0.25">
      <c r="B162" s="34"/>
      <c r="C162" s="34"/>
      <c r="D162" s="34"/>
      <c r="E162" s="34"/>
      <c r="F162" s="40"/>
      <c r="G162" s="34"/>
      <c r="H162" s="34"/>
      <c r="I162" s="34"/>
      <c r="J162" s="34"/>
      <c r="K162" s="40"/>
      <c r="L162" s="34"/>
      <c r="M162" s="34"/>
      <c r="N162" s="34"/>
      <c r="O162" s="34"/>
      <c r="P162" s="40"/>
      <c r="Q162" s="34"/>
      <c r="R162" s="34"/>
      <c r="S162" s="34"/>
      <c r="T162" s="34"/>
      <c r="U162" s="40"/>
      <c r="V162" s="34"/>
      <c r="W162" s="34"/>
      <c r="X162" s="34"/>
      <c r="Y162" s="34"/>
      <c r="Z162" s="34"/>
      <c r="AA162" s="34"/>
      <c r="AB162" s="38"/>
      <c r="AC162" s="38"/>
    </row>
    <row r="163" spans="2:29" x14ac:dyDescent="0.25">
      <c r="B163" s="34"/>
      <c r="C163" s="34"/>
      <c r="D163" s="34"/>
      <c r="E163" s="34"/>
      <c r="F163" s="40"/>
      <c r="G163" s="34"/>
      <c r="H163" s="34"/>
      <c r="I163" s="34"/>
      <c r="J163" s="34"/>
      <c r="K163" s="40"/>
      <c r="L163" s="34"/>
      <c r="M163" s="34"/>
      <c r="N163" s="34"/>
      <c r="O163" s="34"/>
      <c r="P163" s="40"/>
      <c r="Q163" s="34"/>
      <c r="R163" s="34"/>
      <c r="S163" s="34"/>
      <c r="T163" s="34"/>
      <c r="U163" s="40"/>
      <c r="V163" s="34"/>
      <c r="W163" s="34"/>
      <c r="X163" s="34"/>
      <c r="Y163" s="34"/>
      <c r="Z163" s="34"/>
      <c r="AA163" s="34"/>
      <c r="AB163" s="38"/>
      <c r="AC163" s="38"/>
    </row>
    <row r="164" spans="2:29" x14ac:dyDescent="0.25">
      <c r="B164" s="34"/>
      <c r="C164" s="34"/>
      <c r="D164" s="34"/>
      <c r="E164" s="34"/>
      <c r="F164" s="40"/>
      <c r="G164" s="34"/>
      <c r="H164" s="34"/>
      <c r="I164" s="34"/>
      <c r="J164" s="34"/>
      <c r="K164" s="40"/>
      <c r="L164" s="34"/>
      <c r="M164" s="34"/>
      <c r="N164" s="34"/>
      <c r="O164" s="34"/>
      <c r="P164" s="40"/>
      <c r="Q164" s="34"/>
      <c r="R164" s="34"/>
      <c r="S164" s="34"/>
      <c r="T164" s="34"/>
      <c r="U164" s="40"/>
      <c r="V164" s="34"/>
      <c r="W164" s="34"/>
      <c r="X164" s="34"/>
      <c r="Y164" s="34"/>
      <c r="Z164" s="34"/>
      <c r="AA164" s="34"/>
      <c r="AB164" s="38"/>
      <c r="AC164" s="38"/>
    </row>
    <row r="165" spans="2:29" x14ac:dyDescent="0.25">
      <c r="B165" s="34"/>
      <c r="C165" s="34"/>
      <c r="D165" s="34"/>
      <c r="E165" s="34"/>
      <c r="F165" s="40"/>
      <c r="G165" s="34"/>
      <c r="H165" s="34"/>
      <c r="I165" s="34"/>
      <c r="J165" s="34"/>
      <c r="K165" s="40"/>
      <c r="L165" s="34"/>
      <c r="M165" s="34"/>
      <c r="N165" s="34"/>
      <c r="O165" s="34"/>
      <c r="P165" s="40"/>
      <c r="Q165" s="34"/>
      <c r="R165" s="34"/>
      <c r="S165" s="34"/>
      <c r="T165" s="34"/>
      <c r="U165" s="40"/>
      <c r="V165" s="34"/>
      <c r="W165" s="34"/>
      <c r="X165" s="34"/>
      <c r="Y165" s="34"/>
      <c r="Z165" s="34"/>
      <c r="AA165" s="34"/>
      <c r="AB165" s="38"/>
      <c r="AC165" s="38"/>
    </row>
    <row r="166" spans="2:29" x14ac:dyDescent="0.25">
      <c r="B166" s="34"/>
      <c r="C166" s="34"/>
      <c r="D166" s="34"/>
      <c r="E166" s="34"/>
      <c r="F166" s="40"/>
      <c r="G166" s="34"/>
      <c r="H166" s="34"/>
      <c r="I166" s="34"/>
      <c r="J166" s="34"/>
      <c r="K166" s="40"/>
      <c r="L166" s="34"/>
      <c r="M166" s="34"/>
      <c r="N166" s="34"/>
      <c r="O166" s="34"/>
      <c r="P166" s="40"/>
      <c r="Q166" s="34"/>
      <c r="R166" s="34"/>
      <c r="S166" s="34"/>
      <c r="T166" s="34"/>
      <c r="U166" s="40"/>
      <c r="V166" s="34"/>
      <c r="W166" s="34"/>
      <c r="X166" s="34"/>
      <c r="Y166" s="34"/>
      <c r="Z166" s="34"/>
      <c r="AA166" s="34"/>
      <c r="AB166" s="38"/>
      <c r="AC166" s="38"/>
    </row>
    <row r="167" spans="2:29" x14ac:dyDescent="0.25">
      <c r="B167" s="34"/>
      <c r="C167" s="34"/>
      <c r="D167" s="34"/>
      <c r="E167" s="34"/>
      <c r="F167" s="40"/>
      <c r="G167" s="34"/>
      <c r="H167" s="34"/>
      <c r="I167" s="34"/>
      <c r="J167" s="34"/>
      <c r="K167" s="40"/>
      <c r="L167" s="34"/>
      <c r="M167" s="34"/>
      <c r="N167" s="34"/>
      <c r="O167" s="34"/>
      <c r="P167" s="40"/>
      <c r="Q167" s="34"/>
      <c r="R167" s="34"/>
      <c r="S167" s="34"/>
      <c r="T167" s="34"/>
      <c r="U167" s="40"/>
      <c r="V167" s="34"/>
      <c r="W167" s="34"/>
      <c r="X167" s="34"/>
      <c r="Y167" s="34"/>
      <c r="Z167" s="34"/>
      <c r="AA167" s="34"/>
      <c r="AB167" s="38"/>
      <c r="AC167" s="38"/>
    </row>
    <row r="168" spans="2:29" x14ac:dyDescent="0.25">
      <c r="B168" s="34"/>
      <c r="C168" s="34"/>
      <c r="D168" s="34"/>
      <c r="E168" s="34"/>
      <c r="F168" s="40"/>
      <c r="G168" s="34"/>
      <c r="H168" s="34"/>
      <c r="I168" s="34"/>
      <c r="J168" s="34"/>
      <c r="K168" s="40"/>
      <c r="L168" s="34"/>
      <c r="M168" s="34"/>
      <c r="N168" s="34"/>
      <c r="O168" s="34"/>
      <c r="P168" s="40"/>
      <c r="Q168" s="34"/>
      <c r="R168" s="34"/>
      <c r="S168" s="34"/>
      <c r="T168" s="34"/>
      <c r="U168" s="40"/>
      <c r="V168" s="34"/>
      <c r="W168" s="34"/>
      <c r="X168" s="34"/>
      <c r="Y168" s="34"/>
      <c r="Z168" s="34"/>
      <c r="AA168" s="34"/>
      <c r="AB168" s="38"/>
      <c r="AC168" s="38"/>
    </row>
    <row r="169" spans="2:29" x14ac:dyDescent="0.25">
      <c r="B169" s="34"/>
      <c r="C169" s="34"/>
      <c r="D169" s="34"/>
      <c r="E169" s="34"/>
      <c r="F169" s="40"/>
      <c r="G169" s="34"/>
      <c r="H169" s="34"/>
      <c r="I169" s="34"/>
      <c r="J169" s="34"/>
      <c r="K169" s="40"/>
      <c r="L169" s="34"/>
      <c r="M169" s="34"/>
      <c r="N169" s="34"/>
      <c r="O169" s="34"/>
      <c r="P169" s="40"/>
      <c r="Q169" s="34"/>
      <c r="R169" s="34"/>
      <c r="S169" s="34"/>
      <c r="T169" s="34"/>
      <c r="U169" s="40"/>
      <c r="V169" s="34"/>
      <c r="W169" s="34"/>
      <c r="X169" s="34"/>
      <c r="Y169" s="34"/>
      <c r="Z169" s="34"/>
      <c r="AA169" s="34"/>
      <c r="AB169" s="38"/>
      <c r="AC169" s="38"/>
    </row>
    <row r="170" spans="2:29" x14ac:dyDescent="0.25">
      <c r="B170" s="34"/>
      <c r="C170" s="34"/>
      <c r="D170" s="34"/>
      <c r="E170" s="34"/>
      <c r="F170" s="40"/>
      <c r="G170" s="34"/>
      <c r="H170" s="34"/>
      <c r="I170" s="34"/>
      <c r="J170" s="34"/>
      <c r="K170" s="40"/>
      <c r="L170" s="34"/>
      <c r="M170" s="34"/>
      <c r="N170" s="34"/>
      <c r="O170" s="34"/>
      <c r="P170" s="40"/>
      <c r="Q170" s="34"/>
      <c r="R170" s="34"/>
      <c r="S170" s="34"/>
      <c r="T170" s="34"/>
      <c r="U170" s="40"/>
      <c r="V170" s="34"/>
      <c r="W170" s="34"/>
      <c r="X170" s="34"/>
      <c r="Y170" s="34"/>
      <c r="Z170" s="34"/>
      <c r="AA170" s="34"/>
      <c r="AB170" s="38"/>
      <c r="AC170" s="38"/>
    </row>
    <row r="171" spans="2:29" x14ac:dyDescent="0.25">
      <c r="B171" s="34"/>
      <c r="C171" s="34"/>
      <c r="D171" s="34"/>
      <c r="E171" s="34"/>
      <c r="F171" s="40"/>
      <c r="G171" s="34"/>
      <c r="H171" s="34"/>
      <c r="I171" s="34"/>
      <c r="J171" s="34"/>
      <c r="K171" s="40"/>
      <c r="L171" s="34"/>
      <c r="M171" s="34"/>
      <c r="N171" s="34"/>
      <c r="O171" s="34"/>
      <c r="P171" s="40"/>
      <c r="Q171" s="34"/>
      <c r="R171" s="34"/>
      <c r="S171" s="34"/>
      <c r="T171" s="34"/>
      <c r="U171" s="40"/>
      <c r="V171" s="34"/>
      <c r="W171" s="34"/>
      <c r="X171" s="34"/>
      <c r="Y171" s="34"/>
      <c r="Z171" s="34"/>
      <c r="AA171" s="34"/>
      <c r="AB171" s="38"/>
      <c r="AC171" s="38"/>
    </row>
    <row r="172" spans="2:29" x14ac:dyDescent="0.25">
      <c r="B172" s="34"/>
      <c r="C172" s="34"/>
      <c r="D172" s="34"/>
      <c r="E172" s="34"/>
      <c r="F172" s="40"/>
      <c r="G172" s="34"/>
      <c r="H172" s="34"/>
      <c r="I172" s="34"/>
      <c r="J172" s="34"/>
      <c r="K172" s="40"/>
      <c r="L172" s="34"/>
      <c r="M172" s="34"/>
      <c r="N172" s="34"/>
      <c r="O172" s="34"/>
      <c r="P172" s="40"/>
      <c r="Q172" s="34"/>
      <c r="R172" s="34"/>
      <c r="S172" s="34"/>
      <c r="T172" s="34"/>
      <c r="U172" s="40"/>
      <c r="V172" s="34"/>
      <c r="W172" s="34"/>
      <c r="X172" s="34"/>
      <c r="Y172" s="34"/>
      <c r="Z172" s="34"/>
      <c r="AA172" s="34"/>
      <c r="AB172" s="38"/>
      <c r="AC172" s="38"/>
    </row>
    <row r="173" spans="2:29" x14ac:dyDescent="0.25">
      <c r="B173" s="34"/>
      <c r="C173" s="34"/>
      <c r="D173" s="34"/>
      <c r="E173" s="34"/>
      <c r="F173" s="40"/>
      <c r="G173" s="34"/>
      <c r="H173" s="34"/>
      <c r="I173" s="34"/>
      <c r="J173" s="34"/>
      <c r="K173" s="40"/>
      <c r="L173" s="34"/>
      <c r="M173" s="34"/>
      <c r="N173" s="34"/>
      <c r="O173" s="34"/>
      <c r="P173" s="40"/>
      <c r="Q173" s="34"/>
      <c r="R173" s="34"/>
      <c r="S173" s="34"/>
      <c r="T173" s="34"/>
      <c r="U173" s="40"/>
      <c r="V173" s="34"/>
      <c r="W173" s="34"/>
      <c r="X173" s="34"/>
      <c r="Y173" s="34"/>
      <c r="Z173" s="34"/>
      <c r="AA173" s="34"/>
      <c r="AB173" s="38"/>
      <c r="AC173" s="38"/>
    </row>
    <row r="174" spans="2:29" x14ac:dyDescent="0.25">
      <c r="B174" s="34"/>
      <c r="C174" s="34"/>
      <c r="D174" s="34"/>
      <c r="E174" s="34"/>
      <c r="F174" s="40"/>
      <c r="G174" s="34"/>
      <c r="H174" s="34"/>
      <c r="I174" s="34"/>
      <c r="J174" s="34"/>
      <c r="K174" s="40"/>
      <c r="L174" s="34"/>
      <c r="M174" s="34"/>
      <c r="N174" s="34"/>
      <c r="O174" s="34"/>
      <c r="P174" s="40"/>
      <c r="Q174" s="34"/>
      <c r="R174" s="34"/>
      <c r="S174" s="34"/>
      <c r="T174" s="34"/>
      <c r="U174" s="40"/>
      <c r="V174" s="34"/>
      <c r="W174" s="34"/>
      <c r="X174" s="34"/>
      <c r="Y174" s="34"/>
      <c r="Z174" s="34"/>
      <c r="AA174" s="34"/>
      <c r="AB174" s="38"/>
      <c r="AC174" s="38"/>
    </row>
    <row r="175" spans="2:29" x14ac:dyDescent="0.25">
      <c r="B175" s="34"/>
      <c r="C175" s="34"/>
      <c r="D175" s="34"/>
      <c r="E175" s="34"/>
      <c r="F175" s="40"/>
      <c r="G175" s="34"/>
      <c r="H175" s="34"/>
      <c r="I175" s="34"/>
      <c r="J175" s="34"/>
      <c r="K175" s="40"/>
      <c r="L175" s="34"/>
      <c r="M175" s="34"/>
      <c r="N175" s="34"/>
      <c r="O175" s="34"/>
      <c r="P175" s="40"/>
      <c r="Q175" s="34"/>
      <c r="R175" s="34"/>
      <c r="S175" s="34"/>
      <c r="T175" s="34"/>
      <c r="U175" s="40"/>
      <c r="V175" s="34"/>
      <c r="W175" s="34"/>
      <c r="X175" s="34"/>
      <c r="Y175" s="34"/>
      <c r="Z175" s="34"/>
      <c r="AA175" s="34"/>
      <c r="AB175" s="38"/>
      <c r="AC175" s="38"/>
    </row>
    <row r="176" spans="2:29" x14ac:dyDescent="0.25">
      <c r="B176" s="34"/>
      <c r="C176" s="34"/>
      <c r="D176" s="34"/>
      <c r="E176" s="34"/>
      <c r="F176" s="40"/>
      <c r="G176" s="34"/>
      <c r="H176" s="34"/>
      <c r="I176" s="34"/>
      <c r="J176" s="34"/>
      <c r="K176" s="40"/>
      <c r="L176" s="34"/>
      <c r="M176" s="34"/>
      <c r="N176" s="34"/>
      <c r="O176" s="34"/>
      <c r="P176" s="40"/>
      <c r="Q176" s="34"/>
      <c r="R176" s="34"/>
      <c r="S176" s="34"/>
      <c r="T176" s="34"/>
      <c r="U176" s="40"/>
      <c r="V176" s="34"/>
      <c r="W176" s="34"/>
      <c r="X176" s="34"/>
      <c r="Y176" s="34"/>
      <c r="Z176" s="34"/>
      <c r="AA176" s="34"/>
      <c r="AB176" s="38"/>
      <c r="AC176" s="38"/>
    </row>
    <row r="177" spans="2:29" x14ac:dyDescent="0.25">
      <c r="B177" s="34"/>
      <c r="C177" s="34"/>
      <c r="D177" s="34"/>
      <c r="E177" s="34"/>
      <c r="F177" s="40"/>
      <c r="G177" s="34"/>
      <c r="H177" s="34"/>
      <c r="I177" s="34"/>
      <c r="J177" s="34"/>
      <c r="K177" s="40"/>
      <c r="L177" s="34"/>
      <c r="M177" s="34"/>
      <c r="N177" s="34"/>
      <c r="O177" s="34"/>
      <c r="P177" s="40"/>
      <c r="Q177" s="34"/>
      <c r="R177" s="34"/>
      <c r="S177" s="34"/>
      <c r="T177" s="34"/>
      <c r="U177" s="40"/>
      <c r="V177" s="34"/>
      <c r="W177" s="34"/>
      <c r="X177" s="34"/>
      <c r="Y177" s="34"/>
      <c r="Z177" s="34"/>
      <c r="AA177" s="34"/>
      <c r="AB177" s="38"/>
      <c r="AC177" s="38"/>
    </row>
    <row r="178" spans="2:29" x14ac:dyDescent="0.25">
      <c r="B178" s="34"/>
      <c r="C178" s="34"/>
      <c r="D178" s="34"/>
      <c r="E178" s="34"/>
      <c r="F178" s="40"/>
      <c r="G178" s="34"/>
      <c r="H178" s="34"/>
      <c r="I178" s="34"/>
      <c r="J178" s="34"/>
      <c r="K178" s="40"/>
      <c r="L178" s="34"/>
      <c r="M178" s="34"/>
      <c r="N178" s="34"/>
      <c r="O178" s="34"/>
      <c r="P178" s="40"/>
      <c r="Q178" s="34"/>
      <c r="R178" s="34"/>
      <c r="S178" s="34"/>
      <c r="T178" s="34"/>
      <c r="U178" s="40"/>
      <c r="V178" s="34"/>
      <c r="W178" s="34"/>
      <c r="X178" s="34"/>
      <c r="Y178" s="34"/>
      <c r="Z178" s="34"/>
      <c r="AA178" s="34"/>
      <c r="AB178" s="38"/>
      <c r="AC178" s="38"/>
    </row>
    <row r="179" spans="2:29" x14ac:dyDescent="0.25">
      <c r="B179" s="34"/>
      <c r="C179" s="34"/>
      <c r="D179" s="34"/>
      <c r="E179" s="34"/>
      <c r="F179" s="40"/>
      <c r="G179" s="34"/>
      <c r="H179" s="34"/>
      <c r="I179" s="34"/>
      <c r="J179" s="34"/>
      <c r="K179" s="40"/>
      <c r="L179" s="34"/>
      <c r="M179" s="34"/>
      <c r="N179" s="34"/>
      <c r="O179" s="34"/>
      <c r="P179" s="40"/>
      <c r="Q179" s="34"/>
      <c r="R179" s="34"/>
      <c r="S179" s="34"/>
      <c r="T179" s="34"/>
      <c r="U179" s="40"/>
      <c r="V179" s="34"/>
      <c r="W179" s="34"/>
      <c r="X179" s="34"/>
      <c r="Y179" s="34"/>
      <c r="Z179" s="34"/>
      <c r="AA179" s="34"/>
      <c r="AB179" s="38"/>
      <c r="AC179" s="38"/>
    </row>
    <row r="180" spans="2:29" x14ac:dyDescent="0.25">
      <c r="B180" s="34"/>
      <c r="C180" s="34"/>
      <c r="D180" s="34"/>
      <c r="E180" s="34"/>
      <c r="F180" s="40"/>
      <c r="G180" s="34"/>
      <c r="H180" s="34"/>
      <c r="I180" s="34"/>
      <c r="J180" s="34"/>
      <c r="K180" s="40"/>
      <c r="L180" s="34"/>
      <c r="M180" s="34"/>
      <c r="N180" s="34"/>
      <c r="O180" s="34"/>
      <c r="P180" s="40"/>
      <c r="Q180" s="34"/>
      <c r="R180" s="34"/>
      <c r="S180" s="34"/>
      <c r="T180" s="34"/>
      <c r="U180" s="40"/>
      <c r="V180" s="34"/>
      <c r="W180" s="34"/>
      <c r="X180" s="34"/>
      <c r="Y180" s="34"/>
      <c r="Z180" s="34"/>
      <c r="AA180" s="34"/>
      <c r="AB180" s="38"/>
      <c r="AC180" s="38"/>
    </row>
    <row r="181" spans="2:29" x14ac:dyDescent="0.25">
      <c r="B181" s="34"/>
      <c r="C181" s="34"/>
      <c r="D181" s="34"/>
      <c r="E181" s="34"/>
      <c r="F181" s="40"/>
      <c r="G181" s="34"/>
      <c r="H181" s="34"/>
      <c r="I181" s="34"/>
      <c r="J181" s="34"/>
      <c r="K181" s="40"/>
      <c r="L181" s="34"/>
      <c r="M181" s="34"/>
      <c r="N181" s="34"/>
      <c r="O181" s="34"/>
      <c r="P181" s="40"/>
      <c r="Q181" s="34"/>
      <c r="R181" s="34"/>
      <c r="S181" s="34"/>
      <c r="T181" s="34"/>
      <c r="U181" s="40"/>
      <c r="V181" s="34"/>
      <c r="W181" s="34"/>
      <c r="X181" s="34"/>
      <c r="Y181" s="34"/>
      <c r="Z181" s="34"/>
      <c r="AA181" s="34"/>
      <c r="AB181" s="38"/>
      <c r="AC181" s="38"/>
    </row>
    <row r="182" spans="2:29" x14ac:dyDescent="0.25">
      <c r="B182" s="34"/>
      <c r="C182" s="34"/>
      <c r="D182" s="34"/>
      <c r="E182" s="34"/>
      <c r="F182" s="40"/>
      <c r="G182" s="34"/>
      <c r="H182" s="34"/>
      <c r="I182" s="34"/>
      <c r="J182" s="34"/>
      <c r="K182" s="40"/>
      <c r="L182" s="34"/>
      <c r="M182" s="34"/>
      <c r="N182" s="34"/>
      <c r="O182" s="34"/>
      <c r="P182" s="40"/>
      <c r="Q182" s="34"/>
      <c r="R182" s="34"/>
      <c r="S182" s="34"/>
      <c r="T182" s="34"/>
      <c r="U182" s="40"/>
      <c r="V182" s="34"/>
      <c r="W182" s="34"/>
      <c r="X182" s="34"/>
      <c r="Y182" s="34"/>
      <c r="Z182" s="34"/>
      <c r="AA182" s="34"/>
      <c r="AB182" s="38"/>
      <c r="AC182" s="38"/>
    </row>
    <row r="183" spans="2:29" x14ac:dyDescent="0.25">
      <c r="B183" s="34"/>
      <c r="C183" s="34"/>
      <c r="D183" s="34"/>
      <c r="E183" s="34"/>
      <c r="F183" s="40"/>
      <c r="G183" s="34"/>
      <c r="H183" s="34"/>
      <c r="I183" s="34"/>
      <c r="J183" s="34"/>
      <c r="K183" s="40"/>
      <c r="L183" s="34"/>
      <c r="M183" s="34"/>
      <c r="N183" s="34"/>
      <c r="O183" s="34"/>
      <c r="P183" s="40"/>
      <c r="Q183" s="34"/>
      <c r="R183" s="34"/>
      <c r="S183" s="34"/>
      <c r="T183" s="34"/>
      <c r="U183" s="40"/>
      <c r="V183" s="34"/>
      <c r="W183" s="34"/>
      <c r="X183" s="34"/>
      <c r="Y183" s="34"/>
      <c r="Z183" s="34"/>
      <c r="AA183" s="34"/>
      <c r="AB183" s="38"/>
      <c r="AC183" s="38"/>
    </row>
    <row r="184" spans="2:29" x14ac:dyDescent="0.25">
      <c r="B184" s="34"/>
      <c r="C184" s="34"/>
      <c r="D184" s="34"/>
      <c r="E184" s="34"/>
      <c r="F184" s="40"/>
      <c r="G184" s="34"/>
      <c r="H184" s="34"/>
      <c r="I184" s="34"/>
      <c r="J184" s="34"/>
      <c r="K184" s="40"/>
      <c r="L184" s="34"/>
      <c r="M184" s="34"/>
      <c r="N184" s="34"/>
      <c r="O184" s="34"/>
      <c r="P184" s="40"/>
      <c r="Q184" s="34"/>
      <c r="R184" s="34"/>
      <c r="S184" s="34"/>
      <c r="T184" s="34"/>
      <c r="U184" s="40"/>
      <c r="V184" s="34"/>
      <c r="W184" s="34"/>
      <c r="X184" s="34"/>
      <c r="Y184" s="34"/>
      <c r="Z184" s="34"/>
      <c r="AA184" s="34"/>
      <c r="AB184" s="38"/>
      <c r="AC184" s="38"/>
    </row>
    <row r="185" spans="2:29" x14ac:dyDescent="0.25">
      <c r="B185" s="34"/>
      <c r="C185" s="34"/>
      <c r="D185" s="34"/>
      <c r="E185" s="34"/>
      <c r="F185" s="40"/>
      <c r="G185" s="34"/>
      <c r="H185" s="34"/>
      <c r="I185" s="34"/>
      <c r="J185" s="34"/>
      <c r="K185" s="40"/>
      <c r="L185" s="34"/>
      <c r="M185" s="34"/>
      <c r="N185" s="34"/>
      <c r="O185" s="34"/>
      <c r="P185" s="40"/>
      <c r="Q185" s="34"/>
      <c r="R185" s="34"/>
      <c r="S185" s="34"/>
      <c r="T185" s="34"/>
      <c r="U185" s="40"/>
      <c r="V185" s="34"/>
      <c r="W185" s="34"/>
      <c r="X185" s="34"/>
      <c r="Y185" s="34"/>
      <c r="Z185" s="34"/>
      <c r="AA185" s="34"/>
      <c r="AB185" s="38"/>
      <c r="AC185" s="38"/>
    </row>
    <row r="186" spans="2:29" x14ac:dyDescent="0.25">
      <c r="B186" s="34"/>
      <c r="C186" s="34"/>
      <c r="D186" s="34"/>
      <c r="E186" s="34"/>
      <c r="F186" s="40"/>
      <c r="G186" s="34"/>
      <c r="H186" s="34"/>
      <c r="I186" s="34"/>
      <c r="J186" s="34"/>
      <c r="K186" s="40"/>
      <c r="L186" s="34"/>
      <c r="M186" s="34"/>
      <c r="N186" s="34"/>
      <c r="O186" s="34"/>
      <c r="P186" s="40"/>
      <c r="Q186" s="34"/>
      <c r="R186" s="34"/>
      <c r="S186" s="34"/>
      <c r="T186" s="34"/>
      <c r="U186" s="40"/>
      <c r="V186" s="34"/>
      <c r="W186" s="34"/>
      <c r="X186" s="34"/>
      <c r="Y186" s="34"/>
      <c r="Z186" s="34"/>
      <c r="AA186" s="34"/>
      <c r="AB186" s="38"/>
      <c r="AC186" s="38"/>
    </row>
    <row r="187" spans="2:29" x14ac:dyDescent="0.25">
      <c r="B187" s="34"/>
      <c r="C187" s="34"/>
      <c r="D187" s="34"/>
      <c r="E187" s="34"/>
      <c r="F187" s="40"/>
      <c r="G187" s="34"/>
      <c r="H187" s="34"/>
      <c r="I187" s="34"/>
      <c r="J187" s="34"/>
      <c r="K187" s="40"/>
      <c r="L187" s="34"/>
      <c r="M187" s="34"/>
      <c r="N187" s="34"/>
      <c r="O187" s="34"/>
      <c r="P187" s="40"/>
      <c r="Q187" s="34"/>
      <c r="R187" s="34"/>
      <c r="S187" s="34"/>
      <c r="T187" s="34"/>
      <c r="U187" s="40"/>
      <c r="V187" s="34"/>
      <c r="W187" s="34"/>
      <c r="X187" s="34"/>
      <c r="Y187" s="34"/>
      <c r="Z187" s="34"/>
      <c r="AA187" s="34"/>
      <c r="AB187" s="38"/>
      <c r="AC187" s="38"/>
    </row>
    <row r="188" spans="2:29" x14ac:dyDescent="0.25">
      <c r="B188" s="34"/>
      <c r="C188" s="34"/>
      <c r="D188" s="34"/>
      <c r="E188" s="34"/>
      <c r="F188" s="40"/>
      <c r="G188" s="34"/>
      <c r="H188" s="34"/>
      <c r="I188" s="34"/>
      <c r="J188" s="34"/>
      <c r="K188" s="40"/>
      <c r="L188" s="34"/>
      <c r="M188" s="34"/>
      <c r="N188" s="34"/>
      <c r="O188" s="34"/>
      <c r="P188" s="40"/>
      <c r="Q188" s="34"/>
      <c r="R188" s="34"/>
      <c r="S188" s="34"/>
      <c r="T188" s="34"/>
      <c r="U188" s="40"/>
      <c r="V188" s="34"/>
      <c r="W188" s="34"/>
      <c r="X188" s="34"/>
      <c r="Y188" s="34"/>
      <c r="Z188" s="34"/>
      <c r="AA188" s="34"/>
      <c r="AB188" s="38"/>
      <c r="AC188" s="38"/>
    </row>
    <row r="189" spans="2:29" x14ac:dyDescent="0.25">
      <c r="B189" s="34"/>
      <c r="C189" s="34"/>
      <c r="D189" s="34"/>
      <c r="E189" s="34"/>
      <c r="F189" s="40"/>
      <c r="G189" s="34"/>
      <c r="H189" s="34"/>
      <c r="I189" s="34"/>
      <c r="J189" s="34"/>
      <c r="K189" s="40"/>
      <c r="L189" s="34"/>
      <c r="M189" s="34"/>
      <c r="N189" s="34"/>
      <c r="O189" s="34"/>
      <c r="P189" s="40"/>
      <c r="Q189" s="34"/>
      <c r="R189" s="34"/>
      <c r="S189" s="34"/>
      <c r="T189" s="34"/>
      <c r="U189" s="40"/>
      <c r="V189" s="34"/>
      <c r="W189" s="34"/>
      <c r="X189" s="34"/>
      <c r="Y189" s="34"/>
      <c r="Z189" s="34"/>
      <c r="AA189" s="34"/>
      <c r="AB189" s="38"/>
      <c r="AC189" s="38"/>
    </row>
    <row r="190" spans="2:29" x14ac:dyDescent="0.25">
      <c r="B190" s="34"/>
      <c r="C190" s="34"/>
      <c r="D190" s="34"/>
      <c r="E190" s="34"/>
      <c r="F190" s="40"/>
      <c r="G190" s="34"/>
      <c r="H190" s="34"/>
      <c r="I190" s="34"/>
      <c r="J190" s="34"/>
      <c r="K190" s="40"/>
      <c r="L190" s="34"/>
      <c r="M190" s="34"/>
      <c r="N190" s="34"/>
      <c r="O190" s="34"/>
      <c r="P190" s="40"/>
      <c r="Q190" s="34"/>
      <c r="R190" s="34"/>
      <c r="S190" s="34"/>
      <c r="T190" s="34"/>
      <c r="U190" s="40"/>
      <c r="V190" s="34"/>
      <c r="W190" s="34"/>
      <c r="X190" s="34"/>
      <c r="Y190" s="34"/>
      <c r="Z190" s="34"/>
      <c r="AA190" s="34"/>
      <c r="AB190" s="38"/>
      <c r="AC190" s="38"/>
    </row>
    <row r="191" spans="2:29" x14ac:dyDescent="0.25">
      <c r="B191" s="34"/>
      <c r="C191" s="34"/>
      <c r="D191" s="34"/>
      <c r="E191" s="34"/>
      <c r="F191" s="40"/>
      <c r="G191" s="34"/>
      <c r="H191" s="34"/>
      <c r="I191" s="34"/>
      <c r="J191" s="34"/>
      <c r="K191" s="40"/>
      <c r="L191" s="34"/>
      <c r="M191" s="34"/>
      <c r="N191" s="34"/>
      <c r="O191" s="34"/>
      <c r="P191" s="40"/>
      <c r="Q191" s="34"/>
      <c r="R191" s="34"/>
      <c r="S191" s="34"/>
      <c r="T191" s="34"/>
      <c r="U191" s="40"/>
      <c r="V191" s="34"/>
      <c r="W191" s="34"/>
      <c r="X191" s="34"/>
      <c r="Y191" s="34"/>
      <c r="Z191" s="34"/>
      <c r="AA191" s="34"/>
      <c r="AB191" s="38"/>
      <c r="AC191" s="38"/>
    </row>
    <row r="192" spans="2:29" x14ac:dyDescent="0.25">
      <c r="B192" s="34"/>
      <c r="C192" s="34"/>
      <c r="D192" s="34"/>
      <c r="E192" s="34"/>
      <c r="F192" s="40"/>
      <c r="G192" s="34"/>
      <c r="H192" s="34"/>
      <c r="I192" s="34"/>
      <c r="J192" s="34"/>
      <c r="K192" s="40"/>
      <c r="L192" s="34"/>
      <c r="M192" s="34"/>
      <c r="N192" s="34"/>
      <c r="O192" s="34"/>
      <c r="P192" s="40"/>
      <c r="Q192" s="34"/>
      <c r="R192" s="34"/>
      <c r="S192" s="34"/>
      <c r="T192" s="34"/>
      <c r="U192" s="40"/>
      <c r="V192" s="34"/>
      <c r="W192" s="34"/>
      <c r="X192" s="34"/>
      <c r="Y192" s="34"/>
      <c r="Z192" s="34"/>
      <c r="AA192" s="34"/>
      <c r="AB192" s="38"/>
      <c r="AC192" s="38"/>
    </row>
    <row r="193" spans="2:29" x14ac:dyDescent="0.25">
      <c r="B193" s="34"/>
      <c r="C193" s="34"/>
      <c r="D193" s="34"/>
      <c r="E193" s="34"/>
      <c r="F193" s="40"/>
      <c r="G193" s="34"/>
      <c r="H193" s="34"/>
      <c r="I193" s="34"/>
      <c r="J193" s="34"/>
      <c r="K193" s="40"/>
      <c r="L193" s="34"/>
      <c r="M193" s="34"/>
      <c r="N193" s="34"/>
      <c r="O193" s="34"/>
      <c r="P193" s="40"/>
      <c r="Q193" s="34"/>
      <c r="R193" s="34"/>
      <c r="S193" s="34"/>
      <c r="T193" s="34"/>
      <c r="U193" s="40"/>
      <c r="V193" s="34"/>
      <c r="W193" s="34"/>
      <c r="X193" s="34"/>
      <c r="Y193" s="34"/>
      <c r="Z193" s="34"/>
      <c r="AA193" s="34"/>
      <c r="AB193" s="38"/>
      <c r="AC193" s="38"/>
    </row>
    <row r="194" spans="2:29" x14ac:dyDescent="0.25">
      <c r="B194" s="34"/>
      <c r="C194" s="34"/>
      <c r="D194" s="34"/>
      <c r="E194" s="34"/>
      <c r="F194" s="40"/>
      <c r="G194" s="34"/>
      <c r="H194" s="34"/>
      <c r="I194" s="34"/>
      <c r="J194" s="34"/>
      <c r="K194" s="40"/>
      <c r="L194" s="34"/>
      <c r="M194" s="34"/>
      <c r="N194" s="34"/>
      <c r="O194" s="34"/>
      <c r="P194" s="40"/>
      <c r="Q194" s="34"/>
      <c r="R194" s="34"/>
      <c r="S194" s="34"/>
      <c r="T194" s="34"/>
      <c r="U194" s="40"/>
      <c r="V194" s="34"/>
      <c r="W194" s="34"/>
      <c r="X194" s="34"/>
      <c r="Y194" s="34"/>
      <c r="Z194" s="34"/>
      <c r="AA194" s="34"/>
      <c r="AB194" s="38"/>
      <c r="AC194" s="38"/>
    </row>
    <row r="195" spans="2:29" x14ac:dyDescent="0.25">
      <c r="B195" s="34"/>
      <c r="C195" s="34"/>
      <c r="D195" s="34"/>
      <c r="E195" s="34"/>
      <c r="F195" s="40"/>
      <c r="G195" s="34"/>
      <c r="H195" s="34"/>
      <c r="I195" s="34"/>
      <c r="J195" s="34"/>
      <c r="K195" s="40"/>
      <c r="L195" s="34"/>
      <c r="M195" s="34"/>
      <c r="N195" s="34"/>
      <c r="O195" s="34"/>
      <c r="P195" s="40"/>
      <c r="Q195" s="34"/>
      <c r="R195" s="34"/>
      <c r="S195" s="34"/>
      <c r="T195" s="34"/>
      <c r="U195" s="40"/>
      <c r="V195" s="34"/>
      <c r="W195" s="34"/>
      <c r="X195" s="34"/>
      <c r="Y195" s="34"/>
      <c r="Z195" s="34"/>
      <c r="AA195" s="34"/>
      <c r="AB195" s="38"/>
      <c r="AC195" s="38"/>
    </row>
    <row r="196" spans="2:29" x14ac:dyDescent="0.25">
      <c r="B196" s="34"/>
      <c r="C196" s="34"/>
      <c r="D196" s="34"/>
      <c r="E196" s="34"/>
      <c r="F196" s="40"/>
      <c r="G196" s="34"/>
      <c r="H196" s="34"/>
      <c r="I196" s="34"/>
      <c r="J196" s="34"/>
      <c r="K196" s="40"/>
      <c r="L196" s="34"/>
      <c r="M196" s="34"/>
      <c r="N196" s="34"/>
      <c r="O196" s="34"/>
      <c r="P196" s="40"/>
      <c r="Q196" s="34"/>
      <c r="R196" s="34"/>
      <c r="S196" s="34"/>
      <c r="T196" s="34"/>
      <c r="U196" s="40"/>
      <c r="V196" s="34"/>
      <c r="W196" s="34"/>
      <c r="X196" s="34"/>
      <c r="Y196" s="34"/>
      <c r="Z196" s="34"/>
      <c r="AA196" s="34"/>
      <c r="AB196" s="38"/>
      <c r="AC196" s="38"/>
    </row>
    <row r="197" spans="2:29" x14ac:dyDescent="0.25">
      <c r="B197" s="34"/>
      <c r="C197" s="34"/>
      <c r="D197" s="34"/>
      <c r="E197" s="34"/>
      <c r="F197" s="40"/>
      <c r="G197" s="34"/>
      <c r="H197" s="34"/>
      <c r="I197" s="34"/>
      <c r="J197" s="34"/>
      <c r="K197" s="40"/>
      <c r="L197" s="34"/>
      <c r="M197" s="34"/>
      <c r="N197" s="34"/>
      <c r="O197" s="34"/>
      <c r="P197" s="40"/>
      <c r="Q197" s="34"/>
      <c r="R197" s="34"/>
      <c r="S197" s="34"/>
      <c r="T197" s="34"/>
      <c r="U197" s="40"/>
      <c r="V197" s="34"/>
      <c r="W197" s="34"/>
      <c r="X197" s="34"/>
      <c r="Y197" s="34"/>
      <c r="Z197" s="34"/>
      <c r="AA197" s="34"/>
      <c r="AB197" s="38"/>
      <c r="AC197" s="38"/>
    </row>
    <row r="198" spans="2:29" x14ac:dyDescent="0.25">
      <c r="B198" s="34"/>
      <c r="C198" s="34"/>
      <c r="D198" s="34"/>
      <c r="E198" s="34"/>
      <c r="F198" s="40"/>
      <c r="G198" s="34"/>
      <c r="H198" s="34"/>
      <c r="I198" s="34"/>
      <c r="J198" s="34"/>
      <c r="K198" s="40"/>
      <c r="L198" s="34"/>
      <c r="M198" s="34"/>
      <c r="N198" s="34"/>
      <c r="O198" s="34"/>
      <c r="P198" s="40"/>
      <c r="Q198" s="34"/>
      <c r="R198" s="34"/>
      <c r="S198" s="34"/>
      <c r="T198" s="34"/>
      <c r="U198" s="40"/>
      <c r="V198" s="34"/>
      <c r="W198" s="34"/>
      <c r="X198" s="34"/>
      <c r="Y198" s="34"/>
      <c r="Z198" s="34"/>
      <c r="AA198" s="34"/>
      <c r="AB198" s="38"/>
      <c r="AC198" s="38"/>
    </row>
    <row r="199" spans="2:29" x14ac:dyDescent="0.25">
      <c r="B199" s="34"/>
      <c r="C199" s="34"/>
      <c r="D199" s="34"/>
      <c r="E199" s="34"/>
      <c r="F199" s="40"/>
      <c r="G199" s="34"/>
      <c r="H199" s="34"/>
      <c r="I199" s="34"/>
      <c r="J199" s="34"/>
      <c r="K199" s="40"/>
      <c r="L199" s="34"/>
      <c r="M199" s="34"/>
      <c r="N199" s="34"/>
      <c r="O199" s="34"/>
      <c r="P199" s="40"/>
      <c r="Q199" s="34"/>
      <c r="R199" s="34"/>
      <c r="S199" s="34"/>
      <c r="T199" s="34"/>
      <c r="U199" s="40"/>
      <c r="V199" s="34"/>
      <c r="W199" s="34"/>
      <c r="X199" s="34"/>
      <c r="Y199" s="34"/>
      <c r="Z199" s="34"/>
      <c r="AA199" s="34"/>
      <c r="AB199" s="38"/>
      <c r="AC199" s="38"/>
    </row>
    <row r="200" spans="2:29" x14ac:dyDescent="0.25">
      <c r="B200" s="34"/>
      <c r="C200" s="34"/>
      <c r="D200" s="34"/>
      <c r="E200" s="34"/>
      <c r="F200" s="40"/>
      <c r="G200" s="34"/>
      <c r="H200" s="34"/>
      <c r="I200" s="34"/>
      <c r="J200" s="34"/>
      <c r="K200" s="40"/>
      <c r="L200" s="34"/>
      <c r="M200" s="34"/>
      <c r="N200" s="34"/>
      <c r="O200" s="34"/>
      <c r="P200" s="40"/>
      <c r="Q200" s="34"/>
      <c r="R200" s="34"/>
      <c r="S200" s="34"/>
      <c r="T200" s="34"/>
      <c r="U200" s="40"/>
      <c r="V200" s="34"/>
      <c r="W200" s="34"/>
      <c r="X200" s="34"/>
      <c r="Y200" s="34"/>
      <c r="Z200" s="34"/>
      <c r="AA200" s="34"/>
      <c r="AB200" s="38"/>
      <c r="AC200" s="38"/>
    </row>
    <row r="201" spans="2:29" x14ac:dyDescent="0.25">
      <c r="B201" s="34"/>
      <c r="C201" s="34"/>
      <c r="D201" s="34"/>
      <c r="E201" s="34"/>
      <c r="F201" s="40"/>
      <c r="G201" s="34"/>
      <c r="H201" s="34"/>
      <c r="I201" s="34"/>
      <c r="J201" s="34"/>
      <c r="K201" s="40"/>
      <c r="L201" s="34"/>
      <c r="M201" s="34"/>
      <c r="N201" s="34"/>
      <c r="O201" s="34"/>
      <c r="P201" s="40"/>
      <c r="Q201" s="34"/>
      <c r="R201" s="34"/>
      <c r="S201" s="34"/>
      <c r="T201" s="34"/>
      <c r="U201" s="40"/>
      <c r="V201" s="34"/>
      <c r="W201" s="34"/>
      <c r="X201" s="34"/>
      <c r="Y201" s="34"/>
      <c r="Z201" s="34"/>
      <c r="AA201" s="34"/>
      <c r="AB201" s="38"/>
      <c r="AC201" s="38"/>
    </row>
    <row r="202" spans="2:29" x14ac:dyDescent="0.25">
      <c r="B202" s="34"/>
      <c r="C202" s="34"/>
      <c r="D202" s="34"/>
      <c r="E202" s="34"/>
      <c r="F202" s="40"/>
      <c r="G202" s="34"/>
      <c r="H202" s="34"/>
      <c r="I202" s="34"/>
      <c r="J202" s="34"/>
      <c r="K202" s="40"/>
      <c r="L202" s="34"/>
      <c r="M202" s="34"/>
      <c r="N202" s="34"/>
      <c r="O202" s="34"/>
      <c r="P202" s="40"/>
      <c r="Q202" s="34"/>
      <c r="R202" s="34"/>
      <c r="S202" s="34"/>
      <c r="T202" s="34"/>
      <c r="U202" s="40"/>
      <c r="V202" s="34"/>
      <c r="W202" s="34"/>
      <c r="X202" s="34"/>
      <c r="Y202" s="34"/>
      <c r="Z202" s="34"/>
      <c r="AA202" s="34"/>
      <c r="AB202" s="38"/>
      <c r="AC202" s="38"/>
    </row>
    <row r="203" spans="2:29" x14ac:dyDescent="0.25">
      <c r="B203" s="34"/>
      <c r="C203" s="34"/>
      <c r="D203" s="34"/>
      <c r="E203" s="34"/>
      <c r="F203" s="40"/>
      <c r="G203" s="34"/>
      <c r="H203" s="34"/>
      <c r="I203" s="34"/>
      <c r="J203" s="34"/>
      <c r="K203" s="40"/>
      <c r="L203" s="34"/>
      <c r="M203" s="34"/>
      <c r="N203" s="34"/>
      <c r="O203" s="34"/>
      <c r="P203" s="40"/>
      <c r="Q203" s="34"/>
      <c r="R203" s="34"/>
      <c r="S203" s="34"/>
      <c r="T203" s="34"/>
      <c r="U203" s="40"/>
      <c r="V203" s="34"/>
      <c r="W203" s="34"/>
      <c r="X203" s="34"/>
      <c r="Y203" s="34"/>
      <c r="Z203" s="34"/>
      <c r="AA203" s="34"/>
      <c r="AB203" s="38"/>
      <c r="AC203" s="38"/>
    </row>
    <row r="204" spans="2:29" x14ac:dyDescent="0.25">
      <c r="B204" s="34"/>
      <c r="C204" s="34"/>
      <c r="D204" s="34"/>
      <c r="E204" s="34"/>
      <c r="F204" s="40"/>
      <c r="G204" s="34"/>
      <c r="H204" s="34"/>
      <c r="I204" s="34"/>
      <c r="J204" s="34"/>
      <c r="K204" s="40"/>
      <c r="L204" s="34"/>
      <c r="M204" s="34"/>
      <c r="N204" s="34"/>
      <c r="O204" s="34"/>
      <c r="P204" s="40"/>
      <c r="Q204" s="34"/>
      <c r="R204" s="34"/>
      <c r="S204" s="34"/>
      <c r="T204" s="34"/>
      <c r="U204" s="40"/>
      <c r="V204" s="34"/>
      <c r="W204" s="34"/>
      <c r="X204" s="34"/>
      <c r="Y204" s="34"/>
      <c r="Z204" s="34"/>
      <c r="AA204" s="34"/>
      <c r="AB204" s="38"/>
      <c r="AC204" s="38"/>
    </row>
    <row r="205" spans="2:29" x14ac:dyDescent="0.25">
      <c r="B205" s="34"/>
      <c r="C205" s="34"/>
      <c r="D205" s="34"/>
      <c r="E205" s="34"/>
      <c r="F205" s="40"/>
      <c r="G205" s="34"/>
      <c r="H205" s="34"/>
      <c r="I205" s="34"/>
      <c r="J205" s="34"/>
      <c r="K205" s="40"/>
      <c r="L205" s="34"/>
      <c r="M205" s="34"/>
      <c r="N205" s="34"/>
      <c r="O205" s="34"/>
      <c r="P205" s="40"/>
      <c r="Q205" s="34"/>
      <c r="R205" s="34"/>
      <c r="S205" s="34"/>
      <c r="T205" s="34"/>
      <c r="U205" s="40"/>
      <c r="V205" s="34"/>
      <c r="W205" s="34"/>
      <c r="X205" s="34"/>
      <c r="Y205" s="34"/>
      <c r="Z205" s="34"/>
      <c r="AA205" s="34"/>
      <c r="AB205" s="38"/>
      <c r="AC205" s="38"/>
    </row>
    <row r="206" spans="2:29" x14ac:dyDescent="0.25">
      <c r="B206" s="34"/>
      <c r="C206" s="34"/>
      <c r="D206" s="34"/>
      <c r="E206" s="34"/>
      <c r="F206" s="40"/>
      <c r="G206" s="34"/>
      <c r="H206" s="34"/>
      <c r="I206" s="34"/>
      <c r="J206" s="34"/>
      <c r="K206" s="40"/>
      <c r="L206" s="34"/>
      <c r="M206" s="34"/>
      <c r="N206" s="34"/>
      <c r="O206" s="34"/>
      <c r="P206" s="40"/>
      <c r="Q206" s="34"/>
      <c r="R206" s="34"/>
      <c r="S206" s="34"/>
      <c r="T206" s="34"/>
      <c r="U206" s="40"/>
      <c r="V206" s="34"/>
      <c r="W206" s="34"/>
      <c r="X206" s="34"/>
      <c r="Y206" s="34"/>
      <c r="Z206" s="34"/>
      <c r="AA206" s="34"/>
      <c r="AB206" s="38"/>
      <c r="AC206" s="38"/>
    </row>
    <row r="207" spans="2:29" x14ac:dyDescent="0.25">
      <c r="B207" s="34"/>
      <c r="C207" s="34"/>
      <c r="D207" s="34"/>
      <c r="E207" s="34"/>
      <c r="F207" s="40"/>
      <c r="G207" s="34"/>
      <c r="H207" s="34"/>
      <c r="I207" s="34"/>
      <c r="J207" s="34"/>
      <c r="K207" s="40"/>
      <c r="L207" s="34"/>
      <c r="M207" s="34"/>
      <c r="N207" s="34"/>
      <c r="O207" s="34"/>
      <c r="P207" s="40"/>
      <c r="Q207" s="34"/>
      <c r="R207" s="34"/>
      <c r="S207" s="34"/>
      <c r="T207" s="34"/>
      <c r="U207" s="40"/>
      <c r="V207" s="34"/>
      <c r="W207" s="34"/>
      <c r="X207" s="34"/>
      <c r="Y207" s="34"/>
      <c r="Z207" s="34"/>
      <c r="AA207" s="34"/>
      <c r="AB207" s="38"/>
      <c r="AC207" s="38"/>
    </row>
    <row r="208" spans="2:29" x14ac:dyDescent="0.25">
      <c r="B208" s="34"/>
      <c r="C208" s="34"/>
      <c r="D208" s="34"/>
      <c r="E208" s="34"/>
      <c r="F208" s="40"/>
      <c r="G208" s="34"/>
      <c r="H208" s="34"/>
      <c r="I208" s="34"/>
      <c r="J208" s="34"/>
      <c r="K208" s="40"/>
      <c r="L208" s="34"/>
      <c r="M208" s="34"/>
      <c r="N208" s="34"/>
      <c r="O208" s="34"/>
      <c r="P208" s="40"/>
      <c r="Q208" s="34"/>
      <c r="R208" s="34"/>
      <c r="S208" s="34"/>
      <c r="T208" s="34"/>
      <c r="U208" s="40"/>
      <c r="V208" s="34"/>
      <c r="W208" s="34"/>
      <c r="X208" s="34"/>
      <c r="Y208" s="34"/>
      <c r="Z208" s="34"/>
      <c r="AA208" s="34"/>
      <c r="AB208" s="38"/>
      <c r="AC208" s="38"/>
    </row>
    <row r="209" spans="2:29" x14ac:dyDescent="0.25">
      <c r="B209" s="34"/>
      <c r="C209" s="34"/>
      <c r="D209" s="34"/>
      <c r="E209" s="34"/>
      <c r="F209" s="40"/>
      <c r="G209" s="34"/>
      <c r="H209" s="34"/>
      <c r="I209" s="34"/>
      <c r="J209" s="34"/>
      <c r="K209" s="40"/>
      <c r="L209" s="34"/>
      <c r="M209" s="34"/>
      <c r="N209" s="34"/>
      <c r="O209" s="34"/>
      <c r="P209" s="40"/>
      <c r="Q209" s="34"/>
      <c r="R209" s="34"/>
      <c r="S209" s="34"/>
      <c r="T209" s="34"/>
      <c r="U209" s="40"/>
      <c r="V209" s="34"/>
      <c r="W209" s="34"/>
      <c r="X209" s="34"/>
      <c r="Y209" s="34"/>
      <c r="Z209" s="34"/>
      <c r="AA209" s="34"/>
      <c r="AB209" s="38"/>
      <c r="AC209" s="38"/>
    </row>
    <row r="210" spans="2:29" x14ac:dyDescent="0.25">
      <c r="B210" s="34"/>
      <c r="C210" s="34"/>
      <c r="D210" s="34"/>
      <c r="E210" s="34"/>
      <c r="F210" s="40"/>
      <c r="G210" s="34"/>
      <c r="H210" s="34"/>
      <c r="I210" s="34"/>
      <c r="J210" s="34"/>
      <c r="K210" s="40"/>
      <c r="L210" s="34"/>
      <c r="M210" s="34"/>
      <c r="N210" s="34"/>
      <c r="O210" s="34"/>
      <c r="P210" s="40"/>
      <c r="Q210" s="34"/>
      <c r="R210" s="34"/>
      <c r="S210" s="34"/>
      <c r="T210" s="34"/>
      <c r="U210" s="40"/>
      <c r="V210" s="34"/>
      <c r="W210" s="34"/>
      <c r="X210" s="34"/>
      <c r="Y210" s="34"/>
      <c r="Z210" s="34"/>
      <c r="AA210" s="34"/>
      <c r="AB210" s="38"/>
      <c r="AC210" s="38"/>
    </row>
    <row r="211" spans="2:29" x14ac:dyDescent="0.25">
      <c r="B211" s="34"/>
      <c r="C211" s="34"/>
      <c r="D211" s="34"/>
      <c r="E211" s="34"/>
      <c r="F211" s="40"/>
      <c r="G211" s="34"/>
      <c r="H211" s="34"/>
      <c r="I211" s="34"/>
      <c r="J211" s="34"/>
      <c r="K211" s="40"/>
      <c r="L211" s="34"/>
      <c r="M211" s="34"/>
      <c r="N211" s="34"/>
      <c r="O211" s="34"/>
      <c r="P211" s="40"/>
      <c r="Q211" s="34"/>
      <c r="R211" s="34"/>
      <c r="S211" s="34"/>
      <c r="T211" s="34"/>
      <c r="U211" s="40"/>
      <c r="V211" s="34"/>
      <c r="W211" s="34"/>
      <c r="X211" s="34"/>
      <c r="Y211" s="34"/>
      <c r="Z211" s="34"/>
      <c r="AA211" s="34"/>
      <c r="AB211" s="34"/>
      <c r="AC211" s="34"/>
    </row>
    <row r="212" spans="2:29" x14ac:dyDescent="0.25">
      <c r="B212" s="34"/>
      <c r="C212" s="34"/>
      <c r="D212" s="34"/>
      <c r="E212" s="34"/>
      <c r="F212" s="40"/>
      <c r="G212" s="34"/>
      <c r="H212" s="34"/>
      <c r="I212" s="34"/>
      <c r="J212" s="34"/>
      <c r="K212" s="40"/>
      <c r="L212" s="34"/>
      <c r="M212" s="34"/>
      <c r="N212" s="34"/>
      <c r="O212" s="34"/>
      <c r="P212" s="40"/>
      <c r="Q212" s="34"/>
      <c r="R212" s="34"/>
      <c r="S212" s="34"/>
      <c r="T212" s="34"/>
      <c r="U212" s="40"/>
      <c r="V212" s="34"/>
      <c r="W212" s="34"/>
      <c r="X212" s="34"/>
      <c r="Y212" s="34"/>
      <c r="Z212" s="34"/>
      <c r="AA212" s="34"/>
      <c r="AB212" s="34"/>
      <c r="AC212" s="34"/>
    </row>
    <row r="213" spans="2:29" x14ac:dyDescent="0.25">
      <c r="B213" s="34"/>
      <c r="C213" s="34"/>
      <c r="D213" s="34"/>
      <c r="E213" s="34"/>
      <c r="F213" s="40"/>
      <c r="G213" s="34"/>
      <c r="H213" s="34"/>
      <c r="I213" s="34"/>
      <c r="J213" s="34"/>
      <c r="K213" s="40"/>
      <c r="L213" s="34"/>
      <c r="M213" s="34"/>
      <c r="N213" s="34"/>
      <c r="O213" s="34"/>
      <c r="P213" s="40"/>
      <c r="Q213" s="34"/>
      <c r="R213" s="34"/>
      <c r="S213" s="34"/>
      <c r="T213" s="34"/>
      <c r="U213" s="40"/>
      <c r="V213" s="34"/>
      <c r="W213" s="34"/>
      <c r="X213" s="34"/>
      <c r="Y213" s="34"/>
      <c r="Z213" s="34"/>
      <c r="AA213" s="34"/>
      <c r="AB213" s="34"/>
      <c r="AC213" s="34"/>
    </row>
    <row r="214" spans="2:29" x14ac:dyDescent="0.25">
      <c r="B214" s="34"/>
      <c r="C214" s="34"/>
      <c r="D214" s="34"/>
      <c r="E214" s="34"/>
      <c r="F214" s="40"/>
      <c r="G214" s="34"/>
      <c r="H214" s="34"/>
      <c r="I214" s="34"/>
      <c r="J214" s="34"/>
      <c r="K214" s="40"/>
      <c r="L214" s="34"/>
      <c r="M214" s="34"/>
      <c r="N214" s="34"/>
      <c r="O214" s="34"/>
      <c r="P214" s="40"/>
      <c r="Q214" s="34"/>
      <c r="R214" s="34"/>
      <c r="S214" s="34"/>
      <c r="T214" s="34"/>
      <c r="U214" s="40"/>
      <c r="V214" s="34"/>
      <c r="W214" s="34"/>
      <c r="X214" s="34"/>
      <c r="Y214" s="34"/>
      <c r="Z214" s="34"/>
      <c r="AA214" s="34"/>
      <c r="AB214" s="34"/>
      <c r="AC214" s="34"/>
    </row>
    <row r="215" spans="2:29" x14ac:dyDescent="0.25">
      <c r="B215" s="34"/>
      <c r="C215" s="34"/>
      <c r="D215" s="34"/>
      <c r="E215" s="34"/>
      <c r="F215" s="40"/>
      <c r="G215" s="34"/>
      <c r="H215" s="34"/>
      <c r="I215" s="34"/>
      <c r="J215" s="34"/>
      <c r="K215" s="40"/>
      <c r="L215" s="34"/>
      <c r="M215" s="34"/>
      <c r="N215" s="34"/>
      <c r="O215" s="34"/>
      <c r="P215" s="40"/>
      <c r="Q215" s="34"/>
      <c r="R215" s="34"/>
      <c r="S215" s="34"/>
      <c r="T215" s="34"/>
      <c r="U215" s="40"/>
      <c r="V215" s="34"/>
      <c r="W215" s="34"/>
      <c r="X215" s="34"/>
      <c r="Y215" s="34"/>
      <c r="Z215" s="34"/>
      <c r="AA215" s="34"/>
      <c r="AB215" s="34"/>
      <c r="AC215" s="34"/>
    </row>
    <row r="216" spans="2:29" x14ac:dyDescent="0.25">
      <c r="B216" s="34"/>
      <c r="C216" s="34"/>
      <c r="D216" s="34"/>
      <c r="E216" s="34"/>
      <c r="F216" s="40"/>
      <c r="G216" s="34"/>
      <c r="H216" s="34"/>
      <c r="I216" s="34"/>
      <c r="J216" s="34"/>
      <c r="K216" s="40"/>
      <c r="L216" s="34"/>
      <c r="M216" s="34"/>
      <c r="N216" s="34"/>
      <c r="O216" s="34"/>
      <c r="P216" s="40"/>
      <c r="Q216" s="34"/>
      <c r="R216" s="34"/>
      <c r="S216" s="34"/>
      <c r="T216" s="34"/>
      <c r="U216" s="40"/>
      <c r="V216" s="34"/>
      <c r="W216" s="34"/>
      <c r="X216" s="34"/>
      <c r="Y216" s="34"/>
      <c r="Z216" s="34"/>
      <c r="AA216" s="34"/>
      <c r="AB216" s="34"/>
      <c r="AC216" s="34"/>
    </row>
    <row r="217" spans="2:29" x14ac:dyDescent="0.25">
      <c r="B217" s="34"/>
      <c r="C217" s="34"/>
      <c r="D217" s="34"/>
      <c r="E217" s="34"/>
      <c r="F217" s="40"/>
      <c r="G217" s="34"/>
      <c r="H217" s="34"/>
      <c r="I217" s="34"/>
      <c r="J217" s="34"/>
      <c r="K217" s="40"/>
      <c r="L217" s="34"/>
      <c r="M217" s="34"/>
      <c r="N217" s="34"/>
      <c r="O217" s="34"/>
      <c r="P217" s="40"/>
      <c r="Q217" s="34"/>
      <c r="R217" s="34"/>
      <c r="S217" s="34"/>
      <c r="T217" s="34"/>
      <c r="U217" s="40"/>
      <c r="V217" s="34"/>
      <c r="W217" s="34"/>
      <c r="X217" s="34"/>
      <c r="Y217" s="34"/>
      <c r="Z217" s="34"/>
      <c r="AA217" s="34"/>
      <c r="AB217" s="34"/>
      <c r="AC217" s="34"/>
    </row>
    <row r="218" spans="2:29" x14ac:dyDescent="0.25">
      <c r="B218" s="34"/>
      <c r="C218" s="34"/>
      <c r="D218" s="34"/>
      <c r="E218" s="34"/>
      <c r="F218" s="40"/>
      <c r="G218" s="34"/>
      <c r="H218" s="34"/>
      <c r="I218" s="34"/>
      <c r="J218" s="34"/>
      <c r="K218" s="40"/>
      <c r="L218" s="34"/>
      <c r="M218" s="34"/>
      <c r="N218" s="34"/>
      <c r="O218" s="34"/>
      <c r="P218" s="40"/>
      <c r="Q218" s="34"/>
      <c r="R218" s="34"/>
      <c r="S218" s="34"/>
      <c r="T218" s="34"/>
      <c r="U218" s="40"/>
      <c r="V218" s="34"/>
      <c r="W218" s="34"/>
      <c r="X218" s="34"/>
      <c r="Y218" s="34"/>
      <c r="Z218" s="34"/>
      <c r="AA218" s="34"/>
      <c r="AB218" s="34"/>
      <c r="AC218" s="34"/>
    </row>
    <row r="219" spans="2:29" x14ac:dyDescent="0.25">
      <c r="B219" s="34"/>
      <c r="C219" s="34"/>
      <c r="D219" s="34"/>
      <c r="E219" s="34"/>
      <c r="F219" s="40"/>
      <c r="G219" s="34"/>
      <c r="H219" s="34"/>
      <c r="I219" s="34"/>
      <c r="J219" s="34"/>
      <c r="K219" s="40"/>
      <c r="L219" s="34"/>
      <c r="M219" s="34"/>
      <c r="N219" s="34"/>
      <c r="O219" s="34"/>
      <c r="P219" s="40"/>
      <c r="Q219" s="34"/>
      <c r="R219" s="34"/>
      <c r="S219" s="34"/>
      <c r="T219" s="34"/>
      <c r="U219" s="40"/>
      <c r="V219" s="34"/>
      <c r="W219" s="34"/>
      <c r="X219" s="34"/>
      <c r="Y219" s="34"/>
      <c r="Z219" s="34"/>
      <c r="AA219" s="34"/>
      <c r="AB219" s="34"/>
      <c r="AC219" s="34"/>
    </row>
    <row r="220" spans="2:29" x14ac:dyDescent="0.25">
      <c r="B220" s="34"/>
      <c r="C220" s="34"/>
      <c r="D220" s="34"/>
      <c r="E220" s="34"/>
      <c r="F220" s="40"/>
      <c r="G220" s="34"/>
      <c r="H220" s="34"/>
      <c r="I220" s="34"/>
      <c r="J220" s="34"/>
      <c r="K220" s="40"/>
      <c r="L220" s="34"/>
      <c r="M220" s="34"/>
      <c r="N220" s="34"/>
      <c r="O220" s="34"/>
      <c r="P220" s="40"/>
      <c r="Q220" s="34"/>
      <c r="R220" s="34"/>
      <c r="S220" s="34"/>
      <c r="T220" s="34"/>
      <c r="U220" s="40"/>
      <c r="V220" s="34"/>
      <c r="W220" s="34"/>
      <c r="X220" s="34"/>
      <c r="Y220" s="34"/>
      <c r="Z220" s="34"/>
      <c r="AA220" s="34"/>
      <c r="AB220" s="34"/>
      <c r="AC220" s="34"/>
    </row>
    <row r="221" spans="2:29" x14ac:dyDescent="0.25">
      <c r="B221" s="34"/>
      <c r="C221" s="34"/>
      <c r="D221" s="34"/>
      <c r="E221" s="34"/>
      <c r="F221" s="40"/>
      <c r="G221" s="34"/>
      <c r="H221" s="34"/>
      <c r="I221" s="34"/>
      <c r="J221" s="34"/>
      <c r="K221" s="40"/>
      <c r="L221" s="34"/>
      <c r="M221" s="34"/>
      <c r="N221" s="34"/>
      <c r="O221" s="34"/>
      <c r="P221" s="40"/>
      <c r="Q221" s="34"/>
      <c r="R221" s="34"/>
      <c r="S221" s="34"/>
      <c r="T221" s="34"/>
      <c r="U221" s="40"/>
      <c r="V221" s="34"/>
      <c r="W221" s="34"/>
      <c r="X221" s="34"/>
      <c r="Y221" s="34"/>
      <c r="Z221" s="34"/>
      <c r="AA221" s="34"/>
      <c r="AB221" s="34"/>
      <c r="AC221" s="34"/>
    </row>
    <row r="222" spans="2:29" x14ac:dyDescent="0.25">
      <c r="B222" s="34"/>
      <c r="C222" s="34"/>
      <c r="D222" s="34"/>
      <c r="E222" s="34"/>
      <c r="F222" s="40"/>
      <c r="G222" s="34"/>
      <c r="H222" s="34"/>
      <c r="I222" s="34"/>
      <c r="J222" s="34"/>
      <c r="K222" s="40"/>
      <c r="L222" s="34"/>
      <c r="M222" s="34"/>
      <c r="N222" s="34"/>
      <c r="O222" s="34"/>
      <c r="P222" s="40"/>
      <c r="Q222" s="34"/>
      <c r="R222" s="34"/>
      <c r="S222" s="34"/>
      <c r="T222" s="34"/>
      <c r="U222" s="40"/>
      <c r="V222" s="34"/>
      <c r="W222" s="34"/>
      <c r="X222" s="34"/>
      <c r="Y222" s="34"/>
      <c r="Z222" s="34"/>
      <c r="AA222" s="34"/>
      <c r="AB222" s="34"/>
      <c r="AC222" s="34"/>
    </row>
    <row r="223" spans="2:29" x14ac:dyDescent="0.25">
      <c r="B223" s="34"/>
      <c r="C223" s="34"/>
      <c r="D223" s="34"/>
      <c r="E223" s="34"/>
      <c r="F223" s="40"/>
      <c r="G223" s="34"/>
      <c r="H223" s="34"/>
      <c r="I223" s="34"/>
      <c r="J223" s="34"/>
      <c r="K223" s="40"/>
      <c r="L223" s="34"/>
      <c r="M223" s="34"/>
      <c r="N223" s="34"/>
      <c r="O223" s="34"/>
      <c r="P223" s="40"/>
      <c r="Q223" s="34"/>
      <c r="R223" s="34"/>
      <c r="S223" s="34"/>
      <c r="T223" s="34"/>
      <c r="U223" s="40"/>
      <c r="V223" s="34"/>
      <c r="W223" s="34"/>
      <c r="X223" s="34"/>
      <c r="Y223" s="34"/>
      <c r="Z223" s="34"/>
      <c r="AA223" s="34"/>
      <c r="AB223" s="34"/>
      <c r="AC223" s="34"/>
    </row>
    <row r="224" spans="2:29" x14ac:dyDescent="0.25">
      <c r="B224" s="34"/>
      <c r="C224" s="34"/>
      <c r="D224" s="34"/>
      <c r="E224" s="34"/>
      <c r="F224" s="40"/>
      <c r="G224" s="34"/>
      <c r="H224" s="34"/>
      <c r="I224" s="34"/>
      <c r="J224" s="34"/>
      <c r="K224" s="40"/>
      <c r="L224" s="34"/>
      <c r="M224" s="34"/>
      <c r="N224" s="34"/>
      <c r="O224" s="34"/>
      <c r="P224" s="40"/>
      <c r="Q224" s="34"/>
      <c r="R224" s="34"/>
      <c r="S224" s="34"/>
      <c r="T224" s="34"/>
      <c r="U224" s="40"/>
      <c r="V224" s="34"/>
      <c r="W224" s="34"/>
      <c r="X224" s="34"/>
      <c r="Y224" s="34"/>
      <c r="Z224" s="34"/>
      <c r="AA224" s="34"/>
      <c r="AB224" s="34"/>
      <c r="AC224" s="34"/>
    </row>
    <row r="225" spans="2:29" x14ac:dyDescent="0.25">
      <c r="B225" s="34"/>
      <c r="C225" s="34"/>
      <c r="D225" s="34"/>
      <c r="E225" s="34"/>
      <c r="F225" s="40"/>
      <c r="G225" s="34"/>
      <c r="H225" s="34"/>
      <c r="I225" s="34"/>
      <c r="J225" s="34"/>
      <c r="K225" s="40"/>
      <c r="L225" s="34"/>
      <c r="M225" s="34"/>
      <c r="N225" s="34"/>
      <c r="O225" s="34"/>
      <c r="P225" s="40"/>
      <c r="Q225" s="34"/>
      <c r="R225" s="34"/>
      <c r="S225" s="34"/>
      <c r="T225" s="34"/>
      <c r="U225" s="40"/>
      <c r="V225" s="34"/>
      <c r="W225" s="34"/>
      <c r="X225" s="34"/>
      <c r="Y225" s="34"/>
      <c r="Z225" s="34"/>
      <c r="AA225" s="34"/>
      <c r="AB225" s="34"/>
      <c r="AC225" s="34"/>
    </row>
    <row r="226" spans="2:29" x14ac:dyDescent="0.25">
      <c r="B226" s="34"/>
      <c r="C226" s="34"/>
      <c r="D226" s="34"/>
      <c r="E226" s="34"/>
      <c r="F226" s="40"/>
      <c r="G226" s="34"/>
      <c r="H226" s="34"/>
      <c r="I226" s="34"/>
      <c r="J226" s="34"/>
      <c r="K226" s="40"/>
      <c r="L226" s="34"/>
      <c r="M226" s="34"/>
      <c r="N226" s="34"/>
      <c r="O226" s="34"/>
      <c r="P226" s="40"/>
      <c r="Q226" s="34"/>
      <c r="R226" s="34"/>
      <c r="S226" s="34"/>
      <c r="T226" s="34"/>
      <c r="U226" s="40"/>
      <c r="V226" s="34"/>
      <c r="W226" s="34"/>
      <c r="X226" s="34"/>
      <c r="Y226" s="34"/>
      <c r="Z226" s="34"/>
      <c r="AA226" s="34"/>
      <c r="AB226" s="34"/>
      <c r="AC226" s="34"/>
    </row>
    <row r="227" spans="2:29" x14ac:dyDescent="0.25">
      <c r="B227" s="34"/>
      <c r="C227" s="34"/>
      <c r="D227" s="34"/>
      <c r="E227" s="34"/>
      <c r="F227" s="40"/>
      <c r="G227" s="34"/>
      <c r="H227" s="34"/>
      <c r="I227" s="34"/>
      <c r="J227" s="34"/>
      <c r="K227" s="40"/>
      <c r="L227" s="34"/>
      <c r="M227" s="34"/>
      <c r="N227" s="34"/>
      <c r="O227" s="34"/>
      <c r="P227" s="40"/>
      <c r="Q227" s="34"/>
      <c r="R227" s="34"/>
      <c r="S227" s="34"/>
      <c r="T227" s="34"/>
      <c r="U227" s="40"/>
      <c r="V227" s="34"/>
      <c r="W227" s="34"/>
      <c r="X227" s="34"/>
      <c r="Y227" s="34"/>
      <c r="Z227" s="34"/>
      <c r="AA227" s="34"/>
      <c r="AB227" s="34"/>
      <c r="AC227" s="34"/>
    </row>
  </sheetData>
  <sortState xmlns:xlrd2="http://schemas.microsoft.com/office/spreadsheetml/2017/richdata2" ref="A3:AC67">
    <sortCondition descending="1" ref="AB3:AB67"/>
  </sortState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9F0C0-C551-4981-A459-EB531D54A7AC}">
  <sheetPr>
    <tabColor theme="4" tint="0.59999389629810485"/>
  </sheetPr>
  <dimension ref="A1:W22"/>
  <sheetViews>
    <sheetView workbookViewId="0">
      <selection activeCell="A13" sqref="A13"/>
    </sheetView>
  </sheetViews>
  <sheetFormatPr baseColWidth="10" defaultRowHeight="15" x14ac:dyDescent="0.25"/>
  <sheetData>
    <row r="1" spans="1:23" ht="15.75" x14ac:dyDescent="0.25">
      <c r="A1" s="2" t="s">
        <v>63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7</v>
      </c>
      <c r="B3" s="6"/>
      <c r="C3" s="7"/>
      <c r="D3" s="8">
        <f t="shared" ref="D3:D22" si="0">B3*C3</f>
        <v>0</v>
      </c>
      <c r="E3" s="6">
        <v>17</v>
      </c>
      <c r="F3" s="7">
        <v>0.58799999999999997</v>
      </c>
      <c r="G3" s="8">
        <f t="shared" ref="G3:G22" si="1">E3*F3</f>
        <v>9.9959999999999987</v>
      </c>
      <c r="H3" s="6"/>
      <c r="I3" s="7"/>
      <c r="J3" s="8">
        <f t="shared" ref="J3:J22" si="2">H3*I3</f>
        <v>0</v>
      </c>
      <c r="K3" s="6"/>
      <c r="L3" s="7"/>
      <c r="M3" s="8">
        <f t="shared" ref="M3:M22" si="3">K3*L3</f>
        <v>0</v>
      </c>
      <c r="N3" s="6"/>
      <c r="O3" s="7"/>
      <c r="P3" s="8">
        <f t="shared" ref="P3:P22" si="4">N3*O3</f>
        <v>0</v>
      </c>
      <c r="Q3" s="1"/>
      <c r="R3" s="6">
        <f t="shared" ref="R3:R22" si="5">B3+E3+H3+K3+N3</f>
        <v>17</v>
      </c>
      <c r="S3" s="9">
        <f t="shared" ref="S3:S22" si="6">(D3+G3+J3+M3+P3)/R3</f>
        <v>0.58799999999999997</v>
      </c>
      <c r="T3" s="9">
        <f t="shared" ref="T3:T22" si="7">R3/$V$3</f>
        <v>0.13600000000000001</v>
      </c>
      <c r="U3" s="9">
        <f>R3 / _xlfn.XLOOKUP(A3, Top!A:A, Top!AA:AA)</f>
        <v>3.2015065913370999E-2</v>
      </c>
      <c r="V3" s="11">
        <f>SUM(R3:R36)</f>
        <v>125</v>
      </c>
      <c r="W3" s="12">
        <f>(SUM(D3:D66)+SUM(G3:G66)+SUM(J3:J66)+SUM(M3:M66)+SUM(P3:P66)) / V3</f>
        <v>0.50402400000000003</v>
      </c>
    </row>
    <row r="4" spans="1:23" x14ac:dyDescent="0.25">
      <c r="A4" s="1" t="s">
        <v>16</v>
      </c>
      <c r="B4" s="6"/>
      <c r="C4" s="7"/>
      <c r="D4" s="8">
        <f t="shared" si="0"/>
        <v>0</v>
      </c>
      <c r="E4" s="6">
        <v>14</v>
      </c>
      <c r="F4" s="7">
        <v>0.5</v>
      </c>
      <c r="G4" s="8">
        <f t="shared" si="1"/>
        <v>7</v>
      </c>
      <c r="H4" s="6"/>
      <c r="I4" s="7"/>
      <c r="J4" s="8">
        <f t="shared" si="2"/>
        <v>0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4"/>
      <c r="R4" s="6">
        <f t="shared" si="5"/>
        <v>14</v>
      </c>
      <c r="S4" s="9">
        <f t="shared" si="6"/>
        <v>0.5</v>
      </c>
      <c r="T4" s="9">
        <f t="shared" si="7"/>
        <v>0.112</v>
      </c>
      <c r="U4" s="9">
        <f>R4 / _xlfn.XLOOKUP(A4, Top!A:A, Top!AA:AA)</f>
        <v>3.3980582524271843E-2</v>
      </c>
      <c r="V4" s="6"/>
      <c r="W4" s="9"/>
    </row>
    <row r="5" spans="1:23" x14ac:dyDescent="0.25">
      <c r="A5" s="1" t="s">
        <v>28</v>
      </c>
      <c r="B5" s="6">
        <v>8</v>
      </c>
      <c r="C5" s="7">
        <v>0.75</v>
      </c>
      <c r="D5" s="8">
        <f t="shared" si="0"/>
        <v>6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8</v>
      </c>
      <c r="S5" s="9">
        <f t="shared" si="6"/>
        <v>0.75</v>
      </c>
      <c r="T5" s="9">
        <f t="shared" si="7"/>
        <v>6.4000000000000001E-2</v>
      </c>
      <c r="U5" s="9">
        <f>R5 / _xlfn.XLOOKUP(A5, Top!A:A, Top!AA:AA)</f>
        <v>0.16326530612244897</v>
      </c>
      <c r="W5" s="1"/>
    </row>
    <row r="6" spans="1:23" x14ac:dyDescent="0.25">
      <c r="A6" s="1" t="s">
        <v>27</v>
      </c>
      <c r="B6" s="6">
        <v>7</v>
      </c>
      <c r="C6" s="7">
        <v>0.85699999999999998</v>
      </c>
      <c r="D6" s="8">
        <f t="shared" si="0"/>
        <v>5.9989999999999997</v>
      </c>
      <c r="E6" s="6"/>
      <c r="F6" s="7"/>
      <c r="G6" s="8">
        <f t="shared" si="1"/>
        <v>0</v>
      </c>
      <c r="H6" s="6"/>
      <c r="I6" s="7"/>
      <c r="J6" s="8">
        <f t="shared" si="2"/>
        <v>0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1"/>
      <c r="R6" s="6">
        <f t="shared" si="5"/>
        <v>7</v>
      </c>
      <c r="S6" s="9">
        <f t="shared" si="6"/>
        <v>0.85699999999999998</v>
      </c>
      <c r="T6" s="9">
        <f t="shared" si="7"/>
        <v>5.6000000000000001E-2</v>
      </c>
      <c r="U6" s="9">
        <f>R6 / _xlfn.XLOOKUP(A6, Top!A:A, Top!AA:AA)</f>
        <v>0.15555555555555556</v>
      </c>
      <c r="W6" s="1"/>
    </row>
    <row r="7" spans="1:23" x14ac:dyDescent="0.25">
      <c r="A7" s="25" t="s">
        <v>252</v>
      </c>
      <c r="B7" s="6"/>
      <c r="C7" s="7"/>
      <c r="D7" s="8">
        <f t="shared" si="0"/>
        <v>0</v>
      </c>
      <c r="E7" s="6">
        <v>18</v>
      </c>
      <c r="F7" s="7">
        <v>0.27800000000000002</v>
      </c>
      <c r="G7" s="8">
        <f t="shared" si="1"/>
        <v>5.0040000000000004</v>
      </c>
      <c r="H7" s="6"/>
      <c r="I7" s="7"/>
      <c r="J7" s="8">
        <f t="shared" si="2"/>
        <v>0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4"/>
      <c r="R7" s="6">
        <f t="shared" si="5"/>
        <v>18</v>
      </c>
      <c r="S7" s="9">
        <f t="shared" si="6"/>
        <v>0.27800000000000002</v>
      </c>
      <c r="T7" s="9">
        <f t="shared" si="7"/>
        <v>0.14399999999999999</v>
      </c>
      <c r="U7" s="9">
        <f>R7 / _xlfn.XLOOKUP(A7, Top!A:A, Top!AA:AA)</f>
        <v>2.6946107784431138E-2</v>
      </c>
      <c r="V7" s="1"/>
      <c r="W7" s="1"/>
    </row>
    <row r="8" spans="1:23" x14ac:dyDescent="0.25">
      <c r="A8" s="1" t="s">
        <v>8</v>
      </c>
      <c r="B8" s="6">
        <v>4</v>
      </c>
      <c r="C8" s="7">
        <v>0.5</v>
      </c>
      <c r="D8" s="8">
        <f t="shared" si="0"/>
        <v>2</v>
      </c>
      <c r="E8" s="6">
        <v>6</v>
      </c>
      <c r="F8" s="7">
        <v>0.5</v>
      </c>
      <c r="G8" s="8">
        <f t="shared" si="1"/>
        <v>3</v>
      </c>
      <c r="H8" s="6"/>
      <c r="I8" s="7"/>
      <c r="J8" s="8">
        <f t="shared" si="2"/>
        <v>0</v>
      </c>
      <c r="K8" s="6"/>
      <c r="L8" s="7"/>
      <c r="M8" s="8">
        <f t="shared" si="3"/>
        <v>0</v>
      </c>
      <c r="N8" s="6"/>
      <c r="O8" s="7"/>
      <c r="P8" s="8">
        <f t="shared" si="4"/>
        <v>0</v>
      </c>
      <c r="Q8" s="1"/>
      <c r="R8" s="6">
        <f t="shared" si="5"/>
        <v>10</v>
      </c>
      <c r="S8" s="9">
        <f t="shared" si="6"/>
        <v>0.5</v>
      </c>
      <c r="T8" s="9">
        <f t="shared" si="7"/>
        <v>0.08</v>
      </c>
      <c r="U8" s="9">
        <f>R8 / _xlfn.XLOOKUP(A8, Top!A:A, Top!AA:AA)</f>
        <v>3.8610038610038609E-2</v>
      </c>
      <c r="V8" s="1"/>
      <c r="W8" s="1"/>
    </row>
    <row r="9" spans="1:23" x14ac:dyDescent="0.25">
      <c r="A9" s="1" t="s">
        <v>19</v>
      </c>
      <c r="B9" s="6">
        <v>5</v>
      </c>
      <c r="C9" s="7">
        <v>1</v>
      </c>
      <c r="D9" s="8">
        <f t="shared" si="0"/>
        <v>5</v>
      </c>
      <c r="E9" s="6"/>
      <c r="F9" s="7"/>
      <c r="G9" s="8">
        <f t="shared" si="1"/>
        <v>0</v>
      </c>
      <c r="H9" s="6"/>
      <c r="I9" s="7"/>
      <c r="J9" s="8">
        <f t="shared" si="2"/>
        <v>0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1"/>
      <c r="R9" s="6">
        <f t="shared" si="5"/>
        <v>5</v>
      </c>
      <c r="S9" s="9">
        <f t="shared" si="6"/>
        <v>1</v>
      </c>
      <c r="T9" s="9">
        <f t="shared" si="7"/>
        <v>0.04</v>
      </c>
      <c r="U9" s="9">
        <f>R9 / _xlfn.XLOOKUP(A9, Top!A:A, Top!AA:AA)</f>
        <v>3.6496350364963501E-2</v>
      </c>
      <c r="V9" s="1"/>
      <c r="W9" s="1"/>
    </row>
    <row r="10" spans="1:23" x14ac:dyDescent="0.25">
      <c r="A10" s="1" t="s">
        <v>20</v>
      </c>
      <c r="B10" s="6"/>
      <c r="C10" s="7"/>
      <c r="D10" s="8">
        <f t="shared" si="0"/>
        <v>0</v>
      </c>
      <c r="E10" s="6">
        <v>6</v>
      </c>
      <c r="F10" s="7">
        <v>0.66700000000000004</v>
      </c>
      <c r="G10" s="8">
        <f t="shared" si="1"/>
        <v>4.0020000000000007</v>
      </c>
      <c r="H10" s="6"/>
      <c r="I10" s="7"/>
      <c r="J10" s="8">
        <f t="shared" si="2"/>
        <v>0</v>
      </c>
      <c r="K10" s="6"/>
      <c r="L10" s="7"/>
      <c r="M10" s="8">
        <f t="shared" si="3"/>
        <v>0</v>
      </c>
      <c r="N10" s="6"/>
      <c r="O10" s="7"/>
      <c r="P10" s="8">
        <f t="shared" si="4"/>
        <v>0</v>
      </c>
      <c r="Q10" s="1"/>
      <c r="R10" s="6">
        <f t="shared" si="5"/>
        <v>6</v>
      </c>
      <c r="S10" s="9">
        <f t="shared" si="6"/>
        <v>0.66700000000000015</v>
      </c>
      <c r="T10" s="9">
        <f t="shared" si="7"/>
        <v>4.8000000000000001E-2</v>
      </c>
      <c r="U10" s="9">
        <f>R10 / _xlfn.XLOOKUP(A10, Top!A:A, Top!AA:AA)</f>
        <v>7.1428571428571425E-2</v>
      </c>
      <c r="V10" s="1"/>
      <c r="W10" s="1"/>
    </row>
    <row r="11" spans="1:23" x14ac:dyDescent="0.25">
      <c r="A11" s="1" t="s">
        <v>11</v>
      </c>
      <c r="B11" s="6">
        <v>8</v>
      </c>
      <c r="C11" s="7">
        <v>0.5</v>
      </c>
      <c r="D11" s="8">
        <f t="shared" si="0"/>
        <v>4</v>
      </c>
      <c r="E11" s="6"/>
      <c r="F11" s="7"/>
      <c r="G11" s="8">
        <f t="shared" si="1"/>
        <v>0</v>
      </c>
      <c r="H11" s="6"/>
      <c r="I11" s="7"/>
      <c r="J11" s="8">
        <f t="shared" si="2"/>
        <v>0</v>
      </c>
      <c r="K11" s="6"/>
      <c r="L11" s="7"/>
      <c r="M11" s="8">
        <f t="shared" si="3"/>
        <v>0</v>
      </c>
      <c r="N11" s="6"/>
      <c r="O11" s="7"/>
      <c r="P11" s="8">
        <f t="shared" si="4"/>
        <v>0</v>
      </c>
      <c r="Q11" s="1"/>
      <c r="R11" s="6">
        <f t="shared" si="5"/>
        <v>8</v>
      </c>
      <c r="S11" s="9">
        <f t="shared" si="6"/>
        <v>0.5</v>
      </c>
      <c r="T11" s="9">
        <f t="shared" si="7"/>
        <v>6.4000000000000001E-2</v>
      </c>
      <c r="U11" s="9">
        <f>R11 / _xlfn.XLOOKUP(A11, Top!A:A, Top!AA:AA)</f>
        <v>2.0997375328083989E-2</v>
      </c>
      <c r="V11" s="1"/>
      <c r="W11" s="1"/>
    </row>
    <row r="12" spans="1:23" x14ac:dyDescent="0.25">
      <c r="A12" s="1" t="s">
        <v>10</v>
      </c>
      <c r="B12" s="6">
        <v>4</v>
      </c>
      <c r="C12" s="7">
        <v>0.75</v>
      </c>
      <c r="D12" s="8">
        <f t="shared" si="0"/>
        <v>3</v>
      </c>
      <c r="E12" s="6">
        <v>1</v>
      </c>
      <c r="F12" s="7">
        <v>1</v>
      </c>
      <c r="G12" s="8">
        <f t="shared" si="1"/>
        <v>1</v>
      </c>
      <c r="H12" s="6"/>
      <c r="I12" s="7"/>
      <c r="J12" s="8">
        <f t="shared" si="2"/>
        <v>0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4"/>
      <c r="R12" s="6">
        <f t="shared" si="5"/>
        <v>5</v>
      </c>
      <c r="S12" s="9">
        <f t="shared" si="6"/>
        <v>0.8</v>
      </c>
      <c r="T12" s="9">
        <f t="shared" si="7"/>
        <v>0.04</v>
      </c>
      <c r="U12" s="9">
        <f>R12 / _xlfn.XLOOKUP(A12, Top!A:A, Top!AA:AA)</f>
        <v>2.3148148148148147E-2</v>
      </c>
      <c r="V12" s="1"/>
      <c r="W12" s="1"/>
    </row>
    <row r="13" spans="1:23" x14ac:dyDescent="0.25">
      <c r="A13" s="1" t="s">
        <v>17</v>
      </c>
      <c r="B13" s="6">
        <v>3</v>
      </c>
      <c r="C13" s="7">
        <v>0.66700000000000004</v>
      </c>
      <c r="D13" s="8">
        <f t="shared" si="0"/>
        <v>2.0010000000000003</v>
      </c>
      <c r="E13" s="6">
        <v>1</v>
      </c>
      <c r="F13" s="7">
        <v>0</v>
      </c>
      <c r="G13" s="8">
        <f t="shared" si="1"/>
        <v>0</v>
      </c>
      <c r="H13" s="6"/>
      <c r="I13" s="7"/>
      <c r="J13" s="8">
        <f t="shared" si="2"/>
        <v>0</v>
      </c>
      <c r="K13" s="6"/>
      <c r="L13" s="7"/>
      <c r="M13" s="8">
        <f t="shared" si="3"/>
        <v>0</v>
      </c>
      <c r="N13" s="6"/>
      <c r="O13" s="7"/>
      <c r="P13" s="8">
        <f t="shared" si="4"/>
        <v>0</v>
      </c>
      <c r="Q13" s="1"/>
      <c r="R13" s="6">
        <f t="shared" si="5"/>
        <v>4</v>
      </c>
      <c r="S13" s="9">
        <f t="shared" si="6"/>
        <v>0.50025000000000008</v>
      </c>
      <c r="T13" s="9">
        <f t="shared" si="7"/>
        <v>3.2000000000000001E-2</v>
      </c>
      <c r="U13" s="9">
        <f>R13 / _xlfn.XLOOKUP(A13, Top!A:A, Top!AA:AA)</f>
        <v>1.7021276595744681E-2</v>
      </c>
      <c r="V13" s="1"/>
      <c r="W13" s="1"/>
    </row>
    <row r="14" spans="1:23" x14ac:dyDescent="0.25">
      <c r="A14" s="1" t="s">
        <v>12</v>
      </c>
      <c r="B14" s="6">
        <v>3</v>
      </c>
      <c r="C14" s="7">
        <v>0.66700000000000004</v>
      </c>
      <c r="D14" s="8">
        <f t="shared" si="0"/>
        <v>2.0010000000000003</v>
      </c>
      <c r="E14" s="6">
        <v>1</v>
      </c>
      <c r="F14" s="7">
        <v>0</v>
      </c>
      <c r="G14" s="8">
        <f t="shared" si="1"/>
        <v>0</v>
      </c>
      <c r="H14" s="6"/>
      <c r="I14" s="7"/>
      <c r="J14" s="8">
        <f t="shared" si="2"/>
        <v>0</v>
      </c>
      <c r="K14" s="6"/>
      <c r="L14" s="7"/>
      <c r="M14" s="8">
        <f t="shared" si="3"/>
        <v>0</v>
      </c>
      <c r="N14" s="6"/>
      <c r="O14" s="7"/>
      <c r="P14" s="8">
        <f t="shared" si="4"/>
        <v>0</v>
      </c>
      <c r="Q14" s="1"/>
      <c r="R14" s="6">
        <f t="shared" si="5"/>
        <v>4</v>
      </c>
      <c r="S14" s="9">
        <f t="shared" si="6"/>
        <v>0.50025000000000008</v>
      </c>
      <c r="T14" s="9">
        <f t="shared" si="7"/>
        <v>3.2000000000000001E-2</v>
      </c>
      <c r="U14" s="9">
        <f>R14 / _xlfn.XLOOKUP(A14, Top!A:A, Top!AA:AA)</f>
        <v>0.14814814814814814</v>
      </c>
      <c r="V14" s="1"/>
      <c r="W14" s="1"/>
    </row>
    <row r="15" spans="1:23" x14ac:dyDescent="0.25">
      <c r="A15" s="1" t="s">
        <v>22</v>
      </c>
      <c r="B15" s="6">
        <v>4</v>
      </c>
      <c r="C15" s="7">
        <v>0.25</v>
      </c>
      <c r="D15" s="8">
        <f t="shared" si="0"/>
        <v>1</v>
      </c>
      <c r="E15" s="6">
        <v>3</v>
      </c>
      <c r="F15" s="7">
        <v>0</v>
      </c>
      <c r="G15" s="8">
        <f t="shared" si="1"/>
        <v>0</v>
      </c>
      <c r="H15" s="6"/>
      <c r="I15" s="7"/>
      <c r="J15" s="8">
        <f t="shared" si="2"/>
        <v>0</v>
      </c>
      <c r="K15" s="6"/>
      <c r="L15" s="7"/>
      <c r="M15" s="8">
        <f t="shared" si="3"/>
        <v>0</v>
      </c>
      <c r="N15" s="6"/>
      <c r="O15" s="7"/>
      <c r="P15" s="8">
        <f t="shared" si="4"/>
        <v>0</v>
      </c>
      <c r="Q15" s="13"/>
      <c r="R15" s="6">
        <f t="shared" si="5"/>
        <v>7</v>
      </c>
      <c r="S15" s="9">
        <f t="shared" si="6"/>
        <v>0.14285714285714285</v>
      </c>
      <c r="T15" s="9">
        <f t="shared" si="7"/>
        <v>5.6000000000000001E-2</v>
      </c>
      <c r="U15" s="9">
        <f>R15 / _xlfn.XLOOKUP(A15, Top!A:A, Top!AA:AA)</f>
        <v>1.3698630136986301E-2</v>
      </c>
      <c r="V15" s="1"/>
      <c r="W15" s="1"/>
    </row>
    <row r="16" spans="1:23" x14ac:dyDescent="0.25">
      <c r="A16" s="1" t="s">
        <v>36</v>
      </c>
      <c r="B16" s="6">
        <v>2</v>
      </c>
      <c r="C16" s="7">
        <v>0.5</v>
      </c>
      <c r="D16" s="8">
        <f t="shared" si="0"/>
        <v>1</v>
      </c>
      <c r="E16" s="6"/>
      <c r="F16" s="7"/>
      <c r="G16" s="8">
        <f t="shared" si="1"/>
        <v>0</v>
      </c>
      <c r="H16" s="6"/>
      <c r="I16" s="7"/>
      <c r="J16" s="8">
        <f t="shared" si="2"/>
        <v>0</v>
      </c>
      <c r="K16" s="6"/>
      <c r="L16" s="7"/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2</v>
      </c>
      <c r="S16" s="9">
        <f t="shared" si="6"/>
        <v>0.5</v>
      </c>
      <c r="T16" s="9">
        <f t="shared" si="7"/>
        <v>1.6E-2</v>
      </c>
      <c r="U16" s="9">
        <f>R16 / _xlfn.XLOOKUP(A16, Top!A:A, Top!AA:AA)</f>
        <v>5.5555555555555552E-2</v>
      </c>
      <c r="V16" s="1"/>
      <c r="W16" s="1"/>
    </row>
    <row r="17" spans="1:23" x14ac:dyDescent="0.25">
      <c r="A17" s="1" t="s">
        <v>31</v>
      </c>
      <c r="B17" s="6"/>
      <c r="C17" s="7"/>
      <c r="D17" s="8">
        <f t="shared" si="0"/>
        <v>0</v>
      </c>
      <c r="E17" s="6">
        <v>1</v>
      </c>
      <c r="F17" s="7">
        <v>1</v>
      </c>
      <c r="G17" s="8">
        <f t="shared" si="1"/>
        <v>1</v>
      </c>
      <c r="H17" s="6"/>
      <c r="I17" s="7"/>
      <c r="J17" s="8">
        <f t="shared" si="2"/>
        <v>0</v>
      </c>
      <c r="K17" s="6"/>
      <c r="L17" s="7"/>
      <c r="M17" s="8">
        <f t="shared" si="3"/>
        <v>0</v>
      </c>
      <c r="N17" s="6"/>
      <c r="O17" s="7"/>
      <c r="P17" s="8">
        <f t="shared" si="4"/>
        <v>0</v>
      </c>
      <c r="Q17" s="1"/>
      <c r="R17" s="6">
        <f t="shared" si="5"/>
        <v>1</v>
      </c>
      <c r="S17" s="9">
        <f t="shared" si="6"/>
        <v>1</v>
      </c>
      <c r="T17" s="9">
        <f t="shared" si="7"/>
        <v>8.0000000000000002E-3</v>
      </c>
      <c r="U17" s="9">
        <f>R17 / _xlfn.XLOOKUP(A17, Top!A:A, Top!AA:AA)</f>
        <v>1.6666666666666666E-2</v>
      </c>
      <c r="V17" s="1"/>
      <c r="W17" s="1"/>
    </row>
    <row r="18" spans="1:23" x14ac:dyDescent="0.25">
      <c r="A18" s="1" t="s">
        <v>14</v>
      </c>
      <c r="B18" s="6">
        <v>1</v>
      </c>
      <c r="C18" s="7">
        <v>0</v>
      </c>
      <c r="D18" s="8">
        <f t="shared" si="0"/>
        <v>0</v>
      </c>
      <c r="E18" s="6">
        <v>2</v>
      </c>
      <c r="F18" s="7">
        <v>0</v>
      </c>
      <c r="G18" s="8">
        <f t="shared" si="1"/>
        <v>0</v>
      </c>
      <c r="H18" s="6"/>
      <c r="I18" s="7"/>
      <c r="J18" s="8">
        <f t="shared" si="2"/>
        <v>0</v>
      </c>
      <c r="K18" s="6"/>
      <c r="L18" s="7"/>
      <c r="M18" s="8">
        <f t="shared" si="3"/>
        <v>0</v>
      </c>
      <c r="N18" s="6"/>
      <c r="O18" s="7"/>
      <c r="P18" s="8">
        <f t="shared" si="4"/>
        <v>0</v>
      </c>
      <c r="Q18" s="1"/>
      <c r="R18" s="6">
        <f t="shared" si="5"/>
        <v>3</v>
      </c>
      <c r="S18" s="9">
        <f t="shared" si="6"/>
        <v>0</v>
      </c>
      <c r="T18" s="9">
        <f t="shared" si="7"/>
        <v>2.4E-2</v>
      </c>
      <c r="U18" s="9">
        <f>R18 / _xlfn.XLOOKUP(A18, Top!A:A, Top!AA:AA)</f>
        <v>1.4018691588785047E-2</v>
      </c>
      <c r="V18" s="1"/>
      <c r="W18" s="1"/>
    </row>
    <row r="19" spans="1:23" x14ac:dyDescent="0.25">
      <c r="A19" s="1" t="s">
        <v>24</v>
      </c>
      <c r="B19" s="6">
        <v>1</v>
      </c>
      <c r="C19" s="7">
        <v>0</v>
      </c>
      <c r="D19" s="8">
        <f t="shared" si="0"/>
        <v>0</v>
      </c>
      <c r="E19" s="6">
        <v>1</v>
      </c>
      <c r="F19" s="7">
        <v>0</v>
      </c>
      <c r="G19" s="8">
        <f t="shared" si="1"/>
        <v>0</v>
      </c>
      <c r="H19" s="6"/>
      <c r="I19" s="7"/>
      <c r="J19" s="8">
        <f t="shared" si="2"/>
        <v>0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1"/>
      <c r="R19" s="6">
        <f t="shared" si="5"/>
        <v>2</v>
      </c>
      <c r="S19" s="9">
        <f t="shared" si="6"/>
        <v>0</v>
      </c>
      <c r="T19" s="9">
        <f t="shared" si="7"/>
        <v>1.6E-2</v>
      </c>
      <c r="U19" s="9">
        <f>R19 / _xlfn.XLOOKUP(A19, Top!A:A, Top!AA:AA)</f>
        <v>0.1111111111111111</v>
      </c>
      <c r="V19" s="1"/>
      <c r="W19" s="1"/>
    </row>
    <row r="20" spans="1:23" x14ac:dyDescent="0.25">
      <c r="A20" s="1" t="s">
        <v>64</v>
      </c>
      <c r="B20" s="6">
        <v>1</v>
      </c>
      <c r="C20" s="7">
        <v>0</v>
      </c>
      <c r="D20" s="8">
        <f t="shared" si="0"/>
        <v>0</v>
      </c>
      <c r="E20" s="6">
        <v>1</v>
      </c>
      <c r="F20" s="7">
        <v>0</v>
      </c>
      <c r="G20" s="8">
        <f t="shared" si="1"/>
        <v>0</v>
      </c>
      <c r="H20" s="6"/>
      <c r="I20" s="7"/>
      <c r="J20" s="8">
        <f t="shared" si="2"/>
        <v>0</v>
      </c>
      <c r="K20" s="6"/>
      <c r="L20" s="7"/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2</v>
      </c>
      <c r="S20" s="9">
        <f t="shared" si="6"/>
        <v>0</v>
      </c>
      <c r="T20" s="9">
        <f t="shared" si="7"/>
        <v>1.6E-2</v>
      </c>
      <c r="U20" s="9">
        <f>R20 / _xlfn.XLOOKUP(A20, Top!A:A, Top!AA:AA)</f>
        <v>0.66666666666666663</v>
      </c>
      <c r="V20" s="1"/>
      <c r="W20" s="1"/>
    </row>
    <row r="21" spans="1:23" x14ac:dyDescent="0.25">
      <c r="A21" s="25" t="s">
        <v>161</v>
      </c>
      <c r="B21" s="6"/>
      <c r="C21" s="7"/>
      <c r="D21" s="8">
        <f t="shared" si="0"/>
        <v>0</v>
      </c>
      <c r="E21" s="6">
        <v>1</v>
      </c>
      <c r="F21" s="7">
        <v>0</v>
      </c>
      <c r="G21" s="8">
        <f t="shared" si="1"/>
        <v>0</v>
      </c>
      <c r="H21" s="6"/>
      <c r="I21" s="7"/>
      <c r="J21" s="8">
        <f t="shared" si="2"/>
        <v>0</v>
      </c>
      <c r="K21" s="6"/>
      <c r="L21" s="7"/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1</v>
      </c>
      <c r="S21" s="9">
        <f t="shared" si="6"/>
        <v>0</v>
      </c>
      <c r="T21" s="9">
        <f t="shared" si="7"/>
        <v>8.0000000000000002E-3</v>
      </c>
      <c r="U21" s="9">
        <f>R21 / _xlfn.XLOOKUP(A21, Top!A:A, Top!AA:AA)</f>
        <v>7.6923076923076927E-2</v>
      </c>
      <c r="V21" s="1"/>
      <c r="W21" s="1"/>
    </row>
    <row r="22" spans="1:23" x14ac:dyDescent="0.25">
      <c r="A22" s="1" t="s">
        <v>23</v>
      </c>
      <c r="B22" s="6"/>
      <c r="C22" s="7"/>
      <c r="D22" s="8">
        <f t="shared" si="0"/>
        <v>0</v>
      </c>
      <c r="E22" s="6">
        <v>1</v>
      </c>
      <c r="F22" s="7">
        <v>0</v>
      </c>
      <c r="G22" s="8">
        <f t="shared" si="1"/>
        <v>0</v>
      </c>
      <c r="H22" s="6"/>
      <c r="I22" s="7"/>
      <c r="J22" s="8">
        <f t="shared" si="2"/>
        <v>0</v>
      </c>
      <c r="K22" s="6"/>
      <c r="L22" s="7"/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1</v>
      </c>
      <c r="S22" s="9">
        <f t="shared" si="6"/>
        <v>0</v>
      </c>
      <c r="T22" s="9">
        <f t="shared" si="7"/>
        <v>8.0000000000000002E-3</v>
      </c>
      <c r="U22" s="9">
        <f>R22 / _xlfn.XLOOKUP(A22, Top!A:A, Top!AA:AA)</f>
        <v>2.5641025641025641E-3</v>
      </c>
      <c r="V22" s="1"/>
      <c r="W22" s="1"/>
    </row>
  </sheetData>
  <sortState xmlns:xlrd2="http://schemas.microsoft.com/office/spreadsheetml/2017/richdata2" ref="A3:U22">
    <sortCondition descending="1" ref="U3:U22"/>
  </sortState>
  <pageMargins left="0.7" right="0.7" top="0.78740157499999996" bottom="0.78740157499999996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59E3-A6E6-4E6C-AED6-1BBC2D183A92}">
  <sheetPr codeName="Tabelle4">
    <tabColor theme="4" tint="0.59999389629810485"/>
  </sheetPr>
  <dimension ref="A1:W48"/>
  <sheetViews>
    <sheetView workbookViewId="0">
      <selection activeCell="A23" sqref="A23"/>
    </sheetView>
  </sheetViews>
  <sheetFormatPr baseColWidth="10" defaultRowHeight="15" x14ac:dyDescent="0.25"/>
  <sheetData>
    <row r="1" spans="1:23" ht="15.75" x14ac:dyDescent="0.25">
      <c r="A1" s="2" t="s">
        <v>51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32</v>
      </c>
      <c r="B3" s="6"/>
      <c r="C3" s="7"/>
      <c r="D3" s="8">
        <f t="shared" ref="D3:D28" si="0">B3*C3</f>
        <v>0</v>
      </c>
      <c r="E3" s="6"/>
      <c r="F3" s="7"/>
      <c r="G3" s="8">
        <f t="shared" ref="G3:G28" si="1">E3*F3</f>
        <v>0</v>
      </c>
      <c r="H3" s="6"/>
      <c r="I3" s="7"/>
      <c r="J3" s="8">
        <f t="shared" ref="J3:J28" si="2">H3*I3</f>
        <v>0</v>
      </c>
      <c r="K3" s="6"/>
      <c r="L3" s="7"/>
      <c r="M3" s="8">
        <f t="shared" ref="M3:M28" si="3">K3*L3</f>
        <v>0</v>
      </c>
      <c r="N3" s="6"/>
      <c r="O3" s="7"/>
      <c r="P3" s="8">
        <f t="shared" ref="P3:P28" si="4">N3*O3</f>
        <v>0</v>
      </c>
      <c r="Q3" s="1"/>
      <c r="R3" s="6">
        <f t="shared" ref="R3:R28" si="5">B3+E3+H3+K3+N3</f>
        <v>0</v>
      </c>
      <c r="S3" s="9" t="e">
        <f t="shared" ref="S3:S28" si="6">(D3+G3+J3+M3+P3)/R3</f>
        <v>#DIV/0!</v>
      </c>
      <c r="T3" s="9">
        <f t="shared" ref="T3" si="7">R3/$V$3</f>
        <v>0</v>
      </c>
      <c r="U3" s="9">
        <f>R3 / _xlfn.XLOOKUP(A3, Top!A:A, Top!AA:AA)</f>
        <v>0</v>
      </c>
      <c r="V3" s="11">
        <f>SUM(R3:R50)</f>
        <v>205</v>
      </c>
      <c r="W3" s="12">
        <f>(SUM(D3:D92)+SUM(G3:G92)+SUM(J3:J92)+SUM(M3:M92)+SUM(P3:P92)) / V3</f>
        <v>0.48781463414634146</v>
      </c>
    </row>
    <row r="4" spans="1:23" x14ac:dyDescent="0.25">
      <c r="A4" s="1" t="s">
        <v>52</v>
      </c>
      <c r="B4" s="6"/>
      <c r="C4" s="7"/>
      <c r="D4" s="8">
        <f t="shared" si="0"/>
        <v>0</v>
      </c>
      <c r="E4" s="6">
        <v>1</v>
      </c>
      <c r="F4" s="7">
        <v>1</v>
      </c>
      <c r="G4" s="8">
        <f t="shared" si="1"/>
        <v>1</v>
      </c>
      <c r="H4" s="6"/>
      <c r="I4" s="7"/>
      <c r="J4" s="8">
        <f t="shared" si="2"/>
        <v>0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1</v>
      </c>
      <c r="S4" s="9">
        <f t="shared" si="6"/>
        <v>1</v>
      </c>
      <c r="T4" s="9">
        <f t="shared" ref="T4:T36" si="8">R4/$V$3</f>
        <v>4.8780487804878049E-3</v>
      </c>
      <c r="U4" s="9">
        <f>R4 / _xlfn.XLOOKUP(A4, Top!A:A, Top!AA:AA)</f>
        <v>0.5</v>
      </c>
      <c r="V4" s="1"/>
      <c r="W4" s="1"/>
    </row>
    <row r="5" spans="1:23" x14ac:dyDescent="0.25">
      <c r="A5" s="1" t="s">
        <v>20</v>
      </c>
      <c r="B5" s="6">
        <v>1</v>
      </c>
      <c r="C5" s="7">
        <v>1</v>
      </c>
      <c r="D5" s="8">
        <f t="shared" si="0"/>
        <v>1</v>
      </c>
      <c r="E5" s="6">
        <v>3</v>
      </c>
      <c r="F5" s="7">
        <v>1</v>
      </c>
      <c r="G5" s="8">
        <f t="shared" si="1"/>
        <v>3</v>
      </c>
      <c r="H5" s="6"/>
      <c r="I5" s="7"/>
      <c r="J5" s="8">
        <f t="shared" si="2"/>
        <v>0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4</v>
      </c>
      <c r="S5" s="9">
        <f t="shared" si="6"/>
        <v>1</v>
      </c>
      <c r="T5" s="9">
        <f t="shared" si="8"/>
        <v>1.9512195121951219E-2</v>
      </c>
      <c r="U5" s="9">
        <f>R5 / _xlfn.XLOOKUP(A5, Top!A:A, Top!AA:AA)</f>
        <v>4.7619047619047616E-2</v>
      </c>
      <c r="V5" s="1"/>
      <c r="W5" s="1"/>
    </row>
    <row r="6" spans="1:23" x14ac:dyDescent="0.25">
      <c r="A6" s="1" t="s">
        <v>31</v>
      </c>
      <c r="B6" s="6"/>
      <c r="C6" s="7"/>
      <c r="D6" s="8">
        <f t="shared" si="0"/>
        <v>0</v>
      </c>
      <c r="E6" s="6">
        <v>2</v>
      </c>
      <c r="F6" s="7">
        <v>1</v>
      </c>
      <c r="G6" s="8">
        <f t="shared" si="1"/>
        <v>2</v>
      </c>
      <c r="H6" s="6"/>
      <c r="I6" s="7"/>
      <c r="J6" s="8">
        <f t="shared" si="2"/>
        <v>0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1"/>
      <c r="R6" s="6">
        <f t="shared" si="5"/>
        <v>2</v>
      </c>
      <c r="S6" s="9">
        <f t="shared" si="6"/>
        <v>1</v>
      </c>
      <c r="T6" s="9">
        <f t="shared" si="8"/>
        <v>9.7560975609756097E-3</v>
      </c>
      <c r="U6" s="9">
        <f>R6 / _xlfn.XLOOKUP(A6, Top!A:A, Top!AA:AA)</f>
        <v>3.3333333333333333E-2</v>
      </c>
      <c r="V6" s="1"/>
      <c r="W6" s="1"/>
    </row>
    <row r="7" spans="1:23" x14ac:dyDescent="0.25">
      <c r="A7" s="1" t="s">
        <v>19</v>
      </c>
      <c r="B7" s="6">
        <v>1</v>
      </c>
      <c r="C7" s="7">
        <v>1</v>
      </c>
      <c r="D7" s="8">
        <f t="shared" si="0"/>
        <v>1</v>
      </c>
      <c r="E7" s="6"/>
      <c r="F7" s="7"/>
      <c r="G7" s="8">
        <f t="shared" si="1"/>
        <v>0</v>
      </c>
      <c r="H7" s="6"/>
      <c r="I7" s="7"/>
      <c r="J7" s="8">
        <f t="shared" si="2"/>
        <v>0</v>
      </c>
      <c r="K7" s="6">
        <v>1</v>
      </c>
      <c r="L7" s="7">
        <v>1</v>
      </c>
      <c r="M7" s="8">
        <f t="shared" si="3"/>
        <v>1</v>
      </c>
      <c r="N7" s="6"/>
      <c r="O7" s="7"/>
      <c r="P7" s="8">
        <f t="shared" si="4"/>
        <v>0</v>
      </c>
      <c r="Q7" s="1"/>
      <c r="R7" s="6">
        <f t="shared" si="5"/>
        <v>2</v>
      </c>
      <c r="S7" s="9">
        <f t="shared" si="6"/>
        <v>1</v>
      </c>
      <c r="T7" s="9">
        <f t="shared" si="8"/>
        <v>9.7560975609756097E-3</v>
      </c>
      <c r="U7" s="9">
        <f>R7 / _xlfn.XLOOKUP(A7, Top!A:A, Top!AA:AA)</f>
        <v>1.4598540145985401E-2</v>
      </c>
      <c r="V7" s="1"/>
      <c r="W7" s="1"/>
    </row>
    <row r="8" spans="1:23" x14ac:dyDescent="0.25">
      <c r="A8" s="1" t="s">
        <v>16</v>
      </c>
      <c r="B8" s="6"/>
      <c r="C8" s="7"/>
      <c r="D8" s="8">
        <f t="shared" si="0"/>
        <v>0</v>
      </c>
      <c r="E8" s="6">
        <v>14</v>
      </c>
      <c r="F8" s="7">
        <v>0.71399999999999997</v>
      </c>
      <c r="G8" s="8">
        <f t="shared" si="1"/>
        <v>9.9959999999999987</v>
      </c>
      <c r="H8" s="6"/>
      <c r="I8" s="7"/>
      <c r="J8" s="8">
        <f t="shared" si="2"/>
        <v>0</v>
      </c>
      <c r="K8" s="6">
        <v>1</v>
      </c>
      <c r="L8" s="7">
        <v>1</v>
      </c>
      <c r="M8" s="8">
        <f t="shared" si="3"/>
        <v>1</v>
      </c>
      <c r="N8" s="6"/>
      <c r="O8" s="7"/>
      <c r="P8" s="8">
        <f t="shared" si="4"/>
        <v>0</v>
      </c>
      <c r="Q8" s="4"/>
      <c r="R8" s="6">
        <f t="shared" si="5"/>
        <v>15</v>
      </c>
      <c r="S8" s="9">
        <f t="shared" si="6"/>
        <v>0.73306666666666653</v>
      </c>
      <c r="T8" s="9">
        <f t="shared" si="8"/>
        <v>7.3170731707317069E-2</v>
      </c>
      <c r="U8" s="9">
        <f>R8 / _xlfn.XLOOKUP(A8, Top!A:A, Top!AA:AA)</f>
        <v>3.640776699029126E-2</v>
      </c>
      <c r="V8" s="1"/>
      <c r="W8" s="1"/>
    </row>
    <row r="9" spans="1:23" x14ac:dyDescent="0.25">
      <c r="A9" s="1" t="s">
        <v>22</v>
      </c>
      <c r="B9" s="6">
        <v>6</v>
      </c>
      <c r="C9" s="7">
        <v>0.83299999999999996</v>
      </c>
      <c r="D9" s="8">
        <f t="shared" si="0"/>
        <v>4.9979999999999993</v>
      </c>
      <c r="E9" s="6">
        <v>24</v>
      </c>
      <c r="F9" s="7">
        <v>0.66700000000000004</v>
      </c>
      <c r="G9" s="8">
        <f t="shared" si="1"/>
        <v>16.008000000000003</v>
      </c>
      <c r="H9" s="6"/>
      <c r="I9" s="7"/>
      <c r="J9" s="8">
        <f t="shared" si="2"/>
        <v>0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1"/>
      <c r="R9" s="6">
        <f t="shared" si="5"/>
        <v>30</v>
      </c>
      <c r="S9" s="9">
        <f t="shared" si="6"/>
        <v>0.70020000000000004</v>
      </c>
      <c r="T9" s="9">
        <f t="shared" si="8"/>
        <v>0.14634146341463414</v>
      </c>
      <c r="U9" s="9">
        <f>R9 / _xlfn.XLOOKUP(A9, Top!A:A, Top!AA:AA)</f>
        <v>5.8708414872798431E-2</v>
      </c>
      <c r="V9" s="1"/>
      <c r="W9" s="1"/>
    </row>
    <row r="10" spans="1:23" x14ac:dyDescent="0.25">
      <c r="A10" s="1" t="s">
        <v>9</v>
      </c>
      <c r="B10" s="6"/>
      <c r="C10" s="7"/>
      <c r="D10" s="8">
        <f t="shared" si="0"/>
        <v>0</v>
      </c>
      <c r="E10" s="6"/>
      <c r="F10" s="7"/>
      <c r="G10" s="8">
        <f t="shared" si="1"/>
        <v>0</v>
      </c>
      <c r="H10" s="6"/>
      <c r="I10" s="7"/>
      <c r="J10" s="8">
        <f t="shared" si="2"/>
        <v>0</v>
      </c>
      <c r="K10" s="6">
        <v>3</v>
      </c>
      <c r="L10" s="7">
        <v>0.66700000000000004</v>
      </c>
      <c r="M10" s="8">
        <f t="shared" si="3"/>
        <v>2.0010000000000003</v>
      </c>
      <c r="N10" s="6"/>
      <c r="O10" s="7"/>
      <c r="P10" s="8">
        <f t="shared" si="4"/>
        <v>0</v>
      </c>
      <c r="Q10" s="1"/>
      <c r="R10" s="6">
        <f t="shared" si="5"/>
        <v>3</v>
      </c>
      <c r="S10" s="9">
        <f t="shared" si="6"/>
        <v>0.66700000000000015</v>
      </c>
      <c r="T10" s="9">
        <f t="shared" si="8"/>
        <v>1.4634146341463415E-2</v>
      </c>
      <c r="U10" s="9">
        <f>R10 / _xlfn.XLOOKUP(A10, Top!A:A, Top!AA:AA)</f>
        <v>9.202453987730062E-3</v>
      </c>
      <c r="V10" s="1"/>
      <c r="W10" s="1"/>
    </row>
    <row r="11" spans="1:23" x14ac:dyDescent="0.25">
      <c r="A11" s="1" t="s">
        <v>17</v>
      </c>
      <c r="B11" s="6">
        <v>1</v>
      </c>
      <c r="C11" s="7">
        <v>0</v>
      </c>
      <c r="D11" s="8">
        <f t="shared" si="0"/>
        <v>0</v>
      </c>
      <c r="E11" s="6">
        <v>6</v>
      </c>
      <c r="F11" s="7">
        <v>0.83299999999999996</v>
      </c>
      <c r="G11" s="8">
        <f t="shared" si="1"/>
        <v>4.9979999999999993</v>
      </c>
      <c r="H11" s="6"/>
      <c r="I11" s="7"/>
      <c r="J11" s="8">
        <f t="shared" si="2"/>
        <v>0</v>
      </c>
      <c r="K11" s="6">
        <v>1</v>
      </c>
      <c r="L11" s="7">
        <v>0</v>
      </c>
      <c r="M11" s="8">
        <f t="shared" si="3"/>
        <v>0</v>
      </c>
      <c r="N11" s="6"/>
      <c r="O11" s="7"/>
      <c r="P11" s="8">
        <f t="shared" si="4"/>
        <v>0</v>
      </c>
      <c r="Q11" s="1"/>
      <c r="R11" s="6">
        <f t="shared" si="5"/>
        <v>8</v>
      </c>
      <c r="S11" s="9">
        <f t="shared" si="6"/>
        <v>0.62474999999999992</v>
      </c>
      <c r="T11" s="9">
        <f t="shared" si="8"/>
        <v>3.9024390243902439E-2</v>
      </c>
      <c r="U11" s="9">
        <f>R11 / _xlfn.XLOOKUP(A11, Top!A:A, Top!AA:AA)</f>
        <v>3.4042553191489362E-2</v>
      </c>
      <c r="V11" s="1"/>
      <c r="W11" s="1"/>
    </row>
    <row r="12" spans="1:23" x14ac:dyDescent="0.25">
      <c r="A12" s="1" t="s">
        <v>28</v>
      </c>
      <c r="B12" s="6">
        <v>10</v>
      </c>
      <c r="C12" s="7">
        <v>0.6</v>
      </c>
      <c r="D12" s="8">
        <f t="shared" si="0"/>
        <v>6</v>
      </c>
      <c r="E12" s="6"/>
      <c r="F12" s="7"/>
      <c r="G12" s="8">
        <f t="shared" si="1"/>
        <v>0</v>
      </c>
      <c r="H12" s="6"/>
      <c r="I12" s="7"/>
      <c r="J12" s="8">
        <f t="shared" si="2"/>
        <v>0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4"/>
      <c r="R12" s="6">
        <f t="shared" si="5"/>
        <v>10</v>
      </c>
      <c r="S12" s="9">
        <f t="shared" si="6"/>
        <v>0.6</v>
      </c>
      <c r="T12" s="9">
        <f t="shared" si="8"/>
        <v>4.878048780487805E-2</v>
      </c>
      <c r="U12" s="9">
        <f>R12 / _xlfn.XLOOKUP(A12, Top!A:A, Top!AA:AA)</f>
        <v>0.20408163265306123</v>
      </c>
      <c r="V12" s="1"/>
      <c r="W12" s="1"/>
    </row>
    <row r="13" spans="1:23" x14ac:dyDescent="0.25">
      <c r="A13" s="1" t="s">
        <v>23</v>
      </c>
      <c r="B13" s="6"/>
      <c r="C13" s="7"/>
      <c r="D13" s="8">
        <f t="shared" si="0"/>
        <v>0</v>
      </c>
      <c r="E13" s="6">
        <v>9</v>
      </c>
      <c r="F13" s="7">
        <v>0.55600000000000005</v>
      </c>
      <c r="G13" s="8">
        <f t="shared" si="1"/>
        <v>5.0040000000000004</v>
      </c>
      <c r="H13" s="6"/>
      <c r="I13" s="7"/>
      <c r="J13" s="8">
        <f t="shared" si="2"/>
        <v>0</v>
      </c>
      <c r="K13" s="6">
        <v>1</v>
      </c>
      <c r="L13" s="7">
        <v>0</v>
      </c>
      <c r="M13" s="8">
        <f t="shared" si="3"/>
        <v>0</v>
      </c>
      <c r="N13" s="6"/>
      <c r="O13" s="7"/>
      <c r="P13" s="8">
        <f t="shared" si="4"/>
        <v>0</v>
      </c>
      <c r="Q13" s="1"/>
      <c r="R13" s="6">
        <f t="shared" si="5"/>
        <v>10</v>
      </c>
      <c r="S13" s="9">
        <f t="shared" si="6"/>
        <v>0.50040000000000007</v>
      </c>
      <c r="T13" s="9">
        <f t="shared" si="8"/>
        <v>4.878048780487805E-2</v>
      </c>
      <c r="U13" s="9">
        <f>R13 / _xlfn.XLOOKUP(A13, Top!A:A, Top!AA:AA)</f>
        <v>2.564102564102564E-2</v>
      </c>
      <c r="V13" s="1"/>
      <c r="W13" s="1"/>
    </row>
    <row r="14" spans="1:23" x14ac:dyDescent="0.25">
      <c r="A14" s="1" t="s">
        <v>33</v>
      </c>
      <c r="B14" s="6">
        <v>6</v>
      </c>
      <c r="C14" s="7">
        <v>0.5</v>
      </c>
      <c r="D14" s="8">
        <f t="shared" si="0"/>
        <v>3</v>
      </c>
      <c r="E14" s="6"/>
      <c r="F14" s="7"/>
      <c r="G14" s="8">
        <f t="shared" si="1"/>
        <v>0</v>
      </c>
      <c r="H14" s="6"/>
      <c r="I14" s="7"/>
      <c r="J14" s="8">
        <f t="shared" si="2"/>
        <v>0</v>
      </c>
      <c r="K14" s="6"/>
      <c r="L14" s="7"/>
      <c r="M14" s="8">
        <f t="shared" si="3"/>
        <v>0</v>
      </c>
      <c r="N14" s="6"/>
      <c r="O14" s="7"/>
      <c r="P14" s="8">
        <f t="shared" si="4"/>
        <v>0</v>
      </c>
      <c r="Q14" s="1"/>
      <c r="R14" s="6">
        <f t="shared" si="5"/>
        <v>6</v>
      </c>
      <c r="S14" s="9">
        <f t="shared" si="6"/>
        <v>0.5</v>
      </c>
      <c r="T14" s="9">
        <f t="shared" si="8"/>
        <v>2.9268292682926831E-2</v>
      </c>
      <c r="U14" s="9">
        <f>R14 / _xlfn.XLOOKUP(A14, Top!A:A, Top!AA:AA)</f>
        <v>0.13043478260869565</v>
      </c>
      <c r="V14" s="1"/>
      <c r="W14" s="1"/>
    </row>
    <row r="15" spans="1:23" x14ac:dyDescent="0.25">
      <c r="A15" s="25" t="s">
        <v>258</v>
      </c>
      <c r="B15" s="6"/>
      <c r="C15" s="7"/>
      <c r="D15" s="8">
        <f t="shared" si="0"/>
        <v>0</v>
      </c>
      <c r="E15" s="6">
        <v>15</v>
      </c>
      <c r="F15" s="7">
        <v>0.46700000000000003</v>
      </c>
      <c r="G15" s="8">
        <f t="shared" si="1"/>
        <v>7.0050000000000008</v>
      </c>
      <c r="H15" s="6"/>
      <c r="I15" s="7"/>
      <c r="J15" s="8">
        <f t="shared" si="2"/>
        <v>0</v>
      </c>
      <c r="K15" s="6"/>
      <c r="L15" s="7"/>
      <c r="M15" s="8">
        <f t="shared" si="3"/>
        <v>0</v>
      </c>
      <c r="N15" s="6"/>
      <c r="O15" s="7"/>
      <c r="P15" s="8">
        <f t="shared" si="4"/>
        <v>0</v>
      </c>
      <c r="Q15" s="1"/>
      <c r="R15" s="6">
        <f t="shared" si="5"/>
        <v>15</v>
      </c>
      <c r="S15" s="9">
        <f t="shared" si="6"/>
        <v>0.46700000000000003</v>
      </c>
      <c r="T15" s="9">
        <f t="shared" si="8"/>
        <v>7.3170731707317069E-2</v>
      </c>
      <c r="U15" s="9">
        <f>R15 / _xlfn.XLOOKUP(A15, Top!A:A, Top!AA:AA)</f>
        <v>2.2455089820359281E-2</v>
      </c>
      <c r="V15" s="1"/>
      <c r="W15" s="1"/>
    </row>
    <row r="16" spans="1:23" x14ac:dyDescent="0.25">
      <c r="A16" s="1" t="s">
        <v>14</v>
      </c>
      <c r="B16" s="6">
        <v>5</v>
      </c>
      <c r="C16" s="7">
        <v>0.4</v>
      </c>
      <c r="D16" s="8">
        <f t="shared" si="0"/>
        <v>2</v>
      </c>
      <c r="E16" s="6">
        <v>2</v>
      </c>
      <c r="F16" s="7">
        <v>0.5</v>
      </c>
      <c r="G16" s="8">
        <f t="shared" si="1"/>
        <v>1</v>
      </c>
      <c r="H16" s="6"/>
      <c r="I16" s="7"/>
      <c r="J16" s="8">
        <f t="shared" si="2"/>
        <v>0</v>
      </c>
      <c r="K16" s="6"/>
      <c r="L16" s="7"/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7</v>
      </c>
      <c r="S16" s="9">
        <f t="shared" si="6"/>
        <v>0.42857142857142855</v>
      </c>
      <c r="T16" s="9">
        <f t="shared" si="8"/>
        <v>3.4146341463414637E-2</v>
      </c>
      <c r="U16" s="9">
        <f>R16 / _xlfn.XLOOKUP(A16, Top!A:A, Top!AA:AA)</f>
        <v>3.2710280373831772E-2</v>
      </c>
      <c r="V16" s="1"/>
      <c r="W16" s="1"/>
    </row>
    <row r="17" spans="1:23" x14ac:dyDescent="0.25">
      <c r="A17" s="1" t="s">
        <v>10</v>
      </c>
      <c r="B17" s="6">
        <v>3</v>
      </c>
      <c r="C17" s="7">
        <v>0.33300000000000002</v>
      </c>
      <c r="D17" s="8">
        <f t="shared" si="0"/>
        <v>0.99900000000000011</v>
      </c>
      <c r="E17" s="6">
        <v>4</v>
      </c>
      <c r="F17" s="7">
        <v>0.5</v>
      </c>
      <c r="G17" s="8">
        <f t="shared" si="1"/>
        <v>2</v>
      </c>
      <c r="H17" s="6"/>
      <c r="I17" s="7"/>
      <c r="J17" s="8">
        <f t="shared" si="2"/>
        <v>0</v>
      </c>
      <c r="K17" s="6"/>
      <c r="L17" s="7"/>
      <c r="M17" s="8">
        <f t="shared" si="3"/>
        <v>0</v>
      </c>
      <c r="N17" s="6"/>
      <c r="O17" s="7"/>
      <c r="P17" s="8">
        <f t="shared" si="4"/>
        <v>0</v>
      </c>
      <c r="Q17" s="13"/>
      <c r="R17" s="6">
        <f t="shared" si="5"/>
        <v>7</v>
      </c>
      <c r="S17" s="9">
        <f t="shared" si="6"/>
        <v>0.42842857142857144</v>
      </c>
      <c r="T17" s="9">
        <f t="shared" si="8"/>
        <v>3.4146341463414637E-2</v>
      </c>
      <c r="U17" s="9">
        <f>R17 / _xlfn.XLOOKUP(A17, Top!A:A, Top!AA:AA)</f>
        <v>3.2407407407407406E-2</v>
      </c>
      <c r="V17" s="1"/>
      <c r="W17" s="1"/>
    </row>
    <row r="18" spans="1:23" x14ac:dyDescent="0.25">
      <c r="A18" s="1" t="s">
        <v>8</v>
      </c>
      <c r="B18" s="6">
        <v>5</v>
      </c>
      <c r="C18" s="7">
        <v>0.2</v>
      </c>
      <c r="D18" s="8">
        <f t="shared" si="0"/>
        <v>1</v>
      </c>
      <c r="E18" s="6">
        <v>8</v>
      </c>
      <c r="F18" s="7">
        <v>0.375</v>
      </c>
      <c r="G18" s="8">
        <f t="shared" si="1"/>
        <v>3</v>
      </c>
      <c r="H18" s="6"/>
      <c r="I18" s="7"/>
      <c r="J18" s="8">
        <f t="shared" si="2"/>
        <v>0</v>
      </c>
      <c r="K18" s="6">
        <v>5</v>
      </c>
      <c r="L18" s="7">
        <v>0.6</v>
      </c>
      <c r="M18" s="8">
        <f t="shared" si="3"/>
        <v>3</v>
      </c>
      <c r="N18" s="6"/>
      <c r="O18" s="7"/>
      <c r="P18" s="8">
        <f t="shared" si="4"/>
        <v>0</v>
      </c>
      <c r="Q18" s="4"/>
      <c r="R18" s="6">
        <f t="shared" si="5"/>
        <v>18</v>
      </c>
      <c r="S18" s="9">
        <f t="shared" si="6"/>
        <v>0.3888888888888889</v>
      </c>
      <c r="T18" s="9">
        <f t="shared" si="8"/>
        <v>8.7804878048780483E-2</v>
      </c>
      <c r="U18" s="9">
        <f>R18 / _xlfn.XLOOKUP(A18, Top!A:A, Top!AA:AA)</f>
        <v>6.9498069498069498E-2</v>
      </c>
      <c r="V18" s="1"/>
      <c r="W18" s="1"/>
    </row>
    <row r="19" spans="1:23" x14ac:dyDescent="0.25">
      <c r="A19" s="1" t="s">
        <v>27</v>
      </c>
      <c r="B19" s="6">
        <v>3</v>
      </c>
      <c r="C19" s="7">
        <v>0.33300000000000002</v>
      </c>
      <c r="D19" s="8">
        <f t="shared" si="0"/>
        <v>0.99900000000000011</v>
      </c>
      <c r="E19" s="6"/>
      <c r="F19" s="7"/>
      <c r="G19" s="8">
        <f t="shared" si="1"/>
        <v>0</v>
      </c>
      <c r="H19" s="6"/>
      <c r="I19" s="7"/>
      <c r="J19" s="8">
        <f t="shared" si="2"/>
        <v>0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1"/>
      <c r="R19" s="6">
        <f t="shared" si="5"/>
        <v>3</v>
      </c>
      <c r="S19" s="9">
        <f t="shared" si="6"/>
        <v>0.33300000000000002</v>
      </c>
      <c r="T19" s="9">
        <f t="shared" si="8"/>
        <v>1.4634146341463415E-2</v>
      </c>
      <c r="U19" s="9">
        <f>R19 / _xlfn.XLOOKUP(A19, Top!A:A, Top!AA:AA)</f>
        <v>6.6666666666666666E-2</v>
      </c>
      <c r="V19" s="1"/>
      <c r="W19" s="1"/>
    </row>
    <row r="20" spans="1:23" x14ac:dyDescent="0.25">
      <c r="A20" s="1" t="s">
        <v>11</v>
      </c>
      <c r="B20" s="6">
        <v>15</v>
      </c>
      <c r="C20" s="7">
        <v>0.33300000000000002</v>
      </c>
      <c r="D20" s="8">
        <f t="shared" si="0"/>
        <v>4.9950000000000001</v>
      </c>
      <c r="E20" s="6"/>
      <c r="F20" s="7"/>
      <c r="G20" s="8">
        <f t="shared" si="1"/>
        <v>0</v>
      </c>
      <c r="H20" s="6"/>
      <c r="I20" s="7"/>
      <c r="J20" s="8">
        <f t="shared" si="2"/>
        <v>0</v>
      </c>
      <c r="K20" s="6"/>
      <c r="L20" s="7"/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15</v>
      </c>
      <c r="S20" s="9">
        <f t="shared" si="6"/>
        <v>0.33300000000000002</v>
      </c>
      <c r="T20" s="9">
        <f t="shared" si="8"/>
        <v>7.3170731707317069E-2</v>
      </c>
      <c r="U20" s="9">
        <f>R20 / _xlfn.XLOOKUP(A20, Top!A:A, Top!AA:AA)</f>
        <v>3.937007874015748E-2</v>
      </c>
    </row>
    <row r="21" spans="1:23" x14ac:dyDescent="0.25">
      <c r="A21" s="25" t="s">
        <v>208</v>
      </c>
      <c r="B21" s="6"/>
      <c r="C21" s="7"/>
      <c r="D21" s="8">
        <f t="shared" si="0"/>
        <v>0</v>
      </c>
      <c r="E21" s="6"/>
      <c r="F21" s="7"/>
      <c r="G21" s="8">
        <f t="shared" si="1"/>
        <v>0</v>
      </c>
      <c r="H21" s="6"/>
      <c r="I21" s="7"/>
      <c r="J21" s="8">
        <f t="shared" si="2"/>
        <v>0</v>
      </c>
      <c r="K21" s="6">
        <v>3</v>
      </c>
      <c r="L21" s="7">
        <v>0.33300000000000002</v>
      </c>
      <c r="M21" s="8">
        <f t="shared" si="3"/>
        <v>0.99900000000000011</v>
      </c>
      <c r="N21" s="6"/>
      <c r="O21" s="7"/>
      <c r="P21" s="8">
        <f t="shared" si="4"/>
        <v>0</v>
      </c>
      <c r="Q21" s="1"/>
      <c r="R21" s="6">
        <f t="shared" si="5"/>
        <v>3</v>
      </c>
      <c r="S21" s="9">
        <f t="shared" si="6"/>
        <v>0.33300000000000002</v>
      </c>
      <c r="T21" s="9">
        <f t="shared" si="8"/>
        <v>1.4634146341463415E-2</v>
      </c>
      <c r="U21" s="9">
        <f>R21 / _xlfn.XLOOKUP(A21, Top!A:A, Top!AA:AA)</f>
        <v>1.5625E-2</v>
      </c>
    </row>
    <row r="22" spans="1:23" x14ac:dyDescent="0.25">
      <c r="A22" s="1" t="s">
        <v>7</v>
      </c>
      <c r="B22" s="6">
        <v>12</v>
      </c>
      <c r="C22" s="7">
        <v>0.16700000000000001</v>
      </c>
      <c r="D22" s="8">
        <f t="shared" si="0"/>
        <v>2.004</v>
      </c>
      <c r="E22" s="6">
        <v>11</v>
      </c>
      <c r="F22" s="7">
        <v>0.54500000000000004</v>
      </c>
      <c r="G22" s="8">
        <f t="shared" si="1"/>
        <v>5.9950000000000001</v>
      </c>
      <c r="H22" s="6"/>
      <c r="I22" s="7"/>
      <c r="J22" s="8">
        <f t="shared" si="2"/>
        <v>0</v>
      </c>
      <c r="K22" s="6">
        <v>2</v>
      </c>
      <c r="L22" s="7">
        <v>0</v>
      </c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25</v>
      </c>
      <c r="S22" s="9">
        <f t="shared" si="6"/>
        <v>0.31996000000000002</v>
      </c>
      <c r="T22" s="9">
        <f t="shared" si="8"/>
        <v>0.12195121951219512</v>
      </c>
      <c r="U22" s="9">
        <f>R22 / _xlfn.XLOOKUP(A22, Top!A:A, Top!AA:AA)</f>
        <v>4.7080979284369114E-2</v>
      </c>
    </row>
    <row r="23" spans="1:23" x14ac:dyDescent="0.25">
      <c r="A23" s="1" t="s">
        <v>15</v>
      </c>
      <c r="B23" s="6">
        <v>2</v>
      </c>
      <c r="C23" s="7">
        <v>0.5</v>
      </c>
      <c r="D23" s="8">
        <f t="shared" si="0"/>
        <v>1</v>
      </c>
      <c r="E23" s="6">
        <v>4</v>
      </c>
      <c r="F23" s="7">
        <v>0.25</v>
      </c>
      <c r="G23" s="8">
        <f t="shared" si="1"/>
        <v>1</v>
      </c>
      <c r="H23" s="6"/>
      <c r="I23" s="7"/>
      <c r="J23" s="8">
        <f t="shared" si="2"/>
        <v>0</v>
      </c>
      <c r="K23" s="6">
        <v>1</v>
      </c>
      <c r="L23" s="7">
        <v>0</v>
      </c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7</v>
      </c>
      <c r="S23" s="9">
        <f t="shared" si="6"/>
        <v>0.2857142857142857</v>
      </c>
      <c r="T23" s="9">
        <f t="shared" si="8"/>
        <v>3.4146341463414637E-2</v>
      </c>
      <c r="U23" s="9">
        <f>R23 / _xlfn.XLOOKUP(A23, Top!A:A, Top!AA:AA)</f>
        <v>5.7851239669421489E-2</v>
      </c>
    </row>
    <row r="24" spans="1:23" x14ac:dyDescent="0.25">
      <c r="A24" s="1" t="s">
        <v>13</v>
      </c>
      <c r="B24" s="6">
        <v>7</v>
      </c>
      <c r="C24" s="7">
        <v>0.14299999999999999</v>
      </c>
      <c r="D24" s="8">
        <f t="shared" si="0"/>
        <v>1.0009999999999999</v>
      </c>
      <c r="E24" s="6"/>
      <c r="F24" s="7"/>
      <c r="G24" s="8">
        <f t="shared" si="1"/>
        <v>0</v>
      </c>
      <c r="H24" s="6"/>
      <c r="I24" s="7"/>
      <c r="J24" s="8">
        <f t="shared" si="2"/>
        <v>0</v>
      </c>
      <c r="K24" s="6">
        <v>1</v>
      </c>
      <c r="L24" s="7">
        <v>0</v>
      </c>
      <c r="M24" s="8">
        <f t="shared" si="3"/>
        <v>0</v>
      </c>
      <c r="N24" s="6"/>
      <c r="O24" s="7"/>
      <c r="P24" s="8">
        <f t="shared" si="4"/>
        <v>0</v>
      </c>
      <c r="Q24" s="1"/>
      <c r="R24" s="6">
        <f t="shared" si="5"/>
        <v>8</v>
      </c>
      <c r="S24" s="9">
        <f t="shared" si="6"/>
        <v>0.12512499999999999</v>
      </c>
      <c r="T24" s="9">
        <f t="shared" si="8"/>
        <v>3.9024390243902439E-2</v>
      </c>
      <c r="U24" s="9">
        <f>R24 / _xlfn.XLOOKUP(A24, Top!A:A, Top!AA:AA)</f>
        <v>6.6666666666666666E-2</v>
      </c>
    </row>
    <row r="25" spans="1:23" x14ac:dyDescent="0.25">
      <c r="A25" s="25" t="s">
        <v>100</v>
      </c>
      <c r="B25" s="6">
        <v>1</v>
      </c>
      <c r="C25" s="7">
        <v>0</v>
      </c>
      <c r="D25" s="8">
        <f t="shared" si="0"/>
        <v>0</v>
      </c>
      <c r="E25" s="6"/>
      <c r="F25" s="7"/>
      <c r="G25" s="8">
        <f t="shared" si="1"/>
        <v>0</v>
      </c>
      <c r="H25" s="6"/>
      <c r="I25" s="7"/>
      <c r="J25" s="8">
        <f t="shared" si="2"/>
        <v>0</v>
      </c>
      <c r="K25" s="6"/>
      <c r="L25" s="7"/>
      <c r="M25" s="8">
        <f t="shared" si="3"/>
        <v>0</v>
      </c>
      <c r="N25" s="6"/>
      <c r="O25" s="7"/>
      <c r="P25" s="8">
        <f t="shared" si="4"/>
        <v>0</v>
      </c>
      <c r="Q25" s="1"/>
      <c r="R25" s="6">
        <f t="shared" si="5"/>
        <v>1</v>
      </c>
      <c r="S25" s="9">
        <f t="shared" si="6"/>
        <v>0</v>
      </c>
      <c r="T25" s="9">
        <f t="shared" si="8"/>
        <v>4.8780487804878049E-3</v>
      </c>
      <c r="U25" s="9">
        <f>R25 / _xlfn.XLOOKUP(A25, Top!A:A, Top!AA:AA)</f>
        <v>0.33333333333333331</v>
      </c>
    </row>
    <row r="26" spans="1:23" x14ac:dyDescent="0.25">
      <c r="A26" s="1" t="s">
        <v>24</v>
      </c>
      <c r="B26" s="6">
        <v>1</v>
      </c>
      <c r="C26" s="7">
        <v>0</v>
      </c>
      <c r="D26" s="8">
        <f t="shared" si="0"/>
        <v>0</v>
      </c>
      <c r="E26" s="6"/>
      <c r="F26" s="7"/>
      <c r="G26" s="8">
        <f t="shared" si="1"/>
        <v>0</v>
      </c>
      <c r="H26" s="6"/>
      <c r="I26" s="7"/>
      <c r="J26" s="8">
        <f t="shared" si="2"/>
        <v>0</v>
      </c>
      <c r="K26" s="6"/>
      <c r="L26" s="7"/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1</v>
      </c>
      <c r="S26" s="9">
        <f t="shared" si="6"/>
        <v>0</v>
      </c>
      <c r="T26" s="9">
        <f t="shared" si="8"/>
        <v>4.8780487804878049E-3</v>
      </c>
      <c r="U26" s="9">
        <f>R26 / _xlfn.XLOOKUP(A26, Top!A:A, Top!AA:AA)</f>
        <v>5.5555555555555552E-2</v>
      </c>
    </row>
    <row r="27" spans="1:23" x14ac:dyDescent="0.25">
      <c r="A27" s="1" t="s">
        <v>37</v>
      </c>
      <c r="B27" s="6">
        <v>1</v>
      </c>
      <c r="C27" s="7">
        <v>0</v>
      </c>
      <c r="D27" s="8">
        <f t="shared" si="0"/>
        <v>0</v>
      </c>
      <c r="E27" s="6"/>
      <c r="F27" s="7"/>
      <c r="G27" s="8">
        <f t="shared" si="1"/>
        <v>0</v>
      </c>
      <c r="H27" s="6"/>
      <c r="I27" s="7"/>
      <c r="J27" s="8">
        <f t="shared" si="2"/>
        <v>0</v>
      </c>
      <c r="K27" s="6"/>
      <c r="L27" s="7"/>
      <c r="M27" s="8">
        <f t="shared" si="3"/>
        <v>0</v>
      </c>
      <c r="N27" s="6"/>
      <c r="O27" s="7"/>
      <c r="P27" s="8">
        <f t="shared" si="4"/>
        <v>0</v>
      </c>
      <c r="Q27" s="1"/>
      <c r="R27" s="6">
        <f t="shared" si="5"/>
        <v>1</v>
      </c>
      <c r="S27" s="9">
        <f t="shared" si="6"/>
        <v>0</v>
      </c>
      <c r="T27" s="9">
        <f t="shared" si="8"/>
        <v>4.8780487804878049E-3</v>
      </c>
      <c r="U27" s="9">
        <f>R27 / _xlfn.XLOOKUP(A27, Top!A:A, Top!AA:AA)</f>
        <v>4.5454545454545456E-2</v>
      </c>
    </row>
    <row r="28" spans="1:23" x14ac:dyDescent="0.25">
      <c r="A28" s="1" t="s">
        <v>26</v>
      </c>
      <c r="B28" s="6">
        <v>3</v>
      </c>
      <c r="C28" s="7">
        <v>0</v>
      </c>
      <c r="D28" s="8">
        <f t="shared" si="0"/>
        <v>0</v>
      </c>
      <c r="E28" s="6"/>
      <c r="F28" s="7"/>
      <c r="G28" s="8">
        <f t="shared" si="1"/>
        <v>0</v>
      </c>
      <c r="H28" s="6"/>
      <c r="I28" s="7"/>
      <c r="J28" s="8">
        <f t="shared" si="2"/>
        <v>0</v>
      </c>
      <c r="K28" s="6"/>
      <c r="L28" s="7"/>
      <c r="M28" s="8">
        <f t="shared" si="3"/>
        <v>0</v>
      </c>
      <c r="N28" s="6"/>
      <c r="O28" s="7"/>
      <c r="P28" s="8">
        <f t="shared" si="4"/>
        <v>0</v>
      </c>
      <c r="Q28" s="1"/>
      <c r="R28" s="6">
        <f t="shared" si="5"/>
        <v>3</v>
      </c>
      <c r="S28" s="9">
        <f t="shared" si="6"/>
        <v>0</v>
      </c>
      <c r="T28" s="9">
        <f t="shared" si="8"/>
        <v>1.4634146341463415E-2</v>
      </c>
      <c r="U28" s="9">
        <f>R28 / _xlfn.XLOOKUP(A28, Top!A:A, Top!AA:AA)</f>
        <v>4.0540540540540543E-2</v>
      </c>
    </row>
    <row r="29" spans="1:23" x14ac:dyDescent="0.25">
      <c r="B29" s="6"/>
      <c r="C29" s="7"/>
      <c r="D29" s="8">
        <f t="shared" ref="D29:D36" si="9">B29*C29</f>
        <v>0</v>
      </c>
      <c r="E29" s="6"/>
      <c r="F29" s="7"/>
      <c r="G29" s="8">
        <f t="shared" ref="G29:G36" si="10">E29*F29</f>
        <v>0</v>
      </c>
      <c r="H29" s="6"/>
      <c r="I29" s="7"/>
      <c r="J29" s="8">
        <f t="shared" ref="J29:J36" si="11">H29*I29</f>
        <v>0</v>
      </c>
      <c r="K29" s="6"/>
      <c r="L29" s="7"/>
      <c r="M29" s="8">
        <f t="shared" ref="M29:M36" si="12">K29*L29</f>
        <v>0</v>
      </c>
      <c r="N29" s="6"/>
      <c r="O29" s="7"/>
      <c r="P29" s="8">
        <f t="shared" ref="P29:P36" si="13">N29*O29</f>
        <v>0</v>
      </c>
      <c r="Q29" s="1"/>
      <c r="R29" s="6">
        <f t="shared" ref="R29:R36" si="14">B29+E29+H29+K29+N29</f>
        <v>0</v>
      </c>
      <c r="S29" s="9" t="e">
        <f t="shared" ref="S29:S36" si="15">(D29+G29+J29+M29+P29)/R29</f>
        <v>#DIV/0!</v>
      </c>
      <c r="T29" s="9">
        <f t="shared" si="8"/>
        <v>0</v>
      </c>
      <c r="U29" s="9" t="e">
        <f>R29 / _xlfn.XLOOKUP(A29, Top!A:A, Top!AA:AA)</f>
        <v>#DIV/0!</v>
      </c>
    </row>
    <row r="30" spans="1:23" x14ac:dyDescent="0.25">
      <c r="B30" s="6"/>
      <c r="C30" s="7"/>
      <c r="D30" s="8">
        <f t="shared" si="9"/>
        <v>0</v>
      </c>
      <c r="E30" s="6"/>
      <c r="F30" s="7"/>
      <c r="G30" s="8">
        <f t="shared" si="10"/>
        <v>0</v>
      </c>
      <c r="H30" s="6"/>
      <c r="I30" s="7"/>
      <c r="J30" s="8">
        <f t="shared" si="11"/>
        <v>0</v>
      </c>
      <c r="K30" s="6"/>
      <c r="L30" s="7"/>
      <c r="M30" s="8">
        <f t="shared" si="12"/>
        <v>0</v>
      </c>
      <c r="N30" s="6"/>
      <c r="O30" s="7"/>
      <c r="P30" s="8">
        <f t="shared" si="13"/>
        <v>0</v>
      </c>
      <c r="Q30" s="1"/>
      <c r="R30" s="6">
        <f t="shared" si="14"/>
        <v>0</v>
      </c>
      <c r="S30" s="9" t="e">
        <f t="shared" si="15"/>
        <v>#DIV/0!</v>
      </c>
      <c r="T30" s="9">
        <f t="shared" si="8"/>
        <v>0</v>
      </c>
      <c r="U30" s="9" t="e">
        <f>R30 / _xlfn.XLOOKUP(A30, Top!A:A, Top!AA:AA)</f>
        <v>#DIV/0!</v>
      </c>
    </row>
    <row r="31" spans="1:23" x14ac:dyDescent="0.25">
      <c r="B31" s="6"/>
      <c r="C31" s="7"/>
      <c r="D31" s="8">
        <f t="shared" si="9"/>
        <v>0</v>
      </c>
      <c r="E31" s="6"/>
      <c r="F31" s="7"/>
      <c r="G31" s="8">
        <f t="shared" si="10"/>
        <v>0</v>
      </c>
      <c r="H31" s="6"/>
      <c r="I31" s="7"/>
      <c r="J31" s="8">
        <f t="shared" si="11"/>
        <v>0</v>
      </c>
      <c r="K31" s="6"/>
      <c r="L31" s="7"/>
      <c r="M31" s="8">
        <f t="shared" si="12"/>
        <v>0</v>
      </c>
      <c r="N31" s="6"/>
      <c r="O31" s="7"/>
      <c r="P31" s="8">
        <f t="shared" si="13"/>
        <v>0</v>
      </c>
      <c r="Q31" s="1"/>
      <c r="R31" s="6">
        <f t="shared" si="14"/>
        <v>0</v>
      </c>
      <c r="S31" s="9" t="e">
        <f t="shared" si="15"/>
        <v>#DIV/0!</v>
      </c>
      <c r="T31" s="9">
        <f t="shared" si="8"/>
        <v>0</v>
      </c>
      <c r="U31" s="9" t="e">
        <f>R31 / _xlfn.XLOOKUP(A31, Top!A:A, Top!AA:AA)</f>
        <v>#DIV/0!</v>
      </c>
    </row>
    <row r="32" spans="1:23" x14ac:dyDescent="0.25">
      <c r="B32" s="6"/>
      <c r="C32" s="7"/>
      <c r="D32" s="8">
        <f t="shared" si="9"/>
        <v>0</v>
      </c>
      <c r="E32" s="6"/>
      <c r="F32" s="7"/>
      <c r="G32" s="8">
        <f t="shared" si="10"/>
        <v>0</v>
      </c>
      <c r="H32" s="6"/>
      <c r="I32" s="7"/>
      <c r="J32" s="8">
        <f t="shared" si="11"/>
        <v>0</v>
      </c>
      <c r="K32" s="6"/>
      <c r="L32" s="7"/>
      <c r="M32" s="8">
        <f t="shared" si="12"/>
        <v>0</v>
      </c>
      <c r="N32" s="6"/>
      <c r="O32" s="7"/>
      <c r="P32" s="8">
        <f t="shared" si="13"/>
        <v>0</v>
      </c>
      <c r="Q32" s="1"/>
      <c r="R32" s="6">
        <f t="shared" si="14"/>
        <v>0</v>
      </c>
      <c r="S32" s="9" t="e">
        <f t="shared" si="15"/>
        <v>#DIV/0!</v>
      </c>
      <c r="T32" s="9">
        <f t="shared" si="8"/>
        <v>0</v>
      </c>
      <c r="U32" s="9" t="e">
        <f>R32 / _xlfn.XLOOKUP(A32, Top!A:A, Top!AA:AA)</f>
        <v>#DIV/0!</v>
      </c>
    </row>
    <row r="33" spans="2:21" x14ac:dyDescent="0.25">
      <c r="B33" s="6"/>
      <c r="C33" s="7"/>
      <c r="D33" s="8">
        <f t="shared" si="9"/>
        <v>0</v>
      </c>
      <c r="E33" s="6"/>
      <c r="F33" s="7"/>
      <c r="G33" s="8">
        <f t="shared" si="10"/>
        <v>0</v>
      </c>
      <c r="H33" s="6"/>
      <c r="I33" s="7"/>
      <c r="J33" s="8">
        <f t="shared" si="11"/>
        <v>0</v>
      </c>
      <c r="K33" s="6"/>
      <c r="L33" s="7"/>
      <c r="M33" s="8">
        <f t="shared" si="12"/>
        <v>0</v>
      </c>
      <c r="N33" s="6"/>
      <c r="O33" s="7"/>
      <c r="P33" s="8">
        <f t="shared" si="13"/>
        <v>0</v>
      </c>
      <c r="Q33" s="1"/>
      <c r="R33" s="6">
        <f t="shared" si="14"/>
        <v>0</v>
      </c>
      <c r="S33" s="9" t="e">
        <f t="shared" si="15"/>
        <v>#DIV/0!</v>
      </c>
      <c r="T33" s="9">
        <f t="shared" si="8"/>
        <v>0</v>
      </c>
      <c r="U33" s="9" t="e">
        <f>R33 / _xlfn.XLOOKUP(A33, Top!A:A, Top!AA:AA)</f>
        <v>#DIV/0!</v>
      </c>
    </row>
    <row r="34" spans="2:21" x14ac:dyDescent="0.25">
      <c r="B34" s="6"/>
      <c r="C34" s="7"/>
      <c r="D34" s="8">
        <f t="shared" si="9"/>
        <v>0</v>
      </c>
      <c r="E34" s="6"/>
      <c r="F34" s="7"/>
      <c r="G34" s="8">
        <f t="shared" si="10"/>
        <v>0</v>
      </c>
      <c r="H34" s="6"/>
      <c r="I34" s="7"/>
      <c r="J34" s="8">
        <f t="shared" si="11"/>
        <v>0</v>
      </c>
      <c r="K34" s="6"/>
      <c r="L34" s="7"/>
      <c r="M34" s="8">
        <f t="shared" si="12"/>
        <v>0</v>
      </c>
      <c r="N34" s="6"/>
      <c r="O34" s="7"/>
      <c r="P34" s="8">
        <f t="shared" si="13"/>
        <v>0</v>
      </c>
      <c r="Q34" s="1"/>
      <c r="R34" s="6">
        <f t="shared" si="14"/>
        <v>0</v>
      </c>
      <c r="S34" s="9" t="e">
        <f t="shared" si="15"/>
        <v>#DIV/0!</v>
      </c>
      <c r="T34" s="9">
        <f t="shared" si="8"/>
        <v>0</v>
      </c>
      <c r="U34" s="9" t="e">
        <f>R34 / _xlfn.XLOOKUP(A34, Top!A:A, Top!AA:AA)</f>
        <v>#DIV/0!</v>
      </c>
    </row>
    <row r="35" spans="2:21" x14ac:dyDescent="0.25">
      <c r="B35" s="6"/>
      <c r="C35" s="7"/>
      <c r="D35" s="8">
        <f t="shared" si="9"/>
        <v>0</v>
      </c>
      <c r="E35" s="6"/>
      <c r="F35" s="7"/>
      <c r="G35" s="8">
        <f t="shared" si="10"/>
        <v>0</v>
      </c>
      <c r="H35" s="6"/>
      <c r="I35" s="7"/>
      <c r="J35" s="8">
        <f t="shared" si="11"/>
        <v>0</v>
      </c>
      <c r="K35" s="6"/>
      <c r="L35" s="7"/>
      <c r="M35" s="8">
        <f t="shared" si="12"/>
        <v>0</v>
      </c>
      <c r="N35" s="6"/>
      <c r="O35" s="7"/>
      <c r="P35" s="8">
        <f t="shared" si="13"/>
        <v>0</v>
      </c>
      <c r="Q35" s="1"/>
      <c r="R35" s="6">
        <f t="shared" si="14"/>
        <v>0</v>
      </c>
      <c r="S35" s="9" t="e">
        <f t="shared" si="15"/>
        <v>#DIV/0!</v>
      </c>
      <c r="T35" s="9">
        <f t="shared" si="8"/>
        <v>0</v>
      </c>
      <c r="U35" s="9" t="e">
        <f>R35 / _xlfn.XLOOKUP(A35, Top!A:A, Top!AA:AA)</f>
        <v>#DIV/0!</v>
      </c>
    </row>
    <row r="36" spans="2:21" x14ac:dyDescent="0.25">
      <c r="B36" s="6"/>
      <c r="C36" s="7"/>
      <c r="D36" s="8">
        <f t="shared" si="9"/>
        <v>0</v>
      </c>
      <c r="E36" s="6"/>
      <c r="F36" s="7"/>
      <c r="G36" s="8">
        <f t="shared" si="10"/>
        <v>0</v>
      </c>
      <c r="H36" s="6"/>
      <c r="I36" s="7"/>
      <c r="J36" s="8">
        <f t="shared" si="11"/>
        <v>0</v>
      </c>
      <c r="K36" s="6"/>
      <c r="L36" s="7"/>
      <c r="M36" s="8">
        <f t="shared" si="12"/>
        <v>0</v>
      </c>
      <c r="N36" s="6"/>
      <c r="O36" s="7"/>
      <c r="P36" s="8">
        <f t="shared" si="13"/>
        <v>0</v>
      </c>
      <c r="Q36" s="1"/>
      <c r="R36" s="6">
        <f t="shared" si="14"/>
        <v>0</v>
      </c>
      <c r="S36" s="9" t="e">
        <f t="shared" si="15"/>
        <v>#DIV/0!</v>
      </c>
      <c r="T36" s="9">
        <f t="shared" si="8"/>
        <v>0</v>
      </c>
      <c r="U36" s="9" t="e">
        <f>R36 / _xlfn.XLOOKUP(A36, Top!A:A, Top!AA:AA)</f>
        <v>#DIV/0!</v>
      </c>
    </row>
    <row r="37" spans="2:21" x14ac:dyDescent="0.25">
      <c r="U37" s="9"/>
    </row>
    <row r="38" spans="2:21" x14ac:dyDescent="0.25">
      <c r="U38" s="9"/>
    </row>
    <row r="39" spans="2:21" x14ac:dyDescent="0.25">
      <c r="U39" s="9"/>
    </row>
    <row r="40" spans="2:21" x14ac:dyDescent="0.25">
      <c r="U40" s="9"/>
    </row>
    <row r="41" spans="2:21" x14ac:dyDescent="0.25">
      <c r="U41" s="9"/>
    </row>
    <row r="42" spans="2:21" x14ac:dyDescent="0.25">
      <c r="U42" s="9"/>
    </row>
    <row r="43" spans="2:21" x14ac:dyDescent="0.25">
      <c r="U43" s="9"/>
    </row>
    <row r="44" spans="2:21" x14ac:dyDescent="0.25">
      <c r="U44" s="9"/>
    </row>
    <row r="45" spans="2:21" x14ac:dyDescent="0.25">
      <c r="U45" s="9"/>
    </row>
    <row r="46" spans="2:21" x14ac:dyDescent="0.25">
      <c r="U46" s="9"/>
    </row>
    <row r="47" spans="2:21" x14ac:dyDescent="0.25">
      <c r="U47" s="9"/>
    </row>
    <row r="48" spans="2:21" x14ac:dyDescent="0.25">
      <c r="U48" s="9"/>
    </row>
  </sheetData>
  <sortState xmlns:xlrd2="http://schemas.microsoft.com/office/spreadsheetml/2017/richdata2" ref="A3:U28">
    <sortCondition descending="1" ref="S3:S28"/>
  </sortState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0FB22-8B83-42B9-8296-957FBC6C936D}">
  <sheetPr>
    <tabColor theme="4" tint="0.59999389629810485"/>
  </sheetPr>
  <dimension ref="A1:W35"/>
  <sheetViews>
    <sheetView workbookViewId="0">
      <selection activeCell="A6" sqref="A6"/>
    </sheetView>
  </sheetViews>
  <sheetFormatPr baseColWidth="10" defaultRowHeight="15" x14ac:dyDescent="0.25"/>
  <sheetData>
    <row r="1" spans="1:23" ht="15.75" x14ac:dyDescent="0.25">
      <c r="A1" s="2" t="s">
        <v>203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20</v>
      </c>
      <c r="B3" s="6"/>
      <c r="C3" s="7"/>
      <c r="D3" s="8">
        <f t="shared" ref="D3:D26" si="0">B3*C3</f>
        <v>0</v>
      </c>
      <c r="E3" s="6"/>
      <c r="F3" s="7"/>
      <c r="G3" s="8">
        <f t="shared" ref="G3:G26" si="1">E3*F3</f>
        <v>0</v>
      </c>
      <c r="H3" s="6"/>
      <c r="I3" s="7"/>
      <c r="J3" s="8">
        <f t="shared" ref="J3:J26" si="2">H3*I3</f>
        <v>0</v>
      </c>
      <c r="K3" s="6">
        <v>1</v>
      </c>
      <c r="L3" s="7">
        <v>1</v>
      </c>
      <c r="M3" s="8">
        <f t="shared" ref="M3:M26" si="3">K3*L3</f>
        <v>1</v>
      </c>
      <c r="N3" s="6"/>
      <c r="O3" s="7"/>
      <c r="P3" s="8">
        <f t="shared" ref="P3:P26" si="4">N3*O3</f>
        <v>0</v>
      </c>
      <c r="Q3" s="1"/>
      <c r="R3" s="6">
        <f t="shared" ref="R3:R26" si="5">B3+E3+H3+K3+N3</f>
        <v>1</v>
      </c>
      <c r="S3" s="9">
        <f t="shared" ref="S3:S26" si="6">(D3+G3+J3+M3+P3)/R3</f>
        <v>1</v>
      </c>
      <c r="T3" s="9">
        <f t="shared" ref="T3:T26" si="7">R3/$V$3</f>
        <v>4.2194092827004216E-3</v>
      </c>
      <c r="U3" s="9">
        <f>R3 / _xlfn.XLOOKUP(A3, Top!A:A, Top!AA:AA)</f>
        <v>1.1904761904761904E-2</v>
      </c>
      <c r="V3" s="11">
        <f>SUM(R3:R49)</f>
        <v>237</v>
      </c>
      <c r="W3" s="12">
        <f>(SUM(D3:D88)+SUM(G3:G88)+SUM(J3:J88)+SUM(M3:M88)+SUM(P3:P88)) / V3</f>
        <v>0.43455274261603377</v>
      </c>
    </row>
    <row r="4" spans="1:23" x14ac:dyDescent="0.25">
      <c r="A4" s="25" t="s">
        <v>48</v>
      </c>
      <c r="B4" s="6"/>
      <c r="C4" s="7"/>
      <c r="D4" s="8">
        <f t="shared" si="0"/>
        <v>0</v>
      </c>
      <c r="E4" s="6"/>
      <c r="F4" s="7"/>
      <c r="G4" s="8">
        <f t="shared" si="1"/>
        <v>0</v>
      </c>
      <c r="H4" s="6"/>
      <c r="I4" s="7"/>
      <c r="J4" s="8">
        <f t="shared" si="2"/>
        <v>0</v>
      </c>
      <c r="K4" s="6"/>
      <c r="L4" s="7"/>
      <c r="M4" s="8">
        <f t="shared" si="3"/>
        <v>0</v>
      </c>
      <c r="N4" s="6">
        <v>1</v>
      </c>
      <c r="O4" s="7">
        <v>1</v>
      </c>
      <c r="P4" s="8">
        <f t="shared" si="4"/>
        <v>1</v>
      </c>
      <c r="Q4" s="1"/>
      <c r="R4" s="6">
        <f t="shared" si="5"/>
        <v>1</v>
      </c>
      <c r="S4" s="9">
        <f t="shared" si="6"/>
        <v>1</v>
      </c>
      <c r="T4" s="9">
        <f t="shared" si="7"/>
        <v>4.2194092827004216E-3</v>
      </c>
      <c r="U4" s="9">
        <f>R4 / _xlfn.XLOOKUP(A4, Top!A:A, Top!AA:AA)</f>
        <v>0.1</v>
      </c>
      <c r="V4" s="1"/>
      <c r="W4" s="1"/>
    </row>
    <row r="5" spans="1:23" x14ac:dyDescent="0.25">
      <c r="A5" s="25" t="s">
        <v>38</v>
      </c>
      <c r="B5" s="6"/>
      <c r="C5" s="7"/>
      <c r="D5" s="8">
        <f t="shared" si="0"/>
        <v>0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/>
      <c r="L5" s="7"/>
      <c r="M5" s="8">
        <f t="shared" si="3"/>
        <v>0</v>
      </c>
      <c r="N5" s="6">
        <v>3</v>
      </c>
      <c r="O5" s="7">
        <v>0.66700000000000004</v>
      </c>
      <c r="P5" s="8">
        <f t="shared" si="4"/>
        <v>2.0010000000000003</v>
      </c>
      <c r="Q5" s="1"/>
      <c r="R5" s="6">
        <f t="shared" si="5"/>
        <v>3</v>
      </c>
      <c r="S5" s="9">
        <f t="shared" si="6"/>
        <v>0.66700000000000015</v>
      </c>
      <c r="T5" s="9">
        <f t="shared" si="7"/>
        <v>1.2658227848101266E-2</v>
      </c>
      <c r="U5" s="9">
        <f>R5 / _xlfn.XLOOKUP(A5, Top!A:A, Top!AA:AA)</f>
        <v>6.1224489795918366E-2</v>
      </c>
      <c r="V5" s="1"/>
      <c r="W5" s="1"/>
    </row>
    <row r="6" spans="1:23" x14ac:dyDescent="0.25">
      <c r="A6" s="1" t="s">
        <v>15</v>
      </c>
      <c r="B6" s="6"/>
      <c r="C6" s="7"/>
      <c r="D6" s="8">
        <f t="shared" si="0"/>
        <v>0</v>
      </c>
      <c r="E6" s="6"/>
      <c r="F6" s="7"/>
      <c r="G6" s="8">
        <f t="shared" si="1"/>
        <v>0</v>
      </c>
      <c r="H6" s="6">
        <v>7</v>
      </c>
      <c r="I6" s="7">
        <v>0.57099999999999995</v>
      </c>
      <c r="J6" s="8">
        <f t="shared" si="2"/>
        <v>3.9969999999999999</v>
      </c>
      <c r="K6" s="6"/>
      <c r="L6" s="7"/>
      <c r="M6" s="8">
        <f t="shared" si="3"/>
        <v>0</v>
      </c>
      <c r="N6" s="6">
        <v>2</v>
      </c>
      <c r="O6" s="7">
        <v>1</v>
      </c>
      <c r="P6" s="8">
        <f t="shared" si="4"/>
        <v>2</v>
      </c>
      <c r="Q6" s="1"/>
      <c r="R6" s="6">
        <f t="shared" si="5"/>
        <v>9</v>
      </c>
      <c r="S6" s="9">
        <f t="shared" si="6"/>
        <v>0.66633333333333333</v>
      </c>
      <c r="T6" s="9">
        <f t="shared" si="7"/>
        <v>3.7974683544303799E-2</v>
      </c>
      <c r="U6" s="9">
        <f>R6 / _xlfn.XLOOKUP(A6, Top!A:A, Top!AA:AA)</f>
        <v>7.43801652892562E-2</v>
      </c>
      <c r="V6" s="1"/>
      <c r="W6" s="1"/>
    </row>
    <row r="7" spans="1:23" x14ac:dyDescent="0.25">
      <c r="A7" s="1" t="s">
        <v>17</v>
      </c>
      <c r="B7" s="6"/>
      <c r="C7" s="7"/>
      <c r="D7" s="8">
        <f t="shared" si="0"/>
        <v>0</v>
      </c>
      <c r="E7" s="6"/>
      <c r="F7" s="7"/>
      <c r="G7" s="8">
        <f t="shared" si="1"/>
        <v>0</v>
      </c>
      <c r="H7" s="6"/>
      <c r="I7" s="7"/>
      <c r="J7" s="8">
        <f t="shared" si="2"/>
        <v>0</v>
      </c>
      <c r="K7" s="6">
        <v>11</v>
      </c>
      <c r="L7" s="7">
        <v>0.54500000000000004</v>
      </c>
      <c r="M7" s="8">
        <f t="shared" si="3"/>
        <v>5.9950000000000001</v>
      </c>
      <c r="N7" s="6">
        <v>4</v>
      </c>
      <c r="O7" s="7">
        <v>0.5</v>
      </c>
      <c r="P7" s="8">
        <f t="shared" si="4"/>
        <v>2</v>
      </c>
      <c r="Q7" s="1"/>
      <c r="R7" s="6">
        <f t="shared" si="5"/>
        <v>15</v>
      </c>
      <c r="S7" s="9">
        <f t="shared" si="6"/>
        <v>0.53300000000000003</v>
      </c>
      <c r="T7" s="9">
        <f t="shared" si="7"/>
        <v>6.3291139240506333E-2</v>
      </c>
      <c r="U7" s="9">
        <f>R7 / _xlfn.XLOOKUP(A7, Top!A:A, Top!AA:AA)</f>
        <v>6.3829787234042548E-2</v>
      </c>
      <c r="V7" s="1"/>
      <c r="W7" s="1"/>
    </row>
    <row r="8" spans="1:23" x14ac:dyDescent="0.25">
      <c r="A8" s="1" t="s">
        <v>18</v>
      </c>
      <c r="B8" s="6"/>
      <c r="C8" s="7"/>
      <c r="D8" s="8">
        <f t="shared" si="0"/>
        <v>0</v>
      </c>
      <c r="E8" s="6"/>
      <c r="F8" s="7"/>
      <c r="G8" s="8">
        <f t="shared" si="1"/>
        <v>0</v>
      </c>
      <c r="H8" s="6">
        <v>4</v>
      </c>
      <c r="I8" s="7">
        <v>0.5</v>
      </c>
      <c r="J8" s="8">
        <f t="shared" si="2"/>
        <v>2</v>
      </c>
      <c r="K8" s="6"/>
      <c r="L8" s="7"/>
      <c r="M8" s="8">
        <f t="shared" si="3"/>
        <v>0</v>
      </c>
      <c r="N8" s="6"/>
      <c r="O8" s="7"/>
      <c r="P8" s="8">
        <f t="shared" si="4"/>
        <v>0</v>
      </c>
      <c r="Q8" s="1"/>
      <c r="R8" s="6">
        <f t="shared" si="5"/>
        <v>4</v>
      </c>
      <c r="S8" s="9">
        <f t="shared" si="6"/>
        <v>0.5</v>
      </c>
      <c r="T8" s="9">
        <f t="shared" si="7"/>
        <v>1.6877637130801686E-2</v>
      </c>
      <c r="U8" s="9">
        <f>R8 / _xlfn.XLOOKUP(A8, Top!A:A, Top!AA:AA)</f>
        <v>8.3333333333333329E-2</v>
      </c>
      <c r="V8" s="1"/>
      <c r="W8" s="1"/>
    </row>
    <row r="9" spans="1:23" x14ac:dyDescent="0.25">
      <c r="A9" s="25" t="s">
        <v>210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/>
      <c r="I9" s="7"/>
      <c r="J9" s="8">
        <f t="shared" si="2"/>
        <v>0</v>
      </c>
      <c r="K9" s="6">
        <v>2</v>
      </c>
      <c r="L9" s="7">
        <v>0.5</v>
      </c>
      <c r="M9" s="8">
        <f t="shared" si="3"/>
        <v>1</v>
      </c>
      <c r="N9" s="6"/>
      <c r="O9" s="7"/>
      <c r="P9" s="8">
        <f t="shared" si="4"/>
        <v>0</v>
      </c>
      <c r="Q9" s="1"/>
      <c r="R9" s="6">
        <f t="shared" si="5"/>
        <v>2</v>
      </c>
      <c r="S9" s="9">
        <f t="shared" si="6"/>
        <v>0.5</v>
      </c>
      <c r="T9" s="9">
        <f t="shared" si="7"/>
        <v>8.4388185654008432E-3</v>
      </c>
      <c r="U9" s="9">
        <f>R9 / _xlfn.XLOOKUP(A9, Top!A:A, Top!AA:AA)</f>
        <v>3.125E-2</v>
      </c>
      <c r="V9" s="1"/>
      <c r="W9" s="1"/>
    </row>
    <row r="10" spans="1:23" x14ac:dyDescent="0.25">
      <c r="A10" s="1" t="s">
        <v>16</v>
      </c>
      <c r="B10" s="6"/>
      <c r="C10" s="7"/>
      <c r="D10" s="8">
        <f t="shared" si="0"/>
        <v>0</v>
      </c>
      <c r="E10" s="6">
        <v>6</v>
      </c>
      <c r="F10" s="7">
        <v>0.5</v>
      </c>
      <c r="G10" s="8">
        <f t="shared" si="1"/>
        <v>3</v>
      </c>
      <c r="H10" s="6">
        <v>2</v>
      </c>
      <c r="I10" s="7">
        <v>0.5</v>
      </c>
      <c r="J10" s="8">
        <f t="shared" si="2"/>
        <v>1</v>
      </c>
      <c r="K10" s="6">
        <v>9</v>
      </c>
      <c r="L10" s="7">
        <v>0.44400000000000001</v>
      </c>
      <c r="M10" s="8">
        <f t="shared" si="3"/>
        <v>3.996</v>
      </c>
      <c r="N10" s="6">
        <v>1</v>
      </c>
      <c r="O10" s="7">
        <v>1</v>
      </c>
      <c r="P10" s="8">
        <f t="shared" si="4"/>
        <v>1</v>
      </c>
      <c r="Q10" s="1"/>
      <c r="R10" s="6">
        <f t="shared" si="5"/>
        <v>18</v>
      </c>
      <c r="S10" s="9">
        <f t="shared" si="6"/>
        <v>0.49977777777777782</v>
      </c>
      <c r="T10" s="9">
        <f t="shared" si="7"/>
        <v>7.5949367088607597E-2</v>
      </c>
      <c r="U10" s="9">
        <f>R10 / _xlfn.XLOOKUP(A10, Top!A:A, Top!AA:AA)</f>
        <v>4.3689320388349516E-2</v>
      </c>
      <c r="V10" s="1"/>
      <c r="W10" s="1"/>
    </row>
    <row r="11" spans="1:23" x14ac:dyDescent="0.25">
      <c r="A11" s="1" t="s">
        <v>7</v>
      </c>
      <c r="B11" s="6"/>
      <c r="C11" s="7"/>
      <c r="D11" s="8">
        <f t="shared" si="0"/>
        <v>0</v>
      </c>
      <c r="E11" s="6"/>
      <c r="F11" s="7"/>
      <c r="G11" s="8">
        <f t="shared" si="1"/>
        <v>0</v>
      </c>
      <c r="H11" s="6">
        <v>13</v>
      </c>
      <c r="I11" s="7">
        <v>0.53800000000000003</v>
      </c>
      <c r="J11" s="8">
        <f t="shared" si="2"/>
        <v>6.9940000000000007</v>
      </c>
      <c r="K11" s="6"/>
      <c r="L11" s="7"/>
      <c r="M11" s="8">
        <f t="shared" si="3"/>
        <v>0</v>
      </c>
      <c r="N11" s="6">
        <v>5</v>
      </c>
      <c r="O11" s="7">
        <v>0.4</v>
      </c>
      <c r="P11" s="8">
        <f t="shared" si="4"/>
        <v>2</v>
      </c>
      <c r="Q11" s="4"/>
      <c r="R11" s="6">
        <f t="shared" si="5"/>
        <v>18</v>
      </c>
      <c r="S11" s="9">
        <f t="shared" si="6"/>
        <v>0.49966666666666665</v>
      </c>
      <c r="T11" s="9">
        <f t="shared" si="7"/>
        <v>7.5949367088607597E-2</v>
      </c>
      <c r="U11" s="9">
        <f>R11 / _xlfn.XLOOKUP(A11, Top!A:A, Top!AA:AA)</f>
        <v>3.3898305084745763E-2</v>
      </c>
      <c r="V11" s="1"/>
      <c r="W11" s="1"/>
    </row>
    <row r="12" spans="1:23" x14ac:dyDescent="0.25">
      <c r="A12" s="25" t="s">
        <v>252</v>
      </c>
      <c r="B12" s="6"/>
      <c r="C12" s="7"/>
      <c r="D12" s="8">
        <f t="shared" si="0"/>
        <v>0</v>
      </c>
      <c r="E12" s="6">
        <v>6</v>
      </c>
      <c r="F12" s="7">
        <v>0.66700000000000004</v>
      </c>
      <c r="G12" s="8">
        <f t="shared" si="1"/>
        <v>4.0020000000000007</v>
      </c>
      <c r="H12" s="6">
        <v>22</v>
      </c>
      <c r="I12" s="7">
        <v>0.45500000000000002</v>
      </c>
      <c r="J12" s="8">
        <f t="shared" si="2"/>
        <v>10.01</v>
      </c>
      <c r="K12" s="6">
        <v>10</v>
      </c>
      <c r="L12" s="7">
        <v>0.4</v>
      </c>
      <c r="M12" s="8">
        <f t="shared" si="3"/>
        <v>4</v>
      </c>
      <c r="N12" s="6">
        <v>3</v>
      </c>
      <c r="O12" s="7">
        <v>0.66700000000000004</v>
      </c>
      <c r="P12" s="8">
        <f t="shared" si="4"/>
        <v>2.0010000000000003</v>
      </c>
      <c r="Q12" s="1"/>
      <c r="R12" s="6">
        <f t="shared" si="5"/>
        <v>41</v>
      </c>
      <c r="S12" s="9">
        <f t="shared" si="6"/>
        <v>0.48812195121951224</v>
      </c>
      <c r="T12" s="9">
        <f t="shared" si="7"/>
        <v>0.1729957805907173</v>
      </c>
      <c r="U12" s="9">
        <f>R12 / _xlfn.XLOOKUP(A12, Top!A:A, Top!AA:AA)</f>
        <v>6.1377245508982034E-2</v>
      </c>
      <c r="V12" s="1"/>
      <c r="W12" s="1"/>
    </row>
    <row r="13" spans="1:23" x14ac:dyDescent="0.25">
      <c r="A13" s="1" t="s">
        <v>22</v>
      </c>
      <c r="B13" s="6"/>
      <c r="C13" s="7"/>
      <c r="D13" s="8">
        <f t="shared" si="0"/>
        <v>0</v>
      </c>
      <c r="E13" s="6">
        <v>4</v>
      </c>
      <c r="F13" s="7">
        <v>0</v>
      </c>
      <c r="G13" s="8">
        <f t="shared" si="1"/>
        <v>0</v>
      </c>
      <c r="H13" s="6">
        <v>10</v>
      </c>
      <c r="I13" s="7">
        <v>0.3</v>
      </c>
      <c r="J13" s="8">
        <f t="shared" si="2"/>
        <v>3</v>
      </c>
      <c r="K13" s="6">
        <v>10</v>
      </c>
      <c r="L13" s="7">
        <v>0.7</v>
      </c>
      <c r="M13" s="8">
        <f t="shared" si="3"/>
        <v>7</v>
      </c>
      <c r="N13" s="6">
        <v>6</v>
      </c>
      <c r="O13" s="7">
        <v>0.66700000000000004</v>
      </c>
      <c r="P13" s="8">
        <f t="shared" si="4"/>
        <v>4.0020000000000007</v>
      </c>
      <c r="Q13" s="4"/>
      <c r="R13" s="6">
        <f t="shared" si="5"/>
        <v>30</v>
      </c>
      <c r="S13" s="9">
        <f t="shared" si="6"/>
        <v>0.46673333333333333</v>
      </c>
      <c r="T13" s="9">
        <f t="shared" si="7"/>
        <v>0.12658227848101267</v>
      </c>
      <c r="U13" s="9">
        <f>R13 / _xlfn.XLOOKUP(A13, Top!A:A, Top!AA:AA)</f>
        <v>5.8708414872798431E-2</v>
      </c>
      <c r="V13" s="1"/>
      <c r="W13" s="1"/>
    </row>
    <row r="14" spans="1:23" x14ac:dyDescent="0.25">
      <c r="A14" s="1" t="s">
        <v>23</v>
      </c>
      <c r="B14" s="6"/>
      <c r="C14" s="7"/>
      <c r="D14" s="8">
        <f t="shared" si="0"/>
        <v>0</v>
      </c>
      <c r="E14" s="6"/>
      <c r="F14" s="7"/>
      <c r="G14" s="8">
        <f t="shared" si="1"/>
        <v>0</v>
      </c>
      <c r="H14" s="6">
        <v>7</v>
      </c>
      <c r="I14" s="7">
        <v>0.28599999999999998</v>
      </c>
      <c r="J14" s="8">
        <f t="shared" si="2"/>
        <v>2.0019999999999998</v>
      </c>
      <c r="K14" s="6">
        <v>19</v>
      </c>
      <c r="L14" s="7">
        <v>0.52600000000000002</v>
      </c>
      <c r="M14" s="8">
        <f t="shared" si="3"/>
        <v>9.9939999999999998</v>
      </c>
      <c r="N14" s="6">
        <v>2</v>
      </c>
      <c r="O14" s="7">
        <v>0.5</v>
      </c>
      <c r="P14" s="8">
        <f t="shared" si="4"/>
        <v>1</v>
      </c>
      <c r="Q14" s="1"/>
      <c r="R14" s="6">
        <f t="shared" si="5"/>
        <v>28</v>
      </c>
      <c r="S14" s="9">
        <f t="shared" si="6"/>
        <v>0.46414285714285708</v>
      </c>
      <c r="T14" s="9">
        <f t="shared" si="7"/>
        <v>0.11814345991561181</v>
      </c>
      <c r="U14" s="9">
        <f>R14 / _xlfn.XLOOKUP(A14, Top!A:A, Top!AA:AA)</f>
        <v>7.179487179487179E-2</v>
      </c>
      <c r="V14" s="1"/>
      <c r="W14" s="1"/>
    </row>
    <row r="15" spans="1:23" x14ac:dyDescent="0.25">
      <c r="A15" s="1" t="s">
        <v>9</v>
      </c>
      <c r="B15" s="6"/>
      <c r="C15" s="7"/>
      <c r="D15" s="8">
        <f t="shared" si="0"/>
        <v>0</v>
      </c>
      <c r="E15" s="6"/>
      <c r="F15" s="7"/>
      <c r="G15" s="8">
        <f t="shared" si="1"/>
        <v>0</v>
      </c>
      <c r="H15" s="6">
        <v>4</v>
      </c>
      <c r="I15" s="7">
        <v>0.5</v>
      </c>
      <c r="J15" s="8">
        <f t="shared" si="2"/>
        <v>2</v>
      </c>
      <c r="K15" s="6">
        <v>4</v>
      </c>
      <c r="L15" s="7">
        <v>0.5</v>
      </c>
      <c r="M15" s="8">
        <f t="shared" si="3"/>
        <v>2</v>
      </c>
      <c r="N15" s="6">
        <v>1</v>
      </c>
      <c r="O15" s="7">
        <v>0</v>
      </c>
      <c r="P15" s="8">
        <f t="shared" si="4"/>
        <v>0</v>
      </c>
      <c r="Q15" s="1"/>
      <c r="R15" s="6">
        <f t="shared" si="5"/>
        <v>9</v>
      </c>
      <c r="S15" s="9">
        <f t="shared" si="6"/>
        <v>0.44444444444444442</v>
      </c>
      <c r="T15" s="9">
        <f t="shared" si="7"/>
        <v>3.7974683544303799E-2</v>
      </c>
      <c r="U15" s="9">
        <f>R15 / _xlfn.XLOOKUP(A15, Top!A:A, Top!AA:AA)</f>
        <v>2.7607361963190184E-2</v>
      </c>
      <c r="V15" s="1"/>
      <c r="W15" s="1"/>
    </row>
    <row r="16" spans="1:23" x14ac:dyDescent="0.25">
      <c r="A16" s="1" t="s">
        <v>8</v>
      </c>
      <c r="B16" s="6"/>
      <c r="C16" s="7"/>
      <c r="D16" s="8">
        <f t="shared" si="0"/>
        <v>0</v>
      </c>
      <c r="E16" s="6"/>
      <c r="F16" s="7"/>
      <c r="G16" s="8">
        <f t="shared" si="1"/>
        <v>0</v>
      </c>
      <c r="H16" s="6"/>
      <c r="I16" s="7"/>
      <c r="J16" s="8">
        <f t="shared" si="2"/>
        <v>0</v>
      </c>
      <c r="K16" s="6">
        <v>9</v>
      </c>
      <c r="L16" s="7">
        <v>0.44400000000000001</v>
      </c>
      <c r="M16" s="8">
        <f t="shared" si="3"/>
        <v>3.996</v>
      </c>
      <c r="N16" s="6"/>
      <c r="O16" s="7"/>
      <c r="P16" s="8">
        <f t="shared" si="4"/>
        <v>0</v>
      </c>
      <c r="Q16" s="1"/>
      <c r="R16" s="6">
        <f t="shared" si="5"/>
        <v>9</v>
      </c>
      <c r="S16" s="9">
        <f t="shared" si="6"/>
        <v>0.44400000000000001</v>
      </c>
      <c r="T16" s="9">
        <f t="shared" si="7"/>
        <v>3.7974683544303799E-2</v>
      </c>
      <c r="U16" s="9">
        <f>R16 / _xlfn.XLOOKUP(A16, Top!A:A, Top!AA:AA)</f>
        <v>3.4749034749034749E-2</v>
      </c>
      <c r="V16" s="1"/>
      <c r="W16" s="1"/>
    </row>
    <row r="17" spans="1:23" x14ac:dyDescent="0.25">
      <c r="A17" s="1" t="s">
        <v>19</v>
      </c>
      <c r="B17" s="6"/>
      <c r="C17" s="7"/>
      <c r="D17" s="8">
        <f t="shared" si="0"/>
        <v>0</v>
      </c>
      <c r="E17" s="6"/>
      <c r="F17" s="7"/>
      <c r="G17" s="8">
        <f t="shared" si="1"/>
        <v>0</v>
      </c>
      <c r="H17" s="6">
        <v>3</v>
      </c>
      <c r="I17" s="7">
        <v>0.33300000000000002</v>
      </c>
      <c r="J17" s="8">
        <f t="shared" si="2"/>
        <v>0.99900000000000011</v>
      </c>
      <c r="K17" s="6"/>
      <c r="L17" s="7"/>
      <c r="M17" s="8">
        <f t="shared" si="3"/>
        <v>0</v>
      </c>
      <c r="N17" s="6"/>
      <c r="O17" s="7"/>
      <c r="P17" s="8">
        <f t="shared" si="4"/>
        <v>0</v>
      </c>
      <c r="Q17" s="1"/>
      <c r="R17" s="6">
        <f t="shared" si="5"/>
        <v>3</v>
      </c>
      <c r="S17" s="9">
        <f t="shared" si="6"/>
        <v>0.33300000000000002</v>
      </c>
      <c r="T17" s="9">
        <f t="shared" si="7"/>
        <v>1.2658227848101266E-2</v>
      </c>
      <c r="U17" s="9">
        <f>R17 / _xlfn.XLOOKUP(A17, Top!A:A, Top!AA:AA)</f>
        <v>2.1897810218978103E-2</v>
      </c>
      <c r="V17" s="1"/>
      <c r="W17" s="1"/>
    </row>
    <row r="18" spans="1:23" x14ac:dyDescent="0.25">
      <c r="A18" s="1" t="s">
        <v>11</v>
      </c>
      <c r="B18" s="6">
        <v>1</v>
      </c>
      <c r="C18" s="7">
        <v>1</v>
      </c>
      <c r="D18" s="8">
        <f t="shared" si="0"/>
        <v>1</v>
      </c>
      <c r="E18" s="6">
        <v>1</v>
      </c>
      <c r="F18" s="7">
        <v>0</v>
      </c>
      <c r="G18" s="8">
        <f t="shared" si="1"/>
        <v>0</v>
      </c>
      <c r="H18" s="6"/>
      <c r="I18" s="7"/>
      <c r="J18" s="8">
        <f t="shared" si="2"/>
        <v>0</v>
      </c>
      <c r="K18" s="6">
        <v>10</v>
      </c>
      <c r="L18" s="7">
        <v>0.2</v>
      </c>
      <c r="M18" s="8">
        <f t="shared" si="3"/>
        <v>2</v>
      </c>
      <c r="N18" s="6">
        <v>1</v>
      </c>
      <c r="O18" s="7">
        <v>1</v>
      </c>
      <c r="P18" s="8">
        <f t="shared" si="4"/>
        <v>1</v>
      </c>
      <c r="Q18" s="4"/>
      <c r="R18" s="6">
        <f t="shared" si="5"/>
        <v>13</v>
      </c>
      <c r="S18" s="9">
        <f t="shared" si="6"/>
        <v>0.30769230769230771</v>
      </c>
      <c r="T18" s="9">
        <f t="shared" si="7"/>
        <v>5.4852320675105488E-2</v>
      </c>
      <c r="U18" s="9">
        <f>R18 / _xlfn.XLOOKUP(A18, Top!A:A, Top!AA:AA)</f>
        <v>3.4120734908136482E-2</v>
      </c>
      <c r="V18" s="1"/>
      <c r="W18" s="1"/>
    </row>
    <row r="19" spans="1:23" x14ac:dyDescent="0.25">
      <c r="A19" s="1" t="s">
        <v>40</v>
      </c>
      <c r="B19" s="6"/>
      <c r="C19" s="7"/>
      <c r="D19" s="8">
        <f t="shared" si="0"/>
        <v>0</v>
      </c>
      <c r="E19" s="6"/>
      <c r="F19" s="7"/>
      <c r="G19" s="8">
        <f t="shared" si="1"/>
        <v>0</v>
      </c>
      <c r="H19" s="6">
        <v>8</v>
      </c>
      <c r="I19" s="7">
        <v>0.25</v>
      </c>
      <c r="J19" s="8">
        <f t="shared" si="2"/>
        <v>2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1"/>
      <c r="R19" s="6">
        <f t="shared" si="5"/>
        <v>8</v>
      </c>
      <c r="S19" s="9">
        <f t="shared" si="6"/>
        <v>0.25</v>
      </c>
      <c r="T19" s="9">
        <f t="shared" si="7"/>
        <v>3.3755274261603373E-2</v>
      </c>
      <c r="U19" s="9">
        <f>R19 / _xlfn.XLOOKUP(A19, Top!A:A, Top!AA:AA)</f>
        <v>0.125</v>
      </c>
    </row>
    <row r="20" spans="1:23" x14ac:dyDescent="0.25">
      <c r="A20" s="25" t="s">
        <v>208</v>
      </c>
      <c r="B20" s="6"/>
      <c r="C20" s="7"/>
      <c r="D20" s="8">
        <f t="shared" si="0"/>
        <v>0</v>
      </c>
      <c r="E20" s="6"/>
      <c r="F20" s="7"/>
      <c r="G20" s="8">
        <f t="shared" si="1"/>
        <v>0</v>
      </c>
      <c r="H20" s="6"/>
      <c r="I20" s="7"/>
      <c r="J20" s="8">
        <f t="shared" si="2"/>
        <v>0</v>
      </c>
      <c r="K20" s="6">
        <v>8</v>
      </c>
      <c r="L20" s="7">
        <v>0.25</v>
      </c>
      <c r="M20" s="8">
        <f t="shared" si="3"/>
        <v>2</v>
      </c>
      <c r="N20" s="6">
        <v>2</v>
      </c>
      <c r="O20" s="7">
        <v>0</v>
      </c>
      <c r="P20" s="8">
        <f t="shared" si="4"/>
        <v>0</v>
      </c>
      <c r="Q20" s="1"/>
      <c r="R20" s="6">
        <f t="shared" si="5"/>
        <v>10</v>
      </c>
      <c r="S20" s="9">
        <f t="shared" si="6"/>
        <v>0.2</v>
      </c>
      <c r="T20" s="9">
        <f t="shared" si="7"/>
        <v>4.2194092827004218E-2</v>
      </c>
      <c r="U20" s="9">
        <f>R20 / _xlfn.XLOOKUP(A20, Top!A:A, Top!AA:AA)</f>
        <v>5.2083333333333336E-2</v>
      </c>
    </row>
    <row r="21" spans="1:23" x14ac:dyDescent="0.25">
      <c r="A21" s="1" t="s">
        <v>201</v>
      </c>
      <c r="B21" s="6"/>
      <c r="C21" s="7"/>
      <c r="D21" s="8">
        <f t="shared" si="0"/>
        <v>0</v>
      </c>
      <c r="E21" s="6"/>
      <c r="F21" s="7"/>
      <c r="G21" s="8">
        <f t="shared" si="1"/>
        <v>0</v>
      </c>
      <c r="H21" s="6">
        <v>1</v>
      </c>
      <c r="I21" s="7">
        <v>0</v>
      </c>
      <c r="J21" s="8">
        <f t="shared" si="2"/>
        <v>0</v>
      </c>
      <c r="K21" s="6">
        <v>2</v>
      </c>
      <c r="L21" s="7">
        <v>0</v>
      </c>
      <c r="M21" s="8">
        <f t="shared" si="3"/>
        <v>0</v>
      </c>
      <c r="N21" s="6">
        <v>1</v>
      </c>
      <c r="O21" s="7">
        <v>0</v>
      </c>
      <c r="P21" s="8">
        <f t="shared" si="4"/>
        <v>0</v>
      </c>
      <c r="Q21" s="13"/>
      <c r="R21" s="6">
        <f t="shared" si="5"/>
        <v>4</v>
      </c>
      <c r="S21" s="9">
        <f t="shared" si="6"/>
        <v>0</v>
      </c>
      <c r="T21" s="9">
        <f t="shared" si="7"/>
        <v>1.6877637130801686E-2</v>
      </c>
      <c r="U21" s="9">
        <f>R21 / _xlfn.XLOOKUP(A21, Top!A:A, Top!AA:AA)</f>
        <v>5.1948051948051951E-2</v>
      </c>
    </row>
    <row r="22" spans="1:23" x14ac:dyDescent="0.25">
      <c r="A22" s="1" t="s">
        <v>95</v>
      </c>
      <c r="B22" s="6"/>
      <c r="C22" s="7"/>
      <c r="D22" s="8">
        <f t="shared" si="0"/>
        <v>0</v>
      </c>
      <c r="E22" s="6"/>
      <c r="F22" s="7"/>
      <c r="G22" s="8">
        <f t="shared" si="1"/>
        <v>0</v>
      </c>
      <c r="H22" s="6">
        <v>4</v>
      </c>
      <c r="I22" s="7">
        <v>0</v>
      </c>
      <c r="J22" s="8">
        <f t="shared" si="2"/>
        <v>0</v>
      </c>
      <c r="K22" s="6"/>
      <c r="L22" s="7"/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4</v>
      </c>
      <c r="S22" s="9">
        <f t="shared" si="6"/>
        <v>0</v>
      </c>
      <c r="T22" s="9">
        <f t="shared" si="7"/>
        <v>1.6877637130801686E-2</v>
      </c>
      <c r="U22" s="9">
        <f>R22 / _xlfn.XLOOKUP(A22, Top!A:A, Top!AA:AA)</f>
        <v>8.5106382978723402E-2</v>
      </c>
    </row>
    <row r="23" spans="1:23" x14ac:dyDescent="0.25">
      <c r="A23" s="1" t="s">
        <v>14</v>
      </c>
      <c r="B23" s="6"/>
      <c r="C23" s="7"/>
      <c r="D23" s="8">
        <f t="shared" si="0"/>
        <v>0</v>
      </c>
      <c r="E23" s="6"/>
      <c r="F23" s="7"/>
      <c r="G23" s="8">
        <f t="shared" si="1"/>
        <v>0</v>
      </c>
      <c r="H23" s="6">
        <v>2</v>
      </c>
      <c r="I23" s="7">
        <v>0</v>
      </c>
      <c r="J23" s="8">
        <f t="shared" si="2"/>
        <v>0</v>
      </c>
      <c r="K23" s="6"/>
      <c r="L23" s="7"/>
      <c r="M23" s="8">
        <f t="shared" si="3"/>
        <v>0</v>
      </c>
      <c r="N23" s="6">
        <v>1</v>
      </c>
      <c r="O23" s="7">
        <v>0</v>
      </c>
      <c r="P23" s="8">
        <f t="shared" si="4"/>
        <v>0</v>
      </c>
      <c r="Q23" s="1"/>
      <c r="R23" s="6">
        <f t="shared" si="5"/>
        <v>3</v>
      </c>
      <c r="S23" s="9">
        <f t="shared" si="6"/>
        <v>0</v>
      </c>
      <c r="T23" s="9">
        <f t="shared" si="7"/>
        <v>1.2658227848101266E-2</v>
      </c>
      <c r="U23" s="9">
        <f>R23 / _xlfn.XLOOKUP(A23, Top!A:A, Top!AA:AA)</f>
        <v>1.4018691588785047E-2</v>
      </c>
    </row>
    <row r="24" spans="1:23" x14ac:dyDescent="0.25">
      <c r="A24" s="1" t="s">
        <v>31</v>
      </c>
      <c r="B24" s="6"/>
      <c r="C24" s="7"/>
      <c r="D24" s="8">
        <f t="shared" si="0"/>
        <v>0</v>
      </c>
      <c r="E24" s="6"/>
      <c r="F24" s="7"/>
      <c r="G24" s="8">
        <f t="shared" si="1"/>
        <v>0</v>
      </c>
      <c r="H24" s="6">
        <v>2</v>
      </c>
      <c r="I24" s="7">
        <v>0</v>
      </c>
      <c r="J24" s="8">
        <f t="shared" si="2"/>
        <v>0</v>
      </c>
      <c r="K24" s="6"/>
      <c r="L24" s="7"/>
      <c r="M24" s="8">
        <f t="shared" si="3"/>
        <v>0</v>
      </c>
      <c r="N24" s="6"/>
      <c r="O24" s="7"/>
      <c r="P24" s="8">
        <f t="shared" si="4"/>
        <v>0</v>
      </c>
      <c r="Q24" s="1"/>
      <c r="R24" s="6">
        <f t="shared" si="5"/>
        <v>2</v>
      </c>
      <c r="S24" s="9">
        <f t="shared" si="6"/>
        <v>0</v>
      </c>
      <c r="T24" s="9">
        <f t="shared" si="7"/>
        <v>8.4388185654008432E-3</v>
      </c>
      <c r="U24" s="9">
        <f>R24 / _xlfn.XLOOKUP(A24, Top!A:A, Top!AA:AA)</f>
        <v>3.3333333333333333E-2</v>
      </c>
    </row>
    <row r="25" spans="1:23" x14ac:dyDescent="0.25">
      <c r="A25" s="1" t="s">
        <v>49</v>
      </c>
      <c r="B25" s="6"/>
      <c r="C25" s="7"/>
      <c r="D25" s="8">
        <f t="shared" si="0"/>
        <v>0</v>
      </c>
      <c r="E25" s="6"/>
      <c r="F25" s="7"/>
      <c r="G25" s="8">
        <f t="shared" si="1"/>
        <v>0</v>
      </c>
      <c r="H25" s="6">
        <v>1</v>
      </c>
      <c r="I25" s="7">
        <v>0</v>
      </c>
      <c r="J25" s="8">
        <f t="shared" si="2"/>
        <v>0</v>
      </c>
      <c r="K25" s="6"/>
      <c r="L25" s="7"/>
      <c r="M25" s="8">
        <f t="shared" si="3"/>
        <v>0</v>
      </c>
      <c r="N25" s="6"/>
      <c r="O25" s="7"/>
      <c r="P25" s="8">
        <f t="shared" si="4"/>
        <v>0</v>
      </c>
      <c r="Q25" s="1"/>
      <c r="R25" s="6">
        <f t="shared" si="5"/>
        <v>1</v>
      </c>
      <c r="S25" s="9">
        <f t="shared" si="6"/>
        <v>0</v>
      </c>
      <c r="T25" s="9">
        <f t="shared" si="7"/>
        <v>4.2194092827004216E-3</v>
      </c>
      <c r="U25" s="9">
        <f>R25 / _xlfn.XLOOKUP(A25, Top!A:A, Top!AA:AA)</f>
        <v>7.1428571428571425E-2</v>
      </c>
    </row>
    <row r="26" spans="1:23" x14ac:dyDescent="0.25">
      <c r="A26" s="1" t="s">
        <v>21</v>
      </c>
      <c r="B26" s="6"/>
      <c r="C26" s="7"/>
      <c r="D26" s="8">
        <f t="shared" si="0"/>
        <v>0</v>
      </c>
      <c r="E26" s="6"/>
      <c r="F26" s="7"/>
      <c r="G26" s="8">
        <f t="shared" si="1"/>
        <v>0</v>
      </c>
      <c r="H26" s="6">
        <v>1</v>
      </c>
      <c r="I26" s="7">
        <v>0</v>
      </c>
      <c r="J26" s="8">
        <f t="shared" si="2"/>
        <v>0</v>
      </c>
      <c r="K26" s="6"/>
      <c r="L26" s="7"/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1</v>
      </c>
      <c r="S26" s="9">
        <f t="shared" si="6"/>
        <v>0</v>
      </c>
      <c r="T26" s="9">
        <f t="shared" si="7"/>
        <v>4.2194092827004216E-3</v>
      </c>
      <c r="U26" s="9">
        <f>R26 / _xlfn.XLOOKUP(A26, Top!A:A, Top!AA:AA)</f>
        <v>5.5555555555555552E-2</v>
      </c>
    </row>
    <row r="27" spans="1:23" x14ac:dyDescent="0.25">
      <c r="B27" s="6"/>
      <c r="C27" s="7"/>
      <c r="D27" s="8">
        <f t="shared" ref="D27:D35" si="8">B27*C27</f>
        <v>0</v>
      </c>
      <c r="E27" s="6"/>
      <c r="F27" s="7"/>
      <c r="G27" s="8">
        <f t="shared" ref="G27:G35" si="9">E27*F27</f>
        <v>0</v>
      </c>
      <c r="H27" s="6"/>
      <c r="I27" s="7"/>
      <c r="J27" s="8">
        <f t="shared" ref="J27:J35" si="10">H27*I27</f>
        <v>0</v>
      </c>
      <c r="K27" s="6"/>
      <c r="L27" s="7"/>
      <c r="M27" s="8">
        <f t="shared" ref="M27:M35" si="11">K27*L27</f>
        <v>0</v>
      </c>
      <c r="N27" s="6"/>
      <c r="O27" s="7"/>
      <c r="P27" s="8">
        <f t="shared" ref="P27:P35" si="12">N27*O27</f>
        <v>0</v>
      </c>
      <c r="Q27" s="1"/>
      <c r="R27" s="6">
        <f t="shared" ref="R27:R35" si="13">B27+E27+H27+K27+N27</f>
        <v>0</v>
      </c>
      <c r="S27" s="9" t="e">
        <f t="shared" ref="S27:S35" si="14">(D27+G27+J27+M27+P27)/R27</f>
        <v>#DIV/0!</v>
      </c>
      <c r="T27" s="9">
        <f t="shared" ref="T27:T35" si="15">R27/$V$3</f>
        <v>0</v>
      </c>
      <c r="U27" s="9" t="e">
        <f>R27 / _xlfn.XLOOKUP(A27, Top!A:A, Top!AA:AA)</f>
        <v>#DIV/0!</v>
      </c>
    </row>
    <row r="28" spans="1:23" x14ac:dyDescent="0.25">
      <c r="B28" s="6"/>
      <c r="C28" s="7"/>
      <c r="D28" s="8">
        <f t="shared" si="8"/>
        <v>0</v>
      </c>
      <c r="E28" s="6"/>
      <c r="F28" s="7"/>
      <c r="G28" s="8">
        <f t="shared" si="9"/>
        <v>0</v>
      </c>
      <c r="H28" s="6"/>
      <c r="I28" s="7"/>
      <c r="J28" s="8">
        <f t="shared" si="10"/>
        <v>0</v>
      </c>
      <c r="K28" s="6"/>
      <c r="L28" s="7"/>
      <c r="M28" s="8">
        <f t="shared" si="11"/>
        <v>0</v>
      </c>
      <c r="N28" s="6"/>
      <c r="O28" s="7"/>
      <c r="P28" s="8">
        <f t="shared" si="12"/>
        <v>0</v>
      </c>
      <c r="Q28" s="1"/>
      <c r="R28" s="6">
        <f t="shared" si="13"/>
        <v>0</v>
      </c>
      <c r="S28" s="9" t="e">
        <f t="shared" si="14"/>
        <v>#DIV/0!</v>
      </c>
      <c r="T28" s="9">
        <f t="shared" si="15"/>
        <v>0</v>
      </c>
      <c r="U28" s="9" t="e">
        <f>R28 / _xlfn.XLOOKUP(A28, Top!A:A, Top!AA:AA)</f>
        <v>#DIV/0!</v>
      </c>
    </row>
    <row r="29" spans="1:23" x14ac:dyDescent="0.25">
      <c r="B29" s="6"/>
      <c r="C29" s="7"/>
      <c r="D29" s="8">
        <f t="shared" si="8"/>
        <v>0</v>
      </c>
      <c r="E29" s="6"/>
      <c r="F29" s="7"/>
      <c r="G29" s="8">
        <f t="shared" si="9"/>
        <v>0</v>
      </c>
      <c r="H29" s="6"/>
      <c r="I29" s="7"/>
      <c r="J29" s="8">
        <f t="shared" si="10"/>
        <v>0</v>
      </c>
      <c r="K29" s="6"/>
      <c r="L29" s="7"/>
      <c r="M29" s="8">
        <f t="shared" si="11"/>
        <v>0</v>
      </c>
      <c r="N29" s="6"/>
      <c r="O29" s="7"/>
      <c r="P29" s="8">
        <f t="shared" si="12"/>
        <v>0</v>
      </c>
      <c r="Q29" s="1"/>
      <c r="R29" s="6">
        <f t="shared" si="13"/>
        <v>0</v>
      </c>
      <c r="S29" s="9" t="e">
        <f t="shared" si="14"/>
        <v>#DIV/0!</v>
      </c>
      <c r="T29" s="9">
        <f t="shared" si="15"/>
        <v>0</v>
      </c>
      <c r="U29" s="9" t="e">
        <f>R29 / _xlfn.XLOOKUP(A29, Top!A:A, Top!AA:AA)</f>
        <v>#DIV/0!</v>
      </c>
    </row>
    <row r="30" spans="1:23" x14ac:dyDescent="0.25">
      <c r="B30" s="6"/>
      <c r="C30" s="7"/>
      <c r="D30" s="8">
        <f t="shared" si="8"/>
        <v>0</v>
      </c>
      <c r="E30" s="6"/>
      <c r="F30" s="7"/>
      <c r="G30" s="8">
        <f t="shared" si="9"/>
        <v>0</v>
      </c>
      <c r="H30" s="6"/>
      <c r="I30" s="7"/>
      <c r="J30" s="8">
        <f t="shared" si="10"/>
        <v>0</v>
      </c>
      <c r="K30" s="6"/>
      <c r="L30" s="7"/>
      <c r="M30" s="8">
        <f t="shared" si="11"/>
        <v>0</v>
      </c>
      <c r="N30" s="6"/>
      <c r="O30" s="7"/>
      <c r="P30" s="8">
        <f t="shared" si="12"/>
        <v>0</v>
      </c>
      <c r="Q30" s="1"/>
      <c r="R30" s="6">
        <f t="shared" si="13"/>
        <v>0</v>
      </c>
      <c r="S30" s="9" t="e">
        <f t="shared" si="14"/>
        <v>#DIV/0!</v>
      </c>
      <c r="T30" s="9">
        <f t="shared" si="15"/>
        <v>0</v>
      </c>
      <c r="U30" s="9" t="e">
        <f>R30 / _xlfn.XLOOKUP(A30, Top!A:A, Top!AA:AA)</f>
        <v>#DIV/0!</v>
      </c>
    </row>
    <row r="31" spans="1:23" x14ac:dyDescent="0.25">
      <c r="B31" s="6"/>
      <c r="C31" s="7"/>
      <c r="D31" s="8">
        <f t="shared" si="8"/>
        <v>0</v>
      </c>
      <c r="E31" s="6"/>
      <c r="F31" s="7"/>
      <c r="G31" s="8">
        <f t="shared" si="9"/>
        <v>0</v>
      </c>
      <c r="H31" s="6"/>
      <c r="I31" s="7"/>
      <c r="J31" s="8">
        <f t="shared" si="10"/>
        <v>0</v>
      </c>
      <c r="K31" s="6"/>
      <c r="L31" s="7"/>
      <c r="M31" s="8">
        <f t="shared" si="11"/>
        <v>0</v>
      </c>
      <c r="N31" s="6"/>
      <c r="O31" s="7"/>
      <c r="P31" s="8">
        <f t="shared" si="12"/>
        <v>0</v>
      </c>
      <c r="Q31" s="1"/>
      <c r="R31" s="6">
        <f t="shared" si="13"/>
        <v>0</v>
      </c>
      <c r="S31" s="9" t="e">
        <f t="shared" si="14"/>
        <v>#DIV/0!</v>
      </c>
      <c r="T31" s="9">
        <f t="shared" si="15"/>
        <v>0</v>
      </c>
      <c r="U31" s="9" t="e">
        <f>R31 / _xlfn.XLOOKUP(A31, Top!A:A, Top!AA:AA)</f>
        <v>#DIV/0!</v>
      </c>
    </row>
    <row r="32" spans="1:23" x14ac:dyDescent="0.25">
      <c r="B32" s="6"/>
      <c r="C32" s="7"/>
      <c r="D32" s="8">
        <f t="shared" si="8"/>
        <v>0</v>
      </c>
      <c r="E32" s="6"/>
      <c r="F32" s="7"/>
      <c r="G32" s="8">
        <f t="shared" si="9"/>
        <v>0</v>
      </c>
      <c r="H32" s="6"/>
      <c r="I32" s="7"/>
      <c r="J32" s="8">
        <f t="shared" si="10"/>
        <v>0</v>
      </c>
      <c r="K32" s="6"/>
      <c r="L32" s="7"/>
      <c r="M32" s="8">
        <f t="shared" si="11"/>
        <v>0</v>
      </c>
      <c r="N32" s="6"/>
      <c r="O32" s="7"/>
      <c r="P32" s="8">
        <f t="shared" si="12"/>
        <v>0</v>
      </c>
      <c r="Q32" s="1"/>
      <c r="R32" s="6">
        <f t="shared" si="13"/>
        <v>0</v>
      </c>
      <c r="S32" s="9" t="e">
        <f t="shared" si="14"/>
        <v>#DIV/0!</v>
      </c>
      <c r="T32" s="9">
        <f t="shared" si="15"/>
        <v>0</v>
      </c>
      <c r="U32" s="9" t="e">
        <f>R32 / _xlfn.XLOOKUP(A32, Top!A:A, Top!AA:AA)</f>
        <v>#DIV/0!</v>
      </c>
    </row>
    <row r="33" spans="2:21" x14ac:dyDescent="0.25">
      <c r="B33" s="6"/>
      <c r="C33" s="7"/>
      <c r="D33" s="8">
        <f t="shared" si="8"/>
        <v>0</v>
      </c>
      <c r="E33" s="6"/>
      <c r="F33" s="7"/>
      <c r="G33" s="8">
        <f t="shared" si="9"/>
        <v>0</v>
      </c>
      <c r="H33" s="6"/>
      <c r="I33" s="7"/>
      <c r="J33" s="8">
        <f t="shared" si="10"/>
        <v>0</v>
      </c>
      <c r="K33" s="6"/>
      <c r="L33" s="7"/>
      <c r="M33" s="8">
        <f t="shared" si="11"/>
        <v>0</v>
      </c>
      <c r="N33" s="6"/>
      <c r="O33" s="7"/>
      <c r="P33" s="8">
        <f t="shared" si="12"/>
        <v>0</v>
      </c>
      <c r="Q33" s="1"/>
      <c r="R33" s="6">
        <f t="shared" si="13"/>
        <v>0</v>
      </c>
      <c r="S33" s="9" t="e">
        <f t="shared" si="14"/>
        <v>#DIV/0!</v>
      </c>
      <c r="T33" s="9">
        <f t="shared" si="15"/>
        <v>0</v>
      </c>
      <c r="U33" s="9" t="e">
        <f>R33 / _xlfn.XLOOKUP(A33, Top!A:A, Top!AA:AA)</f>
        <v>#DIV/0!</v>
      </c>
    </row>
    <row r="34" spans="2:21" x14ac:dyDescent="0.25">
      <c r="B34" s="6"/>
      <c r="C34" s="7"/>
      <c r="D34" s="8">
        <f t="shared" si="8"/>
        <v>0</v>
      </c>
      <c r="E34" s="6"/>
      <c r="F34" s="7"/>
      <c r="G34" s="8">
        <f t="shared" si="9"/>
        <v>0</v>
      </c>
      <c r="H34" s="6"/>
      <c r="I34" s="7"/>
      <c r="J34" s="8">
        <f t="shared" si="10"/>
        <v>0</v>
      </c>
      <c r="K34" s="6"/>
      <c r="L34" s="7"/>
      <c r="M34" s="8">
        <f t="shared" si="11"/>
        <v>0</v>
      </c>
      <c r="N34" s="6"/>
      <c r="O34" s="7"/>
      <c r="P34" s="8">
        <f t="shared" si="12"/>
        <v>0</v>
      </c>
      <c r="Q34" s="1"/>
      <c r="R34" s="6">
        <f t="shared" si="13"/>
        <v>0</v>
      </c>
      <c r="S34" s="9" t="e">
        <f t="shared" si="14"/>
        <v>#DIV/0!</v>
      </c>
      <c r="T34" s="9">
        <f t="shared" si="15"/>
        <v>0</v>
      </c>
      <c r="U34" s="9" t="e">
        <f>R34 / _xlfn.XLOOKUP(A34, Top!A:A, Top!AA:AA)</f>
        <v>#DIV/0!</v>
      </c>
    </row>
    <row r="35" spans="2:21" x14ac:dyDescent="0.25">
      <c r="B35" s="6"/>
      <c r="C35" s="7"/>
      <c r="D35" s="8">
        <f t="shared" si="8"/>
        <v>0</v>
      </c>
      <c r="E35" s="6"/>
      <c r="F35" s="7"/>
      <c r="G35" s="8">
        <f t="shared" si="9"/>
        <v>0</v>
      </c>
      <c r="H35" s="6"/>
      <c r="I35" s="7"/>
      <c r="J35" s="8">
        <f t="shared" si="10"/>
        <v>0</v>
      </c>
      <c r="K35" s="6"/>
      <c r="L35" s="7"/>
      <c r="M35" s="8">
        <f t="shared" si="11"/>
        <v>0</v>
      </c>
      <c r="N35" s="6"/>
      <c r="O35" s="7"/>
      <c r="P35" s="8">
        <f t="shared" si="12"/>
        <v>0</v>
      </c>
      <c r="Q35" s="1"/>
      <c r="R35" s="6">
        <f t="shared" si="13"/>
        <v>0</v>
      </c>
      <c r="S35" s="9" t="e">
        <f t="shared" si="14"/>
        <v>#DIV/0!</v>
      </c>
      <c r="T35" s="9">
        <f t="shared" si="15"/>
        <v>0</v>
      </c>
      <c r="U35" s="9" t="e">
        <f>R35 / _xlfn.XLOOKUP(A35, Top!A:A, Top!AA:AA)</f>
        <v>#DIV/0!</v>
      </c>
    </row>
  </sheetData>
  <sortState xmlns:xlrd2="http://schemas.microsoft.com/office/spreadsheetml/2017/richdata2" ref="A3:U26">
    <sortCondition descending="1" ref="S3:S26"/>
  </sortState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5DEAC-C432-4A95-BB22-68B0E22F7244}">
  <sheetPr>
    <tabColor theme="4" tint="0.59999389629810485"/>
  </sheetPr>
  <dimension ref="A1:W29"/>
  <sheetViews>
    <sheetView workbookViewId="0">
      <selection activeCell="A12" sqref="A12"/>
    </sheetView>
  </sheetViews>
  <sheetFormatPr baseColWidth="10" defaultRowHeight="15" x14ac:dyDescent="0.25"/>
  <sheetData>
    <row r="1" spans="1:23" ht="15.75" x14ac:dyDescent="0.25">
      <c r="A1" s="2" t="s">
        <v>66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27</v>
      </c>
      <c r="B3" s="6"/>
      <c r="C3" s="7"/>
      <c r="D3" s="8">
        <f t="shared" ref="D3:D29" si="0">B3*C3</f>
        <v>0</v>
      </c>
      <c r="E3" s="6"/>
      <c r="F3" s="7"/>
      <c r="G3" s="8">
        <f t="shared" ref="G3:G29" si="1">E3*F3</f>
        <v>0</v>
      </c>
      <c r="H3" s="6"/>
      <c r="I3" s="7"/>
      <c r="J3" s="8">
        <f t="shared" ref="J3:J29" si="2">H3*I3</f>
        <v>0</v>
      </c>
      <c r="K3" s="6"/>
      <c r="L3" s="7"/>
      <c r="M3" s="8">
        <f t="shared" ref="M3:M29" si="3">K3*L3</f>
        <v>0</v>
      </c>
      <c r="N3" s="6"/>
      <c r="O3" s="7"/>
      <c r="P3" s="8">
        <f t="shared" ref="P3:P29" si="4">N3*O3</f>
        <v>0</v>
      </c>
      <c r="Q3" s="1"/>
      <c r="R3" s="6">
        <f t="shared" ref="R3:R28" si="5">B3+E3+H3+K3+N3</f>
        <v>0</v>
      </c>
      <c r="S3" s="9" t="e">
        <f t="shared" ref="S3:S29" si="6">(D3+G3+J3+M3+P3)/R3</f>
        <v>#DIV/0!</v>
      </c>
      <c r="T3" s="9">
        <f t="shared" ref="T3:T28" si="7">R3/$V$3</f>
        <v>0</v>
      </c>
      <c r="U3" s="9">
        <f>R3 / _xlfn.XLOOKUP(A3, Top!A:A, Top!AA:AA)</f>
        <v>0</v>
      </c>
      <c r="V3" s="11">
        <f>SUM(R3:R41)</f>
        <v>142</v>
      </c>
      <c r="W3" s="12">
        <f>(SUM(D3:D71)+SUM(G3:G71)+SUM(J3:J71)+SUM(M3:M71)+SUM(P3:P71)) / V3</f>
        <v>0.27459154929577467</v>
      </c>
    </row>
    <row r="4" spans="1:23" x14ac:dyDescent="0.25">
      <c r="A4" s="1" t="s">
        <v>13</v>
      </c>
      <c r="B4" s="6"/>
      <c r="C4" s="7"/>
      <c r="D4" s="8">
        <f t="shared" si="0"/>
        <v>0</v>
      </c>
      <c r="E4" s="6">
        <v>1</v>
      </c>
      <c r="F4" s="7">
        <v>1</v>
      </c>
      <c r="G4" s="8">
        <f t="shared" si="1"/>
        <v>1</v>
      </c>
      <c r="H4" s="6"/>
      <c r="I4" s="7"/>
      <c r="J4" s="8">
        <f t="shared" si="2"/>
        <v>0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4"/>
      <c r="R4" s="6">
        <f t="shared" si="5"/>
        <v>1</v>
      </c>
      <c r="S4" s="9">
        <f t="shared" si="6"/>
        <v>1</v>
      </c>
      <c r="T4" s="9">
        <f t="shared" si="7"/>
        <v>7.0422535211267607E-3</v>
      </c>
      <c r="U4" s="9">
        <f>R4 / _xlfn.XLOOKUP(A4, Top!A:A, Top!AA:AA)</f>
        <v>8.3333333333333332E-3</v>
      </c>
      <c r="V4" s="1"/>
      <c r="W4" s="1"/>
    </row>
    <row r="5" spans="1:23" x14ac:dyDescent="0.25">
      <c r="A5" s="1" t="s">
        <v>7</v>
      </c>
      <c r="B5" s="6"/>
      <c r="C5" s="7"/>
      <c r="D5" s="8">
        <f t="shared" si="0"/>
        <v>0</v>
      </c>
      <c r="E5" s="6">
        <v>2</v>
      </c>
      <c r="F5" s="7">
        <v>0.5</v>
      </c>
      <c r="G5" s="8">
        <f t="shared" si="1"/>
        <v>1</v>
      </c>
      <c r="H5" s="6">
        <v>3</v>
      </c>
      <c r="I5" s="7">
        <v>0.66700000000000004</v>
      </c>
      <c r="J5" s="8">
        <f t="shared" si="2"/>
        <v>2.0010000000000003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5</v>
      </c>
      <c r="S5" s="9">
        <f t="shared" si="6"/>
        <v>0.60020000000000007</v>
      </c>
      <c r="T5" s="9">
        <f t="shared" si="7"/>
        <v>3.5211267605633804E-2</v>
      </c>
      <c r="U5" s="9">
        <f>R5 / _xlfn.XLOOKUP(A5, Top!A:A, Top!AA:AA)</f>
        <v>9.4161958568738224E-3</v>
      </c>
      <c r="V5" s="1"/>
      <c r="W5" s="1"/>
    </row>
    <row r="6" spans="1:23" x14ac:dyDescent="0.25">
      <c r="A6" s="1" t="s">
        <v>95</v>
      </c>
      <c r="B6" s="6"/>
      <c r="C6" s="7"/>
      <c r="D6" s="8">
        <f t="shared" si="0"/>
        <v>0</v>
      </c>
      <c r="E6" s="6"/>
      <c r="F6" s="7"/>
      <c r="G6" s="8">
        <f t="shared" si="1"/>
        <v>0</v>
      </c>
      <c r="H6" s="6">
        <v>4</v>
      </c>
      <c r="I6" s="7">
        <v>0.5</v>
      </c>
      <c r="J6" s="8">
        <f t="shared" si="2"/>
        <v>2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1"/>
      <c r="R6" s="6">
        <f t="shared" si="5"/>
        <v>4</v>
      </c>
      <c r="S6" s="9">
        <f t="shared" si="6"/>
        <v>0.5</v>
      </c>
      <c r="T6" s="9">
        <f t="shared" si="7"/>
        <v>2.8169014084507043E-2</v>
      </c>
      <c r="U6" s="9">
        <f>R6 / _xlfn.XLOOKUP(A6, Top!A:A, Top!AA:AA)</f>
        <v>8.5106382978723402E-2</v>
      </c>
      <c r="V6" s="1"/>
      <c r="W6" s="1"/>
    </row>
    <row r="7" spans="1:23" x14ac:dyDescent="0.25">
      <c r="A7" s="1" t="s">
        <v>49</v>
      </c>
      <c r="B7" s="6"/>
      <c r="C7" s="7"/>
      <c r="D7" s="8">
        <f t="shared" si="0"/>
        <v>0</v>
      </c>
      <c r="E7" s="6">
        <v>2</v>
      </c>
      <c r="F7" s="7">
        <v>0.5</v>
      </c>
      <c r="G7" s="8">
        <f t="shared" si="1"/>
        <v>1</v>
      </c>
      <c r="H7" s="6"/>
      <c r="I7" s="7"/>
      <c r="J7" s="8">
        <f t="shared" si="2"/>
        <v>0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2</v>
      </c>
      <c r="S7" s="9">
        <f t="shared" si="6"/>
        <v>0.5</v>
      </c>
      <c r="T7" s="9">
        <f t="shared" si="7"/>
        <v>1.4084507042253521E-2</v>
      </c>
      <c r="U7" s="9">
        <f>R7 / _xlfn.XLOOKUP(A7, Top!A:A, Top!AA:AA)</f>
        <v>0.14285714285714285</v>
      </c>
      <c r="V7" s="1"/>
      <c r="W7" s="1"/>
    </row>
    <row r="8" spans="1:23" x14ac:dyDescent="0.25">
      <c r="A8" s="25" t="s">
        <v>252</v>
      </c>
      <c r="B8" s="6"/>
      <c r="C8" s="7"/>
      <c r="D8" s="8">
        <f t="shared" si="0"/>
        <v>0</v>
      </c>
      <c r="E8" s="6">
        <v>27</v>
      </c>
      <c r="F8" s="7">
        <v>0.37</v>
      </c>
      <c r="G8" s="8">
        <f t="shared" si="1"/>
        <v>9.99</v>
      </c>
      <c r="H8" s="6">
        <v>12</v>
      </c>
      <c r="I8" s="7">
        <v>0.5</v>
      </c>
      <c r="J8" s="8">
        <f t="shared" si="2"/>
        <v>6</v>
      </c>
      <c r="K8" s="6"/>
      <c r="L8" s="7"/>
      <c r="M8" s="8">
        <f t="shared" si="3"/>
        <v>0</v>
      </c>
      <c r="N8" s="6"/>
      <c r="O8" s="7"/>
      <c r="P8" s="8">
        <f t="shared" si="4"/>
        <v>0</v>
      </c>
      <c r="Q8" s="1"/>
      <c r="R8" s="6">
        <f t="shared" si="5"/>
        <v>39</v>
      </c>
      <c r="S8" s="9">
        <f t="shared" si="6"/>
        <v>0.41000000000000003</v>
      </c>
      <c r="T8" s="9">
        <f t="shared" si="7"/>
        <v>0.27464788732394368</v>
      </c>
      <c r="U8" s="9">
        <f>R8 / _xlfn.XLOOKUP(A8, Top!A:A, Top!AA:AA)</f>
        <v>5.8383233532934134E-2</v>
      </c>
      <c r="V8" s="1"/>
      <c r="W8" s="1"/>
    </row>
    <row r="9" spans="1:23" x14ac:dyDescent="0.25">
      <c r="A9" s="1" t="s">
        <v>31</v>
      </c>
      <c r="B9" s="6"/>
      <c r="C9" s="7"/>
      <c r="D9" s="8">
        <f t="shared" si="0"/>
        <v>0</v>
      </c>
      <c r="E9" s="6">
        <v>4</v>
      </c>
      <c r="F9" s="7">
        <v>0.5</v>
      </c>
      <c r="G9" s="8">
        <f t="shared" si="1"/>
        <v>2</v>
      </c>
      <c r="H9" s="6">
        <v>1</v>
      </c>
      <c r="I9" s="7">
        <v>0</v>
      </c>
      <c r="J9" s="8">
        <f t="shared" si="2"/>
        <v>0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4"/>
      <c r="R9" s="6">
        <f t="shared" si="5"/>
        <v>5</v>
      </c>
      <c r="S9" s="9">
        <f t="shared" si="6"/>
        <v>0.4</v>
      </c>
      <c r="T9" s="9">
        <f t="shared" si="7"/>
        <v>3.5211267605633804E-2</v>
      </c>
      <c r="U9" s="9">
        <f>R9 / _xlfn.XLOOKUP(A9, Top!A:A, Top!AA:AA)</f>
        <v>8.3333333333333329E-2</v>
      </c>
      <c r="V9" s="1"/>
      <c r="W9" s="1"/>
    </row>
    <row r="10" spans="1:23" x14ac:dyDescent="0.25">
      <c r="A10" s="1" t="s">
        <v>40</v>
      </c>
      <c r="B10" s="6"/>
      <c r="C10" s="7"/>
      <c r="D10" s="8">
        <f t="shared" si="0"/>
        <v>0</v>
      </c>
      <c r="E10" s="6"/>
      <c r="F10" s="7"/>
      <c r="G10" s="8">
        <f t="shared" si="1"/>
        <v>0</v>
      </c>
      <c r="H10" s="6">
        <v>14</v>
      </c>
      <c r="I10" s="7">
        <v>0.35699999999999998</v>
      </c>
      <c r="J10" s="8">
        <f t="shared" si="2"/>
        <v>4.9979999999999993</v>
      </c>
      <c r="K10" s="6"/>
      <c r="L10" s="7"/>
      <c r="M10" s="8">
        <f t="shared" si="3"/>
        <v>0</v>
      </c>
      <c r="N10" s="6"/>
      <c r="O10" s="7"/>
      <c r="P10" s="8">
        <f t="shared" si="4"/>
        <v>0</v>
      </c>
      <c r="Q10" s="1"/>
      <c r="R10" s="6">
        <f t="shared" si="5"/>
        <v>14</v>
      </c>
      <c r="S10" s="9">
        <f t="shared" si="6"/>
        <v>0.35699999999999993</v>
      </c>
      <c r="T10" s="9">
        <f t="shared" si="7"/>
        <v>9.8591549295774641E-2</v>
      </c>
      <c r="U10" s="9">
        <f>R10 / _xlfn.XLOOKUP(A10, Top!A:A, Top!AA:AA)</f>
        <v>0.21875</v>
      </c>
      <c r="V10" s="1"/>
      <c r="W10" s="1"/>
    </row>
    <row r="11" spans="1:23" x14ac:dyDescent="0.25">
      <c r="A11" s="1" t="s">
        <v>22</v>
      </c>
      <c r="B11" s="6"/>
      <c r="C11" s="7"/>
      <c r="D11" s="8">
        <f t="shared" si="0"/>
        <v>0</v>
      </c>
      <c r="E11" s="6">
        <v>16</v>
      </c>
      <c r="F11" s="7">
        <v>0.375</v>
      </c>
      <c r="G11" s="8">
        <f t="shared" si="1"/>
        <v>6</v>
      </c>
      <c r="H11" s="6">
        <v>5</v>
      </c>
      <c r="I11" s="7">
        <v>0.2</v>
      </c>
      <c r="J11" s="8">
        <f t="shared" si="2"/>
        <v>1</v>
      </c>
      <c r="K11" s="6"/>
      <c r="L11" s="7"/>
      <c r="M11" s="8">
        <f t="shared" si="3"/>
        <v>0</v>
      </c>
      <c r="N11" s="6"/>
      <c r="O11" s="7"/>
      <c r="P11" s="8">
        <f t="shared" si="4"/>
        <v>0</v>
      </c>
      <c r="Q11" s="4"/>
      <c r="R11" s="6">
        <f t="shared" si="5"/>
        <v>21</v>
      </c>
      <c r="S11" s="9">
        <f t="shared" si="6"/>
        <v>0.33333333333333331</v>
      </c>
      <c r="T11" s="9">
        <f t="shared" si="7"/>
        <v>0.14788732394366197</v>
      </c>
      <c r="U11" s="9">
        <f>R11 / _xlfn.XLOOKUP(A11, Top!A:A, Top!AA:AA)</f>
        <v>4.1095890410958902E-2</v>
      </c>
    </row>
    <row r="12" spans="1:23" x14ac:dyDescent="0.25">
      <c r="A12" s="1" t="s">
        <v>17</v>
      </c>
      <c r="B12" s="6"/>
      <c r="C12" s="7"/>
      <c r="D12" s="8">
        <f t="shared" si="0"/>
        <v>0</v>
      </c>
      <c r="E12" s="6">
        <v>6</v>
      </c>
      <c r="F12" s="7">
        <v>0.16700000000000001</v>
      </c>
      <c r="G12" s="8">
        <f t="shared" si="1"/>
        <v>1.002</v>
      </c>
      <c r="H12" s="6"/>
      <c r="I12" s="7"/>
      <c r="J12" s="8">
        <f t="shared" si="2"/>
        <v>0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1"/>
      <c r="R12" s="6">
        <f t="shared" si="5"/>
        <v>6</v>
      </c>
      <c r="S12" s="9">
        <f t="shared" si="6"/>
        <v>0.16700000000000001</v>
      </c>
      <c r="T12" s="9">
        <f t="shared" si="7"/>
        <v>4.2253521126760563E-2</v>
      </c>
      <c r="U12" s="9">
        <f>R12 / _xlfn.XLOOKUP(A12, Top!A:A, Top!AA:AA)</f>
        <v>2.553191489361702E-2</v>
      </c>
    </row>
    <row r="13" spans="1:23" x14ac:dyDescent="0.25">
      <c r="A13" s="1" t="s">
        <v>16</v>
      </c>
      <c r="B13" s="6"/>
      <c r="C13" s="7"/>
      <c r="D13" s="8">
        <f t="shared" si="0"/>
        <v>0</v>
      </c>
      <c r="E13" s="6">
        <v>8</v>
      </c>
      <c r="F13" s="7">
        <v>0</v>
      </c>
      <c r="G13" s="8">
        <f t="shared" si="1"/>
        <v>0</v>
      </c>
      <c r="H13" s="6">
        <v>7</v>
      </c>
      <c r="I13" s="7">
        <v>0.14299999999999999</v>
      </c>
      <c r="J13" s="8">
        <f t="shared" si="2"/>
        <v>1.0009999999999999</v>
      </c>
      <c r="K13" s="6"/>
      <c r="L13" s="7"/>
      <c r="M13" s="8">
        <f t="shared" si="3"/>
        <v>0</v>
      </c>
      <c r="N13" s="6"/>
      <c r="O13" s="7"/>
      <c r="P13" s="8">
        <f t="shared" si="4"/>
        <v>0</v>
      </c>
      <c r="Q13" s="1"/>
      <c r="R13" s="6">
        <f t="shared" si="5"/>
        <v>15</v>
      </c>
      <c r="S13" s="9">
        <f t="shared" si="6"/>
        <v>6.6733333333333325E-2</v>
      </c>
      <c r="T13" s="9">
        <f t="shared" si="7"/>
        <v>0.10563380281690141</v>
      </c>
      <c r="U13" s="9">
        <f>R13 / _xlfn.XLOOKUP(A13, Top!A:A, Top!AA:AA)</f>
        <v>3.640776699029126E-2</v>
      </c>
    </row>
    <row r="14" spans="1:23" x14ac:dyDescent="0.25">
      <c r="A14" s="1" t="s">
        <v>9</v>
      </c>
      <c r="B14" s="6"/>
      <c r="C14" s="7"/>
      <c r="D14" s="8">
        <f t="shared" si="0"/>
        <v>0</v>
      </c>
      <c r="E14" s="6">
        <v>2</v>
      </c>
      <c r="F14" s="7">
        <v>0</v>
      </c>
      <c r="G14" s="8">
        <f t="shared" si="1"/>
        <v>0</v>
      </c>
      <c r="H14" s="6">
        <v>5</v>
      </c>
      <c r="I14" s="7">
        <v>0</v>
      </c>
      <c r="J14" s="8">
        <f t="shared" si="2"/>
        <v>0</v>
      </c>
      <c r="K14" s="6"/>
      <c r="L14" s="7"/>
      <c r="M14" s="8">
        <f t="shared" si="3"/>
        <v>0</v>
      </c>
      <c r="N14" s="6"/>
      <c r="O14" s="7"/>
      <c r="P14" s="8">
        <f t="shared" si="4"/>
        <v>0</v>
      </c>
      <c r="Q14" s="1"/>
      <c r="R14" s="6">
        <f t="shared" si="5"/>
        <v>7</v>
      </c>
      <c r="S14" s="9">
        <f t="shared" si="6"/>
        <v>0</v>
      </c>
      <c r="T14" s="9">
        <f t="shared" si="7"/>
        <v>4.9295774647887321E-2</v>
      </c>
      <c r="U14" s="9">
        <f>R14 / _xlfn.XLOOKUP(A14, Top!A:A, Top!AA:AA)</f>
        <v>2.1472392638036811E-2</v>
      </c>
    </row>
    <row r="15" spans="1:23" x14ac:dyDescent="0.25">
      <c r="A15" s="1" t="s">
        <v>42</v>
      </c>
      <c r="B15" s="6">
        <v>1</v>
      </c>
      <c r="C15" s="7">
        <v>0</v>
      </c>
      <c r="D15" s="8">
        <f t="shared" si="0"/>
        <v>0</v>
      </c>
      <c r="E15" s="6"/>
      <c r="F15" s="7"/>
      <c r="G15" s="8">
        <f t="shared" si="1"/>
        <v>0</v>
      </c>
      <c r="H15" s="6"/>
      <c r="I15" s="7"/>
      <c r="J15" s="8">
        <f t="shared" si="2"/>
        <v>0</v>
      </c>
      <c r="K15" s="6"/>
      <c r="L15" s="7"/>
      <c r="M15" s="8">
        <f t="shared" si="3"/>
        <v>0</v>
      </c>
      <c r="N15" s="6"/>
      <c r="O15" s="7"/>
      <c r="P15" s="8">
        <f t="shared" si="4"/>
        <v>0</v>
      </c>
      <c r="Q15" s="13"/>
      <c r="R15" s="6">
        <f t="shared" si="5"/>
        <v>1</v>
      </c>
      <c r="S15" s="9">
        <f t="shared" si="6"/>
        <v>0</v>
      </c>
      <c r="T15" s="9">
        <f t="shared" si="7"/>
        <v>7.0422535211267607E-3</v>
      </c>
      <c r="U15" s="9">
        <f>R15 / _xlfn.XLOOKUP(A15, Top!A:A, Top!AA:AA)</f>
        <v>0.2</v>
      </c>
    </row>
    <row r="16" spans="1:23" x14ac:dyDescent="0.25">
      <c r="A16" s="1" t="s">
        <v>20</v>
      </c>
      <c r="B16" s="6"/>
      <c r="C16" s="7"/>
      <c r="D16" s="8">
        <f t="shared" si="0"/>
        <v>0</v>
      </c>
      <c r="E16" s="6">
        <v>1</v>
      </c>
      <c r="F16" s="7">
        <v>0</v>
      </c>
      <c r="G16" s="8">
        <f t="shared" si="1"/>
        <v>0</v>
      </c>
      <c r="H16" s="6"/>
      <c r="I16" s="7"/>
      <c r="J16" s="8">
        <f t="shared" si="2"/>
        <v>0</v>
      </c>
      <c r="K16" s="6"/>
      <c r="L16" s="7"/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1</v>
      </c>
      <c r="S16" s="9">
        <f t="shared" si="6"/>
        <v>0</v>
      </c>
      <c r="T16" s="9">
        <f t="shared" si="7"/>
        <v>7.0422535211267607E-3</v>
      </c>
      <c r="U16" s="9">
        <f>R16 / _xlfn.XLOOKUP(A16, Top!A:A, Top!AA:AA)</f>
        <v>1.1904761904761904E-2</v>
      </c>
    </row>
    <row r="17" spans="1:21" x14ac:dyDescent="0.25">
      <c r="A17" s="1" t="s">
        <v>10</v>
      </c>
      <c r="B17" s="6">
        <v>1</v>
      </c>
      <c r="C17" s="7">
        <v>0</v>
      </c>
      <c r="D17" s="8">
        <f t="shared" si="0"/>
        <v>0</v>
      </c>
      <c r="E17" s="6">
        <v>4</v>
      </c>
      <c r="F17" s="7">
        <v>0</v>
      </c>
      <c r="G17" s="8">
        <f t="shared" si="1"/>
        <v>0</v>
      </c>
      <c r="H17" s="6"/>
      <c r="I17" s="7"/>
      <c r="J17" s="8">
        <f t="shared" si="2"/>
        <v>0</v>
      </c>
      <c r="K17" s="6"/>
      <c r="L17" s="7"/>
      <c r="M17" s="8">
        <f t="shared" si="3"/>
        <v>0</v>
      </c>
      <c r="N17" s="6"/>
      <c r="O17" s="7"/>
      <c r="P17" s="8">
        <f t="shared" si="4"/>
        <v>0</v>
      </c>
      <c r="Q17" s="1"/>
      <c r="R17" s="6">
        <f t="shared" si="5"/>
        <v>5</v>
      </c>
      <c r="S17" s="9">
        <f t="shared" si="6"/>
        <v>0</v>
      </c>
      <c r="T17" s="9">
        <f t="shared" si="7"/>
        <v>3.5211267605633804E-2</v>
      </c>
      <c r="U17" s="9">
        <f>R17 / _xlfn.XLOOKUP(A17, Top!A:A, Top!AA:AA)</f>
        <v>2.3148148148148147E-2</v>
      </c>
    </row>
    <row r="18" spans="1:21" x14ac:dyDescent="0.25">
      <c r="A18" s="1" t="s">
        <v>11</v>
      </c>
      <c r="B18" s="6"/>
      <c r="C18" s="7"/>
      <c r="D18" s="8">
        <f t="shared" si="0"/>
        <v>0</v>
      </c>
      <c r="E18" s="6">
        <v>2</v>
      </c>
      <c r="F18" s="7">
        <v>0</v>
      </c>
      <c r="G18" s="8">
        <f t="shared" si="1"/>
        <v>0</v>
      </c>
      <c r="H18" s="6"/>
      <c r="I18" s="7"/>
      <c r="J18" s="8">
        <f t="shared" si="2"/>
        <v>0</v>
      </c>
      <c r="K18" s="6"/>
      <c r="L18" s="7"/>
      <c r="M18" s="8">
        <f t="shared" si="3"/>
        <v>0</v>
      </c>
      <c r="N18" s="6"/>
      <c r="O18" s="7"/>
      <c r="P18" s="8">
        <f t="shared" si="4"/>
        <v>0</v>
      </c>
      <c r="Q18" s="4"/>
      <c r="R18" s="6">
        <f t="shared" si="5"/>
        <v>2</v>
      </c>
      <c r="S18" s="9">
        <f t="shared" si="6"/>
        <v>0</v>
      </c>
      <c r="T18" s="9">
        <f t="shared" si="7"/>
        <v>1.4084507042253521E-2</v>
      </c>
      <c r="U18" s="9">
        <f>R18 / _xlfn.XLOOKUP(A18, Top!A:A, Top!AA:AA)</f>
        <v>5.2493438320209973E-3</v>
      </c>
    </row>
    <row r="19" spans="1:21" x14ac:dyDescent="0.25">
      <c r="A19" s="1" t="s">
        <v>24</v>
      </c>
      <c r="B19" s="6"/>
      <c r="C19" s="7"/>
      <c r="D19" s="8">
        <f t="shared" si="0"/>
        <v>0</v>
      </c>
      <c r="E19" s="6">
        <v>1</v>
      </c>
      <c r="F19" s="7">
        <v>0</v>
      </c>
      <c r="G19" s="8">
        <f t="shared" si="1"/>
        <v>0</v>
      </c>
      <c r="H19" s="6"/>
      <c r="I19" s="7"/>
      <c r="J19" s="8">
        <f t="shared" si="2"/>
        <v>0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1"/>
      <c r="R19" s="6">
        <f t="shared" si="5"/>
        <v>1</v>
      </c>
      <c r="S19" s="9">
        <f t="shared" si="6"/>
        <v>0</v>
      </c>
      <c r="T19" s="9">
        <f t="shared" si="7"/>
        <v>7.0422535211267607E-3</v>
      </c>
      <c r="U19" s="9">
        <f>R19 / _xlfn.XLOOKUP(A19, Top!A:A, Top!AA:AA)</f>
        <v>5.5555555555555552E-2</v>
      </c>
    </row>
    <row r="20" spans="1:21" x14ac:dyDescent="0.25">
      <c r="A20" s="1" t="s">
        <v>8</v>
      </c>
      <c r="B20" s="6"/>
      <c r="C20" s="7"/>
      <c r="D20" s="8">
        <f t="shared" si="0"/>
        <v>0</v>
      </c>
      <c r="E20" s="6">
        <v>2</v>
      </c>
      <c r="F20" s="7">
        <v>0</v>
      </c>
      <c r="G20" s="8">
        <f t="shared" si="1"/>
        <v>0</v>
      </c>
      <c r="H20" s="6"/>
      <c r="I20" s="7"/>
      <c r="J20" s="8">
        <f t="shared" si="2"/>
        <v>0</v>
      </c>
      <c r="K20" s="6"/>
      <c r="L20" s="7"/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2</v>
      </c>
      <c r="S20" s="9">
        <f t="shared" si="6"/>
        <v>0</v>
      </c>
      <c r="T20" s="9">
        <f t="shared" si="7"/>
        <v>1.4084507042253521E-2</v>
      </c>
      <c r="U20" s="9">
        <f>R20 / _xlfn.XLOOKUP(A20, Top!A:A, Top!AA:AA)</f>
        <v>7.7220077220077222E-3</v>
      </c>
    </row>
    <row r="21" spans="1:21" x14ac:dyDescent="0.25">
      <c r="A21" s="1" t="s">
        <v>52</v>
      </c>
      <c r="B21" s="6"/>
      <c r="C21" s="7"/>
      <c r="D21" s="8">
        <f t="shared" si="0"/>
        <v>0</v>
      </c>
      <c r="E21" s="6">
        <v>1</v>
      </c>
      <c r="F21" s="7">
        <v>0</v>
      </c>
      <c r="G21" s="8">
        <f t="shared" si="1"/>
        <v>0</v>
      </c>
      <c r="H21" s="6"/>
      <c r="I21" s="7"/>
      <c r="J21" s="8">
        <f t="shared" si="2"/>
        <v>0</v>
      </c>
      <c r="K21" s="6"/>
      <c r="L21" s="7"/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1</v>
      </c>
      <c r="S21" s="9">
        <f t="shared" si="6"/>
        <v>0</v>
      </c>
      <c r="T21" s="9">
        <f t="shared" si="7"/>
        <v>7.0422535211267607E-3</v>
      </c>
      <c r="U21" s="9">
        <f>R21 / _xlfn.XLOOKUP(A21, Top!A:A, Top!AA:AA)</f>
        <v>0.5</v>
      </c>
    </row>
    <row r="22" spans="1:21" x14ac:dyDescent="0.25">
      <c r="A22" s="1" t="s">
        <v>36</v>
      </c>
      <c r="B22" s="6"/>
      <c r="C22" s="7"/>
      <c r="D22" s="8">
        <f t="shared" si="0"/>
        <v>0</v>
      </c>
      <c r="E22" s="6">
        <v>1</v>
      </c>
      <c r="F22" s="7">
        <v>0</v>
      </c>
      <c r="G22" s="8">
        <f t="shared" si="1"/>
        <v>0</v>
      </c>
      <c r="H22" s="6"/>
      <c r="I22" s="7"/>
      <c r="J22" s="8">
        <f t="shared" si="2"/>
        <v>0</v>
      </c>
      <c r="K22" s="6"/>
      <c r="L22" s="7"/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1</v>
      </c>
      <c r="S22" s="9">
        <f t="shared" si="6"/>
        <v>0</v>
      </c>
      <c r="T22" s="9">
        <f t="shared" si="7"/>
        <v>7.0422535211267607E-3</v>
      </c>
      <c r="U22" s="9">
        <f>R22 / _xlfn.XLOOKUP(A22, Top!A:A, Top!AA:AA)</f>
        <v>2.7777777777777776E-2</v>
      </c>
    </row>
    <row r="23" spans="1:21" x14ac:dyDescent="0.25">
      <c r="A23" s="1" t="s">
        <v>30</v>
      </c>
      <c r="B23" s="6"/>
      <c r="C23" s="7"/>
      <c r="D23" s="8">
        <f t="shared" si="0"/>
        <v>0</v>
      </c>
      <c r="E23" s="6">
        <v>1</v>
      </c>
      <c r="F23" s="7">
        <v>0</v>
      </c>
      <c r="G23" s="8">
        <f t="shared" si="1"/>
        <v>0</v>
      </c>
      <c r="H23" s="6"/>
      <c r="I23" s="7"/>
      <c r="J23" s="8">
        <f t="shared" si="2"/>
        <v>0</v>
      </c>
      <c r="K23" s="6"/>
      <c r="L23" s="7"/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1</v>
      </c>
      <c r="S23" s="9">
        <f t="shared" si="6"/>
        <v>0</v>
      </c>
      <c r="T23" s="9">
        <f t="shared" si="7"/>
        <v>7.0422535211267607E-3</v>
      </c>
      <c r="U23" s="9">
        <f>R23 / _xlfn.XLOOKUP(A23, Top!A:A, Top!AA:AA)</f>
        <v>5.2631578947368418E-2</v>
      </c>
    </row>
    <row r="24" spans="1:21" x14ac:dyDescent="0.25">
      <c r="A24" s="1" t="s">
        <v>14</v>
      </c>
      <c r="B24" s="6"/>
      <c r="C24" s="7"/>
      <c r="D24" s="8">
        <f t="shared" si="0"/>
        <v>0</v>
      </c>
      <c r="E24" s="6">
        <v>2</v>
      </c>
      <c r="F24" s="7">
        <v>0</v>
      </c>
      <c r="G24" s="8">
        <f t="shared" si="1"/>
        <v>0</v>
      </c>
      <c r="H24" s="6"/>
      <c r="I24" s="7"/>
      <c r="J24" s="8">
        <f t="shared" si="2"/>
        <v>0</v>
      </c>
      <c r="K24" s="6"/>
      <c r="L24" s="7"/>
      <c r="M24" s="8">
        <f t="shared" si="3"/>
        <v>0</v>
      </c>
      <c r="N24" s="6"/>
      <c r="O24" s="7"/>
      <c r="P24" s="8">
        <f t="shared" si="4"/>
        <v>0</v>
      </c>
      <c r="Q24" s="1"/>
      <c r="R24" s="6">
        <f t="shared" si="5"/>
        <v>2</v>
      </c>
      <c r="S24" s="9">
        <f t="shared" si="6"/>
        <v>0</v>
      </c>
      <c r="T24" s="9">
        <f t="shared" si="7"/>
        <v>1.4084507042253521E-2</v>
      </c>
      <c r="U24" s="9">
        <f>R24 / _xlfn.XLOOKUP(A24, Top!A:A, Top!AA:AA)</f>
        <v>9.3457943925233638E-3</v>
      </c>
    </row>
    <row r="25" spans="1:21" x14ac:dyDescent="0.25">
      <c r="A25" s="1" t="s">
        <v>26</v>
      </c>
      <c r="B25" s="6"/>
      <c r="C25" s="7"/>
      <c r="D25" s="8">
        <f t="shared" si="0"/>
        <v>0</v>
      </c>
      <c r="E25" s="6">
        <v>1</v>
      </c>
      <c r="F25" s="7">
        <v>0</v>
      </c>
      <c r="G25" s="8">
        <f t="shared" si="1"/>
        <v>0</v>
      </c>
      <c r="H25" s="6"/>
      <c r="I25" s="7"/>
      <c r="J25" s="8">
        <f t="shared" si="2"/>
        <v>0</v>
      </c>
      <c r="K25" s="6"/>
      <c r="L25" s="7"/>
      <c r="M25" s="8">
        <f t="shared" si="3"/>
        <v>0</v>
      </c>
      <c r="N25" s="6"/>
      <c r="O25" s="7"/>
      <c r="P25" s="8">
        <f t="shared" si="4"/>
        <v>0</v>
      </c>
      <c r="Q25" s="1"/>
      <c r="R25" s="6">
        <f t="shared" si="5"/>
        <v>1</v>
      </c>
      <c r="S25" s="9">
        <f t="shared" si="6"/>
        <v>0</v>
      </c>
      <c r="T25" s="9">
        <f t="shared" si="7"/>
        <v>7.0422535211267607E-3</v>
      </c>
      <c r="U25" s="9">
        <f>R25 / _xlfn.XLOOKUP(A25, Top!A:A, Top!AA:AA)</f>
        <v>1.3513513513513514E-2</v>
      </c>
    </row>
    <row r="26" spans="1:21" x14ac:dyDescent="0.25">
      <c r="A26" s="1" t="s">
        <v>18</v>
      </c>
      <c r="B26" s="6"/>
      <c r="C26" s="7"/>
      <c r="D26" s="8">
        <f t="shared" si="0"/>
        <v>0</v>
      </c>
      <c r="E26" s="6"/>
      <c r="F26" s="7"/>
      <c r="G26" s="8">
        <f t="shared" si="1"/>
        <v>0</v>
      </c>
      <c r="H26" s="6">
        <v>1</v>
      </c>
      <c r="I26" s="7">
        <v>0</v>
      </c>
      <c r="J26" s="8">
        <f t="shared" si="2"/>
        <v>0</v>
      </c>
      <c r="K26" s="6"/>
      <c r="L26" s="7"/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1</v>
      </c>
      <c r="S26" s="9">
        <f t="shared" si="6"/>
        <v>0</v>
      </c>
      <c r="T26" s="9">
        <f t="shared" si="7"/>
        <v>7.0422535211267607E-3</v>
      </c>
      <c r="U26" s="9">
        <f>R26 / _xlfn.XLOOKUP(A26, Top!A:A, Top!AA:AA)</f>
        <v>2.0833333333333332E-2</v>
      </c>
    </row>
    <row r="27" spans="1:21" x14ac:dyDescent="0.25">
      <c r="A27" s="1" t="s">
        <v>25</v>
      </c>
      <c r="B27" s="6"/>
      <c r="C27" s="7"/>
      <c r="D27" s="8">
        <f t="shared" si="0"/>
        <v>0</v>
      </c>
      <c r="E27" s="6"/>
      <c r="F27" s="7"/>
      <c r="G27" s="8">
        <f t="shared" si="1"/>
        <v>0</v>
      </c>
      <c r="H27" s="6">
        <v>1</v>
      </c>
      <c r="I27" s="7">
        <v>0</v>
      </c>
      <c r="J27" s="8">
        <f t="shared" si="2"/>
        <v>0</v>
      </c>
      <c r="K27" s="6"/>
      <c r="L27" s="7"/>
      <c r="M27" s="8">
        <f t="shared" si="3"/>
        <v>0</v>
      </c>
      <c r="N27" s="6"/>
      <c r="O27" s="7"/>
      <c r="P27" s="8">
        <f t="shared" si="4"/>
        <v>0</v>
      </c>
      <c r="Q27" s="1"/>
      <c r="R27" s="6">
        <f t="shared" si="5"/>
        <v>1</v>
      </c>
      <c r="S27" s="9">
        <f t="shared" si="6"/>
        <v>0</v>
      </c>
      <c r="T27" s="9">
        <f t="shared" si="7"/>
        <v>7.0422535211267607E-3</v>
      </c>
      <c r="U27" s="9">
        <f>R27 / _xlfn.XLOOKUP(A27, Top!A:A, Top!AA:AA)</f>
        <v>5.8823529411764705E-2</v>
      </c>
    </row>
    <row r="28" spans="1:21" x14ac:dyDescent="0.25">
      <c r="A28" s="1" t="s">
        <v>12</v>
      </c>
      <c r="B28" s="6"/>
      <c r="C28" s="7"/>
      <c r="D28" s="8">
        <f t="shared" si="0"/>
        <v>0</v>
      </c>
      <c r="E28" s="6"/>
      <c r="F28" s="7"/>
      <c r="G28" s="8">
        <f t="shared" si="1"/>
        <v>0</v>
      </c>
      <c r="H28" s="6">
        <v>2</v>
      </c>
      <c r="I28" s="7">
        <v>0</v>
      </c>
      <c r="J28" s="8">
        <f t="shared" si="2"/>
        <v>0</v>
      </c>
      <c r="K28" s="6"/>
      <c r="L28" s="7"/>
      <c r="M28" s="8">
        <f t="shared" si="3"/>
        <v>0</v>
      </c>
      <c r="N28" s="6"/>
      <c r="O28" s="7"/>
      <c r="P28" s="8">
        <f t="shared" si="4"/>
        <v>0</v>
      </c>
      <c r="Q28" s="1"/>
      <c r="R28" s="6">
        <f t="shared" si="5"/>
        <v>2</v>
      </c>
      <c r="S28" s="9">
        <f t="shared" si="6"/>
        <v>0</v>
      </c>
      <c r="T28" s="9">
        <f t="shared" si="7"/>
        <v>1.4084507042253521E-2</v>
      </c>
      <c r="U28" s="9">
        <f>R28 / _xlfn.XLOOKUP(A28, Top!A:A, Top!AA:AA)</f>
        <v>7.407407407407407E-2</v>
      </c>
    </row>
    <row r="29" spans="1:21" x14ac:dyDescent="0.25">
      <c r="A29" s="1" t="s">
        <v>67</v>
      </c>
      <c r="B29" s="6"/>
      <c r="C29" s="7"/>
      <c r="D29" s="8">
        <f t="shared" si="0"/>
        <v>0</v>
      </c>
      <c r="E29" s="6">
        <v>1</v>
      </c>
      <c r="F29" s="7">
        <v>0</v>
      </c>
      <c r="G29" s="8">
        <f t="shared" si="1"/>
        <v>0</v>
      </c>
      <c r="H29" s="6"/>
      <c r="I29" s="7"/>
      <c r="J29" s="8">
        <f t="shared" si="2"/>
        <v>0</v>
      </c>
      <c r="K29" s="6"/>
      <c r="L29" s="7"/>
      <c r="M29" s="8">
        <f t="shared" si="3"/>
        <v>0</v>
      </c>
      <c r="N29" s="1"/>
      <c r="O29" s="1"/>
      <c r="P29" s="8">
        <f t="shared" si="4"/>
        <v>0</v>
      </c>
      <c r="Q29" s="1"/>
      <c r="R29" s="6">
        <f>B29+E29+H29+K29</f>
        <v>1</v>
      </c>
      <c r="S29" s="9">
        <f t="shared" si="6"/>
        <v>0</v>
      </c>
      <c r="T29" s="10">
        <f>D29+G29+J29+M29</f>
        <v>0</v>
      </c>
      <c r="U29" s="9">
        <f>R29 / _xlfn.XLOOKUP(A29, Top!A:A, Top!AA:AA)</f>
        <v>1</v>
      </c>
    </row>
  </sheetData>
  <sortState xmlns:xlrd2="http://schemas.microsoft.com/office/spreadsheetml/2017/richdata2" ref="A3:U29">
    <sortCondition descending="1" ref="S3:S29"/>
  </sortState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03DFA-2A32-48F0-B474-ABF63C8A9601}">
  <sheetPr codeName="Tabelle2">
    <tabColor theme="4" tint="0.59999389629810485"/>
  </sheetPr>
  <dimension ref="A1:W58"/>
  <sheetViews>
    <sheetView workbookViewId="0">
      <selection activeCell="A28" sqref="A28"/>
    </sheetView>
  </sheetViews>
  <sheetFormatPr baseColWidth="10" defaultRowHeight="15" x14ac:dyDescent="0.25"/>
  <sheetData>
    <row r="1" spans="1:23" ht="15.75" x14ac:dyDescent="0.25">
      <c r="A1" s="2" t="s">
        <v>41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18</v>
      </c>
      <c r="B3" s="6"/>
      <c r="C3" s="7"/>
      <c r="D3" s="8">
        <f t="shared" ref="D3:D44" si="0">B3*C3</f>
        <v>0</v>
      </c>
      <c r="E3" s="6"/>
      <c r="F3" s="7"/>
      <c r="G3" s="8">
        <f t="shared" ref="G3:G44" si="1">E3*F3</f>
        <v>0</v>
      </c>
      <c r="H3" s="6">
        <v>4</v>
      </c>
      <c r="I3" s="7">
        <v>1</v>
      </c>
      <c r="J3" s="8">
        <f t="shared" ref="J3:J44" si="2">H3*I3</f>
        <v>4</v>
      </c>
      <c r="K3" s="6"/>
      <c r="L3" s="7"/>
      <c r="M3" s="8">
        <f t="shared" ref="M3:M44" si="3">K3*L3</f>
        <v>0</v>
      </c>
      <c r="N3" s="6"/>
      <c r="O3" s="7"/>
      <c r="P3" s="8">
        <f t="shared" ref="P3:P44" si="4">N3*O3</f>
        <v>0</v>
      </c>
      <c r="Q3" s="1"/>
      <c r="R3" s="6">
        <f t="shared" ref="R3:R44" si="5">B3+E3+H3+K3+N3</f>
        <v>4</v>
      </c>
      <c r="S3" s="9">
        <f t="shared" ref="S3:S44" si="6">(D3+G3+J3+M3+P3)/R3</f>
        <v>1</v>
      </c>
      <c r="T3" s="9">
        <f t="shared" ref="T3:T44" si="7">R3/$V$3</f>
        <v>7.2595281306715061E-3</v>
      </c>
      <c r="U3" s="9">
        <f>R3 / _xlfn.XLOOKUP(A3, Top!A:A, Top!AA:AA)</f>
        <v>8.3333333333333329E-2</v>
      </c>
      <c r="V3" s="11">
        <f>SUM(R3:R70)</f>
        <v>551</v>
      </c>
      <c r="W3" s="12">
        <f>(SUM(D3:D100)+SUM(G3:G100)+SUM(J3:J100)+SUM(M3:M100)+SUM(P3:P100)) / V3</f>
        <v>0.68370780399274045</v>
      </c>
    </row>
    <row r="4" spans="1:23" x14ac:dyDescent="0.25">
      <c r="A4" s="1" t="s">
        <v>40</v>
      </c>
      <c r="B4" s="6"/>
      <c r="C4" s="7"/>
      <c r="D4" s="8">
        <f t="shared" si="0"/>
        <v>0</v>
      </c>
      <c r="E4" s="6"/>
      <c r="F4" s="7"/>
      <c r="G4" s="8">
        <f t="shared" si="1"/>
        <v>0</v>
      </c>
      <c r="H4" s="6">
        <v>4</v>
      </c>
      <c r="I4" s="7">
        <v>1</v>
      </c>
      <c r="J4" s="8">
        <f t="shared" si="2"/>
        <v>4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4</v>
      </c>
      <c r="S4" s="9">
        <f t="shared" si="6"/>
        <v>1</v>
      </c>
      <c r="T4" s="9">
        <f t="shared" si="7"/>
        <v>7.2595281306715061E-3</v>
      </c>
      <c r="U4" s="9">
        <f>R4 / _xlfn.XLOOKUP(A4, Top!A:A, Top!AA:AA)</f>
        <v>6.25E-2</v>
      </c>
      <c r="V4" s="6"/>
      <c r="W4" s="9"/>
    </row>
    <row r="5" spans="1:23" x14ac:dyDescent="0.25">
      <c r="A5" s="25" t="s">
        <v>112</v>
      </c>
      <c r="B5" s="6"/>
      <c r="C5" s="7"/>
      <c r="D5" s="8">
        <f t="shared" si="0"/>
        <v>0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>
        <v>3</v>
      </c>
      <c r="L5" s="7">
        <v>1</v>
      </c>
      <c r="M5" s="8">
        <f t="shared" si="3"/>
        <v>3</v>
      </c>
      <c r="N5" s="6"/>
      <c r="O5" s="7"/>
      <c r="P5" s="8">
        <f t="shared" si="4"/>
        <v>0</v>
      </c>
      <c r="Q5" s="1"/>
      <c r="R5" s="6">
        <f t="shared" si="5"/>
        <v>3</v>
      </c>
      <c r="S5" s="9">
        <f t="shared" si="6"/>
        <v>1</v>
      </c>
      <c r="T5" s="9">
        <f t="shared" si="7"/>
        <v>5.4446460980036296E-3</v>
      </c>
      <c r="U5" s="9">
        <f>R5 / _xlfn.XLOOKUP(A5, Top!A:A, Top!AA:AA)</f>
        <v>0.125</v>
      </c>
      <c r="W5" s="1"/>
    </row>
    <row r="6" spans="1:23" x14ac:dyDescent="0.25">
      <c r="A6" s="1" t="s">
        <v>37</v>
      </c>
      <c r="B6" s="6"/>
      <c r="C6" s="7"/>
      <c r="D6" s="8">
        <f t="shared" si="0"/>
        <v>0</v>
      </c>
      <c r="E6" s="6"/>
      <c r="F6" s="7"/>
      <c r="G6" s="8">
        <f t="shared" si="1"/>
        <v>0</v>
      </c>
      <c r="H6" s="6">
        <v>1</v>
      </c>
      <c r="I6" s="7">
        <v>1</v>
      </c>
      <c r="J6" s="8">
        <f t="shared" si="2"/>
        <v>1</v>
      </c>
      <c r="K6" s="6">
        <v>1</v>
      </c>
      <c r="L6" s="7">
        <v>1</v>
      </c>
      <c r="M6" s="8">
        <f t="shared" si="3"/>
        <v>1</v>
      </c>
      <c r="N6" s="6"/>
      <c r="O6" s="7"/>
      <c r="P6" s="8">
        <f t="shared" si="4"/>
        <v>0</v>
      </c>
      <c r="Q6" s="1"/>
      <c r="R6" s="6">
        <f t="shared" si="5"/>
        <v>2</v>
      </c>
      <c r="S6" s="9">
        <f t="shared" si="6"/>
        <v>1</v>
      </c>
      <c r="T6" s="9">
        <f t="shared" si="7"/>
        <v>3.629764065335753E-3</v>
      </c>
      <c r="U6" s="9">
        <f>R6 / _xlfn.XLOOKUP(A6, Top!A:A, Top!AA:AA)</f>
        <v>9.0909090909090912E-2</v>
      </c>
      <c r="W6" s="1"/>
    </row>
    <row r="7" spans="1:23" x14ac:dyDescent="0.25">
      <c r="A7" s="25" t="s">
        <v>261</v>
      </c>
      <c r="B7" s="6"/>
      <c r="C7" s="7"/>
      <c r="D7" s="8">
        <f t="shared" si="0"/>
        <v>0</v>
      </c>
      <c r="E7" s="6"/>
      <c r="F7" s="7"/>
      <c r="G7" s="8">
        <f t="shared" si="1"/>
        <v>0</v>
      </c>
      <c r="H7" s="6"/>
      <c r="I7" s="7"/>
      <c r="J7" s="8">
        <f t="shared" si="2"/>
        <v>0</v>
      </c>
      <c r="K7" s="6"/>
      <c r="L7" s="7"/>
      <c r="M7" s="8">
        <f t="shared" si="3"/>
        <v>0</v>
      </c>
      <c r="N7" s="6">
        <v>2</v>
      </c>
      <c r="O7" s="7">
        <v>1</v>
      </c>
      <c r="P7" s="8">
        <f t="shared" si="4"/>
        <v>2</v>
      </c>
      <c r="Q7" s="1"/>
      <c r="R7" s="6">
        <f t="shared" si="5"/>
        <v>2</v>
      </c>
      <c r="S7" s="9">
        <f t="shared" si="6"/>
        <v>1</v>
      </c>
      <c r="T7" s="9">
        <f t="shared" si="7"/>
        <v>3.629764065335753E-3</v>
      </c>
      <c r="U7" s="9">
        <f>R7 / _xlfn.XLOOKUP(A7, Top!A:A, Top!AA:AA)</f>
        <v>0.14285714285714285</v>
      </c>
      <c r="V7" s="1"/>
      <c r="W7" s="1"/>
    </row>
    <row r="8" spans="1:23" x14ac:dyDescent="0.25">
      <c r="A8" s="1" t="s">
        <v>200</v>
      </c>
      <c r="B8" s="6"/>
      <c r="C8" s="7"/>
      <c r="D8" s="8">
        <f t="shared" si="0"/>
        <v>0</v>
      </c>
      <c r="E8" s="6"/>
      <c r="F8" s="7"/>
      <c r="G8" s="8">
        <f t="shared" si="1"/>
        <v>0</v>
      </c>
      <c r="H8" s="6">
        <v>1</v>
      </c>
      <c r="I8" s="7">
        <v>1</v>
      </c>
      <c r="J8" s="8">
        <f t="shared" si="2"/>
        <v>1</v>
      </c>
      <c r="K8" s="6"/>
      <c r="L8" s="7"/>
      <c r="M8" s="8">
        <f t="shared" si="3"/>
        <v>0</v>
      </c>
      <c r="N8" s="6"/>
      <c r="O8" s="7"/>
      <c r="P8" s="8">
        <f t="shared" si="4"/>
        <v>0</v>
      </c>
      <c r="Q8" s="1"/>
      <c r="R8" s="6">
        <f t="shared" si="5"/>
        <v>1</v>
      </c>
      <c r="S8" s="9">
        <f t="shared" si="6"/>
        <v>1</v>
      </c>
      <c r="T8" s="9">
        <f t="shared" si="7"/>
        <v>1.8148820326678765E-3</v>
      </c>
      <c r="U8" s="9">
        <f>R8 / _xlfn.XLOOKUP(A8, Top!A:A, Top!AA:AA)</f>
        <v>0.2</v>
      </c>
      <c r="V8" s="1"/>
      <c r="W8" s="1"/>
    </row>
    <row r="9" spans="1:23" x14ac:dyDescent="0.25">
      <c r="A9" s="25" t="s">
        <v>76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/>
      <c r="I9" s="7"/>
      <c r="J9" s="8">
        <f t="shared" si="2"/>
        <v>0</v>
      </c>
      <c r="K9" s="6">
        <v>1</v>
      </c>
      <c r="L9" s="7">
        <v>1</v>
      </c>
      <c r="M9" s="8">
        <f t="shared" si="3"/>
        <v>1</v>
      </c>
      <c r="N9" s="6"/>
      <c r="O9" s="7"/>
      <c r="P9" s="8">
        <f t="shared" si="4"/>
        <v>0</v>
      </c>
      <c r="Q9" s="1"/>
      <c r="R9" s="6">
        <f t="shared" si="5"/>
        <v>1</v>
      </c>
      <c r="S9" s="9">
        <f t="shared" si="6"/>
        <v>1</v>
      </c>
      <c r="T9" s="9">
        <f t="shared" si="7"/>
        <v>1.8148820326678765E-3</v>
      </c>
      <c r="U9" s="9">
        <f>R9 / _xlfn.XLOOKUP(A9, Top!A:A, Top!AA:AA)</f>
        <v>0.1</v>
      </c>
      <c r="V9" s="1"/>
      <c r="W9" s="1"/>
    </row>
    <row r="10" spans="1:23" x14ac:dyDescent="0.25">
      <c r="A10" s="1" t="s">
        <v>39</v>
      </c>
      <c r="B10" s="6"/>
      <c r="C10" s="7"/>
      <c r="D10" s="8">
        <f t="shared" si="0"/>
        <v>0</v>
      </c>
      <c r="E10" s="6">
        <v>1</v>
      </c>
      <c r="F10" s="7">
        <v>1</v>
      </c>
      <c r="G10" s="8">
        <f t="shared" si="1"/>
        <v>1</v>
      </c>
      <c r="H10" s="6"/>
      <c r="I10" s="7"/>
      <c r="J10" s="8">
        <f t="shared" si="2"/>
        <v>0</v>
      </c>
      <c r="K10" s="6"/>
      <c r="L10" s="7"/>
      <c r="M10" s="8">
        <f t="shared" si="3"/>
        <v>0</v>
      </c>
      <c r="N10" s="6"/>
      <c r="O10" s="7"/>
      <c r="P10" s="8">
        <f t="shared" si="4"/>
        <v>0</v>
      </c>
      <c r="Q10" s="1"/>
      <c r="R10" s="6">
        <f t="shared" si="5"/>
        <v>1</v>
      </c>
      <c r="S10" s="9">
        <f t="shared" si="6"/>
        <v>1</v>
      </c>
      <c r="T10" s="9">
        <f t="shared" si="7"/>
        <v>1.8148820326678765E-3</v>
      </c>
      <c r="U10" s="9">
        <f>R10 / _xlfn.XLOOKUP(A10, Top!A:A, Top!AA:AA)</f>
        <v>0.33333333333333331</v>
      </c>
      <c r="V10" s="1"/>
      <c r="W10" s="1"/>
    </row>
    <row r="11" spans="1:23" x14ac:dyDescent="0.25">
      <c r="A11" s="1" t="s">
        <v>54</v>
      </c>
      <c r="B11" s="6"/>
      <c r="C11" s="7"/>
      <c r="D11" s="8">
        <f t="shared" si="0"/>
        <v>0</v>
      </c>
      <c r="E11" s="6"/>
      <c r="F11" s="7"/>
      <c r="G11" s="8">
        <f t="shared" si="1"/>
        <v>0</v>
      </c>
      <c r="H11" s="6">
        <v>1</v>
      </c>
      <c r="I11" s="7">
        <v>1</v>
      </c>
      <c r="J11" s="8">
        <f t="shared" si="2"/>
        <v>1</v>
      </c>
      <c r="K11" s="6"/>
      <c r="L11" s="7"/>
      <c r="M11" s="8">
        <f t="shared" si="3"/>
        <v>0</v>
      </c>
      <c r="N11" s="6"/>
      <c r="O11" s="7"/>
      <c r="P11" s="8">
        <f t="shared" si="4"/>
        <v>0</v>
      </c>
      <c r="Q11" s="1"/>
      <c r="R11" s="6">
        <f t="shared" si="5"/>
        <v>1</v>
      </c>
      <c r="S11" s="9">
        <f t="shared" si="6"/>
        <v>1</v>
      </c>
      <c r="T11" s="9">
        <f t="shared" si="7"/>
        <v>1.8148820326678765E-3</v>
      </c>
      <c r="U11" s="9">
        <f>R11 / _xlfn.XLOOKUP(A11, Top!A:A, Top!AA:AA)</f>
        <v>7.6923076923076927E-2</v>
      </c>
      <c r="V11" s="1"/>
      <c r="W11" s="1"/>
    </row>
    <row r="12" spans="1:23" x14ac:dyDescent="0.25">
      <c r="A12" s="1" t="s">
        <v>13</v>
      </c>
      <c r="B12" s="6">
        <v>9</v>
      </c>
      <c r="C12" s="7">
        <v>0.88900000000000001</v>
      </c>
      <c r="D12" s="8">
        <f t="shared" si="0"/>
        <v>8.0009999999999994</v>
      </c>
      <c r="E12" s="6">
        <v>5</v>
      </c>
      <c r="F12" s="7">
        <v>1</v>
      </c>
      <c r="G12" s="8">
        <f t="shared" si="1"/>
        <v>5</v>
      </c>
      <c r="H12" s="6"/>
      <c r="I12" s="7"/>
      <c r="J12" s="8">
        <f t="shared" si="2"/>
        <v>0</v>
      </c>
      <c r="K12" s="6">
        <v>1</v>
      </c>
      <c r="L12" s="7">
        <v>1</v>
      </c>
      <c r="M12" s="8">
        <f t="shared" si="3"/>
        <v>1</v>
      </c>
      <c r="N12" s="6"/>
      <c r="O12" s="7"/>
      <c r="P12" s="8">
        <f t="shared" si="4"/>
        <v>0</v>
      </c>
      <c r="Q12" s="1"/>
      <c r="R12" s="6">
        <f t="shared" si="5"/>
        <v>15</v>
      </c>
      <c r="S12" s="9">
        <f t="shared" si="6"/>
        <v>0.93340000000000001</v>
      </c>
      <c r="T12" s="9">
        <f t="shared" si="7"/>
        <v>2.7223230490018149E-2</v>
      </c>
      <c r="U12" s="9">
        <f>R12 / _xlfn.XLOOKUP(A12, Top!A:A, Top!AA:AA)</f>
        <v>0.125</v>
      </c>
      <c r="V12" s="1"/>
      <c r="W12" s="1"/>
    </row>
    <row r="13" spans="1:23" x14ac:dyDescent="0.25">
      <c r="A13" s="1" t="s">
        <v>27</v>
      </c>
      <c r="B13" s="6">
        <v>4</v>
      </c>
      <c r="C13" s="7">
        <v>1</v>
      </c>
      <c r="D13" s="8">
        <f t="shared" si="0"/>
        <v>4</v>
      </c>
      <c r="E13" s="6"/>
      <c r="F13" s="7"/>
      <c r="G13" s="8">
        <f t="shared" si="1"/>
        <v>0</v>
      </c>
      <c r="H13" s="6"/>
      <c r="I13" s="7"/>
      <c r="J13" s="8">
        <f t="shared" si="2"/>
        <v>0</v>
      </c>
      <c r="K13" s="6">
        <v>1</v>
      </c>
      <c r="L13" s="7">
        <v>0</v>
      </c>
      <c r="M13" s="8">
        <f t="shared" si="3"/>
        <v>0</v>
      </c>
      <c r="N13" s="6">
        <v>1</v>
      </c>
      <c r="O13" s="7">
        <v>1</v>
      </c>
      <c r="P13" s="8">
        <f t="shared" si="4"/>
        <v>1</v>
      </c>
      <c r="Q13" s="1"/>
      <c r="R13" s="6">
        <f t="shared" si="5"/>
        <v>6</v>
      </c>
      <c r="S13" s="9">
        <f t="shared" si="6"/>
        <v>0.83333333333333337</v>
      </c>
      <c r="T13" s="9">
        <f t="shared" si="7"/>
        <v>1.0889292196007259E-2</v>
      </c>
      <c r="U13" s="9">
        <f>R13 / _xlfn.XLOOKUP(A13, Top!A:A, Top!AA:AA)</f>
        <v>0.13333333333333333</v>
      </c>
      <c r="V13" s="1"/>
      <c r="W13" s="1"/>
    </row>
    <row r="14" spans="1:23" x14ac:dyDescent="0.25">
      <c r="A14" s="1" t="s">
        <v>28</v>
      </c>
      <c r="B14" s="6">
        <v>6</v>
      </c>
      <c r="C14" s="7">
        <v>0.83299999999999996</v>
      </c>
      <c r="D14" s="8">
        <f t="shared" si="0"/>
        <v>4.9979999999999993</v>
      </c>
      <c r="E14" s="6"/>
      <c r="F14" s="7"/>
      <c r="G14" s="8">
        <f t="shared" si="1"/>
        <v>0</v>
      </c>
      <c r="H14" s="6"/>
      <c r="I14" s="7"/>
      <c r="J14" s="8">
        <f t="shared" si="2"/>
        <v>0</v>
      </c>
      <c r="K14" s="6"/>
      <c r="L14" s="7"/>
      <c r="M14" s="8">
        <f t="shared" si="3"/>
        <v>0</v>
      </c>
      <c r="N14" s="6"/>
      <c r="O14" s="7"/>
      <c r="P14" s="8">
        <f t="shared" si="4"/>
        <v>0</v>
      </c>
      <c r="Q14" s="1"/>
      <c r="R14" s="6">
        <f t="shared" si="5"/>
        <v>6</v>
      </c>
      <c r="S14" s="9">
        <f t="shared" si="6"/>
        <v>0.83299999999999985</v>
      </c>
      <c r="T14" s="9">
        <f t="shared" si="7"/>
        <v>1.0889292196007259E-2</v>
      </c>
      <c r="U14" s="9">
        <f>R14 / _xlfn.XLOOKUP(A14, Top!A:A, Top!AA:AA)</f>
        <v>0.12244897959183673</v>
      </c>
      <c r="V14" s="1"/>
      <c r="W14" s="1"/>
    </row>
    <row r="15" spans="1:23" x14ac:dyDescent="0.25">
      <c r="A15" s="1" t="s">
        <v>10</v>
      </c>
      <c r="B15" s="6">
        <v>6</v>
      </c>
      <c r="C15" s="7">
        <v>0.83299999999999996</v>
      </c>
      <c r="D15" s="8">
        <f t="shared" si="0"/>
        <v>4.9979999999999993</v>
      </c>
      <c r="E15" s="6">
        <v>10</v>
      </c>
      <c r="F15" s="7">
        <v>0.8</v>
      </c>
      <c r="G15" s="8">
        <f t="shared" si="1"/>
        <v>8</v>
      </c>
      <c r="H15" s="6"/>
      <c r="I15" s="7"/>
      <c r="J15" s="8">
        <f t="shared" si="2"/>
        <v>0</v>
      </c>
      <c r="K15" s="6">
        <v>7</v>
      </c>
      <c r="L15" s="7">
        <v>0.71399999999999997</v>
      </c>
      <c r="M15" s="8">
        <f t="shared" si="3"/>
        <v>4.9979999999999993</v>
      </c>
      <c r="N15" s="6"/>
      <c r="O15" s="7"/>
      <c r="P15" s="8">
        <f t="shared" si="4"/>
        <v>0</v>
      </c>
      <c r="Q15" s="1"/>
      <c r="R15" s="6">
        <f t="shared" si="5"/>
        <v>23</v>
      </c>
      <c r="S15" s="9">
        <f t="shared" si="6"/>
        <v>0.78243478260869559</v>
      </c>
      <c r="T15" s="9">
        <f t="shared" si="7"/>
        <v>4.1742286751361164E-2</v>
      </c>
      <c r="U15" s="9">
        <f>R15 / _xlfn.XLOOKUP(A15, Top!A:A, Top!AA:AA)</f>
        <v>0.10648148148148148</v>
      </c>
      <c r="V15" s="1"/>
      <c r="W15" s="1"/>
    </row>
    <row r="16" spans="1:23" x14ac:dyDescent="0.25">
      <c r="A16" s="1" t="s">
        <v>19</v>
      </c>
      <c r="B16" s="6">
        <v>6</v>
      </c>
      <c r="C16" s="7">
        <v>0.83299999999999996</v>
      </c>
      <c r="D16" s="8">
        <f t="shared" si="0"/>
        <v>4.9979999999999993</v>
      </c>
      <c r="E16" s="6">
        <v>3</v>
      </c>
      <c r="F16" s="7">
        <v>0.66700000000000004</v>
      </c>
      <c r="G16" s="8">
        <f t="shared" si="1"/>
        <v>2.0010000000000003</v>
      </c>
      <c r="H16" s="6">
        <v>2</v>
      </c>
      <c r="I16" s="7">
        <v>0.5</v>
      </c>
      <c r="J16" s="8">
        <f t="shared" si="2"/>
        <v>1</v>
      </c>
      <c r="K16" s="6">
        <v>6</v>
      </c>
      <c r="L16" s="7">
        <v>0.83299999999999996</v>
      </c>
      <c r="M16" s="8">
        <f t="shared" si="3"/>
        <v>4.9979999999999993</v>
      </c>
      <c r="N16" s="6"/>
      <c r="O16" s="7"/>
      <c r="P16" s="8">
        <f t="shared" si="4"/>
        <v>0</v>
      </c>
      <c r="Q16" s="1"/>
      <c r="R16" s="6">
        <f t="shared" si="5"/>
        <v>17</v>
      </c>
      <c r="S16" s="9">
        <f t="shared" si="6"/>
        <v>0.7645294117647059</v>
      </c>
      <c r="T16" s="9">
        <f t="shared" si="7"/>
        <v>3.0852994555353903E-2</v>
      </c>
      <c r="U16" s="9">
        <f>R16 / _xlfn.XLOOKUP(A16, Top!A:A, Top!AA:AA)</f>
        <v>0.12408759124087591</v>
      </c>
      <c r="V16" s="1"/>
      <c r="W16" s="1"/>
    </row>
    <row r="17" spans="1:23" x14ac:dyDescent="0.25">
      <c r="A17" s="1" t="s">
        <v>33</v>
      </c>
      <c r="B17" s="6">
        <v>5</v>
      </c>
      <c r="C17" s="7">
        <v>0.75</v>
      </c>
      <c r="D17" s="8">
        <f t="shared" si="0"/>
        <v>3.75</v>
      </c>
      <c r="E17" s="6"/>
      <c r="F17" s="7"/>
      <c r="G17" s="8">
        <f t="shared" si="1"/>
        <v>0</v>
      </c>
      <c r="H17" s="6"/>
      <c r="I17" s="7"/>
      <c r="J17" s="8">
        <f t="shared" si="2"/>
        <v>0</v>
      </c>
      <c r="K17" s="6"/>
      <c r="L17" s="7"/>
      <c r="M17" s="8">
        <f t="shared" si="3"/>
        <v>0</v>
      </c>
      <c r="N17" s="6"/>
      <c r="O17" s="7"/>
      <c r="P17" s="8">
        <f t="shared" si="4"/>
        <v>0</v>
      </c>
      <c r="Q17" s="4"/>
      <c r="R17" s="6">
        <f t="shared" si="5"/>
        <v>5</v>
      </c>
      <c r="S17" s="9">
        <f t="shared" si="6"/>
        <v>0.75</v>
      </c>
      <c r="T17" s="9">
        <f t="shared" si="7"/>
        <v>9.0744101633393835E-3</v>
      </c>
      <c r="U17" s="9">
        <f>R17 / _xlfn.XLOOKUP(A17, Top!A:A, Top!AA:AA)</f>
        <v>0.10869565217391304</v>
      </c>
      <c r="V17" s="1"/>
      <c r="W17" s="1"/>
    </row>
    <row r="18" spans="1:23" x14ac:dyDescent="0.25">
      <c r="A18" s="1" t="s">
        <v>26</v>
      </c>
      <c r="B18" s="6">
        <v>7</v>
      </c>
      <c r="C18" s="7">
        <v>0.71399999999999997</v>
      </c>
      <c r="D18" s="8">
        <f t="shared" si="0"/>
        <v>4.9979999999999993</v>
      </c>
      <c r="E18" s="6">
        <v>1</v>
      </c>
      <c r="F18" s="7">
        <v>1</v>
      </c>
      <c r="G18" s="8">
        <f t="shared" si="1"/>
        <v>1</v>
      </c>
      <c r="H18" s="6"/>
      <c r="I18" s="7"/>
      <c r="J18" s="8">
        <f t="shared" si="2"/>
        <v>0</v>
      </c>
      <c r="K18" s="6"/>
      <c r="L18" s="7"/>
      <c r="M18" s="8">
        <f t="shared" si="3"/>
        <v>0</v>
      </c>
      <c r="N18" s="6"/>
      <c r="O18" s="7"/>
      <c r="P18" s="8">
        <f t="shared" si="4"/>
        <v>0</v>
      </c>
      <c r="Q18" s="1"/>
      <c r="R18" s="6">
        <f t="shared" si="5"/>
        <v>8</v>
      </c>
      <c r="S18" s="9">
        <f t="shared" si="6"/>
        <v>0.74974999999999992</v>
      </c>
      <c r="T18" s="9">
        <f t="shared" si="7"/>
        <v>1.4519056261343012E-2</v>
      </c>
      <c r="U18" s="9">
        <f>R18 / _xlfn.XLOOKUP(A18, Top!A:A, Top!AA:AA)</f>
        <v>0.10810810810810811</v>
      </c>
      <c r="V18" s="1"/>
      <c r="W18" s="1"/>
    </row>
    <row r="19" spans="1:23" x14ac:dyDescent="0.25">
      <c r="A19" s="1" t="s">
        <v>23</v>
      </c>
      <c r="B19" s="6">
        <v>1</v>
      </c>
      <c r="C19" s="7">
        <v>1</v>
      </c>
      <c r="D19" s="8">
        <f t="shared" si="0"/>
        <v>1</v>
      </c>
      <c r="E19" s="6">
        <v>4</v>
      </c>
      <c r="F19" s="7">
        <v>1</v>
      </c>
      <c r="G19" s="8">
        <f t="shared" si="1"/>
        <v>4</v>
      </c>
      <c r="H19" s="6">
        <v>11</v>
      </c>
      <c r="I19" s="7">
        <v>0.72699999999999998</v>
      </c>
      <c r="J19" s="8">
        <f t="shared" si="2"/>
        <v>7.9969999999999999</v>
      </c>
      <c r="K19" s="6">
        <v>20</v>
      </c>
      <c r="L19" s="7">
        <v>0.65</v>
      </c>
      <c r="M19" s="8">
        <f t="shared" si="3"/>
        <v>13</v>
      </c>
      <c r="N19" s="6">
        <v>1</v>
      </c>
      <c r="O19" s="7">
        <v>1</v>
      </c>
      <c r="P19" s="8">
        <f t="shared" si="4"/>
        <v>1</v>
      </c>
      <c r="Q19" s="1"/>
      <c r="R19" s="6">
        <f t="shared" si="5"/>
        <v>37</v>
      </c>
      <c r="S19" s="9">
        <f t="shared" si="6"/>
        <v>0.72964864864864865</v>
      </c>
      <c r="T19" s="9">
        <f t="shared" si="7"/>
        <v>6.7150635208711437E-2</v>
      </c>
      <c r="U19" s="9">
        <f>R19 / _xlfn.XLOOKUP(A19, Top!A:A, Top!AA:AA)</f>
        <v>9.4871794871794868E-2</v>
      </c>
      <c r="V19" s="1"/>
      <c r="W19" s="1"/>
    </row>
    <row r="20" spans="1:23" x14ac:dyDescent="0.25">
      <c r="A20" s="25" t="s">
        <v>252</v>
      </c>
      <c r="B20" s="6"/>
      <c r="C20" s="7"/>
      <c r="D20" s="8">
        <f t="shared" si="0"/>
        <v>0</v>
      </c>
      <c r="E20" s="6">
        <v>23</v>
      </c>
      <c r="F20" s="7">
        <v>0.78300000000000003</v>
      </c>
      <c r="G20" s="8">
        <f t="shared" si="1"/>
        <v>18.009</v>
      </c>
      <c r="H20" s="6">
        <v>16</v>
      </c>
      <c r="I20" s="7">
        <v>0.625</v>
      </c>
      <c r="J20" s="8">
        <f t="shared" si="2"/>
        <v>10</v>
      </c>
      <c r="K20" s="6">
        <v>9</v>
      </c>
      <c r="L20" s="7">
        <v>0.66700000000000004</v>
      </c>
      <c r="M20" s="8">
        <f t="shared" si="3"/>
        <v>6.0030000000000001</v>
      </c>
      <c r="N20" s="6">
        <v>2</v>
      </c>
      <c r="O20" s="7">
        <v>1</v>
      </c>
      <c r="P20" s="8">
        <f t="shared" si="4"/>
        <v>2</v>
      </c>
      <c r="Q20" s="1"/>
      <c r="R20" s="6">
        <f t="shared" si="5"/>
        <v>50</v>
      </c>
      <c r="S20" s="9">
        <f t="shared" si="6"/>
        <v>0.72023999999999999</v>
      </c>
      <c r="T20" s="9">
        <f t="shared" si="7"/>
        <v>9.0744101633393831E-2</v>
      </c>
      <c r="U20" s="9">
        <f>R20 / _xlfn.XLOOKUP(A20, Top!A:A, Top!AA:AA)</f>
        <v>7.4850299401197598E-2</v>
      </c>
      <c r="V20" s="1"/>
      <c r="W20" s="1"/>
    </row>
    <row r="21" spans="1:23" x14ac:dyDescent="0.25">
      <c r="A21" s="1" t="s">
        <v>16</v>
      </c>
      <c r="B21" s="6"/>
      <c r="C21" s="7"/>
      <c r="D21" s="8">
        <f t="shared" si="0"/>
        <v>0</v>
      </c>
      <c r="E21" s="6">
        <v>22</v>
      </c>
      <c r="F21" s="7">
        <v>0.81799999999999995</v>
      </c>
      <c r="G21" s="8">
        <f t="shared" si="1"/>
        <v>17.995999999999999</v>
      </c>
      <c r="H21" s="6">
        <v>14</v>
      </c>
      <c r="I21" s="7">
        <v>0.85699999999999998</v>
      </c>
      <c r="J21" s="8">
        <f t="shared" si="2"/>
        <v>11.997999999999999</v>
      </c>
      <c r="K21" s="6">
        <v>13</v>
      </c>
      <c r="L21" s="7">
        <v>0.46100000000000002</v>
      </c>
      <c r="M21" s="8">
        <f t="shared" si="3"/>
        <v>5.9930000000000003</v>
      </c>
      <c r="N21" s="6">
        <v>1</v>
      </c>
      <c r="O21" s="7">
        <v>0</v>
      </c>
      <c r="P21" s="8">
        <f t="shared" si="4"/>
        <v>0</v>
      </c>
      <c r="Q21" s="4"/>
      <c r="R21" s="6">
        <f t="shared" si="5"/>
        <v>50</v>
      </c>
      <c r="S21" s="9">
        <f t="shared" si="6"/>
        <v>0.71974000000000005</v>
      </c>
      <c r="T21" s="9">
        <f t="shared" si="7"/>
        <v>9.0744101633393831E-2</v>
      </c>
      <c r="U21" s="9">
        <f>R21 / _xlfn.XLOOKUP(A21, Top!A:A, Top!AA:AA)</f>
        <v>0.12135922330097088</v>
      </c>
      <c r="V21" s="1"/>
      <c r="W21" s="1"/>
    </row>
    <row r="22" spans="1:23" x14ac:dyDescent="0.25">
      <c r="A22" s="1" t="s">
        <v>7</v>
      </c>
      <c r="B22" s="6">
        <v>19</v>
      </c>
      <c r="C22" s="7">
        <v>0.84199999999999997</v>
      </c>
      <c r="D22" s="8">
        <f t="shared" si="0"/>
        <v>15.997999999999999</v>
      </c>
      <c r="E22" s="6">
        <v>16</v>
      </c>
      <c r="F22" s="7">
        <v>0.68799999999999994</v>
      </c>
      <c r="G22" s="8">
        <f t="shared" si="1"/>
        <v>11.007999999999999</v>
      </c>
      <c r="H22" s="6">
        <v>16</v>
      </c>
      <c r="I22" s="7">
        <v>0.625</v>
      </c>
      <c r="J22" s="8">
        <f t="shared" si="2"/>
        <v>10</v>
      </c>
      <c r="K22" s="6">
        <v>3</v>
      </c>
      <c r="L22" s="7">
        <v>0.66700000000000004</v>
      </c>
      <c r="M22" s="8">
        <f t="shared" si="3"/>
        <v>2.0010000000000003</v>
      </c>
      <c r="N22" s="6">
        <v>2</v>
      </c>
      <c r="O22" s="7">
        <v>0.5</v>
      </c>
      <c r="P22" s="8">
        <f t="shared" si="4"/>
        <v>1</v>
      </c>
      <c r="Q22" s="1"/>
      <c r="R22" s="6">
        <f t="shared" si="5"/>
        <v>56</v>
      </c>
      <c r="S22" s="9">
        <f t="shared" si="6"/>
        <v>0.71441071428571423</v>
      </c>
      <c r="T22" s="9">
        <f t="shared" si="7"/>
        <v>0.10163339382940109</v>
      </c>
      <c r="U22" s="9">
        <f>R22 / _xlfn.XLOOKUP(A22, Top!A:A, Top!AA:AA)</f>
        <v>0.10546139359698682</v>
      </c>
      <c r="V22" s="1"/>
      <c r="W22" s="1"/>
    </row>
    <row r="23" spans="1:23" x14ac:dyDescent="0.25">
      <c r="A23" s="1" t="s">
        <v>9</v>
      </c>
      <c r="B23" s="6">
        <v>7</v>
      </c>
      <c r="C23" s="7">
        <v>0.85699999999999998</v>
      </c>
      <c r="D23" s="8">
        <f t="shared" si="0"/>
        <v>5.9989999999999997</v>
      </c>
      <c r="E23" s="6">
        <v>6</v>
      </c>
      <c r="F23" s="7">
        <v>0.66700000000000004</v>
      </c>
      <c r="G23" s="8">
        <f t="shared" si="1"/>
        <v>4.0020000000000007</v>
      </c>
      <c r="H23" s="6">
        <v>15</v>
      </c>
      <c r="I23" s="7">
        <v>0.6</v>
      </c>
      <c r="J23" s="8">
        <f t="shared" si="2"/>
        <v>9</v>
      </c>
      <c r="K23" s="6">
        <v>3</v>
      </c>
      <c r="L23" s="7">
        <v>0.66700000000000004</v>
      </c>
      <c r="M23" s="8">
        <f t="shared" si="3"/>
        <v>2.0010000000000003</v>
      </c>
      <c r="N23" s="6"/>
      <c r="O23" s="7"/>
      <c r="P23" s="8">
        <f t="shared" si="4"/>
        <v>0</v>
      </c>
      <c r="Q23" s="1"/>
      <c r="R23" s="6">
        <f t="shared" si="5"/>
        <v>31</v>
      </c>
      <c r="S23" s="9">
        <f t="shared" si="6"/>
        <v>0.67748387096774199</v>
      </c>
      <c r="T23" s="9">
        <f t="shared" si="7"/>
        <v>5.6261343012704176E-2</v>
      </c>
      <c r="U23" s="9">
        <f>R23 / _xlfn.XLOOKUP(A23, Top!A:A, Top!AA:AA)</f>
        <v>9.5092024539877307E-2</v>
      </c>
      <c r="V23" s="1"/>
      <c r="W23" s="1"/>
    </row>
    <row r="24" spans="1:23" x14ac:dyDescent="0.25">
      <c r="A24" s="1" t="s">
        <v>20</v>
      </c>
      <c r="B24" s="6">
        <v>3</v>
      </c>
      <c r="C24" s="7">
        <v>0.66700000000000004</v>
      </c>
      <c r="D24" s="8">
        <f t="shared" si="0"/>
        <v>2.0010000000000003</v>
      </c>
      <c r="E24" s="6">
        <v>3</v>
      </c>
      <c r="F24" s="7">
        <v>0.66700000000000004</v>
      </c>
      <c r="G24" s="8">
        <f t="shared" si="1"/>
        <v>2.0010000000000003</v>
      </c>
      <c r="H24" s="6"/>
      <c r="I24" s="7"/>
      <c r="J24" s="8">
        <f t="shared" si="2"/>
        <v>0</v>
      </c>
      <c r="K24" s="6"/>
      <c r="L24" s="7"/>
      <c r="M24" s="8">
        <f t="shared" si="3"/>
        <v>0</v>
      </c>
      <c r="N24" s="6"/>
      <c r="O24" s="7"/>
      <c r="P24" s="8">
        <f t="shared" si="4"/>
        <v>0</v>
      </c>
      <c r="Q24" s="1"/>
      <c r="R24" s="6">
        <f t="shared" si="5"/>
        <v>6</v>
      </c>
      <c r="S24" s="9">
        <f t="shared" si="6"/>
        <v>0.66700000000000015</v>
      </c>
      <c r="T24" s="9">
        <f t="shared" si="7"/>
        <v>1.0889292196007259E-2</v>
      </c>
      <c r="U24" s="9">
        <f>R24 / _xlfn.XLOOKUP(A24, Top!A:A, Top!AA:AA)</f>
        <v>7.1428571428571425E-2</v>
      </c>
      <c r="V24" s="1"/>
      <c r="W24" s="1"/>
    </row>
    <row r="25" spans="1:23" x14ac:dyDescent="0.25">
      <c r="A25" s="1" t="s">
        <v>95</v>
      </c>
      <c r="B25" s="6"/>
      <c r="C25" s="7"/>
      <c r="D25" s="8">
        <f t="shared" si="0"/>
        <v>0</v>
      </c>
      <c r="E25" s="6"/>
      <c r="F25" s="7"/>
      <c r="G25" s="8">
        <f t="shared" si="1"/>
        <v>0</v>
      </c>
      <c r="H25" s="6">
        <v>6</v>
      </c>
      <c r="I25" s="7">
        <v>0.66700000000000004</v>
      </c>
      <c r="J25" s="8">
        <f t="shared" si="2"/>
        <v>4.0020000000000007</v>
      </c>
      <c r="K25" s="6"/>
      <c r="L25" s="7"/>
      <c r="M25" s="8">
        <f t="shared" si="3"/>
        <v>0</v>
      </c>
      <c r="N25" s="6"/>
      <c r="O25" s="7"/>
      <c r="P25" s="8">
        <f t="shared" si="4"/>
        <v>0</v>
      </c>
      <c r="Q25" s="1"/>
      <c r="R25" s="6">
        <f t="shared" si="5"/>
        <v>6</v>
      </c>
      <c r="S25" s="9">
        <f t="shared" si="6"/>
        <v>0.66700000000000015</v>
      </c>
      <c r="T25" s="9">
        <f t="shared" si="7"/>
        <v>1.0889292196007259E-2</v>
      </c>
      <c r="U25" s="9">
        <f>R25 / _xlfn.XLOOKUP(A25, Top!A:A, Top!AA:AA)</f>
        <v>0.1276595744680851</v>
      </c>
      <c r="V25" s="1"/>
      <c r="W25" s="1"/>
    </row>
    <row r="26" spans="1:23" x14ac:dyDescent="0.25">
      <c r="A26" s="1" t="s">
        <v>44</v>
      </c>
      <c r="B26" s="6"/>
      <c r="C26" s="7"/>
      <c r="D26" s="8">
        <f t="shared" si="0"/>
        <v>0</v>
      </c>
      <c r="E26" s="6">
        <v>2</v>
      </c>
      <c r="F26" s="7">
        <v>1</v>
      </c>
      <c r="G26" s="8">
        <f t="shared" si="1"/>
        <v>2</v>
      </c>
      <c r="H26" s="6">
        <v>1</v>
      </c>
      <c r="I26" s="7">
        <v>0</v>
      </c>
      <c r="J26" s="8">
        <f t="shared" si="2"/>
        <v>0</v>
      </c>
      <c r="K26" s="6"/>
      <c r="L26" s="7"/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3</v>
      </c>
      <c r="S26" s="9">
        <f t="shared" si="6"/>
        <v>0.66666666666666663</v>
      </c>
      <c r="T26" s="9">
        <f t="shared" si="7"/>
        <v>5.4446460980036296E-3</v>
      </c>
      <c r="U26" s="9">
        <f>R26 / _xlfn.XLOOKUP(A26, Top!A:A, Top!AA:AA)</f>
        <v>0.3</v>
      </c>
      <c r="V26" s="1"/>
      <c r="W26" s="1"/>
    </row>
    <row r="27" spans="1:23" x14ac:dyDescent="0.25">
      <c r="A27" s="1" t="s">
        <v>8</v>
      </c>
      <c r="B27" s="6">
        <v>9</v>
      </c>
      <c r="C27" s="7">
        <v>0.66700000000000004</v>
      </c>
      <c r="D27" s="8">
        <f t="shared" si="0"/>
        <v>6.0030000000000001</v>
      </c>
      <c r="E27" s="6">
        <v>11</v>
      </c>
      <c r="F27" s="7">
        <v>0.63600000000000001</v>
      </c>
      <c r="G27" s="8">
        <f t="shared" si="1"/>
        <v>6.9960000000000004</v>
      </c>
      <c r="H27" s="6">
        <v>4</v>
      </c>
      <c r="I27" s="7">
        <v>0.5</v>
      </c>
      <c r="J27" s="8">
        <f t="shared" si="2"/>
        <v>2</v>
      </c>
      <c r="K27" s="6">
        <v>10</v>
      </c>
      <c r="L27" s="7">
        <v>0.7</v>
      </c>
      <c r="M27" s="8">
        <f t="shared" si="3"/>
        <v>7</v>
      </c>
      <c r="N27" s="6">
        <v>2</v>
      </c>
      <c r="O27" s="7">
        <v>1</v>
      </c>
      <c r="P27" s="8">
        <f t="shared" si="4"/>
        <v>2</v>
      </c>
      <c r="Q27" s="1"/>
      <c r="R27" s="6">
        <f t="shared" si="5"/>
        <v>36</v>
      </c>
      <c r="S27" s="9">
        <f t="shared" si="6"/>
        <v>0.666638888888889</v>
      </c>
      <c r="T27" s="9">
        <f t="shared" si="7"/>
        <v>6.5335753176043551E-2</v>
      </c>
      <c r="U27" s="9">
        <f>R27 / _xlfn.XLOOKUP(A27, Top!A:A, Top!AA:AA)</f>
        <v>0.138996138996139</v>
      </c>
      <c r="V27" s="1"/>
      <c r="W27" s="1"/>
    </row>
    <row r="28" spans="1:23" x14ac:dyDescent="0.25">
      <c r="A28" s="1" t="s">
        <v>15</v>
      </c>
      <c r="B28" s="6"/>
      <c r="C28" s="7"/>
      <c r="D28" s="8">
        <f t="shared" si="0"/>
        <v>0</v>
      </c>
      <c r="E28" s="6"/>
      <c r="F28" s="7"/>
      <c r="G28" s="8">
        <f t="shared" si="1"/>
        <v>0</v>
      </c>
      <c r="H28" s="6">
        <v>5</v>
      </c>
      <c r="I28" s="7">
        <v>0.8</v>
      </c>
      <c r="J28" s="8">
        <f t="shared" si="2"/>
        <v>4</v>
      </c>
      <c r="K28" s="6">
        <v>1</v>
      </c>
      <c r="L28" s="7">
        <v>1</v>
      </c>
      <c r="M28" s="8">
        <f t="shared" si="3"/>
        <v>1</v>
      </c>
      <c r="N28" s="6">
        <v>3</v>
      </c>
      <c r="O28" s="7">
        <v>0.33300000000000002</v>
      </c>
      <c r="P28" s="8">
        <f t="shared" si="4"/>
        <v>0.99900000000000011</v>
      </c>
      <c r="Q28" s="1"/>
      <c r="R28" s="6">
        <f t="shared" si="5"/>
        <v>9</v>
      </c>
      <c r="S28" s="9">
        <f t="shared" si="6"/>
        <v>0.66655555555555557</v>
      </c>
      <c r="T28" s="9">
        <f t="shared" si="7"/>
        <v>1.6333938294010888E-2</v>
      </c>
      <c r="U28" s="9">
        <f>R28 / _xlfn.XLOOKUP(A28, Top!A:A, Top!AA:AA)</f>
        <v>7.43801652892562E-2</v>
      </c>
      <c r="V28" s="1"/>
      <c r="W28" s="1"/>
    </row>
    <row r="29" spans="1:23" x14ac:dyDescent="0.25">
      <c r="A29" s="1" t="s">
        <v>22</v>
      </c>
      <c r="B29" s="6">
        <v>8</v>
      </c>
      <c r="C29" s="7">
        <v>0.625</v>
      </c>
      <c r="D29" s="8">
        <f t="shared" si="0"/>
        <v>5</v>
      </c>
      <c r="E29" s="6">
        <v>12</v>
      </c>
      <c r="F29" s="7">
        <v>0.58299999999999996</v>
      </c>
      <c r="G29" s="8">
        <f t="shared" si="1"/>
        <v>6.9959999999999996</v>
      </c>
      <c r="H29" s="6">
        <v>8</v>
      </c>
      <c r="I29" s="7">
        <v>0.625</v>
      </c>
      <c r="J29" s="8">
        <f t="shared" si="2"/>
        <v>5</v>
      </c>
      <c r="K29" s="6">
        <v>12</v>
      </c>
      <c r="L29" s="7">
        <v>0.83299999999999996</v>
      </c>
      <c r="M29" s="8">
        <f t="shared" si="3"/>
        <v>9.9959999999999987</v>
      </c>
      <c r="N29" s="6">
        <v>1</v>
      </c>
      <c r="O29" s="7">
        <v>0</v>
      </c>
      <c r="P29" s="8">
        <f t="shared" si="4"/>
        <v>0</v>
      </c>
      <c r="Q29" s="4"/>
      <c r="R29" s="6">
        <f t="shared" si="5"/>
        <v>41</v>
      </c>
      <c r="S29" s="9">
        <f t="shared" si="6"/>
        <v>0.65834146341463406</v>
      </c>
      <c r="T29" s="9">
        <f t="shared" si="7"/>
        <v>7.441016333938294E-2</v>
      </c>
      <c r="U29" s="9">
        <f>R29 / _xlfn.XLOOKUP(A29, Top!A:A, Top!AA:AA)</f>
        <v>8.0234833659491189E-2</v>
      </c>
      <c r="V29" s="1"/>
      <c r="W29" s="1"/>
    </row>
    <row r="30" spans="1:23" x14ac:dyDescent="0.25">
      <c r="A30" s="1" t="s">
        <v>11</v>
      </c>
      <c r="B30" s="6">
        <v>6</v>
      </c>
      <c r="C30" s="7">
        <v>0.5</v>
      </c>
      <c r="D30" s="8">
        <f t="shared" si="0"/>
        <v>3</v>
      </c>
      <c r="E30" s="6">
        <v>4</v>
      </c>
      <c r="F30" s="7">
        <v>0.5</v>
      </c>
      <c r="G30" s="8">
        <f t="shared" si="1"/>
        <v>2</v>
      </c>
      <c r="H30" s="6">
        <v>6</v>
      </c>
      <c r="I30" s="7">
        <v>0.66700000000000004</v>
      </c>
      <c r="J30" s="8">
        <f t="shared" si="2"/>
        <v>4.0020000000000007</v>
      </c>
      <c r="K30" s="6">
        <v>19</v>
      </c>
      <c r="L30" s="7">
        <v>0.68400000000000005</v>
      </c>
      <c r="M30" s="8">
        <f t="shared" si="3"/>
        <v>12.996</v>
      </c>
      <c r="N30" s="6">
        <v>1</v>
      </c>
      <c r="O30" s="7">
        <v>1</v>
      </c>
      <c r="P30" s="8">
        <f t="shared" si="4"/>
        <v>1</v>
      </c>
      <c r="Q30" s="4"/>
      <c r="R30" s="6">
        <f t="shared" si="5"/>
        <v>36</v>
      </c>
      <c r="S30" s="9">
        <f t="shared" si="6"/>
        <v>0.63883333333333336</v>
      </c>
      <c r="T30" s="9">
        <f t="shared" si="7"/>
        <v>6.5335753176043551E-2</v>
      </c>
      <c r="U30" s="9">
        <f>R30 / _xlfn.XLOOKUP(A30, Top!A:A, Top!AA:AA)</f>
        <v>9.4488188976377951E-2</v>
      </c>
      <c r="V30" s="1"/>
      <c r="W30" s="1"/>
    </row>
    <row r="31" spans="1:23" x14ac:dyDescent="0.25">
      <c r="A31" s="1" t="s">
        <v>14</v>
      </c>
      <c r="B31" s="6">
        <v>7</v>
      </c>
      <c r="C31" s="7">
        <v>0.57099999999999995</v>
      </c>
      <c r="D31" s="8">
        <f t="shared" si="0"/>
        <v>3.9969999999999999</v>
      </c>
      <c r="E31" s="6">
        <v>4</v>
      </c>
      <c r="F31" s="7">
        <v>0.5</v>
      </c>
      <c r="G31" s="8">
        <f t="shared" si="1"/>
        <v>2</v>
      </c>
      <c r="H31" s="6"/>
      <c r="I31" s="7"/>
      <c r="J31" s="8">
        <f t="shared" si="2"/>
        <v>0</v>
      </c>
      <c r="K31" s="6">
        <v>9</v>
      </c>
      <c r="L31" s="7">
        <v>0.77800000000000002</v>
      </c>
      <c r="M31" s="8">
        <f t="shared" si="3"/>
        <v>7.0020000000000007</v>
      </c>
      <c r="N31" s="6">
        <v>1</v>
      </c>
      <c r="O31" s="7">
        <v>0</v>
      </c>
      <c r="P31" s="8">
        <f t="shared" si="4"/>
        <v>0</v>
      </c>
      <c r="Q31" s="13"/>
      <c r="R31" s="6">
        <f t="shared" si="5"/>
        <v>21</v>
      </c>
      <c r="S31" s="9">
        <f t="shared" si="6"/>
        <v>0.61899999999999999</v>
      </c>
      <c r="T31" s="9">
        <f t="shared" si="7"/>
        <v>3.8112522686025406E-2</v>
      </c>
      <c r="U31" s="9">
        <f>R31 / _xlfn.XLOOKUP(A31, Top!A:A, Top!AA:AA)</f>
        <v>9.8130841121495324E-2</v>
      </c>
      <c r="V31" s="1"/>
      <c r="W31" s="1"/>
    </row>
    <row r="32" spans="1:23" x14ac:dyDescent="0.25">
      <c r="A32" s="25" t="s">
        <v>208</v>
      </c>
      <c r="B32" s="6"/>
      <c r="C32" s="7"/>
      <c r="D32" s="8">
        <f t="shared" si="0"/>
        <v>0</v>
      </c>
      <c r="E32" s="6"/>
      <c r="F32" s="7"/>
      <c r="G32" s="8">
        <f t="shared" si="1"/>
        <v>0</v>
      </c>
      <c r="H32" s="6"/>
      <c r="I32" s="7"/>
      <c r="J32" s="8">
        <f t="shared" si="2"/>
        <v>0</v>
      </c>
      <c r="K32" s="6">
        <v>16</v>
      </c>
      <c r="L32" s="7">
        <v>0.56200000000000006</v>
      </c>
      <c r="M32" s="8">
        <f t="shared" si="3"/>
        <v>8.9920000000000009</v>
      </c>
      <c r="N32" s="6">
        <v>2</v>
      </c>
      <c r="O32" s="7">
        <v>0.5</v>
      </c>
      <c r="P32" s="8">
        <f t="shared" si="4"/>
        <v>1</v>
      </c>
      <c r="Q32" s="1"/>
      <c r="R32" s="6">
        <f t="shared" si="5"/>
        <v>18</v>
      </c>
      <c r="S32" s="9">
        <f t="shared" si="6"/>
        <v>0.55511111111111111</v>
      </c>
      <c r="T32" s="9">
        <f t="shared" si="7"/>
        <v>3.2667876588021776E-2</v>
      </c>
      <c r="U32" s="9">
        <f>R32 / _xlfn.XLOOKUP(A32, Top!A:A, Top!AA:AA)</f>
        <v>9.375E-2</v>
      </c>
      <c r="V32" s="1"/>
      <c r="W32" s="1"/>
    </row>
    <row r="33" spans="1:23" x14ac:dyDescent="0.25">
      <c r="A33" s="25" t="s">
        <v>210</v>
      </c>
      <c r="B33" s="6"/>
      <c r="C33" s="7"/>
      <c r="D33" s="8">
        <f t="shared" si="0"/>
        <v>0</v>
      </c>
      <c r="E33" s="6"/>
      <c r="F33" s="7"/>
      <c r="G33" s="8">
        <f t="shared" si="1"/>
        <v>0</v>
      </c>
      <c r="H33" s="6"/>
      <c r="I33" s="7"/>
      <c r="J33" s="8">
        <f t="shared" si="2"/>
        <v>0</v>
      </c>
      <c r="K33" s="6">
        <v>6</v>
      </c>
      <c r="L33" s="7">
        <v>0.5</v>
      </c>
      <c r="M33" s="8">
        <f t="shared" si="3"/>
        <v>3</v>
      </c>
      <c r="N33" s="6"/>
      <c r="O33" s="7"/>
      <c r="P33" s="8">
        <f t="shared" si="4"/>
        <v>0</v>
      </c>
      <c r="Q33" s="1"/>
      <c r="R33" s="6">
        <f t="shared" si="5"/>
        <v>6</v>
      </c>
      <c r="S33" s="9">
        <f t="shared" si="6"/>
        <v>0.5</v>
      </c>
      <c r="T33" s="9">
        <f t="shared" si="7"/>
        <v>1.0889292196007259E-2</v>
      </c>
      <c r="U33" s="9">
        <f>R33 / _xlfn.XLOOKUP(A33, Top!A:A, Top!AA:AA)</f>
        <v>9.375E-2</v>
      </c>
      <c r="V33" s="1"/>
      <c r="W33" s="1"/>
    </row>
    <row r="34" spans="1:23" x14ac:dyDescent="0.25">
      <c r="A34" s="1" t="s">
        <v>42</v>
      </c>
      <c r="B34" s="6">
        <v>2</v>
      </c>
      <c r="C34" s="7">
        <v>0.5</v>
      </c>
      <c r="D34" s="8">
        <f t="shared" si="0"/>
        <v>1</v>
      </c>
      <c r="E34" s="6"/>
      <c r="F34" s="7"/>
      <c r="G34" s="8">
        <f t="shared" si="1"/>
        <v>0</v>
      </c>
      <c r="H34" s="6"/>
      <c r="I34" s="7"/>
      <c r="J34" s="8">
        <f t="shared" si="2"/>
        <v>0</v>
      </c>
      <c r="K34" s="6"/>
      <c r="L34" s="7"/>
      <c r="M34" s="8">
        <f t="shared" si="3"/>
        <v>0</v>
      </c>
      <c r="N34" s="6"/>
      <c r="O34" s="7"/>
      <c r="P34" s="8">
        <f t="shared" si="4"/>
        <v>0</v>
      </c>
      <c r="Q34" s="1"/>
      <c r="R34" s="6">
        <f t="shared" si="5"/>
        <v>2</v>
      </c>
      <c r="S34" s="9">
        <f t="shared" si="6"/>
        <v>0.5</v>
      </c>
      <c r="T34" s="9">
        <f t="shared" si="7"/>
        <v>3.629764065335753E-3</v>
      </c>
      <c r="U34" s="9">
        <f>R34 / _xlfn.XLOOKUP(A34, Top!A:A, Top!AA:AA)</f>
        <v>0.4</v>
      </c>
      <c r="V34" s="1"/>
      <c r="W34" s="1"/>
    </row>
    <row r="35" spans="1:23" x14ac:dyDescent="0.25">
      <c r="A35" s="1" t="s">
        <v>43</v>
      </c>
      <c r="B35" s="6">
        <v>1</v>
      </c>
      <c r="C35" s="7">
        <v>1</v>
      </c>
      <c r="D35" s="8">
        <f t="shared" si="0"/>
        <v>1</v>
      </c>
      <c r="E35" s="6">
        <v>1</v>
      </c>
      <c r="F35" s="7">
        <v>0</v>
      </c>
      <c r="G35" s="8">
        <f t="shared" si="1"/>
        <v>0</v>
      </c>
      <c r="H35" s="6"/>
      <c r="I35" s="7"/>
      <c r="J35" s="8">
        <f t="shared" si="2"/>
        <v>0</v>
      </c>
      <c r="K35" s="6"/>
      <c r="L35" s="7"/>
      <c r="M35" s="8">
        <f t="shared" si="3"/>
        <v>0</v>
      </c>
      <c r="N35" s="6"/>
      <c r="O35" s="7"/>
      <c r="P35" s="8">
        <f t="shared" si="4"/>
        <v>0</v>
      </c>
      <c r="Q35" s="1"/>
      <c r="R35" s="6">
        <f t="shared" si="5"/>
        <v>2</v>
      </c>
      <c r="S35" s="9">
        <f t="shared" si="6"/>
        <v>0.5</v>
      </c>
      <c r="T35" s="9">
        <f t="shared" si="7"/>
        <v>3.629764065335753E-3</v>
      </c>
      <c r="U35" s="9">
        <f>R35 / _xlfn.XLOOKUP(A35, Top!A:A, Top!AA:AA)</f>
        <v>0.2</v>
      </c>
      <c r="V35" s="1"/>
      <c r="W35" s="1"/>
    </row>
    <row r="36" spans="1:23" x14ac:dyDescent="0.25">
      <c r="A36" s="1" t="s">
        <v>30</v>
      </c>
      <c r="B36" s="6">
        <v>2</v>
      </c>
      <c r="C36" s="7">
        <v>0.5</v>
      </c>
      <c r="D36" s="8">
        <f t="shared" si="0"/>
        <v>1</v>
      </c>
      <c r="E36" s="6"/>
      <c r="F36" s="7"/>
      <c r="G36" s="8">
        <f t="shared" si="1"/>
        <v>0</v>
      </c>
      <c r="H36" s="6"/>
      <c r="I36" s="7"/>
      <c r="J36" s="8">
        <f t="shared" si="2"/>
        <v>0</v>
      </c>
      <c r="K36" s="6"/>
      <c r="L36" s="7"/>
      <c r="M36" s="8">
        <f t="shared" si="3"/>
        <v>0</v>
      </c>
      <c r="N36" s="6"/>
      <c r="O36" s="7"/>
      <c r="P36" s="8">
        <f t="shared" si="4"/>
        <v>0</v>
      </c>
      <c r="Q36" s="1"/>
      <c r="R36" s="6">
        <f t="shared" si="5"/>
        <v>2</v>
      </c>
      <c r="S36" s="9">
        <f t="shared" si="6"/>
        <v>0.5</v>
      </c>
      <c r="T36" s="9">
        <f t="shared" si="7"/>
        <v>3.629764065335753E-3</v>
      </c>
      <c r="U36" s="9">
        <f>R36 / _xlfn.XLOOKUP(A36, Top!A:A, Top!AA:AA)</f>
        <v>0.10526315789473684</v>
      </c>
      <c r="V36" s="1"/>
      <c r="W36" s="1"/>
    </row>
    <row r="37" spans="1:23" x14ac:dyDescent="0.25">
      <c r="A37" s="1" t="s">
        <v>38</v>
      </c>
      <c r="B37" s="6"/>
      <c r="C37" s="7"/>
      <c r="D37" s="8">
        <f t="shared" si="0"/>
        <v>0</v>
      </c>
      <c r="E37" s="6"/>
      <c r="F37" s="7"/>
      <c r="G37" s="8">
        <f t="shared" si="1"/>
        <v>0</v>
      </c>
      <c r="H37" s="6">
        <v>6</v>
      </c>
      <c r="I37" s="7">
        <v>0.5</v>
      </c>
      <c r="J37" s="8">
        <f t="shared" si="2"/>
        <v>3</v>
      </c>
      <c r="K37" s="6">
        <v>3</v>
      </c>
      <c r="L37" s="7">
        <v>0.33300000000000002</v>
      </c>
      <c r="M37" s="8">
        <f t="shared" si="3"/>
        <v>0.99900000000000011</v>
      </c>
      <c r="N37" s="6">
        <v>1</v>
      </c>
      <c r="O37" s="7">
        <v>1</v>
      </c>
      <c r="P37" s="8">
        <f t="shared" si="4"/>
        <v>1</v>
      </c>
      <c r="Q37" s="1"/>
      <c r="R37" s="6">
        <f t="shared" si="5"/>
        <v>10</v>
      </c>
      <c r="S37" s="9">
        <f t="shared" si="6"/>
        <v>0.49990000000000007</v>
      </c>
      <c r="T37" s="9">
        <f t="shared" si="7"/>
        <v>1.8148820326678767E-2</v>
      </c>
      <c r="U37" s="9">
        <f>R37 / _xlfn.XLOOKUP(A37, Top!A:A, Top!AA:AA)</f>
        <v>0.20408163265306123</v>
      </c>
      <c r="V37" s="1"/>
      <c r="W37" s="1"/>
    </row>
    <row r="38" spans="1:23" x14ac:dyDescent="0.25">
      <c r="A38" s="1" t="s">
        <v>201</v>
      </c>
      <c r="B38" s="6"/>
      <c r="C38" s="7"/>
      <c r="D38" s="8">
        <f t="shared" si="0"/>
        <v>0</v>
      </c>
      <c r="E38" s="6"/>
      <c r="F38" s="7"/>
      <c r="G38" s="8">
        <f t="shared" si="1"/>
        <v>0</v>
      </c>
      <c r="H38" s="6">
        <v>1</v>
      </c>
      <c r="I38" s="7">
        <v>1</v>
      </c>
      <c r="J38" s="8">
        <f t="shared" si="2"/>
        <v>1</v>
      </c>
      <c r="K38" s="6">
        <v>5</v>
      </c>
      <c r="L38" s="7">
        <v>0.4</v>
      </c>
      <c r="M38" s="8">
        <f t="shared" si="3"/>
        <v>2</v>
      </c>
      <c r="N38" s="6">
        <v>1</v>
      </c>
      <c r="O38" s="7">
        <v>0</v>
      </c>
      <c r="P38" s="8">
        <f t="shared" si="4"/>
        <v>0</v>
      </c>
      <c r="Q38" s="1"/>
      <c r="R38" s="6">
        <f t="shared" si="5"/>
        <v>7</v>
      </c>
      <c r="S38" s="9">
        <f t="shared" si="6"/>
        <v>0.42857142857142855</v>
      </c>
      <c r="T38" s="9">
        <f t="shared" si="7"/>
        <v>1.2704174228675136E-2</v>
      </c>
      <c r="U38" s="9">
        <f>R38 / _xlfn.XLOOKUP(A38, Top!A:A, Top!AA:AA)</f>
        <v>9.0909090909090912E-2</v>
      </c>
      <c r="V38" s="1"/>
      <c r="W38" s="1"/>
    </row>
    <row r="39" spans="1:23" x14ac:dyDescent="0.25">
      <c r="A39" s="1" t="s">
        <v>17</v>
      </c>
      <c r="B39" s="6">
        <v>1</v>
      </c>
      <c r="C39" s="7">
        <v>0</v>
      </c>
      <c r="D39" s="8">
        <f t="shared" si="0"/>
        <v>0</v>
      </c>
      <c r="E39" s="6">
        <v>1</v>
      </c>
      <c r="F39" s="7">
        <v>1</v>
      </c>
      <c r="G39" s="8">
        <f t="shared" si="1"/>
        <v>1</v>
      </c>
      <c r="H39" s="6"/>
      <c r="I39" s="7"/>
      <c r="J39" s="8">
        <f t="shared" si="2"/>
        <v>0</v>
      </c>
      <c r="K39" s="6">
        <v>12</v>
      </c>
      <c r="L39" s="7">
        <v>0.33300000000000002</v>
      </c>
      <c r="M39" s="8">
        <f t="shared" si="3"/>
        <v>3.9960000000000004</v>
      </c>
      <c r="N39" s="6">
        <v>1</v>
      </c>
      <c r="O39" s="7">
        <v>1</v>
      </c>
      <c r="P39" s="8">
        <f t="shared" si="4"/>
        <v>1</v>
      </c>
      <c r="Q39" s="1"/>
      <c r="R39" s="6">
        <f t="shared" si="5"/>
        <v>15</v>
      </c>
      <c r="S39" s="9">
        <f t="shared" si="6"/>
        <v>0.39973333333333338</v>
      </c>
      <c r="T39" s="9">
        <f t="shared" si="7"/>
        <v>2.7223230490018149E-2</v>
      </c>
      <c r="U39" s="9">
        <f>R39 / _xlfn.XLOOKUP(A39, Top!A:A, Top!AA:AA)</f>
        <v>6.3829787234042548E-2</v>
      </c>
      <c r="V39" s="1"/>
      <c r="W39" s="1"/>
    </row>
    <row r="40" spans="1:23" x14ac:dyDescent="0.25">
      <c r="A40" s="1" t="s">
        <v>36</v>
      </c>
      <c r="B40" s="6"/>
      <c r="C40" s="7"/>
      <c r="D40" s="8">
        <f t="shared" si="0"/>
        <v>0</v>
      </c>
      <c r="E40" s="6">
        <v>3</v>
      </c>
      <c r="F40" s="7">
        <v>0</v>
      </c>
      <c r="G40" s="8">
        <f t="shared" si="1"/>
        <v>0</v>
      </c>
      <c r="H40" s="6"/>
      <c r="I40" s="7"/>
      <c r="J40" s="8">
        <f t="shared" si="2"/>
        <v>0</v>
      </c>
      <c r="K40" s="6"/>
      <c r="L40" s="7"/>
      <c r="M40" s="8">
        <f t="shared" si="3"/>
        <v>0</v>
      </c>
      <c r="N40" s="6"/>
      <c r="O40" s="7"/>
      <c r="P40" s="8">
        <f t="shared" si="4"/>
        <v>0</v>
      </c>
      <c r="Q40" s="1"/>
      <c r="R40" s="6">
        <f t="shared" si="5"/>
        <v>3</v>
      </c>
      <c r="S40" s="9">
        <f t="shared" si="6"/>
        <v>0</v>
      </c>
      <c r="T40" s="9">
        <f t="shared" si="7"/>
        <v>5.4446460980036296E-3</v>
      </c>
      <c r="U40" s="9">
        <f>R40 / _xlfn.XLOOKUP(A40, Top!A:A, Top!AA:AA)</f>
        <v>8.3333333333333329E-2</v>
      </c>
    </row>
    <row r="41" spans="1:23" x14ac:dyDescent="0.25">
      <c r="A41" s="1" t="s">
        <v>24</v>
      </c>
      <c r="B41" s="6"/>
      <c r="C41" s="7"/>
      <c r="D41" s="8">
        <f t="shared" si="0"/>
        <v>0</v>
      </c>
      <c r="E41" s="6"/>
      <c r="F41" s="7"/>
      <c r="G41" s="8">
        <f t="shared" si="1"/>
        <v>0</v>
      </c>
      <c r="H41" s="6">
        <v>1</v>
      </c>
      <c r="I41" s="7">
        <v>0</v>
      </c>
      <c r="J41" s="8">
        <f t="shared" si="2"/>
        <v>0</v>
      </c>
      <c r="K41" s="6">
        <v>1</v>
      </c>
      <c r="L41" s="7">
        <v>0</v>
      </c>
      <c r="M41" s="8">
        <f t="shared" si="3"/>
        <v>0</v>
      </c>
      <c r="N41" s="6"/>
      <c r="O41" s="7"/>
      <c r="P41" s="8">
        <f t="shared" si="4"/>
        <v>0</v>
      </c>
      <c r="Q41" s="1"/>
      <c r="R41" s="6">
        <f t="shared" si="5"/>
        <v>2</v>
      </c>
      <c r="S41" s="9">
        <f t="shared" si="6"/>
        <v>0</v>
      </c>
      <c r="T41" s="9">
        <f t="shared" si="7"/>
        <v>3.629764065335753E-3</v>
      </c>
      <c r="U41" s="9">
        <f>R41 / _xlfn.XLOOKUP(A41, Top!A:A, Top!AA:AA)</f>
        <v>0.1111111111111111</v>
      </c>
    </row>
    <row r="42" spans="1:23" x14ac:dyDescent="0.25">
      <c r="A42" s="1" t="s">
        <v>45</v>
      </c>
      <c r="B42" s="6"/>
      <c r="C42" s="7"/>
      <c r="D42" s="8">
        <f t="shared" si="0"/>
        <v>0</v>
      </c>
      <c r="E42" s="6">
        <v>1</v>
      </c>
      <c r="F42" s="7">
        <v>0</v>
      </c>
      <c r="G42" s="8">
        <f t="shared" si="1"/>
        <v>0</v>
      </c>
      <c r="H42" s="6"/>
      <c r="I42" s="7"/>
      <c r="J42" s="8">
        <f t="shared" si="2"/>
        <v>0</v>
      </c>
      <c r="K42" s="6"/>
      <c r="L42" s="7"/>
      <c r="M42" s="8">
        <f t="shared" si="3"/>
        <v>0</v>
      </c>
      <c r="N42" s="6"/>
      <c r="O42" s="7"/>
      <c r="P42" s="8">
        <f t="shared" si="4"/>
        <v>0</v>
      </c>
      <c r="Q42" s="1"/>
      <c r="R42" s="6">
        <f t="shared" si="5"/>
        <v>1</v>
      </c>
      <c r="S42" s="9">
        <f t="shared" si="6"/>
        <v>0</v>
      </c>
      <c r="T42" s="9">
        <f t="shared" si="7"/>
        <v>1.8148820326678765E-3</v>
      </c>
      <c r="U42" s="9">
        <f>R42 / _xlfn.XLOOKUP(A42, Top!A:A, Top!AA:AA)</f>
        <v>1</v>
      </c>
    </row>
    <row r="43" spans="1:23" x14ac:dyDescent="0.25">
      <c r="A43" s="1" t="s">
        <v>21</v>
      </c>
      <c r="B43" s="6"/>
      <c r="C43" s="7"/>
      <c r="D43" s="8">
        <f t="shared" si="0"/>
        <v>0</v>
      </c>
      <c r="E43" s="6"/>
      <c r="F43" s="7"/>
      <c r="G43" s="8">
        <f t="shared" si="1"/>
        <v>0</v>
      </c>
      <c r="H43" s="6">
        <v>1</v>
      </c>
      <c r="I43" s="7">
        <v>0</v>
      </c>
      <c r="J43" s="8">
        <f t="shared" si="2"/>
        <v>0</v>
      </c>
      <c r="K43" s="6"/>
      <c r="L43" s="7"/>
      <c r="M43" s="8">
        <f t="shared" si="3"/>
        <v>0</v>
      </c>
      <c r="N43" s="6"/>
      <c r="O43" s="7"/>
      <c r="P43" s="8">
        <f t="shared" si="4"/>
        <v>0</v>
      </c>
      <c r="Q43" s="1"/>
      <c r="R43" s="6">
        <f t="shared" si="5"/>
        <v>1</v>
      </c>
      <c r="S43" s="9">
        <f t="shared" si="6"/>
        <v>0</v>
      </c>
      <c r="T43" s="9">
        <f t="shared" si="7"/>
        <v>1.8148820326678765E-3</v>
      </c>
      <c r="U43" s="9">
        <f>R43 / _xlfn.XLOOKUP(A43, Top!A:A, Top!AA:AA)</f>
        <v>5.5555555555555552E-2</v>
      </c>
    </row>
    <row r="44" spans="1:23" x14ac:dyDescent="0.25">
      <c r="A44" s="25" t="s">
        <v>32</v>
      </c>
      <c r="B44" s="6"/>
      <c r="C44" s="7"/>
      <c r="D44" s="8">
        <f t="shared" si="0"/>
        <v>0</v>
      </c>
      <c r="E44" s="6"/>
      <c r="F44" s="7"/>
      <c r="G44" s="8">
        <f t="shared" si="1"/>
        <v>0</v>
      </c>
      <c r="H44" s="6"/>
      <c r="I44" s="7"/>
      <c r="J44" s="8">
        <f t="shared" si="2"/>
        <v>0</v>
      </c>
      <c r="K44" s="6"/>
      <c r="L44" s="7"/>
      <c r="M44" s="8">
        <f t="shared" si="3"/>
        <v>0</v>
      </c>
      <c r="N44" s="6">
        <v>1</v>
      </c>
      <c r="O44" s="7">
        <v>0</v>
      </c>
      <c r="P44" s="8">
        <f t="shared" si="4"/>
        <v>0</v>
      </c>
      <c r="Q44" s="1"/>
      <c r="R44" s="6">
        <f t="shared" si="5"/>
        <v>1</v>
      </c>
      <c r="S44" s="9">
        <f t="shared" si="6"/>
        <v>0</v>
      </c>
      <c r="T44" s="9">
        <f t="shared" si="7"/>
        <v>1.8148820326678765E-3</v>
      </c>
      <c r="U44" s="9">
        <f>R44 / _xlfn.XLOOKUP(A44, Top!A:A, Top!AA:AA)</f>
        <v>9.0909090909090912E-2</v>
      </c>
    </row>
    <row r="45" spans="1:23" x14ac:dyDescent="0.25">
      <c r="B45" s="6"/>
      <c r="C45" s="7"/>
      <c r="D45" s="8">
        <f t="shared" ref="D45:D56" si="8">B45*C45</f>
        <v>0</v>
      </c>
      <c r="E45" s="6"/>
      <c r="F45" s="7"/>
      <c r="G45" s="8">
        <f t="shared" ref="G45:G56" si="9">E45*F45</f>
        <v>0</v>
      </c>
      <c r="H45" s="6"/>
      <c r="I45" s="7"/>
      <c r="J45" s="8">
        <f t="shared" ref="J45:J56" si="10">H45*I45</f>
        <v>0</v>
      </c>
      <c r="K45" s="6"/>
      <c r="L45" s="7"/>
      <c r="M45" s="8">
        <f t="shared" ref="M45:M56" si="11">K45*L45</f>
        <v>0</v>
      </c>
      <c r="N45" s="6"/>
      <c r="O45" s="7"/>
      <c r="P45" s="8">
        <f t="shared" ref="P45:P56" si="12">N45*O45</f>
        <v>0</v>
      </c>
      <c r="Q45" s="1"/>
      <c r="R45" s="6">
        <f t="shared" ref="R45:R56" si="13">B45+E45+H45+K45+N45</f>
        <v>0</v>
      </c>
      <c r="S45" s="9" t="e">
        <f t="shared" ref="S45:S56" si="14">(D45+G45+J45+M45+P45)/R45</f>
        <v>#DIV/0!</v>
      </c>
      <c r="T45" s="9">
        <f t="shared" ref="T45:T56" si="15">R45/$V$3</f>
        <v>0</v>
      </c>
      <c r="U45" s="9" t="e">
        <f>R45 / _xlfn.XLOOKUP(A45, Top!A:A, Top!AA:AA)</f>
        <v>#DIV/0!</v>
      </c>
    </row>
    <row r="46" spans="1:23" x14ac:dyDescent="0.25">
      <c r="B46" s="6"/>
      <c r="C46" s="7"/>
      <c r="D46" s="8">
        <f t="shared" si="8"/>
        <v>0</v>
      </c>
      <c r="E46" s="6"/>
      <c r="F46" s="7"/>
      <c r="G46" s="8">
        <f t="shared" si="9"/>
        <v>0</v>
      </c>
      <c r="H46" s="6"/>
      <c r="I46" s="7"/>
      <c r="J46" s="8">
        <f t="shared" si="10"/>
        <v>0</v>
      </c>
      <c r="K46" s="6"/>
      <c r="L46" s="7"/>
      <c r="M46" s="8">
        <f t="shared" si="11"/>
        <v>0</v>
      </c>
      <c r="N46" s="6"/>
      <c r="O46" s="7"/>
      <c r="P46" s="8">
        <f t="shared" si="12"/>
        <v>0</v>
      </c>
      <c r="Q46" s="1"/>
      <c r="R46" s="6">
        <f t="shared" si="13"/>
        <v>0</v>
      </c>
      <c r="S46" s="9" t="e">
        <f t="shared" si="14"/>
        <v>#DIV/0!</v>
      </c>
      <c r="T46" s="9">
        <f t="shared" si="15"/>
        <v>0</v>
      </c>
      <c r="U46" s="9" t="e">
        <f>R46 / _xlfn.XLOOKUP(A46, Top!A:A, Top!AA:AA)</f>
        <v>#DIV/0!</v>
      </c>
    </row>
    <row r="47" spans="1:23" x14ac:dyDescent="0.25">
      <c r="B47" s="6"/>
      <c r="C47" s="7"/>
      <c r="D47" s="8">
        <f t="shared" si="8"/>
        <v>0</v>
      </c>
      <c r="E47" s="6"/>
      <c r="F47" s="7"/>
      <c r="G47" s="8">
        <f t="shared" si="9"/>
        <v>0</v>
      </c>
      <c r="H47" s="6"/>
      <c r="I47" s="7"/>
      <c r="J47" s="8">
        <f t="shared" si="10"/>
        <v>0</v>
      </c>
      <c r="K47" s="6"/>
      <c r="L47" s="7"/>
      <c r="M47" s="8">
        <f t="shared" si="11"/>
        <v>0</v>
      </c>
      <c r="N47" s="6"/>
      <c r="O47" s="7"/>
      <c r="P47" s="8">
        <f t="shared" si="12"/>
        <v>0</v>
      </c>
      <c r="Q47" s="1"/>
      <c r="R47" s="6">
        <f t="shared" si="13"/>
        <v>0</v>
      </c>
      <c r="S47" s="9" t="e">
        <f t="shared" si="14"/>
        <v>#DIV/0!</v>
      </c>
      <c r="T47" s="9">
        <f t="shared" si="15"/>
        <v>0</v>
      </c>
      <c r="U47" s="9" t="e">
        <f>R47 / _xlfn.XLOOKUP(A47, Top!A:A, Top!AA:AA)</f>
        <v>#DIV/0!</v>
      </c>
    </row>
    <row r="48" spans="1:23" x14ac:dyDescent="0.25">
      <c r="B48" s="6"/>
      <c r="C48" s="7"/>
      <c r="D48" s="8">
        <f t="shared" si="8"/>
        <v>0</v>
      </c>
      <c r="E48" s="6"/>
      <c r="F48" s="7"/>
      <c r="G48" s="8">
        <f t="shared" si="9"/>
        <v>0</v>
      </c>
      <c r="H48" s="6"/>
      <c r="I48" s="7"/>
      <c r="J48" s="8">
        <f t="shared" si="10"/>
        <v>0</v>
      </c>
      <c r="K48" s="6"/>
      <c r="L48" s="7"/>
      <c r="M48" s="8">
        <f t="shared" si="11"/>
        <v>0</v>
      </c>
      <c r="N48" s="6"/>
      <c r="O48" s="7"/>
      <c r="P48" s="8">
        <f t="shared" si="12"/>
        <v>0</v>
      </c>
      <c r="Q48" s="1"/>
      <c r="R48" s="6">
        <f t="shared" si="13"/>
        <v>0</v>
      </c>
      <c r="S48" s="9" t="e">
        <f t="shared" si="14"/>
        <v>#DIV/0!</v>
      </c>
      <c r="T48" s="9">
        <f t="shared" si="15"/>
        <v>0</v>
      </c>
      <c r="U48" s="9" t="e">
        <f>R48 / _xlfn.XLOOKUP(A48, Top!A:A, Top!AA:AA)</f>
        <v>#DIV/0!</v>
      </c>
    </row>
    <row r="49" spans="2:21" x14ac:dyDescent="0.25">
      <c r="B49" s="6"/>
      <c r="C49" s="7"/>
      <c r="D49" s="8">
        <f t="shared" si="8"/>
        <v>0</v>
      </c>
      <c r="E49" s="6"/>
      <c r="F49" s="7"/>
      <c r="G49" s="8">
        <f t="shared" si="9"/>
        <v>0</v>
      </c>
      <c r="H49" s="6"/>
      <c r="I49" s="7"/>
      <c r="J49" s="8">
        <f t="shared" si="10"/>
        <v>0</v>
      </c>
      <c r="K49" s="6"/>
      <c r="L49" s="7"/>
      <c r="M49" s="8">
        <f t="shared" si="11"/>
        <v>0</v>
      </c>
      <c r="N49" s="6"/>
      <c r="O49" s="7"/>
      <c r="P49" s="8">
        <f t="shared" si="12"/>
        <v>0</v>
      </c>
      <c r="Q49" s="1"/>
      <c r="R49" s="6">
        <f t="shared" si="13"/>
        <v>0</v>
      </c>
      <c r="S49" s="9" t="e">
        <f t="shared" si="14"/>
        <v>#DIV/0!</v>
      </c>
      <c r="T49" s="9">
        <f t="shared" si="15"/>
        <v>0</v>
      </c>
      <c r="U49" s="9" t="e">
        <f>R49 / _xlfn.XLOOKUP(A49, Top!A:A, Top!AA:AA)</f>
        <v>#DIV/0!</v>
      </c>
    </row>
    <row r="50" spans="2:21" x14ac:dyDescent="0.25">
      <c r="B50" s="6"/>
      <c r="C50" s="7"/>
      <c r="D50" s="8">
        <f t="shared" si="8"/>
        <v>0</v>
      </c>
      <c r="E50" s="6"/>
      <c r="F50" s="7"/>
      <c r="G50" s="8">
        <f t="shared" si="9"/>
        <v>0</v>
      </c>
      <c r="H50" s="6"/>
      <c r="I50" s="7"/>
      <c r="J50" s="8">
        <f t="shared" si="10"/>
        <v>0</v>
      </c>
      <c r="K50" s="6"/>
      <c r="L50" s="7"/>
      <c r="M50" s="8">
        <f t="shared" si="11"/>
        <v>0</v>
      </c>
      <c r="N50" s="6"/>
      <c r="O50" s="7"/>
      <c r="P50" s="8">
        <f t="shared" si="12"/>
        <v>0</v>
      </c>
      <c r="Q50" s="1"/>
      <c r="R50" s="6">
        <f t="shared" si="13"/>
        <v>0</v>
      </c>
      <c r="S50" s="9" t="e">
        <f t="shared" si="14"/>
        <v>#DIV/0!</v>
      </c>
      <c r="T50" s="9">
        <f t="shared" si="15"/>
        <v>0</v>
      </c>
      <c r="U50" s="9" t="e">
        <f>R50 / _xlfn.XLOOKUP(A50, Top!A:A, Top!AA:AA)</f>
        <v>#DIV/0!</v>
      </c>
    </row>
    <row r="51" spans="2:21" x14ac:dyDescent="0.25">
      <c r="B51" s="6"/>
      <c r="C51" s="7"/>
      <c r="D51" s="8">
        <f t="shared" si="8"/>
        <v>0</v>
      </c>
      <c r="E51" s="6"/>
      <c r="F51" s="7"/>
      <c r="G51" s="8">
        <f t="shared" si="9"/>
        <v>0</v>
      </c>
      <c r="H51" s="6"/>
      <c r="I51" s="7"/>
      <c r="J51" s="8">
        <f t="shared" si="10"/>
        <v>0</v>
      </c>
      <c r="K51" s="6"/>
      <c r="L51" s="7"/>
      <c r="M51" s="8">
        <f t="shared" si="11"/>
        <v>0</v>
      </c>
      <c r="N51" s="6"/>
      <c r="O51" s="7"/>
      <c r="P51" s="8">
        <f t="shared" si="12"/>
        <v>0</v>
      </c>
      <c r="Q51" s="1"/>
      <c r="R51" s="6">
        <f t="shared" si="13"/>
        <v>0</v>
      </c>
      <c r="S51" s="9" t="e">
        <f t="shared" si="14"/>
        <v>#DIV/0!</v>
      </c>
      <c r="T51" s="9">
        <f t="shared" si="15"/>
        <v>0</v>
      </c>
      <c r="U51" s="9" t="e">
        <f>R51 / _xlfn.XLOOKUP(A51, Top!A:A, Top!AA:AA)</f>
        <v>#DIV/0!</v>
      </c>
    </row>
    <row r="52" spans="2:21" x14ac:dyDescent="0.25">
      <c r="B52" s="6"/>
      <c r="C52" s="7"/>
      <c r="D52" s="8">
        <f t="shared" si="8"/>
        <v>0</v>
      </c>
      <c r="E52" s="6"/>
      <c r="F52" s="7"/>
      <c r="G52" s="8">
        <f t="shared" si="9"/>
        <v>0</v>
      </c>
      <c r="H52" s="6"/>
      <c r="I52" s="7"/>
      <c r="J52" s="8">
        <f t="shared" si="10"/>
        <v>0</v>
      </c>
      <c r="K52" s="6"/>
      <c r="L52" s="7"/>
      <c r="M52" s="8">
        <f t="shared" si="11"/>
        <v>0</v>
      </c>
      <c r="N52" s="6"/>
      <c r="O52" s="7"/>
      <c r="P52" s="8">
        <f t="shared" si="12"/>
        <v>0</v>
      </c>
      <c r="Q52" s="1"/>
      <c r="R52" s="6">
        <f t="shared" si="13"/>
        <v>0</v>
      </c>
      <c r="S52" s="9" t="e">
        <f t="shared" si="14"/>
        <v>#DIV/0!</v>
      </c>
      <c r="T52" s="9">
        <f t="shared" si="15"/>
        <v>0</v>
      </c>
      <c r="U52" s="9" t="e">
        <f>R52 / _xlfn.XLOOKUP(A52, Top!A:A, Top!AA:AA)</f>
        <v>#DIV/0!</v>
      </c>
    </row>
    <row r="53" spans="2:21" x14ac:dyDescent="0.25">
      <c r="B53" s="6"/>
      <c r="C53" s="7"/>
      <c r="D53" s="8">
        <f t="shared" si="8"/>
        <v>0</v>
      </c>
      <c r="E53" s="6"/>
      <c r="F53" s="7"/>
      <c r="G53" s="8">
        <f t="shared" si="9"/>
        <v>0</v>
      </c>
      <c r="H53" s="6"/>
      <c r="I53" s="7"/>
      <c r="J53" s="8">
        <f t="shared" si="10"/>
        <v>0</v>
      </c>
      <c r="K53" s="6"/>
      <c r="L53" s="7"/>
      <c r="M53" s="8">
        <f t="shared" si="11"/>
        <v>0</v>
      </c>
      <c r="N53" s="6"/>
      <c r="O53" s="7"/>
      <c r="P53" s="8">
        <f t="shared" si="12"/>
        <v>0</v>
      </c>
      <c r="Q53" s="1"/>
      <c r="R53" s="6">
        <f t="shared" si="13"/>
        <v>0</v>
      </c>
      <c r="S53" s="9" t="e">
        <f t="shared" si="14"/>
        <v>#DIV/0!</v>
      </c>
      <c r="T53" s="9">
        <f t="shared" si="15"/>
        <v>0</v>
      </c>
      <c r="U53" s="9" t="e">
        <f>R53 / _xlfn.XLOOKUP(A53, Top!A:A, Top!AA:AA)</f>
        <v>#DIV/0!</v>
      </c>
    </row>
    <row r="54" spans="2:21" x14ac:dyDescent="0.25">
      <c r="B54" s="6"/>
      <c r="C54" s="7"/>
      <c r="D54" s="8">
        <f t="shared" si="8"/>
        <v>0</v>
      </c>
      <c r="E54" s="6"/>
      <c r="F54" s="7"/>
      <c r="G54" s="8">
        <f t="shared" si="9"/>
        <v>0</v>
      </c>
      <c r="H54" s="6"/>
      <c r="I54" s="7"/>
      <c r="J54" s="8">
        <f t="shared" si="10"/>
        <v>0</v>
      </c>
      <c r="K54" s="6"/>
      <c r="L54" s="7"/>
      <c r="M54" s="8">
        <f t="shared" si="11"/>
        <v>0</v>
      </c>
      <c r="N54" s="6"/>
      <c r="O54" s="7"/>
      <c r="P54" s="8">
        <f t="shared" si="12"/>
        <v>0</v>
      </c>
      <c r="Q54" s="1"/>
      <c r="R54" s="6">
        <f t="shared" si="13"/>
        <v>0</v>
      </c>
      <c r="S54" s="9" t="e">
        <f t="shared" si="14"/>
        <v>#DIV/0!</v>
      </c>
      <c r="T54" s="9">
        <f t="shared" si="15"/>
        <v>0</v>
      </c>
      <c r="U54" s="9" t="e">
        <f>R54 / _xlfn.XLOOKUP(A54, Top!A:A, Top!AA:AA)</f>
        <v>#DIV/0!</v>
      </c>
    </row>
    <row r="55" spans="2:21" x14ac:dyDescent="0.25">
      <c r="B55" s="6"/>
      <c r="C55" s="7"/>
      <c r="D55" s="8">
        <f t="shared" si="8"/>
        <v>0</v>
      </c>
      <c r="E55" s="6"/>
      <c r="F55" s="7"/>
      <c r="G55" s="8">
        <f t="shared" si="9"/>
        <v>0</v>
      </c>
      <c r="H55" s="6"/>
      <c r="I55" s="7"/>
      <c r="J55" s="8">
        <f t="shared" si="10"/>
        <v>0</v>
      </c>
      <c r="K55" s="6"/>
      <c r="L55" s="7"/>
      <c r="M55" s="8">
        <f t="shared" si="11"/>
        <v>0</v>
      </c>
      <c r="N55" s="6"/>
      <c r="O55" s="7"/>
      <c r="P55" s="8">
        <f t="shared" si="12"/>
        <v>0</v>
      </c>
      <c r="Q55" s="1"/>
      <c r="R55" s="6">
        <f t="shared" si="13"/>
        <v>0</v>
      </c>
      <c r="S55" s="9" t="e">
        <f t="shared" si="14"/>
        <v>#DIV/0!</v>
      </c>
      <c r="T55" s="9">
        <f t="shared" si="15"/>
        <v>0</v>
      </c>
      <c r="U55" s="9" t="e">
        <f>R55 / _xlfn.XLOOKUP(A55, Top!A:A, Top!AA:AA)</f>
        <v>#DIV/0!</v>
      </c>
    </row>
    <row r="56" spans="2:21" x14ac:dyDescent="0.25">
      <c r="B56" s="6"/>
      <c r="C56" s="7"/>
      <c r="D56" s="8">
        <f t="shared" si="8"/>
        <v>0</v>
      </c>
      <c r="E56" s="6"/>
      <c r="F56" s="7"/>
      <c r="G56" s="8">
        <f t="shared" si="9"/>
        <v>0</v>
      </c>
      <c r="H56" s="6"/>
      <c r="I56" s="7"/>
      <c r="J56" s="8">
        <f t="shared" si="10"/>
        <v>0</v>
      </c>
      <c r="K56" s="6"/>
      <c r="L56" s="7"/>
      <c r="M56" s="8">
        <f t="shared" si="11"/>
        <v>0</v>
      </c>
      <c r="N56" s="6"/>
      <c r="O56" s="7"/>
      <c r="P56" s="8">
        <f t="shared" si="12"/>
        <v>0</v>
      </c>
      <c r="Q56" s="1"/>
      <c r="R56" s="6">
        <f t="shared" si="13"/>
        <v>0</v>
      </c>
      <c r="S56" s="9" t="e">
        <f t="shared" si="14"/>
        <v>#DIV/0!</v>
      </c>
      <c r="T56" s="9">
        <f t="shared" si="15"/>
        <v>0</v>
      </c>
      <c r="U56" s="9" t="e">
        <f>R56 / _xlfn.XLOOKUP(A56, Top!A:A, Top!AA:AA)</f>
        <v>#DIV/0!</v>
      </c>
    </row>
    <row r="57" spans="2:21" x14ac:dyDescent="0.25">
      <c r="U57" s="9"/>
    </row>
    <row r="58" spans="2:21" x14ac:dyDescent="0.25">
      <c r="U58" s="9"/>
    </row>
  </sheetData>
  <sortState xmlns:xlrd2="http://schemas.microsoft.com/office/spreadsheetml/2017/richdata2" ref="A3:U44">
    <sortCondition descending="1" ref="S3:S44"/>
  </sortState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C72A-9D38-43B4-8C1F-5903A5B8FBA1}">
  <sheetPr codeName="Tabelle5">
    <tabColor theme="4" tint="0.59999389629810485"/>
  </sheetPr>
  <dimension ref="A1:W56"/>
  <sheetViews>
    <sheetView workbookViewId="0">
      <selection activeCell="A15" sqref="A15"/>
    </sheetView>
  </sheetViews>
  <sheetFormatPr baseColWidth="10" defaultColWidth="11.42578125" defaultRowHeight="15" x14ac:dyDescent="0.25"/>
  <sheetData>
    <row r="1" spans="1:23" ht="15.75" x14ac:dyDescent="0.25">
      <c r="A1" s="2" t="s">
        <v>53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27</v>
      </c>
      <c r="B3" s="6">
        <v>1</v>
      </c>
      <c r="C3" s="7">
        <v>1</v>
      </c>
      <c r="D3" s="8">
        <f t="shared" ref="D3:D37" si="0">B3*C3</f>
        <v>1</v>
      </c>
      <c r="E3" s="6"/>
      <c r="F3" s="7"/>
      <c r="G3" s="8">
        <f t="shared" ref="G3:G37" si="1">E3*F3</f>
        <v>0</v>
      </c>
      <c r="H3" s="6"/>
      <c r="I3" s="7"/>
      <c r="J3" s="8">
        <f t="shared" ref="J3:J37" si="2">H3*I3</f>
        <v>0</v>
      </c>
      <c r="K3" s="6"/>
      <c r="L3" s="7"/>
      <c r="M3" s="8">
        <f t="shared" ref="M3:M37" si="3">K3*L3</f>
        <v>0</v>
      </c>
      <c r="N3" s="6"/>
      <c r="O3" s="7"/>
      <c r="P3" s="8">
        <f t="shared" ref="P3:P37" si="4">N3*O3</f>
        <v>0</v>
      </c>
      <c r="Q3" s="1"/>
      <c r="R3" s="6">
        <f t="shared" ref="R3:R37" si="5">B3+E3+H3+K3+N3</f>
        <v>1</v>
      </c>
      <c r="S3" s="9">
        <f t="shared" ref="S3:S37" si="6">(D3+G3+J3+M3+P3)/R3</f>
        <v>1</v>
      </c>
      <c r="T3" s="9">
        <f t="shared" ref="T3:T37" si="7">R3/$V$3</f>
        <v>2.6109660574412533E-3</v>
      </c>
      <c r="U3" s="9">
        <f>R3 / _xlfn.XLOOKUP(A3, Top!A:A, Top!AA:AA)</f>
        <v>2.2222222222222223E-2</v>
      </c>
      <c r="V3" s="11">
        <f>SUM(R3:R70)</f>
        <v>383</v>
      </c>
      <c r="W3" s="12">
        <f>(SUM(D3:D100)+SUM(G3:G100)+SUM(J3:J100)+SUM(M3:M100)+SUM(P3:P100)) / V3</f>
        <v>0.32909660574412536</v>
      </c>
    </row>
    <row r="4" spans="1:23" x14ac:dyDescent="0.25">
      <c r="A4" s="1" t="s">
        <v>32</v>
      </c>
      <c r="B4" s="6">
        <v>1</v>
      </c>
      <c r="C4" s="7">
        <v>1</v>
      </c>
      <c r="D4" s="8">
        <f t="shared" si="0"/>
        <v>1</v>
      </c>
      <c r="E4" s="6"/>
      <c r="F4" s="7"/>
      <c r="G4" s="8">
        <f t="shared" si="1"/>
        <v>0</v>
      </c>
      <c r="H4" s="6"/>
      <c r="I4" s="7"/>
      <c r="J4" s="8">
        <f t="shared" si="2"/>
        <v>0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1</v>
      </c>
      <c r="S4" s="9">
        <f t="shared" si="6"/>
        <v>1</v>
      </c>
      <c r="T4" s="9">
        <f t="shared" si="7"/>
        <v>2.6109660574412533E-3</v>
      </c>
      <c r="U4" s="9">
        <f>R4 / _xlfn.XLOOKUP(A4, Top!A:A, Top!AA:AA)</f>
        <v>9.0909090909090912E-2</v>
      </c>
      <c r="V4" s="6"/>
      <c r="W4" s="9"/>
    </row>
    <row r="5" spans="1:23" x14ac:dyDescent="0.25">
      <c r="A5" s="25" t="s">
        <v>261</v>
      </c>
      <c r="B5" s="6"/>
      <c r="C5" s="7"/>
      <c r="D5" s="8">
        <f t="shared" si="0"/>
        <v>0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/>
      <c r="L5" s="7"/>
      <c r="M5" s="8">
        <f t="shared" si="3"/>
        <v>0</v>
      </c>
      <c r="N5" s="6">
        <v>1</v>
      </c>
      <c r="O5" s="7">
        <v>1</v>
      </c>
      <c r="P5" s="8">
        <f t="shared" si="4"/>
        <v>1</v>
      </c>
      <c r="Q5" s="1"/>
      <c r="R5" s="6">
        <f t="shared" si="5"/>
        <v>1</v>
      </c>
      <c r="S5" s="9">
        <f t="shared" si="6"/>
        <v>1</v>
      </c>
      <c r="T5" s="9">
        <f t="shared" si="7"/>
        <v>2.6109660574412533E-3</v>
      </c>
      <c r="U5" s="9">
        <f>R5 / _xlfn.XLOOKUP(A5, Top!A:A, Top!AA:AA)</f>
        <v>7.1428571428571425E-2</v>
      </c>
      <c r="W5" s="1"/>
    </row>
    <row r="6" spans="1:23" x14ac:dyDescent="0.25">
      <c r="A6" s="1" t="s">
        <v>95</v>
      </c>
      <c r="B6" s="6"/>
      <c r="C6" s="7"/>
      <c r="D6" s="8">
        <f t="shared" si="0"/>
        <v>0</v>
      </c>
      <c r="E6" s="6"/>
      <c r="F6" s="7"/>
      <c r="G6" s="8">
        <f t="shared" si="1"/>
        <v>0</v>
      </c>
      <c r="H6" s="6">
        <v>4</v>
      </c>
      <c r="I6" s="7">
        <v>0.75</v>
      </c>
      <c r="J6" s="8">
        <f t="shared" si="2"/>
        <v>3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1"/>
      <c r="R6" s="6">
        <f t="shared" si="5"/>
        <v>4</v>
      </c>
      <c r="S6" s="9">
        <f t="shared" si="6"/>
        <v>0.75</v>
      </c>
      <c r="T6" s="9">
        <f t="shared" si="7"/>
        <v>1.0443864229765013E-2</v>
      </c>
      <c r="U6" s="9">
        <f>R6 / _xlfn.XLOOKUP(A6, Top!A:A, Top!AA:AA)</f>
        <v>8.5106382978723402E-2</v>
      </c>
      <c r="W6" s="1"/>
    </row>
    <row r="7" spans="1:23" x14ac:dyDescent="0.25">
      <c r="A7" s="1" t="s">
        <v>13</v>
      </c>
      <c r="B7" s="6">
        <v>4</v>
      </c>
      <c r="C7" s="7">
        <v>0.5</v>
      </c>
      <c r="D7" s="8">
        <f t="shared" si="0"/>
        <v>2</v>
      </c>
      <c r="E7" s="6"/>
      <c r="F7" s="7"/>
      <c r="G7" s="8">
        <f t="shared" si="1"/>
        <v>0</v>
      </c>
      <c r="H7" s="6"/>
      <c r="I7" s="7"/>
      <c r="J7" s="8">
        <f t="shared" si="2"/>
        <v>0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4</v>
      </c>
      <c r="S7" s="9">
        <f t="shared" si="6"/>
        <v>0.5</v>
      </c>
      <c r="T7" s="9">
        <f t="shared" si="7"/>
        <v>1.0443864229765013E-2</v>
      </c>
      <c r="U7" s="9">
        <f>R7 / _xlfn.XLOOKUP(A7, Top!A:A, Top!AA:AA)</f>
        <v>3.3333333333333333E-2</v>
      </c>
      <c r="V7" s="1"/>
      <c r="W7" s="1"/>
    </row>
    <row r="8" spans="1:23" x14ac:dyDescent="0.25">
      <c r="A8" s="23" t="s">
        <v>210</v>
      </c>
      <c r="B8" s="6"/>
      <c r="C8" s="7"/>
      <c r="D8" s="8">
        <f t="shared" si="0"/>
        <v>0</v>
      </c>
      <c r="E8" s="6"/>
      <c r="F8" s="7"/>
      <c r="G8" s="8">
        <f t="shared" si="1"/>
        <v>0</v>
      </c>
      <c r="H8" s="6"/>
      <c r="I8" s="7"/>
      <c r="J8" s="8">
        <f t="shared" si="2"/>
        <v>0</v>
      </c>
      <c r="K8" s="6">
        <v>1</v>
      </c>
      <c r="L8" s="7">
        <v>0</v>
      </c>
      <c r="M8" s="8">
        <f t="shared" si="3"/>
        <v>0</v>
      </c>
      <c r="N8" s="6">
        <v>1</v>
      </c>
      <c r="O8" s="7">
        <v>1</v>
      </c>
      <c r="P8" s="8">
        <f t="shared" si="4"/>
        <v>1</v>
      </c>
      <c r="Q8" s="1"/>
      <c r="R8" s="6">
        <f t="shared" si="5"/>
        <v>2</v>
      </c>
      <c r="S8" s="9">
        <f t="shared" si="6"/>
        <v>0.5</v>
      </c>
      <c r="T8" s="9">
        <f t="shared" si="7"/>
        <v>5.2219321148825066E-3</v>
      </c>
      <c r="U8" s="9">
        <f>R8 / _xlfn.XLOOKUP(A8, Top!A:A, Top!AA:AA)</f>
        <v>3.125E-2</v>
      </c>
      <c r="V8" s="1"/>
      <c r="W8" s="1"/>
    </row>
    <row r="9" spans="1:23" x14ac:dyDescent="0.25">
      <c r="A9" s="1" t="s">
        <v>10</v>
      </c>
      <c r="B9" s="6">
        <v>8</v>
      </c>
      <c r="C9" s="7">
        <v>0.375</v>
      </c>
      <c r="D9" s="8">
        <f t="shared" si="0"/>
        <v>3</v>
      </c>
      <c r="E9" s="6">
        <v>3</v>
      </c>
      <c r="F9" s="7">
        <v>1</v>
      </c>
      <c r="G9" s="8">
        <f t="shared" si="1"/>
        <v>3</v>
      </c>
      <c r="H9" s="6"/>
      <c r="I9" s="7"/>
      <c r="J9" s="8">
        <f t="shared" si="2"/>
        <v>0</v>
      </c>
      <c r="K9" s="6">
        <v>3</v>
      </c>
      <c r="L9" s="7">
        <v>0.33300000000000002</v>
      </c>
      <c r="M9" s="8">
        <f t="shared" si="3"/>
        <v>0.99900000000000011</v>
      </c>
      <c r="N9" s="6"/>
      <c r="O9" s="7"/>
      <c r="P9" s="8">
        <f t="shared" si="4"/>
        <v>0</v>
      </c>
      <c r="Q9" s="1"/>
      <c r="R9" s="6">
        <f t="shared" si="5"/>
        <v>14</v>
      </c>
      <c r="S9" s="9">
        <f t="shared" si="6"/>
        <v>0.49992857142857144</v>
      </c>
      <c r="T9" s="9">
        <f t="shared" si="7"/>
        <v>3.6553524804177548E-2</v>
      </c>
      <c r="U9" s="9">
        <f>R9 / _xlfn.XLOOKUP(A9, Top!A:A, Top!AA:AA)</f>
        <v>6.4814814814814811E-2</v>
      </c>
      <c r="V9" s="1"/>
      <c r="W9" s="1"/>
    </row>
    <row r="10" spans="1:23" x14ac:dyDescent="0.25">
      <c r="A10" s="25" t="s">
        <v>252</v>
      </c>
      <c r="B10" s="6"/>
      <c r="C10" s="7"/>
      <c r="D10" s="8">
        <f t="shared" si="0"/>
        <v>0</v>
      </c>
      <c r="E10" s="6">
        <v>23</v>
      </c>
      <c r="F10" s="7">
        <v>0.435</v>
      </c>
      <c r="G10" s="8">
        <f t="shared" si="1"/>
        <v>10.005000000000001</v>
      </c>
      <c r="H10" s="6">
        <v>25</v>
      </c>
      <c r="I10" s="7">
        <v>0.52</v>
      </c>
      <c r="J10" s="8">
        <f t="shared" si="2"/>
        <v>13</v>
      </c>
      <c r="K10" s="6">
        <v>9</v>
      </c>
      <c r="L10" s="7">
        <v>0.222</v>
      </c>
      <c r="M10" s="8">
        <f t="shared" si="3"/>
        <v>1.998</v>
      </c>
      <c r="N10" s="6">
        <v>3</v>
      </c>
      <c r="O10" s="7">
        <v>1</v>
      </c>
      <c r="P10" s="8">
        <f t="shared" si="4"/>
        <v>3</v>
      </c>
      <c r="Q10" s="4"/>
      <c r="R10" s="6">
        <f t="shared" si="5"/>
        <v>60</v>
      </c>
      <c r="S10" s="9">
        <f t="shared" si="6"/>
        <v>0.46671666666666672</v>
      </c>
      <c r="T10" s="9">
        <f t="shared" si="7"/>
        <v>0.1566579634464752</v>
      </c>
      <c r="U10" s="9">
        <f>R10 / _xlfn.XLOOKUP(A10, Top!A:A, Top!AA:AA)</f>
        <v>8.9820359281437126E-2</v>
      </c>
      <c r="V10" s="1"/>
      <c r="W10" s="1"/>
    </row>
    <row r="11" spans="1:23" x14ac:dyDescent="0.25">
      <c r="A11" s="1" t="s">
        <v>31</v>
      </c>
      <c r="B11" s="6"/>
      <c r="C11" s="7"/>
      <c r="D11" s="8">
        <f t="shared" si="0"/>
        <v>0</v>
      </c>
      <c r="E11" s="6">
        <v>6</v>
      </c>
      <c r="F11" s="7">
        <v>0.5</v>
      </c>
      <c r="G11" s="8">
        <f t="shared" si="1"/>
        <v>3</v>
      </c>
      <c r="H11" s="6">
        <v>7</v>
      </c>
      <c r="I11" s="7">
        <v>0.42899999999999999</v>
      </c>
      <c r="J11" s="8">
        <f t="shared" si="2"/>
        <v>3.0030000000000001</v>
      </c>
      <c r="K11" s="6"/>
      <c r="L11" s="7"/>
      <c r="M11" s="8">
        <f t="shared" si="3"/>
        <v>0</v>
      </c>
      <c r="N11" s="6"/>
      <c r="O11" s="7"/>
      <c r="P11" s="8">
        <f t="shared" si="4"/>
        <v>0</v>
      </c>
      <c r="Q11" s="13"/>
      <c r="R11" s="6">
        <f t="shared" si="5"/>
        <v>13</v>
      </c>
      <c r="S11" s="9">
        <f t="shared" si="6"/>
        <v>0.46176923076923077</v>
      </c>
      <c r="T11" s="9">
        <f t="shared" si="7"/>
        <v>3.3942558746736295E-2</v>
      </c>
      <c r="U11" s="9">
        <f>R11 / _xlfn.XLOOKUP(A11, Top!A:A, Top!AA:AA)</f>
        <v>0.21666666666666667</v>
      </c>
      <c r="V11" s="1"/>
      <c r="W11" s="1"/>
    </row>
    <row r="12" spans="1:23" x14ac:dyDescent="0.25">
      <c r="A12" s="1" t="s">
        <v>23</v>
      </c>
      <c r="B12" s="6"/>
      <c r="C12" s="7"/>
      <c r="D12" s="8">
        <f t="shared" si="0"/>
        <v>0</v>
      </c>
      <c r="E12" s="6"/>
      <c r="F12" s="7"/>
      <c r="G12" s="8">
        <f t="shared" si="1"/>
        <v>0</v>
      </c>
      <c r="H12" s="6">
        <v>6</v>
      </c>
      <c r="I12" s="7">
        <v>0.5</v>
      </c>
      <c r="J12" s="8">
        <f t="shared" si="2"/>
        <v>3</v>
      </c>
      <c r="K12" s="6">
        <v>20</v>
      </c>
      <c r="L12" s="7">
        <v>0.4</v>
      </c>
      <c r="M12" s="8">
        <f t="shared" si="3"/>
        <v>8</v>
      </c>
      <c r="N12" s="6">
        <v>5</v>
      </c>
      <c r="O12" s="7">
        <v>0.6</v>
      </c>
      <c r="P12" s="8">
        <f t="shared" si="4"/>
        <v>3</v>
      </c>
      <c r="Q12" s="1"/>
      <c r="R12" s="6">
        <f t="shared" si="5"/>
        <v>31</v>
      </c>
      <c r="S12" s="9">
        <f t="shared" si="6"/>
        <v>0.45161290322580644</v>
      </c>
      <c r="T12" s="9">
        <f t="shared" si="7"/>
        <v>8.0939947780678853E-2</v>
      </c>
      <c r="U12" s="9">
        <f>R12 / _xlfn.XLOOKUP(A12, Top!A:A, Top!AA:AA)</f>
        <v>7.9487179487179482E-2</v>
      </c>
      <c r="V12" s="1"/>
      <c r="W12" s="1"/>
    </row>
    <row r="13" spans="1:23" x14ac:dyDescent="0.25">
      <c r="A13" s="1" t="s">
        <v>20</v>
      </c>
      <c r="B13" s="6"/>
      <c r="C13" s="7"/>
      <c r="D13" s="8">
        <f t="shared" si="0"/>
        <v>0</v>
      </c>
      <c r="E13" s="6">
        <v>8</v>
      </c>
      <c r="F13" s="7">
        <v>0.375</v>
      </c>
      <c r="G13" s="8">
        <f t="shared" si="1"/>
        <v>3</v>
      </c>
      <c r="H13" s="6"/>
      <c r="I13" s="7"/>
      <c r="J13" s="8">
        <f t="shared" si="2"/>
        <v>0</v>
      </c>
      <c r="K13" s="6"/>
      <c r="L13" s="7"/>
      <c r="M13" s="8">
        <f t="shared" si="3"/>
        <v>0</v>
      </c>
      <c r="N13" s="6"/>
      <c r="O13" s="7"/>
      <c r="P13" s="8">
        <f t="shared" si="4"/>
        <v>0</v>
      </c>
      <c r="Q13" s="1"/>
      <c r="R13" s="6">
        <f t="shared" si="5"/>
        <v>8</v>
      </c>
      <c r="S13" s="9">
        <f t="shared" si="6"/>
        <v>0.375</v>
      </c>
      <c r="T13" s="9">
        <f t="shared" si="7"/>
        <v>2.0887728459530026E-2</v>
      </c>
      <c r="U13" s="9">
        <f>R13 / _xlfn.XLOOKUP(A13, Top!A:A, Top!AA:AA)</f>
        <v>9.5238095238095233E-2</v>
      </c>
      <c r="V13" s="1"/>
      <c r="W13" s="1"/>
    </row>
    <row r="14" spans="1:23" x14ac:dyDescent="0.25">
      <c r="A14" s="1" t="s">
        <v>22</v>
      </c>
      <c r="B14" s="6">
        <v>3</v>
      </c>
      <c r="C14" s="7">
        <v>0.66700000000000004</v>
      </c>
      <c r="D14" s="8">
        <f t="shared" si="0"/>
        <v>2.0010000000000003</v>
      </c>
      <c r="E14" s="6">
        <v>17</v>
      </c>
      <c r="F14" s="7">
        <v>0.11799999999999999</v>
      </c>
      <c r="G14" s="8">
        <f t="shared" si="1"/>
        <v>2.0059999999999998</v>
      </c>
      <c r="H14" s="6">
        <v>7</v>
      </c>
      <c r="I14" s="7">
        <v>0.57099999999999995</v>
      </c>
      <c r="J14" s="8">
        <f t="shared" si="2"/>
        <v>3.9969999999999999</v>
      </c>
      <c r="K14" s="6">
        <v>1</v>
      </c>
      <c r="L14" s="7">
        <v>0</v>
      </c>
      <c r="M14" s="8">
        <f t="shared" si="3"/>
        <v>0</v>
      </c>
      <c r="N14" s="6">
        <v>2</v>
      </c>
      <c r="O14" s="7">
        <v>1</v>
      </c>
      <c r="P14" s="8">
        <f t="shared" si="4"/>
        <v>2</v>
      </c>
      <c r="Q14" s="1"/>
      <c r="R14" s="6">
        <f t="shared" si="5"/>
        <v>30</v>
      </c>
      <c r="S14" s="9">
        <f t="shared" si="6"/>
        <v>0.33346666666666663</v>
      </c>
      <c r="T14" s="9">
        <f t="shared" si="7"/>
        <v>7.8328981723237601E-2</v>
      </c>
      <c r="U14" s="9">
        <f>R14 / _xlfn.XLOOKUP(A14, Top!A:A, Top!AA:AA)</f>
        <v>5.8708414872798431E-2</v>
      </c>
      <c r="V14" s="1"/>
      <c r="W14" s="1"/>
    </row>
    <row r="15" spans="1:23" x14ac:dyDescent="0.25">
      <c r="A15" s="1" t="s">
        <v>15</v>
      </c>
      <c r="B15" s="6"/>
      <c r="C15" s="7"/>
      <c r="D15" s="8">
        <f t="shared" si="0"/>
        <v>0</v>
      </c>
      <c r="E15" s="6"/>
      <c r="F15" s="7"/>
      <c r="G15" s="8">
        <f t="shared" si="1"/>
        <v>0</v>
      </c>
      <c r="H15" s="6">
        <v>1</v>
      </c>
      <c r="I15" s="7">
        <v>0</v>
      </c>
      <c r="J15" s="8">
        <f t="shared" si="2"/>
        <v>0</v>
      </c>
      <c r="K15" s="6"/>
      <c r="L15" s="7"/>
      <c r="M15" s="8">
        <f t="shared" si="3"/>
        <v>0</v>
      </c>
      <c r="N15" s="6">
        <v>2</v>
      </c>
      <c r="O15" s="7">
        <v>0.5</v>
      </c>
      <c r="P15" s="8">
        <f t="shared" si="4"/>
        <v>1</v>
      </c>
      <c r="Q15" s="1"/>
      <c r="R15" s="6">
        <f t="shared" si="5"/>
        <v>3</v>
      </c>
      <c r="S15" s="9">
        <f t="shared" si="6"/>
        <v>0.33333333333333331</v>
      </c>
      <c r="T15" s="9">
        <f t="shared" si="7"/>
        <v>7.832898172323759E-3</v>
      </c>
      <c r="U15" s="9">
        <f>R15 / _xlfn.XLOOKUP(A15, Top!A:A, Top!AA:AA)</f>
        <v>2.4793388429752067E-2</v>
      </c>
      <c r="V15" s="1"/>
      <c r="W15" s="1"/>
    </row>
    <row r="16" spans="1:23" x14ac:dyDescent="0.25">
      <c r="A16" s="1" t="s">
        <v>28</v>
      </c>
      <c r="B16" s="6">
        <v>6</v>
      </c>
      <c r="C16" s="7">
        <v>0.33300000000000002</v>
      </c>
      <c r="D16" s="8">
        <f t="shared" si="0"/>
        <v>1.9980000000000002</v>
      </c>
      <c r="E16" s="6"/>
      <c r="F16" s="7"/>
      <c r="G16" s="8">
        <f t="shared" si="1"/>
        <v>0</v>
      </c>
      <c r="H16" s="6"/>
      <c r="I16" s="7"/>
      <c r="J16" s="8">
        <f t="shared" si="2"/>
        <v>0</v>
      </c>
      <c r="K16" s="6"/>
      <c r="L16" s="7"/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6</v>
      </c>
      <c r="S16" s="9">
        <f t="shared" si="6"/>
        <v>0.33300000000000002</v>
      </c>
      <c r="T16" s="9">
        <f t="shared" si="7"/>
        <v>1.5665796344647518E-2</v>
      </c>
      <c r="U16" s="9">
        <f>R16 / _xlfn.XLOOKUP(A16, Top!A:A, Top!AA:AA)</f>
        <v>0.12244897959183673</v>
      </c>
      <c r="V16" s="1"/>
      <c r="W16" s="1"/>
    </row>
    <row r="17" spans="1:23" x14ac:dyDescent="0.25">
      <c r="A17" s="1" t="s">
        <v>8</v>
      </c>
      <c r="B17" s="6">
        <v>3</v>
      </c>
      <c r="C17" s="7">
        <v>0.66700000000000004</v>
      </c>
      <c r="D17" s="8">
        <f t="shared" si="0"/>
        <v>2.0010000000000003</v>
      </c>
      <c r="E17" s="6">
        <v>5</v>
      </c>
      <c r="F17" s="7">
        <v>0.4</v>
      </c>
      <c r="G17" s="8">
        <f t="shared" si="1"/>
        <v>2</v>
      </c>
      <c r="H17" s="6"/>
      <c r="I17" s="7"/>
      <c r="J17" s="8">
        <f t="shared" si="2"/>
        <v>0</v>
      </c>
      <c r="K17" s="6">
        <v>5</v>
      </c>
      <c r="L17" s="7">
        <v>0</v>
      </c>
      <c r="M17" s="8">
        <f t="shared" si="3"/>
        <v>0</v>
      </c>
      <c r="N17" s="6"/>
      <c r="O17" s="7"/>
      <c r="P17" s="8">
        <f t="shared" si="4"/>
        <v>0</v>
      </c>
      <c r="Q17" s="4"/>
      <c r="R17" s="6">
        <f t="shared" si="5"/>
        <v>13</v>
      </c>
      <c r="S17" s="9">
        <f t="shared" si="6"/>
        <v>0.30776923076923079</v>
      </c>
      <c r="T17" s="9">
        <f t="shared" si="7"/>
        <v>3.3942558746736295E-2</v>
      </c>
      <c r="U17" s="9">
        <f>R17 / _xlfn.XLOOKUP(A17, Top!A:A, Top!AA:AA)</f>
        <v>5.019305019305019E-2</v>
      </c>
      <c r="V17" s="1"/>
      <c r="W17" s="1"/>
    </row>
    <row r="18" spans="1:23" x14ac:dyDescent="0.25">
      <c r="A18" s="1" t="s">
        <v>9</v>
      </c>
      <c r="B18" s="6">
        <v>2</v>
      </c>
      <c r="C18" s="7">
        <v>0</v>
      </c>
      <c r="D18" s="8">
        <f t="shared" si="0"/>
        <v>0</v>
      </c>
      <c r="E18" s="6">
        <v>2</v>
      </c>
      <c r="F18" s="7">
        <v>0</v>
      </c>
      <c r="G18" s="8">
        <f t="shared" si="1"/>
        <v>0</v>
      </c>
      <c r="H18" s="6">
        <v>21</v>
      </c>
      <c r="I18" s="7">
        <v>0.42899999999999999</v>
      </c>
      <c r="J18" s="8">
        <f t="shared" si="2"/>
        <v>9.0090000000000003</v>
      </c>
      <c r="K18" s="6">
        <v>7</v>
      </c>
      <c r="L18" s="7">
        <v>0.14299999999999999</v>
      </c>
      <c r="M18" s="8">
        <f t="shared" si="3"/>
        <v>1.0009999999999999</v>
      </c>
      <c r="N18" s="6">
        <v>1</v>
      </c>
      <c r="O18" s="7">
        <v>0</v>
      </c>
      <c r="P18" s="8">
        <f t="shared" si="4"/>
        <v>0</v>
      </c>
      <c r="Q18" s="4"/>
      <c r="R18" s="6">
        <f t="shared" si="5"/>
        <v>33</v>
      </c>
      <c r="S18" s="9">
        <f t="shared" si="6"/>
        <v>0.30333333333333334</v>
      </c>
      <c r="T18" s="9">
        <f t="shared" si="7"/>
        <v>8.6161879895561358E-2</v>
      </c>
      <c r="U18" s="9">
        <f>R18 / _xlfn.XLOOKUP(A18, Top!A:A, Top!AA:AA)</f>
        <v>0.10122699386503067</v>
      </c>
      <c r="V18" s="1"/>
      <c r="W18" s="1"/>
    </row>
    <row r="19" spans="1:23" x14ac:dyDescent="0.25">
      <c r="A19" s="1" t="s">
        <v>16</v>
      </c>
      <c r="B19" s="6">
        <v>7</v>
      </c>
      <c r="C19" s="7">
        <v>0.42899999999999999</v>
      </c>
      <c r="D19" s="8">
        <f t="shared" si="0"/>
        <v>3.0030000000000001</v>
      </c>
      <c r="E19" s="6">
        <v>10</v>
      </c>
      <c r="F19" s="7">
        <v>0.2</v>
      </c>
      <c r="G19" s="8">
        <f t="shared" si="1"/>
        <v>2</v>
      </c>
      <c r="H19" s="6">
        <v>3</v>
      </c>
      <c r="I19" s="7">
        <v>0</v>
      </c>
      <c r="J19" s="8">
        <f t="shared" si="2"/>
        <v>0</v>
      </c>
      <c r="K19" s="6">
        <v>4</v>
      </c>
      <c r="L19" s="7">
        <v>0.5</v>
      </c>
      <c r="M19" s="8">
        <f t="shared" si="3"/>
        <v>2</v>
      </c>
      <c r="N19" s="6">
        <v>2</v>
      </c>
      <c r="O19" s="7">
        <v>0</v>
      </c>
      <c r="P19" s="8">
        <f t="shared" si="4"/>
        <v>0</v>
      </c>
      <c r="Q19" s="1"/>
      <c r="R19" s="6">
        <f t="shared" si="5"/>
        <v>26</v>
      </c>
      <c r="S19" s="9">
        <f t="shared" si="6"/>
        <v>0.26934615384615385</v>
      </c>
      <c r="T19" s="9">
        <f t="shared" si="7"/>
        <v>6.7885117493472591E-2</v>
      </c>
      <c r="U19" s="9">
        <f>R19 / _xlfn.XLOOKUP(A19, Top!A:A, Top!AA:AA)</f>
        <v>6.3106796116504854E-2</v>
      </c>
      <c r="V19" s="1"/>
      <c r="W19" s="1"/>
    </row>
    <row r="20" spans="1:23" x14ac:dyDescent="0.25">
      <c r="A20" s="1" t="s">
        <v>19</v>
      </c>
      <c r="B20" s="6">
        <v>2</v>
      </c>
      <c r="C20" s="7">
        <v>0</v>
      </c>
      <c r="D20" s="8">
        <f t="shared" si="0"/>
        <v>0</v>
      </c>
      <c r="E20" s="6">
        <v>1</v>
      </c>
      <c r="F20" s="7">
        <v>0</v>
      </c>
      <c r="G20" s="8">
        <f t="shared" si="1"/>
        <v>0</v>
      </c>
      <c r="H20" s="6">
        <v>1</v>
      </c>
      <c r="I20" s="7">
        <v>1</v>
      </c>
      <c r="J20" s="8">
        <f t="shared" si="2"/>
        <v>1</v>
      </c>
      <c r="K20" s="6"/>
      <c r="L20" s="7"/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4</v>
      </c>
      <c r="S20" s="9">
        <f t="shared" si="6"/>
        <v>0.25</v>
      </c>
      <c r="T20" s="9">
        <f t="shared" si="7"/>
        <v>1.0443864229765013E-2</v>
      </c>
      <c r="U20" s="9">
        <f>R20 / _xlfn.XLOOKUP(A20, Top!A:A, Top!AA:AA)</f>
        <v>2.9197080291970802E-2</v>
      </c>
      <c r="V20" s="1"/>
      <c r="W20" s="1"/>
    </row>
    <row r="21" spans="1:23" x14ac:dyDescent="0.25">
      <c r="A21" s="1" t="s">
        <v>17</v>
      </c>
      <c r="B21" s="6">
        <v>2</v>
      </c>
      <c r="C21" s="7">
        <v>0</v>
      </c>
      <c r="D21" s="8">
        <f t="shared" si="0"/>
        <v>0</v>
      </c>
      <c r="E21" s="6">
        <v>2</v>
      </c>
      <c r="F21" s="7">
        <v>0.5</v>
      </c>
      <c r="G21" s="8">
        <f t="shared" si="1"/>
        <v>1</v>
      </c>
      <c r="H21" s="6"/>
      <c r="I21" s="7"/>
      <c r="J21" s="8">
        <f t="shared" si="2"/>
        <v>0</v>
      </c>
      <c r="K21" s="6">
        <v>10</v>
      </c>
      <c r="L21" s="7">
        <v>0.3</v>
      </c>
      <c r="M21" s="8">
        <f t="shared" si="3"/>
        <v>3</v>
      </c>
      <c r="N21" s="6">
        <v>3</v>
      </c>
      <c r="O21" s="7">
        <v>0</v>
      </c>
      <c r="P21" s="8">
        <f t="shared" si="4"/>
        <v>0</v>
      </c>
      <c r="Q21" s="1"/>
      <c r="R21" s="6">
        <f t="shared" si="5"/>
        <v>17</v>
      </c>
      <c r="S21" s="9">
        <f t="shared" si="6"/>
        <v>0.23529411764705882</v>
      </c>
      <c r="T21" s="9">
        <f t="shared" si="7"/>
        <v>4.4386422976501305E-2</v>
      </c>
      <c r="U21" s="9">
        <f>R21 / _xlfn.XLOOKUP(A21, Top!A:A, Top!AA:AA)</f>
        <v>7.2340425531914887E-2</v>
      </c>
      <c r="V21" s="1"/>
      <c r="W21" s="1"/>
    </row>
    <row r="22" spans="1:23" x14ac:dyDescent="0.25">
      <c r="A22" s="23" t="s">
        <v>208</v>
      </c>
      <c r="B22" s="6"/>
      <c r="C22" s="7"/>
      <c r="D22" s="8">
        <f t="shared" si="0"/>
        <v>0</v>
      </c>
      <c r="E22" s="6"/>
      <c r="F22" s="7"/>
      <c r="G22" s="8">
        <f t="shared" si="1"/>
        <v>0</v>
      </c>
      <c r="H22" s="6"/>
      <c r="I22" s="7"/>
      <c r="J22" s="8">
        <f t="shared" si="2"/>
        <v>0</v>
      </c>
      <c r="K22" s="6">
        <v>19</v>
      </c>
      <c r="L22" s="7">
        <v>0.21099999999999999</v>
      </c>
      <c r="M22" s="8">
        <f t="shared" si="3"/>
        <v>4.0089999999999995</v>
      </c>
      <c r="N22" s="6">
        <v>3</v>
      </c>
      <c r="O22" s="7">
        <v>0.33300000000000002</v>
      </c>
      <c r="P22" s="8">
        <f t="shared" si="4"/>
        <v>0.99900000000000011</v>
      </c>
      <c r="Q22" s="1"/>
      <c r="R22" s="6">
        <f t="shared" si="5"/>
        <v>22</v>
      </c>
      <c r="S22" s="9">
        <f t="shared" si="6"/>
        <v>0.22763636363636361</v>
      </c>
      <c r="T22" s="9">
        <f t="shared" si="7"/>
        <v>5.7441253263707574E-2</v>
      </c>
      <c r="U22" s="9">
        <f>R22 / _xlfn.XLOOKUP(A22, Top!A:A, Top!AA:AA)</f>
        <v>0.11458333333333333</v>
      </c>
      <c r="V22" s="1"/>
      <c r="W22" s="1"/>
    </row>
    <row r="23" spans="1:23" x14ac:dyDescent="0.25">
      <c r="A23" s="1" t="s">
        <v>11</v>
      </c>
      <c r="B23" s="6">
        <v>16</v>
      </c>
      <c r="C23" s="7">
        <v>0.188</v>
      </c>
      <c r="D23" s="8">
        <f t="shared" si="0"/>
        <v>3.008</v>
      </c>
      <c r="E23" s="6">
        <v>2</v>
      </c>
      <c r="F23" s="7">
        <v>0.5</v>
      </c>
      <c r="G23" s="8">
        <f t="shared" si="1"/>
        <v>1</v>
      </c>
      <c r="H23" s="6"/>
      <c r="I23" s="7"/>
      <c r="J23" s="8">
        <f t="shared" si="2"/>
        <v>0</v>
      </c>
      <c r="K23" s="6">
        <v>5</v>
      </c>
      <c r="L23" s="7">
        <v>0</v>
      </c>
      <c r="M23" s="8">
        <f t="shared" si="3"/>
        <v>0</v>
      </c>
      <c r="N23" s="6">
        <v>4</v>
      </c>
      <c r="O23" s="7">
        <v>0.5</v>
      </c>
      <c r="P23" s="8">
        <f t="shared" si="4"/>
        <v>2</v>
      </c>
      <c r="Q23" s="1"/>
      <c r="R23" s="6">
        <f t="shared" si="5"/>
        <v>27</v>
      </c>
      <c r="S23" s="9">
        <f t="shared" si="6"/>
        <v>0.22251851851851853</v>
      </c>
      <c r="T23" s="9">
        <f t="shared" si="7"/>
        <v>7.0496083550913843E-2</v>
      </c>
      <c r="U23" s="9">
        <f>R23 / _xlfn.XLOOKUP(A23, Top!A:A, Top!AA:AA)</f>
        <v>7.0866141732283464E-2</v>
      </c>
      <c r="V23" s="1"/>
      <c r="W23" s="1"/>
    </row>
    <row r="24" spans="1:23" x14ac:dyDescent="0.25">
      <c r="A24" s="1" t="s">
        <v>33</v>
      </c>
      <c r="B24" s="6">
        <v>5</v>
      </c>
      <c r="C24" s="7">
        <v>0.2</v>
      </c>
      <c r="D24" s="8">
        <f t="shared" si="0"/>
        <v>1</v>
      </c>
      <c r="E24" s="6"/>
      <c r="F24" s="7"/>
      <c r="G24" s="8">
        <f t="shared" si="1"/>
        <v>0</v>
      </c>
      <c r="H24" s="6"/>
      <c r="I24" s="7"/>
      <c r="J24" s="8">
        <f t="shared" si="2"/>
        <v>0</v>
      </c>
      <c r="K24" s="6"/>
      <c r="L24" s="7"/>
      <c r="M24" s="8">
        <f t="shared" si="3"/>
        <v>0</v>
      </c>
      <c r="N24" s="6"/>
      <c r="O24" s="7"/>
      <c r="P24" s="8">
        <f t="shared" si="4"/>
        <v>0</v>
      </c>
      <c r="Q24" s="1"/>
      <c r="R24" s="6">
        <f t="shared" si="5"/>
        <v>5</v>
      </c>
      <c r="S24" s="9">
        <f t="shared" si="6"/>
        <v>0.2</v>
      </c>
      <c r="T24" s="9">
        <f t="shared" si="7"/>
        <v>1.3054830287206266E-2</v>
      </c>
      <c r="U24" s="9">
        <f>R24 / _xlfn.XLOOKUP(A24, Top!A:A, Top!AA:AA)</f>
        <v>0.10869565217391304</v>
      </c>
      <c r="V24" s="1"/>
      <c r="W24" s="1"/>
    </row>
    <row r="25" spans="1:23" x14ac:dyDescent="0.25">
      <c r="A25" s="1" t="s">
        <v>7</v>
      </c>
      <c r="B25" s="6">
        <v>22</v>
      </c>
      <c r="C25" s="7">
        <v>0.182</v>
      </c>
      <c r="D25" s="8">
        <f t="shared" si="0"/>
        <v>4.0039999999999996</v>
      </c>
      <c r="E25" s="6">
        <v>3</v>
      </c>
      <c r="F25" s="7">
        <v>0</v>
      </c>
      <c r="G25" s="8">
        <f t="shared" si="1"/>
        <v>0</v>
      </c>
      <c r="H25" s="6">
        <v>11</v>
      </c>
      <c r="I25" s="7">
        <v>0.27300000000000002</v>
      </c>
      <c r="J25" s="8">
        <f t="shared" si="2"/>
        <v>3.0030000000000001</v>
      </c>
      <c r="K25" s="6">
        <v>2</v>
      </c>
      <c r="L25" s="7">
        <v>0</v>
      </c>
      <c r="M25" s="8">
        <f t="shared" si="3"/>
        <v>0</v>
      </c>
      <c r="N25" s="6">
        <v>1</v>
      </c>
      <c r="O25" s="7">
        <v>0</v>
      </c>
      <c r="P25" s="8">
        <f t="shared" si="4"/>
        <v>0</v>
      </c>
      <c r="Q25" s="1"/>
      <c r="R25" s="6">
        <f t="shared" si="5"/>
        <v>39</v>
      </c>
      <c r="S25" s="9">
        <f t="shared" si="6"/>
        <v>0.17966666666666667</v>
      </c>
      <c r="T25" s="9">
        <f t="shared" si="7"/>
        <v>0.10182767624020887</v>
      </c>
      <c r="U25" s="9">
        <f>R25 / _xlfn.XLOOKUP(A25, Top!A:A, Top!AA:AA)</f>
        <v>7.3446327683615822E-2</v>
      </c>
      <c r="V25" s="1"/>
      <c r="W25" s="1"/>
    </row>
    <row r="26" spans="1:23" x14ac:dyDescent="0.25">
      <c r="A26" s="1" t="s">
        <v>38</v>
      </c>
      <c r="B26" s="6"/>
      <c r="C26" s="7"/>
      <c r="D26" s="8">
        <f t="shared" si="0"/>
        <v>0</v>
      </c>
      <c r="E26" s="6"/>
      <c r="F26" s="7"/>
      <c r="G26" s="8">
        <f t="shared" si="1"/>
        <v>0</v>
      </c>
      <c r="H26" s="6">
        <v>2</v>
      </c>
      <c r="I26" s="7">
        <v>0</v>
      </c>
      <c r="J26" s="8">
        <f t="shared" si="2"/>
        <v>0</v>
      </c>
      <c r="K26" s="6"/>
      <c r="L26" s="7"/>
      <c r="M26" s="8">
        <f t="shared" si="3"/>
        <v>0</v>
      </c>
      <c r="N26" s="6">
        <v>5</v>
      </c>
      <c r="O26" s="7">
        <v>0.2</v>
      </c>
      <c r="P26" s="8">
        <f t="shared" si="4"/>
        <v>1</v>
      </c>
      <c r="Q26" s="1"/>
      <c r="R26" s="6">
        <f t="shared" si="5"/>
        <v>7</v>
      </c>
      <c r="S26" s="9">
        <f t="shared" si="6"/>
        <v>0.14285714285714285</v>
      </c>
      <c r="T26" s="9">
        <f t="shared" si="7"/>
        <v>1.8276762402088774E-2</v>
      </c>
      <c r="U26" s="9">
        <f>R26 / _xlfn.XLOOKUP(A26, Top!A:A, Top!AA:AA)</f>
        <v>0.14285714285714285</v>
      </c>
      <c r="V26" s="1"/>
      <c r="W26" s="1"/>
    </row>
    <row r="27" spans="1:23" x14ac:dyDescent="0.25">
      <c r="A27" s="1" t="s">
        <v>55</v>
      </c>
      <c r="B27" s="6"/>
      <c r="C27" s="7"/>
      <c r="D27" s="8">
        <f t="shared" si="0"/>
        <v>0</v>
      </c>
      <c r="E27" s="6"/>
      <c r="F27" s="7"/>
      <c r="G27" s="8">
        <f t="shared" si="1"/>
        <v>0</v>
      </c>
      <c r="H27" s="6">
        <v>2</v>
      </c>
      <c r="I27" s="7">
        <v>0</v>
      </c>
      <c r="J27" s="8">
        <f t="shared" si="2"/>
        <v>0</v>
      </c>
      <c r="K27" s="6"/>
      <c r="L27" s="7"/>
      <c r="M27" s="8">
        <f t="shared" si="3"/>
        <v>0</v>
      </c>
      <c r="N27" s="6"/>
      <c r="O27" s="7"/>
      <c r="P27" s="8">
        <f t="shared" si="4"/>
        <v>0</v>
      </c>
      <c r="Q27" s="4"/>
      <c r="R27" s="6">
        <f t="shared" si="5"/>
        <v>2</v>
      </c>
      <c r="S27" s="9">
        <f t="shared" si="6"/>
        <v>0</v>
      </c>
      <c r="T27" s="9">
        <f t="shared" si="7"/>
        <v>5.2219321148825066E-3</v>
      </c>
      <c r="U27" s="9">
        <f>R27 / _xlfn.XLOOKUP(A27, Top!A:A, Top!AA:AA)</f>
        <v>0.2</v>
      </c>
      <c r="V27" s="1"/>
      <c r="W27" s="1"/>
    </row>
    <row r="28" spans="1:23" x14ac:dyDescent="0.25">
      <c r="A28" s="23" t="s">
        <v>201</v>
      </c>
      <c r="B28" s="6"/>
      <c r="C28" s="7"/>
      <c r="D28" s="8">
        <f t="shared" si="0"/>
        <v>0</v>
      </c>
      <c r="E28" s="6"/>
      <c r="F28" s="7"/>
      <c r="G28" s="8">
        <f t="shared" si="1"/>
        <v>0</v>
      </c>
      <c r="H28" s="6"/>
      <c r="I28" s="7"/>
      <c r="J28" s="8">
        <f t="shared" si="2"/>
        <v>0</v>
      </c>
      <c r="K28" s="6">
        <v>1</v>
      </c>
      <c r="L28" s="7">
        <v>0</v>
      </c>
      <c r="M28" s="8">
        <f t="shared" si="3"/>
        <v>0</v>
      </c>
      <c r="N28" s="6"/>
      <c r="O28" s="7"/>
      <c r="P28" s="8">
        <f t="shared" si="4"/>
        <v>0</v>
      </c>
      <c r="Q28" s="1"/>
      <c r="R28" s="6">
        <f t="shared" si="5"/>
        <v>1</v>
      </c>
      <c r="S28" s="9">
        <f t="shared" si="6"/>
        <v>0</v>
      </c>
      <c r="T28" s="9">
        <f t="shared" si="7"/>
        <v>2.6109660574412533E-3</v>
      </c>
      <c r="U28" s="9">
        <f>R28 / _xlfn.XLOOKUP(A28, Top!A:A, Top!AA:AA)</f>
        <v>1.2987012987012988E-2</v>
      </c>
      <c r="V28" s="1"/>
      <c r="W28" s="1"/>
    </row>
    <row r="29" spans="1:23" x14ac:dyDescent="0.25">
      <c r="A29" s="23" t="s">
        <v>161</v>
      </c>
      <c r="B29" s="6"/>
      <c r="C29" s="7"/>
      <c r="D29" s="8">
        <f t="shared" si="0"/>
        <v>0</v>
      </c>
      <c r="E29" s="6"/>
      <c r="F29" s="7"/>
      <c r="G29" s="8">
        <f t="shared" si="1"/>
        <v>0</v>
      </c>
      <c r="H29" s="6"/>
      <c r="I29" s="7"/>
      <c r="J29" s="8">
        <f t="shared" si="2"/>
        <v>0</v>
      </c>
      <c r="K29" s="6">
        <v>1</v>
      </c>
      <c r="L29" s="7">
        <v>0</v>
      </c>
      <c r="M29" s="8">
        <f t="shared" si="3"/>
        <v>0</v>
      </c>
      <c r="N29" s="6"/>
      <c r="O29" s="7"/>
      <c r="P29" s="8">
        <f t="shared" si="4"/>
        <v>0</v>
      </c>
      <c r="Q29" s="1"/>
      <c r="R29" s="6">
        <f t="shared" si="5"/>
        <v>1</v>
      </c>
      <c r="S29" s="9">
        <f t="shared" si="6"/>
        <v>0</v>
      </c>
      <c r="T29" s="9">
        <f t="shared" si="7"/>
        <v>2.6109660574412533E-3</v>
      </c>
      <c r="U29" s="9">
        <f>R29 / _xlfn.XLOOKUP(A29, Top!A:A, Top!AA:AA)</f>
        <v>7.6923076923076927E-2</v>
      </c>
      <c r="V29" s="1"/>
      <c r="W29" s="1"/>
    </row>
    <row r="30" spans="1:23" x14ac:dyDescent="0.25">
      <c r="A30" s="1" t="s">
        <v>24</v>
      </c>
      <c r="B30" s="6">
        <v>1</v>
      </c>
      <c r="C30" s="7">
        <v>0</v>
      </c>
      <c r="D30" s="8">
        <f t="shared" si="0"/>
        <v>0</v>
      </c>
      <c r="E30" s="6"/>
      <c r="F30" s="7"/>
      <c r="G30" s="8">
        <f t="shared" si="1"/>
        <v>0</v>
      </c>
      <c r="H30" s="6"/>
      <c r="I30" s="7"/>
      <c r="J30" s="8">
        <f t="shared" si="2"/>
        <v>0</v>
      </c>
      <c r="K30" s="6"/>
      <c r="L30" s="7"/>
      <c r="M30" s="8">
        <f t="shared" si="3"/>
        <v>0</v>
      </c>
      <c r="N30" s="6"/>
      <c r="O30" s="7"/>
      <c r="P30" s="8">
        <f t="shared" si="4"/>
        <v>0</v>
      </c>
      <c r="Q30" s="1"/>
      <c r="R30" s="6">
        <f t="shared" si="5"/>
        <v>1</v>
      </c>
      <c r="S30" s="9">
        <f t="shared" si="6"/>
        <v>0</v>
      </c>
      <c r="T30" s="9">
        <f t="shared" si="7"/>
        <v>2.6109660574412533E-3</v>
      </c>
      <c r="U30" s="9">
        <f>R30 / _xlfn.XLOOKUP(A30, Top!A:A, Top!AA:AA)</f>
        <v>5.5555555555555552E-2</v>
      </c>
      <c r="V30" s="1"/>
      <c r="W30" s="1"/>
    </row>
    <row r="31" spans="1:23" x14ac:dyDescent="0.25">
      <c r="A31" s="1" t="s">
        <v>43</v>
      </c>
      <c r="B31" s="6">
        <v>1</v>
      </c>
      <c r="C31" s="7">
        <v>0</v>
      </c>
      <c r="D31" s="8">
        <f t="shared" si="0"/>
        <v>0</v>
      </c>
      <c r="E31" s="6"/>
      <c r="F31" s="7"/>
      <c r="G31" s="8">
        <f t="shared" si="1"/>
        <v>0</v>
      </c>
      <c r="H31" s="6"/>
      <c r="I31" s="7"/>
      <c r="J31" s="8">
        <f t="shared" si="2"/>
        <v>0</v>
      </c>
      <c r="K31" s="6"/>
      <c r="L31" s="7"/>
      <c r="M31" s="8">
        <f t="shared" si="3"/>
        <v>0</v>
      </c>
      <c r="N31" s="6"/>
      <c r="O31" s="7"/>
      <c r="P31" s="8">
        <f t="shared" si="4"/>
        <v>0</v>
      </c>
      <c r="Q31" s="1"/>
      <c r="R31" s="6">
        <f t="shared" si="5"/>
        <v>1</v>
      </c>
      <c r="S31" s="9">
        <f t="shared" si="6"/>
        <v>0</v>
      </c>
      <c r="T31" s="9">
        <f t="shared" si="7"/>
        <v>2.6109660574412533E-3</v>
      </c>
      <c r="U31" s="9">
        <f>R31 / _xlfn.XLOOKUP(A31, Top!A:A, Top!AA:AA)</f>
        <v>0.1</v>
      </c>
      <c r="V31" s="1"/>
      <c r="W31" s="1"/>
    </row>
    <row r="32" spans="1:23" x14ac:dyDescent="0.25">
      <c r="A32" s="1" t="s">
        <v>36</v>
      </c>
      <c r="B32" s="6">
        <v>1</v>
      </c>
      <c r="C32" s="7">
        <v>0</v>
      </c>
      <c r="D32" s="8">
        <f t="shared" si="0"/>
        <v>0</v>
      </c>
      <c r="E32" s="6"/>
      <c r="F32" s="7"/>
      <c r="G32" s="8">
        <f t="shared" si="1"/>
        <v>0</v>
      </c>
      <c r="H32" s="6"/>
      <c r="I32" s="7"/>
      <c r="J32" s="8">
        <f t="shared" si="2"/>
        <v>0</v>
      </c>
      <c r="K32" s="6"/>
      <c r="L32" s="7"/>
      <c r="M32" s="8">
        <f t="shared" si="3"/>
        <v>0</v>
      </c>
      <c r="N32" s="6"/>
      <c r="O32" s="7"/>
      <c r="P32" s="8">
        <f t="shared" si="4"/>
        <v>0</v>
      </c>
      <c r="Q32" s="1"/>
      <c r="R32" s="6">
        <f t="shared" si="5"/>
        <v>1</v>
      </c>
      <c r="S32" s="9">
        <f t="shared" si="6"/>
        <v>0</v>
      </c>
      <c r="T32" s="9">
        <f t="shared" si="7"/>
        <v>2.6109660574412533E-3</v>
      </c>
      <c r="U32" s="9">
        <f>R32 / _xlfn.XLOOKUP(A32, Top!A:A, Top!AA:AA)</f>
        <v>2.7777777777777776E-2</v>
      </c>
      <c r="V32" s="1"/>
      <c r="W32" s="1"/>
    </row>
    <row r="33" spans="1:23" x14ac:dyDescent="0.25">
      <c r="A33" s="1" t="s">
        <v>14</v>
      </c>
      <c r="B33" s="6">
        <v>1</v>
      </c>
      <c r="C33" s="7">
        <v>0</v>
      </c>
      <c r="D33" s="8">
        <f t="shared" si="0"/>
        <v>0</v>
      </c>
      <c r="E33" s="6"/>
      <c r="F33" s="7"/>
      <c r="G33" s="8">
        <f t="shared" si="1"/>
        <v>0</v>
      </c>
      <c r="H33" s="6"/>
      <c r="I33" s="7"/>
      <c r="J33" s="8">
        <f t="shared" si="2"/>
        <v>0</v>
      </c>
      <c r="K33" s="6"/>
      <c r="L33" s="7"/>
      <c r="M33" s="8">
        <f t="shared" si="3"/>
        <v>0</v>
      </c>
      <c r="N33" s="6"/>
      <c r="O33" s="7"/>
      <c r="P33" s="8">
        <f t="shared" si="4"/>
        <v>0</v>
      </c>
      <c r="Q33" s="1"/>
      <c r="R33" s="6">
        <f t="shared" si="5"/>
        <v>1</v>
      </c>
      <c r="S33" s="9">
        <f t="shared" si="6"/>
        <v>0</v>
      </c>
      <c r="T33" s="9">
        <f t="shared" si="7"/>
        <v>2.6109660574412533E-3</v>
      </c>
      <c r="U33" s="9">
        <f>R33 / _xlfn.XLOOKUP(A33, Top!A:A, Top!AA:AA)</f>
        <v>4.6728971962616819E-3</v>
      </c>
      <c r="V33" s="1"/>
      <c r="W33" s="1"/>
    </row>
    <row r="34" spans="1:23" x14ac:dyDescent="0.25">
      <c r="A34" s="1" t="s">
        <v>44</v>
      </c>
      <c r="B34" s="6"/>
      <c r="C34" s="7"/>
      <c r="D34" s="8">
        <f t="shared" si="0"/>
        <v>0</v>
      </c>
      <c r="E34" s="6">
        <v>1</v>
      </c>
      <c r="F34" s="7">
        <v>0</v>
      </c>
      <c r="G34" s="8">
        <f t="shared" si="1"/>
        <v>0</v>
      </c>
      <c r="H34" s="6"/>
      <c r="I34" s="7"/>
      <c r="J34" s="8">
        <f t="shared" si="2"/>
        <v>0</v>
      </c>
      <c r="K34" s="6"/>
      <c r="L34" s="7"/>
      <c r="M34" s="8">
        <f t="shared" si="3"/>
        <v>0</v>
      </c>
      <c r="N34" s="6"/>
      <c r="O34" s="7"/>
      <c r="P34" s="8">
        <f t="shared" si="4"/>
        <v>0</v>
      </c>
      <c r="Q34" s="1"/>
      <c r="R34" s="6">
        <f t="shared" si="5"/>
        <v>1</v>
      </c>
      <c r="S34" s="9">
        <f t="shared" si="6"/>
        <v>0</v>
      </c>
      <c r="T34" s="9">
        <f t="shared" si="7"/>
        <v>2.6109660574412533E-3</v>
      </c>
      <c r="U34" s="9">
        <f>R34 / _xlfn.XLOOKUP(A34, Top!A:A, Top!AA:AA)</f>
        <v>0.1</v>
      </c>
      <c r="V34" s="1"/>
      <c r="W34" s="1"/>
    </row>
    <row r="35" spans="1:23" x14ac:dyDescent="0.25">
      <c r="A35" s="1" t="s">
        <v>26</v>
      </c>
      <c r="B35" s="6">
        <v>1</v>
      </c>
      <c r="C35" s="7">
        <v>0</v>
      </c>
      <c r="D35" s="8">
        <f t="shared" si="0"/>
        <v>0</v>
      </c>
      <c r="E35" s="6"/>
      <c r="F35" s="7"/>
      <c r="G35" s="8">
        <f t="shared" si="1"/>
        <v>0</v>
      </c>
      <c r="H35" s="6"/>
      <c r="I35" s="7"/>
      <c r="J35" s="8">
        <f t="shared" si="2"/>
        <v>0</v>
      </c>
      <c r="K35" s="6"/>
      <c r="L35" s="7"/>
      <c r="M35" s="8">
        <f t="shared" si="3"/>
        <v>0</v>
      </c>
      <c r="N35" s="6"/>
      <c r="O35" s="7"/>
      <c r="P35" s="8">
        <f t="shared" si="4"/>
        <v>0</v>
      </c>
      <c r="Q35" s="1"/>
      <c r="R35" s="6">
        <f t="shared" si="5"/>
        <v>1</v>
      </c>
      <c r="S35" s="9">
        <f t="shared" si="6"/>
        <v>0</v>
      </c>
      <c r="T35" s="9">
        <f t="shared" si="7"/>
        <v>2.6109660574412533E-3</v>
      </c>
      <c r="U35" s="9">
        <f>R35 / _xlfn.XLOOKUP(A35, Top!A:A, Top!AA:AA)</f>
        <v>1.3513513513513514E-2</v>
      </c>
      <c r="V35" s="1"/>
      <c r="W35" s="1"/>
    </row>
    <row r="36" spans="1:23" x14ac:dyDescent="0.25">
      <c r="A36" s="25" t="s">
        <v>100</v>
      </c>
      <c r="B36" s="6">
        <v>1</v>
      </c>
      <c r="C36" s="7">
        <v>0</v>
      </c>
      <c r="D36" s="8">
        <f t="shared" si="0"/>
        <v>0</v>
      </c>
      <c r="E36" s="6"/>
      <c r="F36" s="7"/>
      <c r="G36" s="8">
        <f t="shared" si="1"/>
        <v>0</v>
      </c>
      <c r="H36" s="6"/>
      <c r="I36" s="7"/>
      <c r="J36" s="8">
        <f t="shared" si="2"/>
        <v>0</v>
      </c>
      <c r="K36" s="6"/>
      <c r="L36" s="7"/>
      <c r="M36" s="8">
        <f t="shared" si="3"/>
        <v>0</v>
      </c>
      <c r="N36" s="6"/>
      <c r="O36" s="7"/>
      <c r="P36" s="8">
        <f t="shared" si="4"/>
        <v>0</v>
      </c>
      <c r="Q36" s="1"/>
      <c r="R36" s="6">
        <f t="shared" si="5"/>
        <v>1</v>
      </c>
      <c r="S36" s="9">
        <f t="shared" si="6"/>
        <v>0</v>
      </c>
      <c r="T36" s="9">
        <f t="shared" si="7"/>
        <v>2.6109660574412533E-3</v>
      </c>
      <c r="U36" s="9">
        <f>R36 / _xlfn.XLOOKUP(A36, Top!A:A, Top!AA:AA)</f>
        <v>0.33333333333333331</v>
      </c>
      <c r="V36" s="1"/>
      <c r="W36" s="1"/>
    </row>
    <row r="37" spans="1:23" x14ac:dyDescent="0.25">
      <c r="A37" s="1" t="s">
        <v>54</v>
      </c>
      <c r="B37" s="6">
        <v>1</v>
      </c>
      <c r="C37" s="7">
        <v>0</v>
      </c>
      <c r="D37" s="8">
        <f t="shared" si="0"/>
        <v>0</v>
      </c>
      <c r="E37" s="6"/>
      <c r="F37" s="7"/>
      <c r="G37" s="8">
        <f t="shared" si="1"/>
        <v>0</v>
      </c>
      <c r="H37" s="6"/>
      <c r="I37" s="7"/>
      <c r="J37" s="8">
        <f t="shared" si="2"/>
        <v>0</v>
      </c>
      <c r="K37" s="6"/>
      <c r="L37" s="7"/>
      <c r="M37" s="8">
        <f t="shared" si="3"/>
        <v>0</v>
      </c>
      <c r="N37" s="6"/>
      <c r="O37" s="7"/>
      <c r="P37" s="8">
        <f t="shared" si="4"/>
        <v>0</v>
      </c>
      <c r="Q37" s="1"/>
      <c r="R37" s="6">
        <f t="shared" si="5"/>
        <v>1</v>
      </c>
      <c r="S37" s="9">
        <f t="shared" si="6"/>
        <v>0</v>
      </c>
      <c r="T37" s="9">
        <f t="shared" si="7"/>
        <v>2.6109660574412533E-3</v>
      </c>
      <c r="U37" s="9">
        <f>R37 / _xlfn.XLOOKUP(A37, Top!A:A, Top!AA:AA)</f>
        <v>7.6923076923076927E-2</v>
      </c>
      <c r="V37" s="1"/>
      <c r="W37" s="1"/>
    </row>
    <row r="38" spans="1:23" x14ac:dyDescent="0.25">
      <c r="N38" s="6"/>
      <c r="O38" s="7"/>
      <c r="P38" s="31"/>
      <c r="Q38" s="1"/>
      <c r="R38" s="6"/>
      <c r="S38" s="9"/>
      <c r="T38" s="9"/>
      <c r="U38" s="9"/>
      <c r="V38" s="1"/>
      <c r="W38" s="1"/>
    </row>
    <row r="39" spans="1:23" x14ac:dyDescent="0.25">
      <c r="N39" s="6"/>
      <c r="O39" s="7"/>
      <c r="P39" s="31"/>
      <c r="Q39" s="1"/>
      <c r="R39" s="6"/>
      <c r="S39" s="9"/>
      <c r="T39" s="9"/>
      <c r="U39" s="9"/>
      <c r="V39" s="1"/>
      <c r="W39" s="1"/>
    </row>
    <row r="40" spans="1:23" x14ac:dyDescent="0.25">
      <c r="N40" s="6"/>
      <c r="O40" s="7"/>
      <c r="P40" s="31"/>
      <c r="Q40" s="1"/>
      <c r="R40" s="6"/>
      <c r="S40" s="9"/>
      <c r="T40" s="9"/>
      <c r="U40" s="9"/>
    </row>
    <row r="41" spans="1:23" x14ac:dyDescent="0.25">
      <c r="N41" s="6"/>
      <c r="O41" s="7"/>
      <c r="P41" s="31"/>
      <c r="Q41" s="1"/>
      <c r="R41" s="6"/>
      <c r="S41" s="9"/>
      <c r="T41" s="9"/>
      <c r="U41" s="9"/>
    </row>
    <row r="42" spans="1:23" x14ac:dyDescent="0.25">
      <c r="N42" s="6"/>
      <c r="O42" s="7"/>
      <c r="P42" s="31"/>
      <c r="Q42" s="1"/>
      <c r="R42" s="6"/>
      <c r="S42" s="9"/>
      <c r="T42" s="9"/>
      <c r="U42" s="9"/>
    </row>
    <row r="43" spans="1:23" x14ac:dyDescent="0.25">
      <c r="N43" s="6"/>
      <c r="O43" s="7"/>
      <c r="P43" s="31"/>
      <c r="Q43" s="1"/>
      <c r="R43" s="6"/>
      <c r="S43" s="9"/>
      <c r="T43" s="9"/>
      <c r="U43" s="9"/>
    </row>
    <row r="44" spans="1:23" x14ac:dyDescent="0.25">
      <c r="N44" s="6"/>
      <c r="O44" s="7"/>
      <c r="P44" s="31"/>
      <c r="Q44" s="1"/>
      <c r="R44" s="6"/>
      <c r="S44" s="9"/>
      <c r="T44" s="9"/>
      <c r="U44" s="9"/>
    </row>
    <row r="45" spans="1:23" x14ac:dyDescent="0.25">
      <c r="N45" s="6"/>
      <c r="O45" s="7"/>
      <c r="P45" s="31"/>
      <c r="Q45" s="1"/>
      <c r="R45" s="6"/>
      <c r="S45" s="9"/>
      <c r="T45" s="9"/>
      <c r="U45" s="9"/>
    </row>
    <row r="46" spans="1:23" x14ac:dyDescent="0.25">
      <c r="N46" s="6"/>
      <c r="O46" s="7"/>
      <c r="P46" s="31"/>
      <c r="Q46" s="1"/>
      <c r="R46" s="6"/>
      <c r="S46" s="9"/>
      <c r="T46" s="9"/>
      <c r="U46" s="9"/>
    </row>
    <row r="47" spans="1:23" x14ac:dyDescent="0.25">
      <c r="N47" s="6"/>
      <c r="O47" s="7"/>
      <c r="P47" s="31"/>
      <c r="Q47" s="1"/>
      <c r="R47" s="6"/>
      <c r="S47" s="9"/>
      <c r="T47" s="9"/>
      <c r="U47" s="9"/>
    </row>
    <row r="48" spans="1:23" x14ac:dyDescent="0.25">
      <c r="N48" s="6"/>
      <c r="O48" s="7"/>
      <c r="P48" s="31"/>
      <c r="Q48" s="1"/>
      <c r="R48" s="6"/>
      <c r="S48" s="9"/>
      <c r="T48" s="9"/>
      <c r="U48" s="9"/>
    </row>
    <row r="49" spans="14:21" x14ac:dyDescent="0.25">
      <c r="N49" s="6"/>
      <c r="O49" s="7"/>
      <c r="P49" s="31"/>
      <c r="Q49" s="1"/>
      <c r="R49" s="6"/>
      <c r="S49" s="9"/>
      <c r="T49" s="9"/>
      <c r="U49" s="9"/>
    </row>
    <row r="50" spans="14:21" x14ac:dyDescent="0.25">
      <c r="N50" s="6"/>
      <c r="O50" s="7"/>
      <c r="P50" s="31"/>
      <c r="Q50" s="1"/>
      <c r="R50" s="6"/>
      <c r="S50" s="9"/>
      <c r="T50" s="9"/>
      <c r="U50" s="9"/>
    </row>
    <row r="51" spans="14:21" x14ac:dyDescent="0.25">
      <c r="N51" s="6"/>
      <c r="O51" s="7"/>
      <c r="P51" s="31"/>
      <c r="Q51" s="1"/>
      <c r="R51" s="6"/>
      <c r="S51" s="9"/>
      <c r="T51" s="9"/>
      <c r="U51" s="9"/>
    </row>
    <row r="52" spans="14:21" x14ac:dyDescent="0.25">
      <c r="N52" s="6"/>
      <c r="O52" s="7"/>
      <c r="P52" s="31"/>
      <c r="Q52" s="1"/>
      <c r="R52" s="6"/>
      <c r="S52" s="9"/>
      <c r="T52" s="9"/>
      <c r="U52" s="9"/>
    </row>
    <row r="53" spans="14:21" x14ac:dyDescent="0.25">
      <c r="N53" s="6"/>
      <c r="O53" s="7"/>
      <c r="P53" s="31"/>
      <c r="Q53" s="1"/>
      <c r="R53" s="6"/>
      <c r="S53" s="9"/>
      <c r="T53" s="9"/>
      <c r="U53" s="9"/>
    </row>
    <row r="54" spans="14:21" x14ac:dyDescent="0.25">
      <c r="N54" s="6"/>
      <c r="O54" s="7"/>
      <c r="P54" s="31"/>
      <c r="Q54" s="1"/>
      <c r="R54" s="6"/>
      <c r="S54" s="9"/>
      <c r="T54" s="9"/>
      <c r="U54" s="9"/>
    </row>
    <row r="55" spans="14:21" x14ac:dyDescent="0.25">
      <c r="N55" s="6"/>
      <c r="O55" s="7"/>
      <c r="P55" s="31"/>
      <c r="Q55" s="1"/>
      <c r="R55" s="6"/>
      <c r="S55" s="9"/>
      <c r="T55" s="9"/>
      <c r="U55" s="9"/>
    </row>
    <row r="56" spans="14:21" x14ac:dyDescent="0.25">
      <c r="N56" s="6"/>
      <c r="O56" s="7"/>
      <c r="P56" s="31"/>
      <c r="Q56" s="1"/>
      <c r="R56" s="6"/>
      <c r="S56" s="9"/>
      <c r="T56" s="9"/>
      <c r="U56" s="9"/>
    </row>
  </sheetData>
  <sortState xmlns:xlrd2="http://schemas.microsoft.com/office/spreadsheetml/2017/richdata2" ref="A3:U37">
    <sortCondition descending="1" ref="S3:S37"/>
  </sortState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CF858-0136-4D02-A334-67825209CF55}">
  <sheetPr codeName="Tabelle3">
    <tabColor theme="4" tint="0.59999389629810485"/>
  </sheetPr>
  <dimension ref="A1:W55"/>
  <sheetViews>
    <sheetView workbookViewId="0">
      <selection activeCell="A36" sqref="A36"/>
    </sheetView>
  </sheetViews>
  <sheetFormatPr baseColWidth="10" defaultRowHeight="15" x14ac:dyDescent="0.25"/>
  <sheetData>
    <row r="1" spans="1:23" ht="15.75" x14ac:dyDescent="0.25">
      <c r="A1" s="2" t="s">
        <v>46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25" t="s">
        <v>208</v>
      </c>
      <c r="B3" s="6"/>
      <c r="C3" s="7"/>
      <c r="D3" s="8">
        <f t="shared" ref="D3:D34" si="0">B3*C3</f>
        <v>0</v>
      </c>
      <c r="E3" s="6"/>
      <c r="F3" s="7"/>
      <c r="G3" s="8">
        <f t="shared" ref="G3:G34" si="1">E3*F3</f>
        <v>0</v>
      </c>
      <c r="H3" s="6"/>
      <c r="I3" s="7"/>
      <c r="J3" s="8">
        <f t="shared" ref="J3:J34" si="2">H3*I3</f>
        <v>0</v>
      </c>
      <c r="K3" s="6">
        <v>8</v>
      </c>
      <c r="L3" s="7">
        <v>1</v>
      </c>
      <c r="M3" s="8">
        <f t="shared" ref="M3:M34" si="3">K3*L3</f>
        <v>8</v>
      </c>
      <c r="N3" s="6">
        <v>1</v>
      </c>
      <c r="O3" s="7">
        <v>1</v>
      </c>
      <c r="P3" s="8">
        <f t="shared" ref="P3:P34" si="4">N3*O3</f>
        <v>1</v>
      </c>
      <c r="Q3" s="1"/>
      <c r="R3" s="6">
        <f t="shared" ref="R3:R34" si="5">B3+E3+H3+K3+N3</f>
        <v>9</v>
      </c>
      <c r="S3" s="9">
        <f t="shared" ref="S3:S34" si="6">(D3+G3+J3+M3+P3)/R3</f>
        <v>1</v>
      </c>
      <c r="T3" s="9">
        <f t="shared" ref="T3:T34" si="7">R3/$V$3</f>
        <v>1.6981132075471698E-2</v>
      </c>
      <c r="U3" s="9">
        <f>R3 / _xlfn.XLOOKUP(A3, Top!A:A, Top!AA:AA)</f>
        <v>4.6875E-2</v>
      </c>
      <c r="V3" s="11">
        <f>SUM(R3:R69)</f>
        <v>530</v>
      </c>
      <c r="W3" s="12">
        <f>(SUM(D3:D99)+SUM(G3:G99)+SUM(J3:J99)+SUM(M3:M99)+SUM(P3:P99)) / V3</f>
        <v>0.67355849056603767</v>
      </c>
    </row>
    <row r="4" spans="1:23" x14ac:dyDescent="0.25">
      <c r="A4" s="1" t="s">
        <v>44</v>
      </c>
      <c r="B4" s="6"/>
      <c r="C4" s="7"/>
      <c r="D4" s="8">
        <f t="shared" si="0"/>
        <v>0</v>
      </c>
      <c r="E4" s="6">
        <v>2</v>
      </c>
      <c r="F4" s="7">
        <v>1</v>
      </c>
      <c r="G4" s="8">
        <f t="shared" si="1"/>
        <v>2</v>
      </c>
      <c r="H4" s="6">
        <v>1</v>
      </c>
      <c r="I4" s="7">
        <v>1</v>
      </c>
      <c r="J4" s="8">
        <f t="shared" si="2"/>
        <v>1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4"/>
      <c r="R4" s="6">
        <f t="shared" si="5"/>
        <v>3</v>
      </c>
      <c r="S4" s="9">
        <f t="shared" si="6"/>
        <v>1</v>
      </c>
      <c r="T4" s="9">
        <f t="shared" si="7"/>
        <v>5.6603773584905656E-3</v>
      </c>
      <c r="U4" s="9">
        <f>R4 / _xlfn.XLOOKUP(A4, Top!A:A, Top!AA:AA)</f>
        <v>0.3</v>
      </c>
      <c r="V4" s="6"/>
      <c r="W4" s="9"/>
    </row>
    <row r="5" spans="1:23" x14ac:dyDescent="0.25">
      <c r="A5" s="25" t="s">
        <v>261</v>
      </c>
      <c r="B5" s="6"/>
      <c r="C5" s="7"/>
      <c r="D5" s="8">
        <f t="shared" si="0"/>
        <v>0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/>
      <c r="L5" s="7"/>
      <c r="M5" s="8">
        <f t="shared" si="3"/>
        <v>0</v>
      </c>
      <c r="N5" s="6">
        <v>3</v>
      </c>
      <c r="O5" s="7">
        <v>1</v>
      </c>
      <c r="P5" s="8">
        <f t="shared" si="4"/>
        <v>3</v>
      </c>
      <c r="Q5" s="1"/>
      <c r="R5" s="6">
        <f t="shared" si="5"/>
        <v>3</v>
      </c>
      <c r="S5" s="9">
        <f t="shared" si="6"/>
        <v>1</v>
      </c>
      <c r="T5" s="9">
        <f t="shared" si="7"/>
        <v>5.6603773584905656E-3</v>
      </c>
      <c r="U5" s="9">
        <f>R5 / _xlfn.XLOOKUP(A5, Top!A:A, Top!AA:AA)</f>
        <v>0.21428571428571427</v>
      </c>
      <c r="W5" s="1"/>
    </row>
    <row r="6" spans="1:23" x14ac:dyDescent="0.25">
      <c r="A6" s="1" t="s">
        <v>49</v>
      </c>
      <c r="B6" s="6"/>
      <c r="C6" s="7"/>
      <c r="D6" s="8">
        <f t="shared" si="0"/>
        <v>0</v>
      </c>
      <c r="E6" s="6"/>
      <c r="F6" s="7"/>
      <c r="G6" s="8">
        <f t="shared" si="1"/>
        <v>0</v>
      </c>
      <c r="H6" s="6">
        <v>2</v>
      </c>
      <c r="I6" s="7">
        <v>1</v>
      </c>
      <c r="J6" s="8">
        <f t="shared" si="2"/>
        <v>2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1"/>
      <c r="R6" s="6">
        <f t="shared" si="5"/>
        <v>2</v>
      </c>
      <c r="S6" s="9">
        <f t="shared" si="6"/>
        <v>1</v>
      </c>
      <c r="T6" s="9">
        <f t="shared" si="7"/>
        <v>3.7735849056603774E-3</v>
      </c>
      <c r="U6" s="9">
        <f>R6 / _xlfn.XLOOKUP(A6, Top!A:A, Top!AA:AA)</f>
        <v>0.14285714285714285</v>
      </c>
      <c r="W6" s="1"/>
    </row>
    <row r="7" spans="1:23" x14ac:dyDescent="0.25">
      <c r="A7" s="1" t="s">
        <v>200</v>
      </c>
      <c r="B7" s="6"/>
      <c r="C7" s="7"/>
      <c r="D7" s="8">
        <f t="shared" si="0"/>
        <v>0</v>
      </c>
      <c r="E7" s="6"/>
      <c r="F7" s="7"/>
      <c r="G7" s="8">
        <f t="shared" si="1"/>
        <v>0</v>
      </c>
      <c r="H7" s="6">
        <v>2</v>
      </c>
      <c r="I7" s="7">
        <v>1</v>
      </c>
      <c r="J7" s="8">
        <f t="shared" si="2"/>
        <v>2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2</v>
      </c>
      <c r="S7" s="9">
        <f t="shared" si="6"/>
        <v>1</v>
      </c>
      <c r="T7" s="9">
        <f t="shared" si="7"/>
        <v>3.7735849056603774E-3</v>
      </c>
      <c r="U7" s="9">
        <f>R7 / _xlfn.XLOOKUP(A7, Top!A:A, Top!AA:AA)</f>
        <v>0.4</v>
      </c>
      <c r="V7" s="1"/>
      <c r="W7" s="1"/>
    </row>
    <row r="8" spans="1:23" x14ac:dyDescent="0.25">
      <c r="A8" s="25" t="s">
        <v>76</v>
      </c>
      <c r="B8" s="6"/>
      <c r="C8" s="7"/>
      <c r="D8" s="8">
        <f t="shared" si="0"/>
        <v>0</v>
      </c>
      <c r="E8" s="6"/>
      <c r="F8" s="7"/>
      <c r="G8" s="8">
        <f t="shared" si="1"/>
        <v>0</v>
      </c>
      <c r="H8" s="6"/>
      <c r="I8" s="7"/>
      <c r="J8" s="8">
        <f t="shared" si="2"/>
        <v>0</v>
      </c>
      <c r="K8" s="6">
        <v>2</v>
      </c>
      <c r="L8" s="7">
        <v>1</v>
      </c>
      <c r="M8" s="8">
        <f t="shared" si="3"/>
        <v>2</v>
      </c>
      <c r="N8" s="6"/>
      <c r="O8" s="7"/>
      <c r="P8" s="8">
        <f t="shared" si="4"/>
        <v>0</v>
      </c>
      <c r="Q8" s="1"/>
      <c r="R8" s="6">
        <f t="shared" si="5"/>
        <v>2</v>
      </c>
      <c r="S8" s="9">
        <f t="shared" si="6"/>
        <v>1</v>
      </c>
      <c r="T8" s="9">
        <f t="shared" si="7"/>
        <v>3.7735849056603774E-3</v>
      </c>
      <c r="U8" s="9">
        <f>R8 / _xlfn.XLOOKUP(A8, Top!A:A, Top!AA:AA)</f>
        <v>0.2</v>
      </c>
      <c r="V8" s="1"/>
      <c r="W8" s="1"/>
    </row>
    <row r="9" spans="1:23" x14ac:dyDescent="0.25">
      <c r="A9" s="25" t="s">
        <v>161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/>
      <c r="I9" s="7"/>
      <c r="J9" s="8">
        <f t="shared" si="2"/>
        <v>0</v>
      </c>
      <c r="K9" s="6">
        <v>1</v>
      </c>
      <c r="L9" s="7">
        <v>1</v>
      </c>
      <c r="M9" s="8">
        <f t="shared" si="3"/>
        <v>1</v>
      </c>
      <c r="N9" s="6"/>
      <c r="O9" s="7"/>
      <c r="P9" s="8">
        <f t="shared" si="4"/>
        <v>0</v>
      </c>
      <c r="Q9" s="1"/>
      <c r="R9" s="6">
        <f t="shared" si="5"/>
        <v>1</v>
      </c>
      <c r="S9" s="9">
        <f t="shared" si="6"/>
        <v>1</v>
      </c>
      <c r="T9" s="9">
        <f t="shared" si="7"/>
        <v>1.8867924528301887E-3</v>
      </c>
      <c r="U9" s="9">
        <f>R9 / _xlfn.XLOOKUP(A9, Top!A:A, Top!AA:AA)</f>
        <v>7.6923076923076927E-2</v>
      </c>
      <c r="V9" s="1"/>
      <c r="W9" s="1"/>
    </row>
    <row r="10" spans="1:23" x14ac:dyDescent="0.25">
      <c r="A10" s="1" t="s">
        <v>108</v>
      </c>
      <c r="B10" s="6"/>
      <c r="C10" s="7"/>
      <c r="D10" s="8">
        <f t="shared" si="0"/>
        <v>0</v>
      </c>
      <c r="E10" s="6"/>
      <c r="F10" s="7"/>
      <c r="G10" s="8">
        <f t="shared" si="1"/>
        <v>0</v>
      </c>
      <c r="H10" s="6">
        <v>1</v>
      </c>
      <c r="I10" s="7">
        <v>1</v>
      </c>
      <c r="J10" s="8">
        <f t="shared" si="2"/>
        <v>1</v>
      </c>
      <c r="K10" s="6"/>
      <c r="L10" s="7"/>
      <c r="M10" s="8">
        <f t="shared" si="3"/>
        <v>0</v>
      </c>
      <c r="N10" s="6"/>
      <c r="O10" s="7"/>
      <c r="P10" s="8">
        <f t="shared" si="4"/>
        <v>0</v>
      </c>
      <c r="Q10" s="1"/>
      <c r="R10" s="6">
        <f t="shared" si="5"/>
        <v>1</v>
      </c>
      <c r="S10" s="9">
        <f t="shared" si="6"/>
        <v>1</v>
      </c>
      <c r="T10" s="9">
        <f t="shared" si="7"/>
        <v>1.8867924528301887E-3</v>
      </c>
      <c r="U10" s="9">
        <f>R10 / _xlfn.XLOOKUP(A10, Top!A:A, Top!AA:AA)</f>
        <v>0.2</v>
      </c>
      <c r="V10" s="1"/>
      <c r="W10" s="1"/>
    </row>
    <row r="11" spans="1:23" x14ac:dyDescent="0.25">
      <c r="A11" s="25" t="s">
        <v>112</v>
      </c>
      <c r="B11" s="6"/>
      <c r="C11" s="7"/>
      <c r="D11" s="8">
        <f t="shared" si="0"/>
        <v>0</v>
      </c>
      <c r="E11" s="6"/>
      <c r="F11" s="7"/>
      <c r="G11" s="8">
        <f t="shared" si="1"/>
        <v>0</v>
      </c>
      <c r="H11" s="6"/>
      <c r="I11" s="7"/>
      <c r="J11" s="8">
        <f t="shared" si="2"/>
        <v>0</v>
      </c>
      <c r="K11" s="6">
        <v>1</v>
      </c>
      <c r="L11" s="7">
        <v>1</v>
      </c>
      <c r="M11" s="8">
        <f t="shared" si="3"/>
        <v>1</v>
      </c>
      <c r="N11" s="6"/>
      <c r="O11" s="7"/>
      <c r="P11" s="8">
        <f t="shared" si="4"/>
        <v>0</v>
      </c>
      <c r="Q11" s="1"/>
      <c r="R11" s="6">
        <f t="shared" si="5"/>
        <v>1</v>
      </c>
      <c r="S11" s="9">
        <f t="shared" si="6"/>
        <v>1</v>
      </c>
      <c r="T11" s="9">
        <f t="shared" si="7"/>
        <v>1.8867924528301887E-3</v>
      </c>
      <c r="U11" s="9">
        <f>R11 / _xlfn.XLOOKUP(A11, Top!A:A, Top!AA:AA)</f>
        <v>4.1666666666666664E-2</v>
      </c>
      <c r="V11" s="1"/>
      <c r="W11" s="1"/>
    </row>
    <row r="12" spans="1:23" x14ac:dyDescent="0.25">
      <c r="A12" s="1" t="s">
        <v>55</v>
      </c>
      <c r="B12" s="6"/>
      <c r="C12" s="7"/>
      <c r="D12" s="8">
        <f t="shared" si="0"/>
        <v>0</v>
      </c>
      <c r="E12" s="6"/>
      <c r="F12" s="7"/>
      <c r="G12" s="8">
        <f t="shared" si="1"/>
        <v>0</v>
      </c>
      <c r="H12" s="6">
        <v>1</v>
      </c>
      <c r="I12" s="7">
        <v>1</v>
      </c>
      <c r="J12" s="8">
        <f t="shared" si="2"/>
        <v>1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1"/>
      <c r="R12" s="6">
        <f t="shared" si="5"/>
        <v>1</v>
      </c>
      <c r="S12" s="9">
        <f t="shared" si="6"/>
        <v>1</v>
      </c>
      <c r="T12" s="9">
        <f t="shared" si="7"/>
        <v>1.8867924528301887E-3</v>
      </c>
      <c r="U12" s="9">
        <f>R12 / _xlfn.XLOOKUP(A12, Top!A:A, Top!AA:AA)</f>
        <v>0.1</v>
      </c>
      <c r="V12" s="1"/>
      <c r="W12" s="1"/>
    </row>
    <row r="13" spans="1:23" x14ac:dyDescent="0.25">
      <c r="A13" s="1" t="s">
        <v>149</v>
      </c>
      <c r="B13" s="6"/>
      <c r="C13" s="7"/>
      <c r="D13" s="8">
        <f t="shared" si="0"/>
        <v>0</v>
      </c>
      <c r="E13" s="6"/>
      <c r="F13" s="7"/>
      <c r="G13" s="8">
        <f t="shared" si="1"/>
        <v>0</v>
      </c>
      <c r="H13" s="6">
        <v>1</v>
      </c>
      <c r="I13" s="7">
        <v>1</v>
      </c>
      <c r="J13" s="8">
        <f t="shared" si="2"/>
        <v>1</v>
      </c>
      <c r="K13" s="6"/>
      <c r="L13" s="7"/>
      <c r="M13" s="8">
        <f t="shared" si="3"/>
        <v>0</v>
      </c>
      <c r="N13" s="6"/>
      <c r="O13" s="7"/>
      <c r="P13" s="8">
        <f t="shared" si="4"/>
        <v>0</v>
      </c>
      <c r="Q13" s="1"/>
      <c r="R13" s="6">
        <f t="shared" si="5"/>
        <v>1</v>
      </c>
      <c r="S13" s="9">
        <f t="shared" si="6"/>
        <v>1</v>
      </c>
      <c r="T13" s="9">
        <f t="shared" si="7"/>
        <v>1.8867924528301887E-3</v>
      </c>
      <c r="U13" s="9">
        <f>R13 / _xlfn.XLOOKUP(A13, Top!A:A, Top!AA:AA)</f>
        <v>1</v>
      </c>
      <c r="V13" s="1"/>
      <c r="W13" s="1"/>
    </row>
    <row r="14" spans="1:23" x14ac:dyDescent="0.25">
      <c r="A14" s="1" t="s">
        <v>50</v>
      </c>
      <c r="B14" s="6"/>
      <c r="C14" s="7"/>
      <c r="D14" s="8">
        <f t="shared" si="0"/>
        <v>0</v>
      </c>
      <c r="E14" s="6"/>
      <c r="F14" s="7"/>
      <c r="G14" s="8">
        <f t="shared" si="1"/>
        <v>0</v>
      </c>
      <c r="H14" s="6">
        <v>1</v>
      </c>
      <c r="I14" s="7">
        <v>1</v>
      </c>
      <c r="J14" s="8">
        <f t="shared" si="2"/>
        <v>1</v>
      </c>
      <c r="K14" s="6"/>
      <c r="L14" s="7"/>
      <c r="M14" s="8">
        <f t="shared" si="3"/>
        <v>0</v>
      </c>
      <c r="N14" s="6"/>
      <c r="O14" s="7"/>
      <c r="P14" s="8">
        <f t="shared" si="4"/>
        <v>0</v>
      </c>
      <c r="Q14" s="1"/>
      <c r="R14" s="6">
        <f t="shared" si="5"/>
        <v>1</v>
      </c>
      <c r="S14" s="9">
        <f t="shared" si="6"/>
        <v>1</v>
      </c>
      <c r="T14" s="9">
        <f t="shared" si="7"/>
        <v>1.8867924528301887E-3</v>
      </c>
      <c r="U14" s="9">
        <f>R14 / _xlfn.XLOOKUP(A14, Top!A:A, Top!AA:AA)</f>
        <v>3.5714285714285712E-2</v>
      </c>
      <c r="V14" s="1"/>
      <c r="W14" s="1"/>
    </row>
    <row r="15" spans="1:23" x14ac:dyDescent="0.25">
      <c r="A15" s="1" t="s">
        <v>39</v>
      </c>
      <c r="B15" s="6"/>
      <c r="C15" s="7"/>
      <c r="D15" s="8">
        <f t="shared" si="0"/>
        <v>0</v>
      </c>
      <c r="E15" s="6"/>
      <c r="F15" s="7"/>
      <c r="G15" s="8">
        <f t="shared" si="1"/>
        <v>0</v>
      </c>
      <c r="H15" s="6">
        <v>1</v>
      </c>
      <c r="I15" s="7">
        <v>1</v>
      </c>
      <c r="J15" s="8">
        <f t="shared" si="2"/>
        <v>1</v>
      </c>
      <c r="K15" s="6"/>
      <c r="L15" s="7"/>
      <c r="M15" s="8">
        <f t="shared" si="3"/>
        <v>0</v>
      </c>
      <c r="N15" s="6"/>
      <c r="O15" s="7"/>
      <c r="P15" s="8">
        <f t="shared" si="4"/>
        <v>0</v>
      </c>
      <c r="Q15" s="1"/>
      <c r="R15" s="6">
        <f t="shared" si="5"/>
        <v>1</v>
      </c>
      <c r="S15" s="9">
        <f t="shared" si="6"/>
        <v>1</v>
      </c>
      <c r="T15" s="9">
        <f t="shared" si="7"/>
        <v>1.8867924528301887E-3</v>
      </c>
      <c r="U15" s="9">
        <f>R15 / _xlfn.XLOOKUP(A15, Top!A:A, Top!AA:AA)</f>
        <v>0.33333333333333331</v>
      </c>
      <c r="V15" s="1"/>
      <c r="W15" s="1"/>
    </row>
    <row r="16" spans="1:23" x14ac:dyDescent="0.25">
      <c r="A16" s="1" t="s">
        <v>21</v>
      </c>
      <c r="B16" s="6"/>
      <c r="C16" s="7"/>
      <c r="D16" s="8">
        <f t="shared" si="0"/>
        <v>0</v>
      </c>
      <c r="E16" s="6"/>
      <c r="F16" s="7"/>
      <c r="G16" s="8">
        <f t="shared" si="1"/>
        <v>0</v>
      </c>
      <c r="H16" s="6">
        <v>1</v>
      </c>
      <c r="I16" s="7">
        <v>1</v>
      </c>
      <c r="J16" s="8">
        <f t="shared" si="2"/>
        <v>1</v>
      </c>
      <c r="K16" s="6"/>
      <c r="L16" s="7"/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1</v>
      </c>
      <c r="S16" s="9">
        <f t="shared" si="6"/>
        <v>1</v>
      </c>
      <c r="T16" s="9">
        <f t="shared" si="7"/>
        <v>1.8867924528301887E-3</v>
      </c>
      <c r="U16" s="9">
        <f>R16 / _xlfn.XLOOKUP(A16, Top!A:A, Top!AA:AA)</f>
        <v>5.5555555555555552E-2</v>
      </c>
      <c r="V16" s="1"/>
      <c r="W16" s="1"/>
    </row>
    <row r="17" spans="1:23" x14ac:dyDescent="0.25">
      <c r="A17" s="1" t="s">
        <v>18</v>
      </c>
      <c r="B17" s="6"/>
      <c r="C17" s="7"/>
      <c r="D17" s="8">
        <f t="shared" si="0"/>
        <v>0</v>
      </c>
      <c r="E17" s="6"/>
      <c r="F17" s="7"/>
      <c r="G17" s="8">
        <f t="shared" si="1"/>
        <v>0</v>
      </c>
      <c r="H17" s="6">
        <v>10</v>
      </c>
      <c r="I17" s="7">
        <v>0.9</v>
      </c>
      <c r="J17" s="8">
        <f t="shared" si="2"/>
        <v>9</v>
      </c>
      <c r="K17" s="6"/>
      <c r="L17" s="7"/>
      <c r="M17" s="8">
        <f t="shared" si="3"/>
        <v>0</v>
      </c>
      <c r="N17" s="6"/>
      <c r="O17" s="7"/>
      <c r="P17" s="8">
        <f t="shared" si="4"/>
        <v>0</v>
      </c>
      <c r="Q17" s="1"/>
      <c r="R17" s="6">
        <f t="shared" si="5"/>
        <v>10</v>
      </c>
      <c r="S17" s="9">
        <f t="shared" si="6"/>
        <v>0.9</v>
      </c>
      <c r="T17" s="9">
        <f t="shared" si="7"/>
        <v>1.8867924528301886E-2</v>
      </c>
      <c r="U17" s="9">
        <f>R17 / _xlfn.XLOOKUP(A17, Top!A:A, Top!AA:AA)</f>
        <v>0.20833333333333334</v>
      </c>
      <c r="V17" s="1"/>
      <c r="W17" s="1"/>
    </row>
    <row r="18" spans="1:23" x14ac:dyDescent="0.25">
      <c r="A18" s="1" t="s">
        <v>36</v>
      </c>
      <c r="B18" s="6">
        <v>1</v>
      </c>
      <c r="C18" s="7">
        <v>1</v>
      </c>
      <c r="D18" s="8">
        <f t="shared" si="0"/>
        <v>1</v>
      </c>
      <c r="E18" s="6">
        <v>8</v>
      </c>
      <c r="F18" s="7">
        <v>0.875</v>
      </c>
      <c r="G18" s="8">
        <f t="shared" si="1"/>
        <v>7</v>
      </c>
      <c r="H18" s="6"/>
      <c r="I18" s="7"/>
      <c r="J18" s="8">
        <f t="shared" si="2"/>
        <v>0</v>
      </c>
      <c r="K18" s="6"/>
      <c r="L18" s="7"/>
      <c r="M18" s="8">
        <f t="shared" si="3"/>
        <v>0</v>
      </c>
      <c r="N18" s="6"/>
      <c r="O18" s="7"/>
      <c r="P18" s="8">
        <f t="shared" si="4"/>
        <v>0</v>
      </c>
      <c r="Q18" s="4"/>
      <c r="R18" s="6">
        <f t="shared" si="5"/>
        <v>9</v>
      </c>
      <c r="S18" s="9">
        <f t="shared" si="6"/>
        <v>0.88888888888888884</v>
      </c>
      <c r="T18" s="9">
        <f t="shared" si="7"/>
        <v>1.6981132075471698E-2</v>
      </c>
      <c r="U18" s="9">
        <f>R18 / _xlfn.XLOOKUP(A18, Top!A:A, Top!AA:AA)</f>
        <v>0.25</v>
      </c>
      <c r="V18" s="1"/>
      <c r="W18" s="1"/>
    </row>
    <row r="19" spans="1:23" x14ac:dyDescent="0.25">
      <c r="A19" s="1" t="s">
        <v>95</v>
      </c>
      <c r="B19" s="6">
        <v>1</v>
      </c>
      <c r="C19" s="7">
        <v>0</v>
      </c>
      <c r="D19" s="8">
        <f t="shared" si="0"/>
        <v>0</v>
      </c>
      <c r="E19" s="6"/>
      <c r="F19" s="7"/>
      <c r="G19" s="8">
        <f t="shared" si="1"/>
        <v>0</v>
      </c>
      <c r="H19" s="6">
        <v>5</v>
      </c>
      <c r="I19" s="7">
        <v>1</v>
      </c>
      <c r="J19" s="8">
        <f t="shared" si="2"/>
        <v>5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13"/>
      <c r="R19" s="6">
        <f t="shared" si="5"/>
        <v>6</v>
      </c>
      <c r="S19" s="9">
        <f t="shared" si="6"/>
        <v>0.83333333333333337</v>
      </c>
      <c r="T19" s="9">
        <f t="shared" si="7"/>
        <v>1.1320754716981131E-2</v>
      </c>
      <c r="U19" s="9">
        <f>R19 / _xlfn.XLOOKUP(A19, Top!A:A, Top!AA:AA)</f>
        <v>0.1276595744680851</v>
      </c>
      <c r="V19" s="1"/>
      <c r="W19" s="1"/>
    </row>
    <row r="20" spans="1:23" x14ac:dyDescent="0.25">
      <c r="A20" s="1" t="s">
        <v>201</v>
      </c>
      <c r="B20" s="6"/>
      <c r="C20" s="7"/>
      <c r="D20" s="8">
        <f t="shared" si="0"/>
        <v>0</v>
      </c>
      <c r="E20" s="6"/>
      <c r="F20" s="7"/>
      <c r="G20" s="8">
        <f t="shared" si="1"/>
        <v>0</v>
      </c>
      <c r="H20" s="6">
        <v>4</v>
      </c>
      <c r="I20" s="7">
        <v>0.75</v>
      </c>
      <c r="J20" s="8">
        <f t="shared" si="2"/>
        <v>3</v>
      </c>
      <c r="K20" s="6">
        <v>7</v>
      </c>
      <c r="L20" s="7">
        <v>0.85699999999999998</v>
      </c>
      <c r="M20" s="8">
        <f t="shared" si="3"/>
        <v>5.9989999999999997</v>
      </c>
      <c r="N20" s="6">
        <v>1</v>
      </c>
      <c r="O20" s="7">
        <v>1</v>
      </c>
      <c r="P20" s="8">
        <f t="shared" si="4"/>
        <v>1</v>
      </c>
      <c r="Q20" s="1"/>
      <c r="R20" s="6">
        <f t="shared" si="5"/>
        <v>12</v>
      </c>
      <c r="S20" s="9">
        <f t="shared" si="6"/>
        <v>0.83324999999999994</v>
      </c>
      <c r="T20" s="9">
        <f t="shared" si="7"/>
        <v>2.2641509433962263E-2</v>
      </c>
      <c r="U20" s="9">
        <f>R20 / _xlfn.XLOOKUP(A20, Top!A:A, Top!AA:AA)</f>
        <v>0.15584415584415584</v>
      </c>
      <c r="V20" s="1"/>
      <c r="W20" s="1"/>
    </row>
    <row r="21" spans="1:23" x14ac:dyDescent="0.25">
      <c r="A21" s="1" t="s">
        <v>23</v>
      </c>
      <c r="B21" s="6"/>
      <c r="C21" s="7"/>
      <c r="D21" s="8">
        <f t="shared" si="0"/>
        <v>0</v>
      </c>
      <c r="E21" s="6">
        <v>2</v>
      </c>
      <c r="F21" s="7">
        <v>0.5</v>
      </c>
      <c r="G21" s="8">
        <f t="shared" si="1"/>
        <v>1</v>
      </c>
      <c r="H21" s="6">
        <v>11</v>
      </c>
      <c r="I21" s="7">
        <v>0.81799999999999995</v>
      </c>
      <c r="J21" s="8">
        <f t="shared" si="2"/>
        <v>8.9979999999999993</v>
      </c>
      <c r="K21" s="6">
        <v>15</v>
      </c>
      <c r="L21" s="7">
        <v>0.73299999999999998</v>
      </c>
      <c r="M21" s="8">
        <f t="shared" si="3"/>
        <v>10.994999999999999</v>
      </c>
      <c r="N21" s="6">
        <v>3</v>
      </c>
      <c r="O21" s="7">
        <v>1</v>
      </c>
      <c r="P21" s="8">
        <f t="shared" si="4"/>
        <v>3</v>
      </c>
      <c r="Q21" s="1"/>
      <c r="R21" s="6">
        <f t="shared" si="5"/>
        <v>31</v>
      </c>
      <c r="S21" s="9">
        <f t="shared" si="6"/>
        <v>0.77396774193548379</v>
      </c>
      <c r="T21" s="9">
        <f t="shared" si="7"/>
        <v>5.849056603773585E-2</v>
      </c>
      <c r="U21" s="9">
        <f>R21 / _xlfn.XLOOKUP(A21, Top!A:A, Top!AA:AA)</f>
        <v>7.9487179487179482E-2</v>
      </c>
      <c r="V21" s="1"/>
      <c r="W21" s="1"/>
    </row>
    <row r="22" spans="1:23" x14ac:dyDescent="0.25">
      <c r="A22" s="1" t="s">
        <v>9</v>
      </c>
      <c r="B22" s="6">
        <v>1</v>
      </c>
      <c r="C22" s="7">
        <v>1</v>
      </c>
      <c r="D22" s="8">
        <f t="shared" si="0"/>
        <v>1</v>
      </c>
      <c r="E22" s="6">
        <v>3</v>
      </c>
      <c r="F22" s="7">
        <v>0.33300000000000002</v>
      </c>
      <c r="G22" s="8">
        <f t="shared" si="1"/>
        <v>0.99900000000000011</v>
      </c>
      <c r="H22" s="6">
        <v>2</v>
      </c>
      <c r="I22" s="7">
        <v>1</v>
      </c>
      <c r="J22" s="8">
        <f t="shared" si="2"/>
        <v>2</v>
      </c>
      <c r="K22" s="6">
        <v>6</v>
      </c>
      <c r="L22" s="7">
        <v>0.83299999999999996</v>
      </c>
      <c r="M22" s="8">
        <f t="shared" si="3"/>
        <v>4.9979999999999993</v>
      </c>
      <c r="N22" s="6">
        <v>1</v>
      </c>
      <c r="O22" s="7">
        <v>1</v>
      </c>
      <c r="P22" s="8">
        <f t="shared" si="4"/>
        <v>1</v>
      </c>
      <c r="Q22" s="1"/>
      <c r="R22" s="6">
        <f t="shared" si="5"/>
        <v>13</v>
      </c>
      <c r="S22" s="9">
        <f t="shared" si="6"/>
        <v>0.76900000000000002</v>
      </c>
      <c r="T22" s="9">
        <f t="shared" si="7"/>
        <v>2.4528301886792454E-2</v>
      </c>
      <c r="U22" s="9">
        <f>R22 / _xlfn.XLOOKUP(A22, Top!A:A, Top!AA:AA)</f>
        <v>3.9877300613496931E-2</v>
      </c>
      <c r="V22" s="1"/>
      <c r="W22" s="1"/>
    </row>
    <row r="23" spans="1:23" x14ac:dyDescent="0.25">
      <c r="A23" s="1" t="s">
        <v>40</v>
      </c>
      <c r="B23" s="6"/>
      <c r="C23" s="7"/>
      <c r="D23" s="8">
        <f t="shared" si="0"/>
        <v>0</v>
      </c>
      <c r="E23" s="6"/>
      <c r="F23" s="7"/>
      <c r="G23" s="8">
        <f t="shared" si="1"/>
        <v>0</v>
      </c>
      <c r="H23" s="6">
        <v>11</v>
      </c>
      <c r="I23" s="7">
        <v>0.81799999999999995</v>
      </c>
      <c r="J23" s="8">
        <f t="shared" si="2"/>
        <v>8.9979999999999993</v>
      </c>
      <c r="K23" s="6">
        <v>1</v>
      </c>
      <c r="L23" s="7">
        <v>0</v>
      </c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12</v>
      </c>
      <c r="S23" s="9">
        <f t="shared" si="6"/>
        <v>0.74983333333333324</v>
      </c>
      <c r="T23" s="9">
        <f t="shared" si="7"/>
        <v>2.2641509433962263E-2</v>
      </c>
      <c r="U23" s="9">
        <f>R23 / _xlfn.XLOOKUP(A23, Top!A:A, Top!AA:AA)</f>
        <v>0.1875</v>
      </c>
      <c r="V23" s="1"/>
      <c r="W23" s="1"/>
    </row>
    <row r="24" spans="1:23" x14ac:dyDescent="0.25">
      <c r="A24" s="1" t="s">
        <v>8</v>
      </c>
      <c r="B24" s="6">
        <v>3</v>
      </c>
      <c r="C24" s="7">
        <v>0.66700000000000004</v>
      </c>
      <c r="D24" s="8">
        <f t="shared" si="0"/>
        <v>2.0010000000000003</v>
      </c>
      <c r="E24" s="6">
        <v>4</v>
      </c>
      <c r="F24" s="7">
        <v>0.75</v>
      </c>
      <c r="G24" s="8">
        <f t="shared" si="1"/>
        <v>3</v>
      </c>
      <c r="H24" s="6">
        <v>6</v>
      </c>
      <c r="I24" s="7">
        <v>0.83299999999999996</v>
      </c>
      <c r="J24" s="8">
        <f t="shared" si="2"/>
        <v>4.9979999999999993</v>
      </c>
      <c r="K24" s="6">
        <v>12</v>
      </c>
      <c r="L24" s="7">
        <v>0.75</v>
      </c>
      <c r="M24" s="8">
        <f t="shared" si="3"/>
        <v>9</v>
      </c>
      <c r="N24" s="6">
        <v>1</v>
      </c>
      <c r="O24" s="7">
        <v>0</v>
      </c>
      <c r="P24" s="8">
        <f t="shared" si="4"/>
        <v>0</v>
      </c>
      <c r="Q24" s="1"/>
      <c r="R24" s="6">
        <f t="shared" si="5"/>
        <v>26</v>
      </c>
      <c r="S24" s="9">
        <f t="shared" si="6"/>
        <v>0.73073076923076918</v>
      </c>
      <c r="T24" s="9">
        <f t="shared" si="7"/>
        <v>4.9056603773584909E-2</v>
      </c>
      <c r="U24" s="9">
        <f>R24 / _xlfn.XLOOKUP(A24, Top!A:A, Top!AA:AA)</f>
        <v>0.10038610038610038</v>
      </c>
      <c r="V24" s="1"/>
      <c r="W24" s="1"/>
    </row>
    <row r="25" spans="1:23" x14ac:dyDescent="0.25">
      <c r="A25" s="1" t="s">
        <v>19</v>
      </c>
      <c r="B25" s="6"/>
      <c r="C25" s="7"/>
      <c r="D25" s="8">
        <f t="shared" si="0"/>
        <v>0</v>
      </c>
      <c r="E25" s="6">
        <v>5</v>
      </c>
      <c r="F25" s="7">
        <v>0.4</v>
      </c>
      <c r="G25" s="8">
        <f t="shared" si="1"/>
        <v>2</v>
      </c>
      <c r="H25" s="6"/>
      <c r="I25" s="7"/>
      <c r="J25" s="8">
        <f t="shared" si="2"/>
        <v>0</v>
      </c>
      <c r="K25" s="6">
        <v>6</v>
      </c>
      <c r="L25" s="7">
        <v>1</v>
      </c>
      <c r="M25" s="8">
        <f t="shared" si="3"/>
        <v>6</v>
      </c>
      <c r="N25" s="6"/>
      <c r="O25" s="7"/>
      <c r="P25" s="8">
        <f t="shared" si="4"/>
        <v>0</v>
      </c>
      <c r="Q25" s="1"/>
      <c r="R25" s="6">
        <f t="shared" si="5"/>
        <v>11</v>
      </c>
      <c r="S25" s="9">
        <f t="shared" si="6"/>
        <v>0.72727272727272729</v>
      </c>
      <c r="T25" s="9">
        <f t="shared" si="7"/>
        <v>2.0754716981132074E-2</v>
      </c>
      <c r="U25" s="9">
        <f>R25 / _xlfn.XLOOKUP(A25, Top!A:A, Top!AA:AA)</f>
        <v>8.0291970802919707E-2</v>
      </c>
      <c r="V25" s="1"/>
      <c r="W25" s="1"/>
    </row>
    <row r="26" spans="1:23" x14ac:dyDescent="0.25">
      <c r="A26" s="25" t="s">
        <v>252</v>
      </c>
      <c r="B26" s="6"/>
      <c r="C26" s="7"/>
      <c r="D26" s="8">
        <f t="shared" si="0"/>
        <v>0</v>
      </c>
      <c r="E26" s="6">
        <v>16</v>
      </c>
      <c r="F26" s="7">
        <v>0.56299999999999994</v>
      </c>
      <c r="G26" s="8">
        <f t="shared" si="1"/>
        <v>9.0079999999999991</v>
      </c>
      <c r="H26" s="6">
        <v>35</v>
      </c>
      <c r="I26" s="7">
        <v>0.82899999999999996</v>
      </c>
      <c r="J26" s="8">
        <f t="shared" si="2"/>
        <v>29.014999999999997</v>
      </c>
      <c r="K26" s="6">
        <v>17</v>
      </c>
      <c r="L26" s="7">
        <v>0.64700000000000002</v>
      </c>
      <c r="M26" s="8">
        <f t="shared" si="3"/>
        <v>10.999000000000001</v>
      </c>
      <c r="N26" s="6"/>
      <c r="O26" s="7"/>
      <c r="P26" s="8">
        <f t="shared" si="4"/>
        <v>0</v>
      </c>
      <c r="Q26" s="1"/>
      <c r="R26" s="6">
        <f t="shared" si="5"/>
        <v>68</v>
      </c>
      <c r="S26" s="9">
        <f t="shared" si="6"/>
        <v>0.72091176470588236</v>
      </c>
      <c r="T26" s="9">
        <f t="shared" si="7"/>
        <v>0.12830188679245283</v>
      </c>
      <c r="U26" s="9">
        <f>R26 / _xlfn.XLOOKUP(A26, Top!A:A, Top!AA:AA)</f>
        <v>0.10179640718562874</v>
      </c>
      <c r="V26" s="1"/>
      <c r="W26" s="1"/>
    </row>
    <row r="27" spans="1:23" x14ac:dyDescent="0.25">
      <c r="A27" s="1" t="s">
        <v>48</v>
      </c>
      <c r="B27" s="6">
        <v>1</v>
      </c>
      <c r="C27" s="7">
        <v>0</v>
      </c>
      <c r="D27" s="8">
        <f t="shared" si="0"/>
        <v>0</v>
      </c>
      <c r="E27" s="6">
        <v>3</v>
      </c>
      <c r="F27" s="7">
        <v>1</v>
      </c>
      <c r="G27" s="8">
        <f t="shared" si="1"/>
        <v>3</v>
      </c>
      <c r="H27" s="6">
        <v>2</v>
      </c>
      <c r="I27" s="7">
        <v>0.5</v>
      </c>
      <c r="J27" s="8">
        <f t="shared" si="2"/>
        <v>1</v>
      </c>
      <c r="K27" s="6">
        <v>1</v>
      </c>
      <c r="L27" s="7">
        <v>1</v>
      </c>
      <c r="M27" s="8">
        <f t="shared" si="3"/>
        <v>1</v>
      </c>
      <c r="N27" s="6"/>
      <c r="O27" s="7"/>
      <c r="P27" s="8">
        <f t="shared" si="4"/>
        <v>0</v>
      </c>
      <c r="Q27" s="1"/>
      <c r="R27" s="6">
        <f t="shared" si="5"/>
        <v>7</v>
      </c>
      <c r="S27" s="9">
        <f t="shared" si="6"/>
        <v>0.7142857142857143</v>
      </c>
      <c r="T27" s="9">
        <f t="shared" si="7"/>
        <v>1.3207547169811321E-2</v>
      </c>
      <c r="U27" s="9">
        <f>R27 / _xlfn.XLOOKUP(A27, Top!A:A, Top!AA:AA)</f>
        <v>0.7</v>
      </c>
      <c r="V27" s="1"/>
      <c r="W27" s="1"/>
    </row>
    <row r="28" spans="1:23" x14ac:dyDescent="0.25">
      <c r="A28" s="1" t="s">
        <v>22</v>
      </c>
      <c r="B28" s="6">
        <v>2</v>
      </c>
      <c r="C28" s="7">
        <v>0</v>
      </c>
      <c r="D28" s="8">
        <f t="shared" si="0"/>
        <v>0</v>
      </c>
      <c r="E28" s="6">
        <v>34</v>
      </c>
      <c r="F28" s="7">
        <v>0.73499999999999999</v>
      </c>
      <c r="G28" s="8">
        <f t="shared" si="1"/>
        <v>24.99</v>
      </c>
      <c r="H28" s="6">
        <v>6</v>
      </c>
      <c r="I28" s="7">
        <v>0.5</v>
      </c>
      <c r="J28" s="8">
        <f t="shared" si="2"/>
        <v>3</v>
      </c>
      <c r="K28" s="6">
        <v>8</v>
      </c>
      <c r="L28" s="7">
        <v>0.75</v>
      </c>
      <c r="M28" s="8">
        <f t="shared" si="3"/>
        <v>6</v>
      </c>
      <c r="N28" s="6">
        <v>3</v>
      </c>
      <c r="O28" s="7">
        <v>1</v>
      </c>
      <c r="P28" s="8">
        <f t="shared" si="4"/>
        <v>3</v>
      </c>
      <c r="Q28" s="4"/>
      <c r="R28" s="6">
        <f t="shared" si="5"/>
        <v>53</v>
      </c>
      <c r="S28" s="9">
        <f t="shared" si="6"/>
        <v>0.69792452830188667</v>
      </c>
      <c r="T28" s="9">
        <f t="shared" si="7"/>
        <v>0.1</v>
      </c>
      <c r="U28" s="9">
        <f>R28 / _xlfn.XLOOKUP(A28, Top!A:A, Top!AA:AA)</f>
        <v>0.10371819960861056</v>
      </c>
      <c r="V28" s="1"/>
      <c r="W28" s="1"/>
    </row>
    <row r="29" spans="1:23" x14ac:dyDescent="0.25">
      <c r="A29" s="1" t="s">
        <v>11</v>
      </c>
      <c r="B29" s="6">
        <v>14</v>
      </c>
      <c r="C29" s="7">
        <v>0.5</v>
      </c>
      <c r="D29" s="8">
        <f t="shared" si="0"/>
        <v>7</v>
      </c>
      <c r="E29" s="6">
        <v>2</v>
      </c>
      <c r="F29" s="7">
        <v>0</v>
      </c>
      <c r="G29" s="8">
        <f t="shared" si="1"/>
        <v>0</v>
      </c>
      <c r="H29" s="6">
        <v>1</v>
      </c>
      <c r="I29" s="7">
        <v>0</v>
      </c>
      <c r="J29" s="8">
        <f t="shared" si="2"/>
        <v>0</v>
      </c>
      <c r="K29" s="6">
        <v>23</v>
      </c>
      <c r="L29" s="32">
        <v>0.86899999999999999</v>
      </c>
      <c r="M29" s="8">
        <f t="shared" si="3"/>
        <v>19.986999999999998</v>
      </c>
      <c r="N29" s="6">
        <v>3</v>
      </c>
      <c r="O29" s="7">
        <v>1</v>
      </c>
      <c r="P29" s="8">
        <f t="shared" si="4"/>
        <v>3</v>
      </c>
      <c r="Q29" s="1"/>
      <c r="R29" s="6">
        <f t="shared" si="5"/>
        <v>43</v>
      </c>
      <c r="S29" s="9">
        <f t="shared" si="6"/>
        <v>0.69737209302325576</v>
      </c>
      <c r="T29" s="9">
        <f t="shared" si="7"/>
        <v>8.1132075471698109E-2</v>
      </c>
      <c r="U29" s="9">
        <f>R29 / _xlfn.XLOOKUP(A29, Top!A:A, Top!AA:AA)</f>
        <v>0.11286089238845144</v>
      </c>
      <c r="V29" s="1"/>
      <c r="W29" s="1"/>
    </row>
    <row r="30" spans="1:23" x14ac:dyDescent="0.25">
      <c r="A30" s="1" t="s">
        <v>16</v>
      </c>
      <c r="B30" s="6">
        <v>1</v>
      </c>
      <c r="C30" s="7">
        <v>0</v>
      </c>
      <c r="D30" s="8">
        <f t="shared" si="0"/>
        <v>0</v>
      </c>
      <c r="E30" s="6">
        <v>22</v>
      </c>
      <c r="F30" s="7">
        <v>0.72699999999999998</v>
      </c>
      <c r="G30" s="8">
        <f t="shared" si="1"/>
        <v>15.994</v>
      </c>
      <c r="H30" s="6">
        <v>8</v>
      </c>
      <c r="I30" s="7">
        <v>0.875</v>
      </c>
      <c r="J30" s="8">
        <f t="shared" si="2"/>
        <v>7</v>
      </c>
      <c r="K30" s="6">
        <v>2</v>
      </c>
      <c r="L30" s="7">
        <v>0</v>
      </c>
      <c r="M30" s="8">
        <f t="shared" si="3"/>
        <v>0</v>
      </c>
      <c r="N30" s="6"/>
      <c r="O30" s="7"/>
      <c r="P30" s="8">
        <f t="shared" si="4"/>
        <v>0</v>
      </c>
      <c r="Q30" s="1"/>
      <c r="R30" s="6">
        <f t="shared" si="5"/>
        <v>33</v>
      </c>
      <c r="S30" s="9">
        <f t="shared" si="6"/>
        <v>0.69678787878787873</v>
      </c>
      <c r="T30" s="9">
        <f t="shared" si="7"/>
        <v>6.2264150943396226E-2</v>
      </c>
      <c r="U30" s="9">
        <f>R30 / _xlfn.XLOOKUP(A30, Top!A:A, Top!AA:AA)</f>
        <v>8.0097087378640783E-2</v>
      </c>
      <c r="V30" s="1"/>
      <c r="W30" s="1"/>
    </row>
    <row r="31" spans="1:23" x14ac:dyDescent="0.25">
      <c r="A31" s="1" t="s">
        <v>33</v>
      </c>
      <c r="B31" s="6">
        <v>3</v>
      </c>
      <c r="C31" s="7">
        <v>0.66700000000000004</v>
      </c>
      <c r="D31" s="8">
        <f t="shared" si="0"/>
        <v>2.0010000000000003</v>
      </c>
      <c r="E31" s="6"/>
      <c r="F31" s="7"/>
      <c r="G31" s="8">
        <f t="shared" si="1"/>
        <v>0</v>
      </c>
      <c r="H31" s="6"/>
      <c r="I31" s="7"/>
      <c r="J31" s="8">
        <f t="shared" si="2"/>
        <v>0</v>
      </c>
      <c r="K31" s="6"/>
      <c r="L31" s="7"/>
      <c r="M31" s="8">
        <f t="shared" si="3"/>
        <v>0</v>
      </c>
      <c r="N31" s="6"/>
      <c r="O31" s="7"/>
      <c r="P31" s="8">
        <f t="shared" si="4"/>
        <v>0</v>
      </c>
      <c r="Q31" s="1"/>
      <c r="R31" s="6">
        <f t="shared" si="5"/>
        <v>3</v>
      </c>
      <c r="S31" s="9">
        <f t="shared" si="6"/>
        <v>0.66700000000000015</v>
      </c>
      <c r="T31" s="9">
        <f t="shared" si="7"/>
        <v>5.6603773584905656E-3</v>
      </c>
      <c r="U31" s="9">
        <f>R31 / _xlfn.XLOOKUP(A31, Top!A:A, Top!AA:AA)</f>
        <v>6.5217391304347824E-2</v>
      </c>
      <c r="V31" s="1"/>
      <c r="W31" s="1"/>
    </row>
    <row r="32" spans="1:23" x14ac:dyDescent="0.25">
      <c r="A32" s="1" t="s">
        <v>25</v>
      </c>
      <c r="B32" s="6"/>
      <c r="C32" s="7"/>
      <c r="D32" s="8">
        <f t="shared" si="0"/>
        <v>0</v>
      </c>
      <c r="E32" s="6"/>
      <c r="F32" s="7"/>
      <c r="G32" s="8">
        <f t="shared" si="1"/>
        <v>0</v>
      </c>
      <c r="H32" s="6">
        <v>2</v>
      </c>
      <c r="I32" s="7">
        <v>1</v>
      </c>
      <c r="J32" s="8">
        <f t="shared" si="2"/>
        <v>2</v>
      </c>
      <c r="K32" s="6">
        <v>1</v>
      </c>
      <c r="L32" s="7">
        <v>0</v>
      </c>
      <c r="M32" s="8">
        <f t="shared" si="3"/>
        <v>0</v>
      </c>
      <c r="N32" s="6"/>
      <c r="O32" s="7"/>
      <c r="P32" s="8">
        <f t="shared" si="4"/>
        <v>0</v>
      </c>
      <c r="Q32" s="1"/>
      <c r="R32" s="6">
        <f t="shared" si="5"/>
        <v>3</v>
      </c>
      <c r="S32" s="9">
        <f t="shared" si="6"/>
        <v>0.66666666666666663</v>
      </c>
      <c r="T32" s="9">
        <f t="shared" si="7"/>
        <v>5.6603773584905656E-3</v>
      </c>
      <c r="U32" s="9">
        <f>R32 / _xlfn.XLOOKUP(A32, Top!A:A, Top!AA:AA)</f>
        <v>0.17647058823529413</v>
      </c>
      <c r="V32" s="1"/>
      <c r="W32" s="1"/>
    </row>
    <row r="33" spans="1:23" x14ac:dyDescent="0.25">
      <c r="A33" s="1" t="s">
        <v>13</v>
      </c>
      <c r="B33" s="6">
        <v>7</v>
      </c>
      <c r="C33" s="7">
        <v>0.42899999999999999</v>
      </c>
      <c r="D33" s="8">
        <f t="shared" si="0"/>
        <v>3.0030000000000001</v>
      </c>
      <c r="E33" s="6">
        <v>4</v>
      </c>
      <c r="F33" s="7">
        <v>0.75</v>
      </c>
      <c r="G33" s="8">
        <f t="shared" si="1"/>
        <v>3</v>
      </c>
      <c r="H33" s="6">
        <v>5</v>
      </c>
      <c r="I33" s="7">
        <v>0.8</v>
      </c>
      <c r="J33" s="8">
        <f t="shared" si="2"/>
        <v>4</v>
      </c>
      <c r="K33" s="6">
        <v>2</v>
      </c>
      <c r="L33" s="7">
        <v>0.5</v>
      </c>
      <c r="M33" s="8">
        <f t="shared" si="3"/>
        <v>1</v>
      </c>
      <c r="N33" s="6"/>
      <c r="O33" s="7"/>
      <c r="P33" s="8">
        <f t="shared" si="4"/>
        <v>0</v>
      </c>
      <c r="Q33" s="4"/>
      <c r="R33" s="6">
        <f t="shared" si="5"/>
        <v>18</v>
      </c>
      <c r="S33" s="9">
        <f t="shared" si="6"/>
        <v>0.61127777777777781</v>
      </c>
      <c r="T33" s="9">
        <f t="shared" si="7"/>
        <v>3.3962264150943396E-2</v>
      </c>
      <c r="U33" s="9">
        <f>R33 / _xlfn.XLOOKUP(A33, Top!A:A, Top!AA:AA)</f>
        <v>0.15</v>
      </c>
      <c r="V33" s="1"/>
      <c r="W33" s="1"/>
    </row>
    <row r="34" spans="1:23" x14ac:dyDescent="0.25">
      <c r="A34" s="1" t="s">
        <v>20</v>
      </c>
      <c r="B34" s="6">
        <v>2</v>
      </c>
      <c r="C34" s="7">
        <v>0.5</v>
      </c>
      <c r="D34" s="8">
        <f t="shared" si="0"/>
        <v>1</v>
      </c>
      <c r="E34" s="6">
        <v>3</v>
      </c>
      <c r="F34" s="7">
        <v>0.66700000000000004</v>
      </c>
      <c r="G34" s="8">
        <f t="shared" si="1"/>
        <v>2.0010000000000003</v>
      </c>
      <c r="H34" s="6"/>
      <c r="I34" s="7"/>
      <c r="J34" s="8">
        <f t="shared" si="2"/>
        <v>0</v>
      </c>
      <c r="K34" s="6"/>
      <c r="L34" s="7"/>
      <c r="M34" s="8">
        <f t="shared" si="3"/>
        <v>0</v>
      </c>
      <c r="N34" s="6"/>
      <c r="O34" s="7"/>
      <c r="P34" s="8">
        <f t="shared" si="4"/>
        <v>0</v>
      </c>
      <c r="Q34" s="1"/>
      <c r="R34" s="6">
        <f t="shared" si="5"/>
        <v>5</v>
      </c>
      <c r="S34" s="9">
        <f t="shared" si="6"/>
        <v>0.60020000000000007</v>
      </c>
      <c r="T34" s="9">
        <f t="shared" si="7"/>
        <v>9.433962264150943E-3</v>
      </c>
      <c r="U34" s="9">
        <f>R34 / _xlfn.XLOOKUP(A34, Top!A:A, Top!AA:AA)</f>
        <v>5.9523809523809521E-2</v>
      </c>
      <c r="V34" s="1"/>
      <c r="W34" s="1"/>
    </row>
    <row r="35" spans="1:23" x14ac:dyDescent="0.25">
      <c r="A35" s="1" t="s">
        <v>38</v>
      </c>
      <c r="B35" s="6"/>
      <c r="C35" s="7"/>
      <c r="D35" s="8">
        <f t="shared" ref="D35:D66" si="8">B35*C35</f>
        <v>0</v>
      </c>
      <c r="E35" s="6"/>
      <c r="F35" s="7"/>
      <c r="G35" s="8">
        <f t="shared" ref="G35:G66" si="9">E35*F35</f>
        <v>0</v>
      </c>
      <c r="H35" s="6">
        <v>2</v>
      </c>
      <c r="I35" s="7">
        <v>0</v>
      </c>
      <c r="J35" s="8">
        <f t="shared" ref="J35:J66" si="10">H35*I35</f>
        <v>0</v>
      </c>
      <c r="K35" s="6">
        <v>1</v>
      </c>
      <c r="L35" s="7">
        <v>1</v>
      </c>
      <c r="M35" s="8">
        <f t="shared" ref="M35:M66" si="11">K35*L35</f>
        <v>1</v>
      </c>
      <c r="N35" s="6">
        <v>2</v>
      </c>
      <c r="O35" s="7">
        <v>1</v>
      </c>
      <c r="P35" s="8">
        <f t="shared" ref="P35:P66" si="12">N35*O35</f>
        <v>2</v>
      </c>
      <c r="Q35" s="1"/>
      <c r="R35" s="6">
        <f t="shared" ref="R35:R51" si="13">B35+E35+H35+K35+N35</f>
        <v>5</v>
      </c>
      <c r="S35" s="9">
        <f t="shared" ref="S35:S66" si="14">(D35+G35+J35+M35+P35)/R35</f>
        <v>0.6</v>
      </c>
      <c r="T35" s="9">
        <f t="shared" ref="T35:T51" si="15">R35/$V$3</f>
        <v>9.433962264150943E-3</v>
      </c>
      <c r="U35" s="9">
        <f>R35 / _xlfn.XLOOKUP(A35, Top!A:A, Top!AA:AA)</f>
        <v>0.10204081632653061</v>
      </c>
      <c r="V35" s="1"/>
      <c r="W35" s="1"/>
    </row>
    <row r="36" spans="1:23" x14ac:dyDescent="0.25">
      <c r="A36" s="1" t="s">
        <v>15</v>
      </c>
      <c r="B36" s="6">
        <v>2</v>
      </c>
      <c r="C36" s="7">
        <v>0.5</v>
      </c>
      <c r="D36" s="8">
        <f t="shared" si="8"/>
        <v>1</v>
      </c>
      <c r="E36" s="6"/>
      <c r="F36" s="7"/>
      <c r="G36" s="8">
        <f t="shared" si="9"/>
        <v>0</v>
      </c>
      <c r="H36" s="6">
        <v>4</v>
      </c>
      <c r="I36" s="7">
        <v>0.75</v>
      </c>
      <c r="J36" s="8">
        <f t="shared" si="10"/>
        <v>3</v>
      </c>
      <c r="K36" s="6">
        <v>1</v>
      </c>
      <c r="L36" s="7">
        <v>0</v>
      </c>
      <c r="M36" s="8">
        <f t="shared" si="11"/>
        <v>0</v>
      </c>
      <c r="N36" s="6"/>
      <c r="O36" s="7"/>
      <c r="P36" s="8">
        <f t="shared" si="12"/>
        <v>0</v>
      </c>
      <c r="Q36" s="1"/>
      <c r="R36" s="6">
        <f t="shared" si="13"/>
        <v>7</v>
      </c>
      <c r="S36" s="9">
        <f t="shared" si="14"/>
        <v>0.5714285714285714</v>
      </c>
      <c r="T36" s="9">
        <f t="shared" si="15"/>
        <v>1.3207547169811321E-2</v>
      </c>
      <c r="U36" s="9">
        <f>R36 / _xlfn.XLOOKUP(A36, Top!A:A, Top!AA:AA)</f>
        <v>5.7851239669421489E-2</v>
      </c>
      <c r="V36" s="1"/>
      <c r="W36" s="1"/>
    </row>
    <row r="37" spans="1:23" x14ac:dyDescent="0.25">
      <c r="A37" s="1" t="s">
        <v>31</v>
      </c>
      <c r="B37" s="6"/>
      <c r="C37" s="7"/>
      <c r="D37" s="8">
        <f t="shared" si="8"/>
        <v>0</v>
      </c>
      <c r="E37" s="6">
        <v>1</v>
      </c>
      <c r="F37" s="7">
        <v>1</v>
      </c>
      <c r="G37" s="8">
        <f t="shared" si="9"/>
        <v>1</v>
      </c>
      <c r="H37" s="6">
        <v>2</v>
      </c>
      <c r="I37" s="7">
        <v>0.5</v>
      </c>
      <c r="J37" s="8">
        <f t="shared" si="10"/>
        <v>1</v>
      </c>
      <c r="K37" s="6">
        <v>4</v>
      </c>
      <c r="L37" s="7">
        <v>0.5</v>
      </c>
      <c r="M37" s="8">
        <f t="shared" si="11"/>
        <v>2</v>
      </c>
      <c r="N37" s="6"/>
      <c r="O37" s="7"/>
      <c r="P37" s="8">
        <f t="shared" si="12"/>
        <v>0</v>
      </c>
      <c r="Q37" s="1"/>
      <c r="R37" s="6">
        <f t="shared" si="13"/>
        <v>7</v>
      </c>
      <c r="S37" s="9">
        <f t="shared" si="14"/>
        <v>0.5714285714285714</v>
      </c>
      <c r="T37" s="9">
        <f t="shared" si="15"/>
        <v>1.3207547169811321E-2</v>
      </c>
      <c r="U37" s="9">
        <f>R37 / _xlfn.XLOOKUP(A37, Top!A:A, Top!AA:AA)</f>
        <v>0.11666666666666667</v>
      </c>
      <c r="V37" s="1"/>
      <c r="W37" s="1"/>
    </row>
    <row r="38" spans="1:23" x14ac:dyDescent="0.25">
      <c r="A38" s="1" t="s">
        <v>28</v>
      </c>
      <c r="B38" s="6">
        <v>7</v>
      </c>
      <c r="C38" s="7">
        <v>0.57099999999999995</v>
      </c>
      <c r="D38" s="8">
        <f t="shared" si="8"/>
        <v>3.9969999999999999</v>
      </c>
      <c r="E38" s="6"/>
      <c r="F38" s="7"/>
      <c r="G38" s="8">
        <f t="shared" si="9"/>
        <v>0</v>
      </c>
      <c r="H38" s="6"/>
      <c r="I38" s="7"/>
      <c r="J38" s="8">
        <f t="shared" si="10"/>
        <v>0</v>
      </c>
      <c r="K38" s="6"/>
      <c r="L38" s="7"/>
      <c r="M38" s="8">
        <f t="shared" si="11"/>
        <v>0</v>
      </c>
      <c r="N38" s="6"/>
      <c r="O38" s="7"/>
      <c r="P38" s="8">
        <f t="shared" si="12"/>
        <v>0</v>
      </c>
      <c r="Q38" s="1"/>
      <c r="R38" s="6">
        <f t="shared" si="13"/>
        <v>7</v>
      </c>
      <c r="S38" s="9">
        <f t="shared" si="14"/>
        <v>0.57099999999999995</v>
      </c>
      <c r="T38" s="9">
        <f t="shared" si="15"/>
        <v>1.3207547169811321E-2</v>
      </c>
      <c r="U38" s="9">
        <f>R38 / _xlfn.XLOOKUP(A38, Top!A:A, Top!AA:AA)</f>
        <v>0.14285714285714285</v>
      </c>
      <c r="V38" s="1"/>
      <c r="W38" s="1"/>
    </row>
    <row r="39" spans="1:23" x14ac:dyDescent="0.25">
      <c r="A39" s="25" t="s">
        <v>210</v>
      </c>
      <c r="B39" s="6"/>
      <c r="C39" s="7"/>
      <c r="D39" s="8">
        <f t="shared" si="8"/>
        <v>0</v>
      </c>
      <c r="E39" s="6"/>
      <c r="F39" s="7"/>
      <c r="G39" s="8">
        <f t="shared" si="9"/>
        <v>0</v>
      </c>
      <c r="H39" s="6"/>
      <c r="I39" s="7"/>
      <c r="J39" s="8">
        <f t="shared" si="10"/>
        <v>0</v>
      </c>
      <c r="K39" s="6">
        <v>7</v>
      </c>
      <c r="L39" s="7">
        <v>0.57099999999999995</v>
      </c>
      <c r="M39" s="8">
        <f t="shared" si="11"/>
        <v>3.9969999999999999</v>
      </c>
      <c r="N39" s="6"/>
      <c r="O39" s="7"/>
      <c r="P39" s="8">
        <f t="shared" si="12"/>
        <v>0</v>
      </c>
      <c r="Q39" s="1"/>
      <c r="R39" s="6">
        <f t="shared" si="13"/>
        <v>7</v>
      </c>
      <c r="S39" s="9">
        <f t="shared" si="14"/>
        <v>0.57099999999999995</v>
      </c>
      <c r="T39" s="9">
        <f t="shared" si="15"/>
        <v>1.3207547169811321E-2</v>
      </c>
      <c r="U39" s="9">
        <f>R39 / _xlfn.XLOOKUP(A39, Top!A:A, Top!AA:AA)</f>
        <v>0.109375</v>
      </c>
    </row>
    <row r="40" spans="1:23" x14ac:dyDescent="0.25">
      <c r="A40" s="1" t="s">
        <v>17</v>
      </c>
      <c r="B40" s="6"/>
      <c r="C40" s="7"/>
      <c r="D40" s="8">
        <f t="shared" si="8"/>
        <v>0</v>
      </c>
      <c r="E40" s="6">
        <v>5</v>
      </c>
      <c r="F40" s="7">
        <v>0.4</v>
      </c>
      <c r="G40" s="8">
        <f t="shared" si="9"/>
        <v>2</v>
      </c>
      <c r="H40" s="6"/>
      <c r="I40" s="7"/>
      <c r="J40" s="8">
        <f t="shared" si="10"/>
        <v>0</v>
      </c>
      <c r="K40" s="6">
        <v>13</v>
      </c>
      <c r="L40" s="7">
        <v>0.53800000000000003</v>
      </c>
      <c r="M40" s="8">
        <f t="shared" si="11"/>
        <v>6.9940000000000007</v>
      </c>
      <c r="N40" s="6">
        <v>1</v>
      </c>
      <c r="O40" s="7">
        <v>1</v>
      </c>
      <c r="P40" s="8">
        <f t="shared" si="12"/>
        <v>1</v>
      </c>
      <c r="Q40" s="1"/>
      <c r="R40" s="6">
        <f t="shared" si="13"/>
        <v>19</v>
      </c>
      <c r="S40" s="9">
        <f t="shared" si="14"/>
        <v>0.52600000000000002</v>
      </c>
      <c r="T40" s="9">
        <f t="shared" si="15"/>
        <v>3.5849056603773584E-2</v>
      </c>
      <c r="U40" s="9">
        <f>R40 / _xlfn.XLOOKUP(A40, Top!A:A, Top!AA:AA)</f>
        <v>8.085106382978724E-2</v>
      </c>
    </row>
    <row r="41" spans="1:23" x14ac:dyDescent="0.25">
      <c r="A41" s="1" t="s">
        <v>14</v>
      </c>
      <c r="B41" s="6">
        <v>6</v>
      </c>
      <c r="C41" s="7">
        <v>0.16700000000000001</v>
      </c>
      <c r="D41" s="8">
        <f t="shared" si="8"/>
        <v>1.002</v>
      </c>
      <c r="E41" s="6">
        <v>4</v>
      </c>
      <c r="F41" s="7">
        <v>0.5</v>
      </c>
      <c r="G41" s="8">
        <f t="shared" si="9"/>
        <v>2</v>
      </c>
      <c r="H41" s="6">
        <v>1</v>
      </c>
      <c r="I41" s="7">
        <v>1</v>
      </c>
      <c r="J41" s="8">
        <f t="shared" si="10"/>
        <v>1</v>
      </c>
      <c r="K41" s="6">
        <v>9</v>
      </c>
      <c r="L41" s="7">
        <v>0.66700000000000004</v>
      </c>
      <c r="M41" s="8">
        <f t="shared" si="11"/>
        <v>6.0030000000000001</v>
      </c>
      <c r="N41" s="6">
        <v>1</v>
      </c>
      <c r="O41" s="7">
        <v>1</v>
      </c>
      <c r="P41" s="8">
        <f t="shared" si="12"/>
        <v>1</v>
      </c>
      <c r="Q41" s="1"/>
      <c r="R41" s="6">
        <f t="shared" si="13"/>
        <v>21</v>
      </c>
      <c r="S41" s="9">
        <f t="shared" si="14"/>
        <v>0.52404761904761898</v>
      </c>
      <c r="T41" s="9">
        <f t="shared" si="15"/>
        <v>3.962264150943396E-2</v>
      </c>
      <c r="U41" s="9">
        <f>R41 / _xlfn.XLOOKUP(A41, Top!A:A, Top!AA:AA)</f>
        <v>9.8130841121495324E-2</v>
      </c>
    </row>
    <row r="42" spans="1:23" x14ac:dyDescent="0.25">
      <c r="A42" s="1" t="s">
        <v>37</v>
      </c>
      <c r="B42" s="6"/>
      <c r="C42" s="7"/>
      <c r="D42" s="8">
        <f t="shared" si="8"/>
        <v>0</v>
      </c>
      <c r="E42" s="6"/>
      <c r="F42" s="7"/>
      <c r="G42" s="8">
        <f t="shared" si="9"/>
        <v>0</v>
      </c>
      <c r="H42" s="6">
        <v>1</v>
      </c>
      <c r="I42" s="7">
        <v>1</v>
      </c>
      <c r="J42" s="8">
        <f t="shared" si="10"/>
        <v>1</v>
      </c>
      <c r="K42" s="6">
        <v>1</v>
      </c>
      <c r="L42" s="7">
        <v>0</v>
      </c>
      <c r="M42" s="8">
        <f t="shared" si="11"/>
        <v>0</v>
      </c>
      <c r="N42" s="6"/>
      <c r="O42" s="7"/>
      <c r="P42" s="8">
        <f t="shared" si="12"/>
        <v>0</v>
      </c>
      <c r="Q42" s="1"/>
      <c r="R42" s="6">
        <f t="shared" si="13"/>
        <v>2</v>
      </c>
      <c r="S42" s="9">
        <f t="shared" si="14"/>
        <v>0.5</v>
      </c>
      <c r="T42" s="9">
        <f t="shared" si="15"/>
        <v>3.7735849056603774E-3</v>
      </c>
      <c r="U42" s="9">
        <f>R42 / _xlfn.XLOOKUP(A42, Top!A:A, Top!AA:AA)</f>
        <v>9.0909090909090912E-2</v>
      </c>
    </row>
    <row r="43" spans="1:23" x14ac:dyDescent="0.25">
      <c r="A43" s="1" t="s">
        <v>7</v>
      </c>
      <c r="B43" s="6">
        <v>17</v>
      </c>
      <c r="C43" s="7">
        <v>0.41199999999999998</v>
      </c>
      <c r="D43" s="8">
        <f t="shared" si="8"/>
        <v>7.0039999999999996</v>
      </c>
      <c r="E43" s="6">
        <v>4</v>
      </c>
      <c r="F43" s="7">
        <v>0.5</v>
      </c>
      <c r="G43" s="8">
        <f t="shared" si="9"/>
        <v>2</v>
      </c>
      <c r="H43" s="6">
        <v>1</v>
      </c>
      <c r="I43" s="7">
        <v>1</v>
      </c>
      <c r="J43" s="8">
        <f t="shared" si="10"/>
        <v>1</v>
      </c>
      <c r="K43" s="6">
        <v>3</v>
      </c>
      <c r="L43" s="7">
        <v>0.66700000000000004</v>
      </c>
      <c r="M43" s="8">
        <f t="shared" si="11"/>
        <v>2.0010000000000003</v>
      </c>
      <c r="N43" s="6">
        <v>2</v>
      </c>
      <c r="O43" s="7">
        <v>0.5</v>
      </c>
      <c r="P43" s="8">
        <f t="shared" si="12"/>
        <v>1</v>
      </c>
      <c r="Q43" s="1"/>
      <c r="R43" s="6">
        <f t="shared" si="13"/>
        <v>27</v>
      </c>
      <c r="S43" s="9">
        <f t="shared" si="14"/>
        <v>0.48166666666666663</v>
      </c>
      <c r="T43" s="9">
        <f t="shared" si="15"/>
        <v>5.0943396226415097E-2</v>
      </c>
      <c r="U43" s="9">
        <f>R43 / _xlfn.XLOOKUP(A43, Top!A:A, Top!AA:AA)</f>
        <v>5.0847457627118647E-2</v>
      </c>
    </row>
    <row r="44" spans="1:23" x14ac:dyDescent="0.25">
      <c r="A44" s="1" t="s">
        <v>10</v>
      </c>
      <c r="B44" s="6">
        <v>11</v>
      </c>
      <c r="C44" s="7">
        <v>0.36399999999999999</v>
      </c>
      <c r="D44" s="8">
        <f t="shared" si="8"/>
        <v>4.0039999999999996</v>
      </c>
      <c r="E44" s="6">
        <v>4</v>
      </c>
      <c r="F44" s="7">
        <v>0.75</v>
      </c>
      <c r="G44" s="8">
        <f t="shared" si="9"/>
        <v>3</v>
      </c>
      <c r="H44" s="6"/>
      <c r="I44" s="7"/>
      <c r="J44" s="8">
        <f t="shared" si="10"/>
        <v>0</v>
      </c>
      <c r="K44" s="6"/>
      <c r="L44" s="7"/>
      <c r="M44" s="8">
        <f t="shared" si="11"/>
        <v>0</v>
      </c>
      <c r="N44" s="6"/>
      <c r="O44" s="7"/>
      <c r="P44" s="8">
        <f t="shared" si="12"/>
        <v>0</v>
      </c>
      <c r="Q44" s="1"/>
      <c r="R44" s="6">
        <f t="shared" si="13"/>
        <v>15</v>
      </c>
      <c r="S44" s="9">
        <f t="shared" si="14"/>
        <v>0.46693333333333331</v>
      </c>
      <c r="T44" s="9">
        <f t="shared" si="15"/>
        <v>2.8301886792452831E-2</v>
      </c>
      <c r="U44" s="9">
        <f>R44 / _xlfn.XLOOKUP(A44, Top!A:A, Top!AA:AA)</f>
        <v>6.9444444444444448E-2</v>
      </c>
    </row>
    <row r="45" spans="1:23" x14ac:dyDescent="0.25">
      <c r="A45" s="1" t="s">
        <v>27</v>
      </c>
      <c r="B45" s="6">
        <v>5</v>
      </c>
      <c r="C45" s="7">
        <v>0.4</v>
      </c>
      <c r="D45" s="8">
        <f t="shared" si="8"/>
        <v>2</v>
      </c>
      <c r="E45" s="6"/>
      <c r="F45" s="7"/>
      <c r="G45" s="8">
        <f t="shared" si="9"/>
        <v>0</v>
      </c>
      <c r="H45" s="6">
        <v>1</v>
      </c>
      <c r="I45" s="7">
        <v>0</v>
      </c>
      <c r="J45" s="8">
        <f t="shared" si="10"/>
        <v>0</v>
      </c>
      <c r="K45" s="6"/>
      <c r="L45" s="7"/>
      <c r="M45" s="8">
        <f t="shared" si="11"/>
        <v>0</v>
      </c>
      <c r="N45" s="6"/>
      <c r="O45" s="7"/>
      <c r="P45" s="8">
        <f t="shared" si="12"/>
        <v>0</v>
      </c>
      <c r="Q45" s="1"/>
      <c r="R45" s="6">
        <f t="shared" si="13"/>
        <v>6</v>
      </c>
      <c r="S45" s="9">
        <f t="shared" si="14"/>
        <v>0.33333333333333331</v>
      </c>
      <c r="T45" s="9">
        <f t="shared" si="15"/>
        <v>1.1320754716981131E-2</v>
      </c>
      <c r="U45" s="9">
        <f>R45 / _xlfn.XLOOKUP(A45, Top!A:A, Top!AA:AA)</f>
        <v>0.13333333333333333</v>
      </c>
    </row>
    <row r="46" spans="1:23" x14ac:dyDescent="0.25">
      <c r="A46" s="1" t="s">
        <v>47</v>
      </c>
      <c r="B46" s="6">
        <v>1</v>
      </c>
      <c r="C46" s="7">
        <v>0</v>
      </c>
      <c r="D46" s="8">
        <f t="shared" si="8"/>
        <v>0</v>
      </c>
      <c r="E46" s="6">
        <v>2</v>
      </c>
      <c r="F46" s="7">
        <v>0.5</v>
      </c>
      <c r="G46" s="8">
        <f t="shared" si="9"/>
        <v>1</v>
      </c>
      <c r="H46" s="6">
        <v>2</v>
      </c>
      <c r="I46" s="7">
        <v>0</v>
      </c>
      <c r="J46" s="8">
        <f t="shared" si="10"/>
        <v>0</v>
      </c>
      <c r="K46" s="6">
        <v>1</v>
      </c>
      <c r="L46" s="7">
        <v>0</v>
      </c>
      <c r="M46" s="8">
        <f t="shared" si="11"/>
        <v>0</v>
      </c>
      <c r="N46" s="6"/>
      <c r="O46" s="7"/>
      <c r="P46" s="8">
        <f t="shared" si="12"/>
        <v>0</v>
      </c>
      <c r="Q46" s="1"/>
      <c r="R46" s="6">
        <f t="shared" si="13"/>
        <v>6</v>
      </c>
      <c r="S46" s="9">
        <f t="shared" si="14"/>
        <v>0.16666666666666666</v>
      </c>
      <c r="T46" s="9">
        <f t="shared" si="15"/>
        <v>1.1320754716981131E-2</v>
      </c>
      <c r="U46" s="9">
        <f>R46 / _xlfn.XLOOKUP(A46, Top!A:A, Top!AA:AA)</f>
        <v>0.25</v>
      </c>
    </row>
    <row r="47" spans="1:23" x14ac:dyDescent="0.25">
      <c r="A47" s="1" t="s">
        <v>43</v>
      </c>
      <c r="B47" s="6">
        <v>2</v>
      </c>
      <c r="C47" s="7">
        <v>0</v>
      </c>
      <c r="D47" s="8">
        <f t="shared" si="8"/>
        <v>0</v>
      </c>
      <c r="E47" s="6">
        <v>1</v>
      </c>
      <c r="F47" s="7">
        <v>0</v>
      </c>
      <c r="G47" s="8">
        <f t="shared" si="9"/>
        <v>0</v>
      </c>
      <c r="H47" s="6"/>
      <c r="I47" s="7"/>
      <c r="J47" s="8">
        <f t="shared" si="10"/>
        <v>0</v>
      </c>
      <c r="K47" s="6"/>
      <c r="L47" s="7"/>
      <c r="M47" s="8">
        <f t="shared" si="11"/>
        <v>0</v>
      </c>
      <c r="N47" s="6"/>
      <c r="O47" s="7"/>
      <c r="P47" s="8">
        <f t="shared" si="12"/>
        <v>0</v>
      </c>
      <c r="Q47" s="1"/>
      <c r="R47" s="6">
        <f t="shared" si="13"/>
        <v>3</v>
      </c>
      <c r="S47" s="9">
        <f t="shared" si="14"/>
        <v>0</v>
      </c>
      <c r="T47" s="9">
        <f t="shared" si="15"/>
        <v>5.6603773584905656E-3</v>
      </c>
      <c r="U47" s="9">
        <f>R47 / _xlfn.XLOOKUP(A47, Top!A:A, Top!AA:AA)</f>
        <v>0.3</v>
      </c>
    </row>
    <row r="48" spans="1:23" x14ac:dyDescent="0.25">
      <c r="A48" s="1" t="s">
        <v>26</v>
      </c>
      <c r="B48" s="6">
        <v>3</v>
      </c>
      <c r="C48" s="7">
        <v>0</v>
      </c>
      <c r="D48" s="8">
        <f t="shared" si="8"/>
        <v>0</v>
      </c>
      <c r="E48" s="6"/>
      <c r="F48" s="7"/>
      <c r="G48" s="8">
        <f t="shared" si="9"/>
        <v>0</v>
      </c>
      <c r="H48" s="6"/>
      <c r="I48" s="7"/>
      <c r="J48" s="8">
        <f t="shared" si="10"/>
        <v>0</v>
      </c>
      <c r="K48" s="6"/>
      <c r="L48" s="7"/>
      <c r="M48" s="8">
        <f t="shared" si="11"/>
        <v>0</v>
      </c>
      <c r="N48" s="6"/>
      <c r="O48" s="7"/>
      <c r="P48" s="8">
        <f t="shared" si="12"/>
        <v>0</v>
      </c>
      <c r="Q48" s="1"/>
      <c r="R48" s="6">
        <f t="shared" si="13"/>
        <v>3</v>
      </c>
      <c r="S48" s="9">
        <f t="shared" si="14"/>
        <v>0</v>
      </c>
      <c r="T48" s="9">
        <f t="shared" si="15"/>
        <v>5.6603773584905656E-3</v>
      </c>
      <c r="U48" s="9">
        <f>R48 / _xlfn.XLOOKUP(A48, Top!A:A, Top!AA:AA)</f>
        <v>4.0540540540540543E-2</v>
      </c>
    </row>
    <row r="49" spans="1:21" x14ac:dyDescent="0.25">
      <c r="A49" s="1" t="s">
        <v>42</v>
      </c>
      <c r="B49" s="6">
        <v>1</v>
      </c>
      <c r="C49" s="7">
        <v>0</v>
      </c>
      <c r="D49" s="8">
        <f t="shared" si="8"/>
        <v>0</v>
      </c>
      <c r="E49" s="6"/>
      <c r="F49" s="7"/>
      <c r="G49" s="8">
        <f t="shared" si="9"/>
        <v>0</v>
      </c>
      <c r="H49" s="6"/>
      <c r="I49" s="7"/>
      <c r="J49" s="8">
        <f t="shared" si="10"/>
        <v>0</v>
      </c>
      <c r="K49" s="6"/>
      <c r="L49" s="7"/>
      <c r="M49" s="8">
        <f t="shared" si="11"/>
        <v>0</v>
      </c>
      <c r="N49" s="6"/>
      <c r="O49" s="7"/>
      <c r="P49" s="8">
        <f t="shared" si="12"/>
        <v>0</v>
      </c>
      <c r="Q49" s="1"/>
      <c r="R49" s="6">
        <f t="shared" si="13"/>
        <v>1</v>
      </c>
      <c r="S49" s="9">
        <f t="shared" si="14"/>
        <v>0</v>
      </c>
      <c r="T49" s="9">
        <f t="shared" si="15"/>
        <v>1.8867924528301887E-3</v>
      </c>
      <c r="U49" s="9">
        <f>R49 / _xlfn.XLOOKUP(A49, Top!A:A, Top!AA:AA)</f>
        <v>0.2</v>
      </c>
    </row>
    <row r="50" spans="1:21" x14ac:dyDescent="0.25">
      <c r="A50" s="1" t="s">
        <v>24</v>
      </c>
      <c r="B50" s="6">
        <v>1</v>
      </c>
      <c r="C50" s="7">
        <v>0</v>
      </c>
      <c r="D50" s="8">
        <f t="shared" si="8"/>
        <v>0</v>
      </c>
      <c r="E50" s="6"/>
      <c r="F50" s="7"/>
      <c r="G50" s="8">
        <f t="shared" si="9"/>
        <v>0</v>
      </c>
      <c r="H50" s="6"/>
      <c r="I50" s="7"/>
      <c r="J50" s="8">
        <f t="shared" si="10"/>
        <v>0</v>
      </c>
      <c r="K50" s="6"/>
      <c r="L50" s="7"/>
      <c r="M50" s="8">
        <f t="shared" si="11"/>
        <v>0</v>
      </c>
      <c r="N50" s="6"/>
      <c r="O50" s="7"/>
      <c r="P50" s="8">
        <f t="shared" si="12"/>
        <v>0</v>
      </c>
      <c r="Q50" s="1"/>
      <c r="R50" s="6">
        <f t="shared" si="13"/>
        <v>1</v>
      </c>
      <c r="S50" s="9">
        <f t="shared" si="14"/>
        <v>0</v>
      </c>
      <c r="T50" s="9">
        <f t="shared" si="15"/>
        <v>1.8867924528301887E-3</v>
      </c>
      <c r="U50" s="9">
        <f>R50 / _xlfn.XLOOKUP(A50, Top!A:A, Top!AA:AA)</f>
        <v>5.5555555555555552E-2</v>
      </c>
    </row>
    <row r="51" spans="1:21" x14ac:dyDescent="0.25">
      <c r="A51" s="1" t="s">
        <v>32</v>
      </c>
      <c r="B51" s="6">
        <v>1</v>
      </c>
      <c r="C51" s="7">
        <v>0</v>
      </c>
      <c r="D51" s="8">
        <f t="shared" si="8"/>
        <v>0</v>
      </c>
      <c r="E51" s="6"/>
      <c r="F51" s="7"/>
      <c r="G51" s="8">
        <f t="shared" si="9"/>
        <v>0</v>
      </c>
      <c r="H51" s="6"/>
      <c r="I51" s="7"/>
      <c r="J51" s="8">
        <f t="shared" si="10"/>
        <v>0</v>
      </c>
      <c r="K51" s="6"/>
      <c r="L51" s="7"/>
      <c r="M51" s="8">
        <f t="shared" si="11"/>
        <v>0</v>
      </c>
      <c r="N51" s="6"/>
      <c r="O51" s="7"/>
      <c r="P51" s="8">
        <f t="shared" si="12"/>
        <v>0</v>
      </c>
      <c r="Q51" s="1"/>
      <c r="R51" s="6">
        <f t="shared" si="13"/>
        <v>1</v>
      </c>
      <c r="S51" s="9">
        <f t="shared" si="14"/>
        <v>0</v>
      </c>
      <c r="T51" s="9">
        <f t="shared" si="15"/>
        <v>1.8867924528301887E-3</v>
      </c>
      <c r="U51" s="9">
        <f>R51 / _xlfn.XLOOKUP(A51, Top!A:A, Top!AA:AA)</f>
        <v>9.0909090909090912E-2</v>
      </c>
    </row>
    <row r="52" spans="1:21" x14ac:dyDescent="0.25">
      <c r="B52" s="6"/>
      <c r="C52" s="7"/>
      <c r="D52" s="8">
        <f t="shared" ref="D52:D55" si="16">B52*C52</f>
        <v>0</v>
      </c>
      <c r="E52" s="6"/>
      <c r="F52" s="7"/>
      <c r="G52" s="8">
        <f t="shared" ref="G52:G55" si="17">E52*F52</f>
        <v>0</v>
      </c>
      <c r="H52" s="6"/>
      <c r="I52" s="7"/>
      <c r="J52" s="8">
        <f t="shared" ref="J52:J55" si="18">H52*I52</f>
        <v>0</v>
      </c>
      <c r="K52" s="6"/>
      <c r="L52" s="7"/>
      <c r="M52" s="8">
        <f t="shared" ref="M52:M55" si="19">K52*L52</f>
        <v>0</v>
      </c>
      <c r="N52" s="6"/>
      <c r="O52" s="7"/>
      <c r="P52" s="8">
        <f t="shared" ref="P52:P55" si="20">N52*O52</f>
        <v>0</v>
      </c>
      <c r="Q52" s="1"/>
      <c r="R52" s="6">
        <f t="shared" ref="R52:R55" si="21">B52+E52+H52+K52+N52</f>
        <v>0</v>
      </c>
      <c r="S52" s="9" t="e">
        <f t="shared" ref="S52:S55" si="22">(D52+G52+J52+M52+P52)/R52</f>
        <v>#DIV/0!</v>
      </c>
      <c r="T52" s="9">
        <f t="shared" ref="T52:T55" si="23">R52/$V$3</f>
        <v>0</v>
      </c>
      <c r="U52" s="9" t="e">
        <f>R52 / _xlfn.XLOOKUP(A52, Top!A:A, Top!AA:AA)</f>
        <v>#DIV/0!</v>
      </c>
    </row>
    <row r="53" spans="1:21" x14ac:dyDescent="0.25">
      <c r="B53" s="6"/>
      <c r="C53" s="7"/>
      <c r="D53" s="8">
        <f t="shared" si="16"/>
        <v>0</v>
      </c>
      <c r="E53" s="6"/>
      <c r="F53" s="7"/>
      <c r="G53" s="8">
        <f t="shared" si="17"/>
        <v>0</v>
      </c>
      <c r="H53" s="6"/>
      <c r="I53" s="7"/>
      <c r="J53" s="8">
        <f t="shared" si="18"/>
        <v>0</v>
      </c>
      <c r="K53" s="6"/>
      <c r="L53" s="7"/>
      <c r="M53" s="8">
        <f t="shared" si="19"/>
        <v>0</v>
      </c>
      <c r="N53" s="6"/>
      <c r="O53" s="7"/>
      <c r="P53" s="8">
        <f t="shared" si="20"/>
        <v>0</v>
      </c>
      <c r="Q53" s="1"/>
      <c r="R53" s="6">
        <f t="shared" si="21"/>
        <v>0</v>
      </c>
      <c r="S53" s="9" t="e">
        <f t="shared" si="22"/>
        <v>#DIV/0!</v>
      </c>
      <c r="T53" s="9">
        <f t="shared" si="23"/>
        <v>0</v>
      </c>
      <c r="U53" s="9" t="e">
        <f>R53 / _xlfn.XLOOKUP(A53, Top!A:A, Top!AA:AA)</f>
        <v>#DIV/0!</v>
      </c>
    </row>
    <row r="54" spans="1:21" x14ac:dyDescent="0.25">
      <c r="B54" s="6"/>
      <c r="C54" s="7"/>
      <c r="D54" s="8">
        <f t="shared" si="16"/>
        <v>0</v>
      </c>
      <c r="E54" s="6"/>
      <c r="F54" s="7"/>
      <c r="G54" s="8">
        <f t="shared" si="17"/>
        <v>0</v>
      </c>
      <c r="H54" s="6"/>
      <c r="I54" s="7"/>
      <c r="J54" s="8">
        <f t="shared" si="18"/>
        <v>0</v>
      </c>
      <c r="K54" s="6"/>
      <c r="L54" s="7"/>
      <c r="M54" s="8">
        <f t="shared" si="19"/>
        <v>0</v>
      </c>
      <c r="N54" s="6"/>
      <c r="O54" s="7"/>
      <c r="P54" s="8">
        <f t="shared" si="20"/>
        <v>0</v>
      </c>
      <c r="Q54" s="1"/>
      <c r="R54" s="6">
        <f t="shared" si="21"/>
        <v>0</v>
      </c>
      <c r="S54" s="9" t="e">
        <f t="shared" si="22"/>
        <v>#DIV/0!</v>
      </c>
      <c r="T54" s="9">
        <f t="shared" si="23"/>
        <v>0</v>
      </c>
      <c r="U54" s="9" t="e">
        <f>R54 / _xlfn.XLOOKUP(A54, Top!A:A, Top!AA:AA)</f>
        <v>#DIV/0!</v>
      </c>
    </row>
    <row r="55" spans="1:21" x14ac:dyDescent="0.25">
      <c r="B55" s="6"/>
      <c r="C55" s="7"/>
      <c r="D55" s="8">
        <f t="shared" si="16"/>
        <v>0</v>
      </c>
      <c r="E55" s="6"/>
      <c r="F55" s="7"/>
      <c r="G55" s="8">
        <f t="shared" si="17"/>
        <v>0</v>
      </c>
      <c r="H55" s="6"/>
      <c r="I55" s="7"/>
      <c r="J55" s="8">
        <f t="shared" si="18"/>
        <v>0</v>
      </c>
      <c r="K55" s="6"/>
      <c r="L55" s="7"/>
      <c r="M55" s="8">
        <f t="shared" si="19"/>
        <v>0</v>
      </c>
      <c r="N55" s="6"/>
      <c r="O55" s="7"/>
      <c r="P55" s="8">
        <f t="shared" si="20"/>
        <v>0</v>
      </c>
      <c r="Q55" s="1"/>
      <c r="R55" s="6">
        <f t="shared" si="21"/>
        <v>0</v>
      </c>
      <c r="S55" s="9" t="e">
        <f t="shared" si="22"/>
        <v>#DIV/0!</v>
      </c>
      <c r="T55" s="9">
        <f t="shared" si="23"/>
        <v>0</v>
      </c>
      <c r="U55" s="9" t="e">
        <f>R55 / _xlfn.XLOOKUP(A55, Top!A:A, Top!AA:AA)</f>
        <v>#DIV/0!</v>
      </c>
    </row>
  </sheetData>
  <sortState xmlns:xlrd2="http://schemas.microsoft.com/office/spreadsheetml/2017/richdata2" ref="A3:U51">
    <sortCondition descending="1" ref="S3:S51"/>
  </sortState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98CCA-F8FB-47AC-BA57-D77B9B153F89}">
  <sheetPr codeName="Tabelle6">
    <tabColor theme="4" tint="0.59999389629810485"/>
  </sheetPr>
  <dimension ref="A1:W56"/>
  <sheetViews>
    <sheetView workbookViewId="0">
      <selection activeCell="A36" sqref="A36"/>
    </sheetView>
  </sheetViews>
  <sheetFormatPr baseColWidth="10" defaultRowHeight="15" x14ac:dyDescent="0.25"/>
  <sheetData>
    <row r="1" spans="1:23" ht="15.75" x14ac:dyDescent="0.25">
      <c r="A1" s="2" t="s">
        <v>56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31</v>
      </c>
      <c r="B3" s="6"/>
      <c r="C3" s="7"/>
      <c r="D3" s="8">
        <f t="shared" ref="D3:D47" si="0">B3*C3</f>
        <v>0</v>
      </c>
      <c r="E3" s="6">
        <v>2</v>
      </c>
      <c r="F3" s="7">
        <v>1</v>
      </c>
      <c r="G3" s="8">
        <f t="shared" ref="G3:G47" si="1">E3*F3</f>
        <v>2</v>
      </c>
      <c r="H3" s="6">
        <v>1</v>
      </c>
      <c r="I3" s="7">
        <v>1</v>
      </c>
      <c r="J3" s="8">
        <f t="shared" ref="J3:J47" si="2">H3*I3</f>
        <v>1</v>
      </c>
      <c r="K3" s="6"/>
      <c r="L3" s="7"/>
      <c r="M3" s="8">
        <f t="shared" ref="M3:M47" si="3">K3*L3</f>
        <v>0</v>
      </c>
      <c r="N3" s="6"/>
      <c r="O3" s="7"/>
      <c r="P3" s="8">
        <f t="shared" ref="P3:P47" si="4">N3*O3</f>
        <v>0</v>
      </c>
      <c r="Q3" s="1"/>
      <c r="R3" s="6">
        <f t="shared" ref="R3:R47" si="5">B3+E3+H3+K3+N3</f>
        <v>3</v>
      </c>
      <c r="S3" s="9">
        <f t="shared" ref="S3:S47" si="6">(D3+G3+J3+M3+P3)/R3</f>
        <v>1</v>
      </c>
      <c r="T3" s="9">
        <f t="shared" ref="T3:T47" si="7">R3/$V$3</f>
        <v>5.905511811023622E-3</v>
      </c>
      <c r="U3" s="9">
        <f>R3 / _xlfn.XLOOKUP(A3, Top!A:A, Top!AA:AA)</f>
        <v>0.05</v>
      </c>
      <c r="V3" s="11">
        <f>SUM(R3:R54)</f>
        <v>508</v>
      </c>
      <c r="W3" s="12">
        <f>(SUM(D3:D100)+SUM(G3:G100)+SUM(J3:J100)+SUM(M3:M100)+SUM(P3:P100)) / V3</f>
        <v>0.4940905511811024</v>
      </c>
    </row>
    <row r="4" spans="1:23" x14ac:dyDescent="0.25">
      <c r="A4" s="1" t="s">
        <v>38</v>
      </c>
      <c r="B4" s="6"/>
      <c r="C4" s="7"/>
      <c r="D4" s="8">
        <f t="shared" si="0"/>
        <v>0</v>
      </c>
      <c r="E4" s="6"/>
      <c r="F4" s="7"/>
      <c r="G4" s="8">
        <f t="shared" si="1"/>
        <v>0</v>
      </c>
      <c r="H4" s="6">
        <v>3</v>
      </c>
      <c r="I4" s="7">
        <v>1</v>
      </c>
      <c r="J4" s="8">
        <f t="shared" si="2"/>
        <v>3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3</v>
      </c>
      <c r="S4" s="9">
        <f t="shared" si="6"/>
        <v>1</v>
      </c>
      <c r="T4" s="9">
        <f t="shared" si="7"/>
        <v>5.905511811023622E-3</v>
      </c>
      <c r="U4" s="9">
        <f>R4 / _xlfn.XLOOKUP(A4, Top!A:A, Top!AA:AA)</f>
        <v>6.1224489795918366E-2</v>
      </c>
      <c r="V4" s="6"/>
      <c r="W4" s="9"/>
    </row>
    <row r="5" spans="1:23" x14ac:dyDescent="0.25">
      <c r="A5" s="1" t="s">
        <v>57</v>
      </c>
      <c r="B5" s="6">
        <v>1</v>
      </c>
      <c r="C5" s="7">
        <v>1</v>
      </c>
      <c r="D5" s="8">
        <f t="shared" si="0"/>
        <v>1</v>
      </c>
      <c r="E5" s="6"/>
      <c r="F5" s="7"/>
      <c r="G5" s="8">
        <f t="shared" si="1"/>
        <v>0</v>
      </c>
      <c r="H5" s="6">
        <v>1</v>
      </c>
      <c r="I5" s="7">
        <v>1</v>
      </c>
      <c r="J5" s="8">
        <f t="shared" si="2"/>
        <v>1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2</v>
      </c>
      <c r="S5" s="9">
        <f t="shared" si="6"/>
        <v>1</v>
      </c>
      <c r="T5" s="9">
        <f t="shared" si="7"/>
        <v>3.937007874015748E-3</v>
      </c>
      <c r="U5" s="9">
        <f>R5 / _xlfn.XLOOKUP(A5, Top!A:A, Top!AA:AA)</f>
        <v>0.16666666666666666</v>
      </c>
      <c r="W5" s="1"/>
    </row>
    <row r="6" spans="1:23" x14ac:dyDescent="0.25">
      <c r="A6" s="1" t="s">
        <v>59</v>
      </c>
      <c r="B6" s="6"/>
      <c r="C6" s="7"/>
      <c r="D6" s="8">
        <f t="shared" si="0"/>
        <v>0</v>
      </c>
      <c r="E6" s="6"/>
      <c r="F6" s="7"/>
      <c r="G6" s="8">
        <f t="shared" si="1"/>
        <v>0</v>
      </c>
      <c r="H6" s="6">
        <v>2</v>
      </c>
      <c r="I6" s="7">
        <v>1</v>
      </c>
      <c r="J6" s="8">
        <f t="shared" si="2"/>
        <v>2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4"/>
      <c r="R6" s="6">
        <f t="shared" si="5"/>
        <v>2</v>
      </c>
      <c r="S6" s="9">
        <f t="shared" si="6"/>
        <v>1</v>
      </c>
      <c r="T6" s="9">
        <f t="shared" si="7"/>
        <v>3.937007874015748E-3</v>
      </c>
      <c r="U6" s="9">
        <f>R6 / _xlfn.XLOOKUP(A6, Top!A:A, Top!AA:AA)</f>
        <v>0.5</v>
      </c>
      <c r="W6" s="1"/>
    </row>
    <row r="7" spans="1:23" x14ac:dyDescent="0.25">
      <c r="A7" s="25" t="s">
        <v>261</v>
      </c>
      <c r="B7" s="6"/>
      <c r="C7" s="7"/>
      <c r="D7" s="8">
        <f t="shared" si="0"/>
        <v>0</v>
      </c>
      <c r="E7" s="6"/>
      <c r="F7" s="7"/>
      <c r="G7" s="8">
        <f t="shared" si="1"/>
        <v>0</v>
      </c>
      <c r="H7" s="6"/>
      <c r="I7" s="7"/>
      <c r="J7" s="8">
        <f t="shared" si="2"/>
        <v>0</v>
      </c>
      <c r="K7" s="6"/>
      <c r="L7" s="7"/>
      <c r="M7" s="8">
        <f t="shared" si="3"/>
        <v>0</v>
      </c>
      <c r="N7" s="6">
        <v>2</v>
      </c>
      <c r="O7" s="7">
        <v>1</v>
      </c>
      <c r="P7" s="8">
        <f t="shared" si="4"/>
        <v>2</v>
      </c>
      <c r="Q7" s="1"/>
      <c r="R7" s="6">
        <f t="shared" si="5"/>
        <v>2</v>
      </c>
      <c r="S7" s="9">
        <f t="shared" si="6"/>
        <v>1</v>
      </c>
      <c r="T7" s="9">
        <f t="shared" si="7"/>
        <v>3.937007874015748E-3</v>
      </c>
      <c r="U7" s="9">
        <f>R7 / _xlfn.XLOOKUP(A7, Top!A:A, Top!AA:AA)</f>
        <v>0.14285714285714285</v>
      </c>
      <c r="V7" s="1"/>
      <c r="W7" s="1"/>
    </row>
    <row r="8" spans="1:23" x14ac:dyDescent="0.25">
      <c r="A8" s="1" t="s">
        <v>42</v>
      </c>
      <c r="B8" s="6">
        <v>1</v>
      </c>
      <c r="C8" s="7">
        <v>1</v>
      </c>
      <c r="D8" s="8">
        <f t="shared" si="0"/>
        <v>1</v>
      </c>
      <c r="E8" s="6"/>
      <c r="F8" s="7"/>
      <c r="G8" s="8">
        <f t="shared" si="1"/>
        <v>0</v>
      </c>
      <c r="H8" s="6"/>
      <c r="I8" s="7"/>
      <c r="J8" s="8">
        <f t="shared" si="2"/>
        <v>0</v>
      </c>
      <c r="K8" s="6"/>
      <c r="L8" s="7"/>
      <c r="M8" s="8">
        <f t="shared" si="3"/>
        <v>0</v>
      </c>
      <c r="N8" s="6"/>
      <c r="O8" s="7"/>
      <c r="P8" s="8">
        <f t="shared" si="4"/>
        <v>0</v>
      </c>
      <c r="Q8" s="1"/>
      <c r="R8" s="6">
        <f t="shared" si="5"/>
        <v>1</v>
      </c>
      <c r="S8" s="9">
        <f t="shared" si="6"/>
        <v>1</v>
      </c>
      <c r="T8" s="9">
        <f t="shared" si="7"/>
        <v>1.968503937007874E-3</v>
      </c>
      <c r="U8" s="9">
        <f>R8 / _xlfn.XLOOKUP(A8, Top!A:A, Top!AA:AA)</f>
        <v>0.2</v>
      </c>
      <c r="V8" s="1"/>
      <c r="W8" s="1"/>
    </row>
    <row r="9" spans="1:23" x14ac:dyDescent="0.25">
      <c r="A9" s="1" t="s">
        <v>43</v>
      </c>
      <c r="B9" s="6">
        <v>1</v>
      </c>
      <c r="C9" s="7">
        <v>1</v>
      </c>
      <c r="D9" s="8">
        <f t="shared" si="0"/>
        <v>1</v>
      </c>
      <c r="E9" s="6"/>
      <c r="F9" s="7"/>
      <c r="G9" s="8">
        <f t="shared" si="1"/>
        <v>0</v>
      </c>
      <c r="H9" s="6"/>
      <c r="I9" s="7"/>
      <c r="J9" s="8">
        <f t="shared" si="2"/>
        <v>0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1"/>
      <c r="R9" s="6">
        <f t="shared" si="5"/>
        <v>1</v>
      </c>
      <c r="S9" s="9">
        <f t="shared" si="6"/>
        <v>1</v>
      </c>
      <c r="T9" s="9">
        <f t="shared" si="7"/>
        <v>1.968503937007874E-3</v>
      </c>
      <c r="U9" s="9">
        <f>R9 / _xlfn.XLOOKUP(A9, Top!A:A, Top!AA:AA)</f>
        <v>0.1</v>
      </c>
      <c r="V9" s="1"/>
      <c r="W9" s="1"/>
    </row>
    <row r="10" spans="1:23" x14ac:dyDescent="0.25">
      <c r="A10" s="1" t="s">
        <v>12</v>
      </c>
      <c r="B10" s="6"/>
      <c r="C10" s="7"/>
      <c r="D10" s="8">
        <f t="shared" si="0"/>
        <v>0</v>
      </c>
      <c r="E10" s="6"/>
      <c r="F10" s="7"/>
      <c r="G10" s="8">
        <f t="shared" si="1"/>
        <v>0</v>
      </c>
      <c r="H10" s="6">
        <v>1</v>
      </c>
      <c r="I10" s="7">
        <v>1</v>
      </c>
      <c r="J10" s="8">
        <f t="shared" si="2"/>
        <v>1</v>
      </c>
      <c r="K10" s="6"/>
      <c r="L10" s="7"/>
      <c r="M10" s="8">
        <f t="shared" si="3"/>
        <v>0</v>
      </c>
      <c r="N10" s="6"/>
      <c r="O10" s="7"/>
      <c r="P10" s="8">
        <f t="shared" si="4"/>
        <v>0</v>
      </c>
      <c r="Q10" s="1"/>
      <c r="R10" s="6">
        <f t="shared" si="5"/>
        <v>1</v>
      </c>
      <c r="S10" s="9">
        <f t="shared" si="6"/>
        <v>1</v>
      </c>
      <c r="T10" s="9">
        <f t="shared" si="7"/>
        <v>1.968503937007874E-3</v>
      </c>
      <c r="U10" s="9">
        <f>R10 / _xlfn.XLOOKUP(A10, Top!A:A, Top!AA:AA)</f>
        <v>3.7037037037037035E-2</v>
      </c>
      <c r="V10" s="1"/>
      <c r="W10" s="1"/>
    </row>
    <row r="11" spans="1:23" x14ac:dyDescent="0.25">
      <c r="A11" s="25" t="s">
        <v>76</v>
      </c>
      <c r="B11" s="6"/>
      <c r="C11" s="7"/>
      <c r="D11" s="8">
        <f t="shared" si="0"/>
        <v>0</v>
      </c>
      <c r="E11" s="6"/>
      <c r="F11" s="7"/>
      <c r="G11" s="8">
        <f t="shared" si="1"/>
        <v>0</v>
      </c>
      <c r="H11" s="6"/>
      <c r="I11" s="7"/>
      <c r="J11" s="8">
        <f t="shared" si="2"/>
        <v>0</v>
      </c>
      <c r="K11" s="6">
        <v>3</v>
      </c>
      <c r="L11" s="7">
        <v>0.66700000000000004</v>
      </c>
      <c r="M11" s="8">
        <f t="shared" si="3"/>
        <v>2.0010000000000003</v>
      </c>
      <c r="N11" s="6"/>
      <c r="O11" s="7"/>
      <c r="P11" s="8">
        <f t="shared" si="4"/>
        <v>0</v>
      </c>
      <c r="Q11" s="1"/>
      <c r="R11" s="6">
        <f t="shared" si="5"/>
        <v>3</v>
      </c>
      <c r="S11" s="9">
        <f t="shared" si="6"/>
        <v>0.66700000000000015</v>
      </c>
      <c r="T11" s="9">
        <f t="shared" si="7"/>
        <v>5.905511811023622E-3</v>
      </c>
      <c r="U11" s="9">
        <f>R11 / _xlfn.XLOOKUP(A11, Top!A:A, Top!AA:AA)</f>
        <v>0.3</v>
      </c>
      <c r="V11" s="1"/>
      <c r="W11" s="1"/>
    </row>
    <row r="12" spans="1:23" x14ac:dyDescent="0.25">
      <c r="A12" s="25" t="s">
        <v>95</v>
      </c>
      <c r="B12" s="6"/>
      <c r="C12" s="7"/>
      <c r="D12" s="8">
        <f t="shared" si="0"/>
        <v>0</v>
      </c>
      <c r="E12" s="6"/>
      <c r="F12" s="7"/>
      <c r="G12" s="8">
        <f t="shared" si="1"/>
        <v>0</v>
      </c>
      <c r="H12" s="6">
        <v>3</v>
      </c>
      <c r="I12" s="7">
        <v>0.66700000000000004</v>
      </c>
      <c r="J12" s="8">
        <f t="shared" si="2"/>
        <v>2.0010000000000003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1"/>
      <c r="R12" s="6">
        <f t="shared" si="5"/>
        <v>3</v>
      </c>
      <c r="S12" s="9">
        <f t="shared" si="6"/>
        <v>0.66700000000000015</v>
      </c>
      <c r="T12" s="9">
        <f t="shared" si="7"/>
        <v>5.905511811023622E-3</v>
      </c>
      <c r="U12" s="9">
        <f>R12 / _xlfn.XLOOKUP(A12, Top!A:A, Top!AA:AA)</f>
        <v>6.3829787234042548E-2</v>
      </c>
      <c r="V12" s="1"/>
      <c r="W12" s="1"/>
    </row>
    <row r="13" spans="1:23" x14ac:dyDescent="0.25">
      <c r="A13" s="1" t="s">
        <v>13</v>
      </c>
      <c r="B13" s="6">
        <v>6</v>
      </c>
      <c r="C13" s="7">
        <v>0.66700000000000004</v>
      </c>
      <c r="D13" s="8">
        <f t="shared" si="0"/>
        <v>4.0020000000000007</v>
      </c>
      <c r="E13" s="6"/>
      <c r="F13" s="7"/>
      <c r="G13" s="8">
        <f t="shared" si="1"/>
        <v>0</v>
      </c>
      <c r="H13" s="6">
        <v>7</v>
      </c>
      <c r="I13" s="7">
        <v>0.71399999999999997</v>
      </c>
      <c r="J13" s="8">
        <f t="shared" si="2"/>
        <v>4.9979999999999993</v>
      </c>
      <c r="K13" s="6">
        <v>4</v>
      </c>
      <c r="L13" s="7">
        <v>0.5</v>
      </c>
      <c r="M13" s="8">
        <f t="shared" si="3"/>
        <v>2</v>
      </c>
      <c r="N13" s="6"/>
      <c r="O13" s="7"/>
      <c r="P13" s="8">
        <f t="shared" si="4"/>
        <v>0</v>
      </c>
      <c r="Q13" s="1"/>
      <c r="R13" s="6">
        <f t="shared" si="5"/>
        <v>17</v>
      </c>
      <c r="S13" s="9">
        <f t="shared" si="6"/>
        <v>0.6470588235294118</v>
      </c>
      <c r="T13" s="9">
        <f t="shared" si="7"/>
        <v>3.3464566929133861E-2</v>
      </c>
      <c r="U13" s="9">
        <f>R13 / _xlfn.XLOOKUP(A13, Top!A:A, Top!AA:AA)</f>
        <v>0.14166666666666666</v>
      </c>
      <c r="V13" s="1"/>
      <c r="W13" s="1"/>
    </row>
    <row r="14" spans="1:23" x14ac:dyDescent="0.25">
      <c r="A14" s="1" t="s">
        <v>10</v>
      </c>
      <c r="B14" s="6">
        <v>12</v>
      </c>
      <c r="C14" s="7">
        <v>0.66700000000000004</v>
      </c>
      <c r="D14" s="8">
        <f t="shared" si="0"/>
        <v>8.0040000000000013</v>
      </c>
      <c r="E14" s="6">
        <v>12</v>
      </c>
      <c r="F14" s="7">
        <v>0.58299999999999996</v>
      </c>
      <c r="G14" s="8">
        <f t="shared" si="1"/>
        <v>6.9959999999999996</v>
      </c>
      <c r="H14" s="6">
        <v>6</v>
      </c>
      <c r="I14" s="7">
        <v>0.66700000000000004</v>
      </c>
      <c r="J14" s="8">
        <f t="shared" si="2"/>
        <v>4.0020000000000007</v>
      </c>
      <c r="K14" s="6"/>
      <c r="L14" s="7"/>
      <c r="M14" s="8">
        <f t="shared" si="3"/>
        <v>0</v>
      </c>
      <c r="N14" s="6">
        <v>1</v>
      </c>
      <c r="O14" s="7">
        <v>0</v>
      </c>
      <c r="P14" s="8">
        <f t="shared" si="4"/>
        <v>0</v>
      </c>
      <c r="Q14" s="1"/>
      <c r="R14" s="6">
        <f t="shared" si="5"/>
        <v>31</v>
      </c>
      <c r="S14" s="9">
        <f t="shared" si="6"/>
        <v>0.61296774193548398</v>
      </c>
      <c r="T14" s="9">
        <f t="shared" si="7"/>
        <v>6.1023622047244097E-2</v>
      </c>
      <c r="U14" s="9">
        <f>R14 / _xlfn.XLOOKUP(A14, Top!A:A, Top!AA:AA)</f>
        <v>0.14351851851851852</v>
      </c>
      <c r="V14" s="1"/>
      <c r="W14" s="1"/>
    </row>
    <row r="15" spans="1:23" x14ac:dyDescent="0.25">
      <c r="A15" s="1" t="s">
        <v>9</v>
      </c>
      <c r="B15" s="6">
        <v>16</v>
      </c>
      <c r="C15" s="7">
        <v>0.68799999999999994</v>
      </c>
      <c r="D15" s="8">
        <f t="shared" si="0"/>
        <v>11.007999999999999</v>
      </c>
      <c r="E15" s="6">
        <v>7</v>
      </c>
      <c r="F15" s="7">
        <v>0.28599999999999998</v>
      </c>
      <c r="G15" s="8">
        <f t="shared" si="1"/>
        <v>2.0019999999999998</v>
      </c>
      <c r="H15" s="6">
        <v>19</v>
      </c>
      <c r="I15" s="7">
        <v>0.63200000000000001</v>
      </c>
      <c r="J15" s="8">
        <f t="shared" si="2"/>
        <v>12.008000000000001</v>
      </c>
      <c r="K15" s="6">
        <v>4</v>
      </c>
      <c r="L15" s="7">
        <v>0.5</v>
      </c>
      <c r="M15" s="8">
        <f t="shared" si="3"/>
        <v>2</v>
      </c>
      <c r="N15" s="6">
        <v>1</v>
      </c>
      <c r="O15" s="7">
        <v>1</v>
      </c>
      <c r="P15" s="8">
        <f t="shared" si="4"/>
        <v>1</v>
      </c>
      <c r="Q15" s="4"/>
      <c r="R15" s="6">
        <f t="shared" si="5"/>
        <v>47</v>
      </c>
      <c r="S15" s="9">
        <f t="shared" si="6"/>
        <v>0.59612765957446812</v>
      </c>
      <c r="T15" s="9">
        <f t="shared" si="7"/>
        <v>9.2519685039370081E-2</v>
      </c>
      <c r="U15" s="9">
        <f>R15 / _xlfn.XLOOKUP(A15, Top!A:A, Top!AA:AA)</f>
        <v>0.14417177914110429</v>
      </c>
      <c r="V15" s="1"/>
      <c r="W15" s="1"/>
    </row>
    <row r="16" spans="1:23" x14ac:dyDescent="0.25">
      <c r="A16" s="1" t="s">
        <v>7</v>
      </c>
      <c r="B16" s="6">
        <v>18</v>
      </c>
      <c r="C16" s="7">
        <v>0.5</v>
      </c>
      <c r="D16" s="8">
        <f t="shared" si="0"/>
        <v>9</v>
      </c>
      <c r="E16" s="6">
        <v>22</v>
      </c>
      <c r="F16" s="7">
        <v>0.63600000000000001</v>
      </c>
      <c r="G16" s="8">
        <f t="shared" si="1"/>
        <v>13.992000000000001</v>
      </c>
      <c r="H16" s="6">
        <v>22</v>
      </c>
      <c r="I16" s="7">
        <v>0.59099999999999997</v>
      </c>
      <c r="J16" s="8">
        <f t="shared" si="2"/>
        <v>13.001999999999999</v>
      </c>
      <c r="K16" s="6">
        <v>5</v>
      </c>
      <c r="L16" s="7">
        <v>0.8</v>
      </c>
      <c r="M16" s="8">
        <f t="shared" si="3"/>
        <v>4</v>
      </c>
      <c r="N16" s="6">
        <v>2</v>
      </c>
      <c r="O16" s="7">
        <v>0.5</v>
      </c>
      <c r="P16" s="8">
        <f t="shared" si="4"/>
        <v>1</v>
      </c>
      <c r="Q16" s="1"/>
      <c r="R16" s="6">
        <f t="shared" si="5"/>
        <v>69</v>
      </c>
      <c r="S16" s="9">
        <f t="shared" si="6"/>
        <v>0.59411594202898554</v>
      </c>
      <c r="T16" s="9">
        <f t="shared" si="7"/>
        <v>0.13582677165354332</v>
      </c>
      <c r="U16" s="9">
        <f>R16 / _xlfn.XLOOKUP(A16, Top!A:A, Top!AA:AA)</f>
        <v>0.12994350282485875</v>
      </c>
      <c r="V16" s="1"/>
      <c r="W16" s="1"/>
    </row>
    <row r="17" spans="1:23" x14ac:dyDescent="0.25">
      <c r="A17" s="1" t="s">
        <v>14</v>
      </c>
      <c r="B17" s="6">
        <v>11</v>
      </c>
      <c r="C17" s="7">
        <v>0.63600000000000001</v>
      </c>
      <c r="D17" s="8">
        <f t="shared" si="0"/>
        <v>6.9960000000000004</v>
      </c>
      <c r="E17" s="6">
        <v>8</v>
      </c>
      <c r="F17" s="7">
        <v>0.5</v>
      </c>
      <c r="G17" s="8">
        <f t="shared" si="1"/>
        <v>4</v>
      </c>
      <c r="H17" s="6"/>
      <c r="I17" s="7"/>
      <c r="J17" s="8">
        <f t="shared" si="2"/>
        <v>0</v>
      </c>
      <c r="K17" s="6">
        <v>3</v>
      </c>
      <c r="L17" s="7">
        <v>0.66700000000000004</v>
      </c>
      <c r="M17" s="8">
        <f t="shared" si="3"/>
        <v>2.0010000000000003</v>
      </c>
      <c r="N17" s="6"/>
      <c r="O17" s="7"/>
      <c r="P17" s="8">
        <f t="shared" si="4"/>
        <v>0</v>
      </c>
      <c r="Q17" s="1"/>
      <c r="R17" s="6">
        <f t="shared" si="5"/>
        <v>22</v>
      </c>
      <c r="S17" s="9">
        <f t="shared" si="6"/>
        <v>0.59077272727272723</v>
      </c>
      <c r="T17" s="9">
        <f t="shared" si="7"/>
        <v>4.3307086614173228E-2</v>
      </c>
      <c r="U17" s="9">
        <f>R17 / _xlfn.XLOOKUP(A17, Top!A:A, Top!AA:AA)</f>
        <v>0.10280373831775701</v>
      </c>
      <c r="V17" s="1"/>
      <c r="W17" s="1"/>
    </row>
    <row r="18" spans="1:23" x14ac:dyDescent="0.25">
      <c r="A18" s="1" t="s">
        <v>19</v>
      </c>
      <c r="B18" s="6">
        <v>9</v>
      </c>
      <c r="C18" s="7">
        <v>0.55600000000000005</v>
      </c>
      <c r="D18" s="8">
        <f t="shared" si="0"/>
        <v>5.0040000000000004</v>
      </c>
      <c r="E18" s="6">
        <v>2</v>
      </c>
      <c r="F18" s="7">
        <v>1</v>
      </c>
      <c r="G18" s="8">
        <f t="shared" si="1"/>
        <v>2</v>
      </c>
      <c r="H18" s="6">
        <v>2</v>
      </c>
      <c r="I18" s="7">
        <v>0</v>
      </c>
      <c r="J18" s="8">
        <f t="shared" si="2"/>
        <v>0</v>
      </c>
      <c r="K18" s="6">
        <v>7</v>
      </c>
      <c r="L18" s="7">
        <v>0.57099999999999995</v>
      </c>
      <c r="M18" s="8">
        <f t="shared" si="3"/>
        <v>3.9969999999999999</v>
      </c>
      <c r="N18" s="6"/>
      <c r="O18" s="7"/>
      <c r="P18" s="8">
        <f t="shared" si="4"/>
        <v>0</v>
      </c>
      <c r="Q18" s="4"/>
      <c r="R18" s="6">
        <f t="shared" si="5"/>
        <v>20</v>
      </c>
      <c r="S18" s="9">
        <f t="shared" si="6"/>
        <v>0.55005000000000004</v>
      </c>
      <c r="T18" s="9">
        <f t="shared" si="7"/>
        <v>3.937007874015748E-2</v>
      </c>
      <c r="U18" s="9">
        <f>R18 / _xlfn.XLOOKUP(A18, Top!A:A, Top!AA:AA)</f>
        <v>0.145985401459854</v>
      </c>
      <c r="V18" s="1"/>
      <c r="W18" s="1"/>
    </row>
    <row r="19" spans="1:23" x14ac:dyDescent="0.25">
      <c r="A19" s="1" t="s">
        <v>8</v>
      </c>
      <c r="B19" s="6">
        <v>9</v>
      </c>
      <c r="C19" s="7">
        <v>0.66700000000000004</v>
      </c>
      <c r="D19" s="8">
        <f t="shared" si="0"/>
        <v>6.0030000000000001</v>
      </c>
      <c r="E19" s="6">
        <v>2</v>
      </c>
      <c r="F19" s="7">
        <v>0.5</v>
      </c>
      <c r="G19" s="8">
        <f t="shared" si="1"/>
        <v>1</v>
      </c>
      <c r="H19" s="6">
        <v>1</v>
      </c>
      <c r="I19" s="7">
        <v>1</v>
      </c>
      <c r="J19" s="8">
        <f t="shared" si="2"/>
        <v>1</v>
      </c>
      <c r="K19" s="6">
        <v>15</v>
      </c>
      <c r="L19" s="7">
        <v>0.4</v>
      </c>
      <c r="M19" s="8">
        <f t="shared" si="3"/>
        <v>6</v>
      </c>
      <c r="N19" s="6"/>
      <c r="O19" s="7"/>
      <c r="P19" s="8">
        <f t="shared" si="4"/>
        <v>0</v>
      </c>
      <c r="Q19" s="1"/>
      <c r="R19" s="6">
        <f t="shared" si="5"/>
        <v>27</v>
      </c>
      <c r="S19" s="9">
        <f t="shared" si="6"/>
        <v>0.51862962962962966</v>
      </c>
      <c r="T19" s="9">
        <f t="shared" si="7"/>
        <v>5.3149606299212601E-2</v>
      </c>
      <c r="U19" s="9">
        <f>R19 / _xlfn.XLOOKUP(A19, Top!A:A, Top!AA:AA)</f>
        <v>0.10424710424710425</v>
      </c>
      <c r="V19" s="1"/>
      <c r="W19" s="1"/>
    </row>
    <row r="20" spans="1:23" x14ac:dyDescent="0.25">
      <c r="A20" s="1" t="s">
        <v>22</v>
      </c>
      <c r="B20" s="6">
        <v>1</v>
      </c>
      <c r="C20" s="7">
        <v>0</v>
      </c>
      <c r="D20" s="8">
        <f t="shared" si="0"/>
        <v>0</v>
      </c>
      <c r="E20" s="6">
        <v>17</v>
      </c>
      <c r="F20" s="7">
        <v>0.76500000000000001</v>
      </c>
      <c r="G20" s="8">
        <f t="shared" si="1"/>
        <v>13.005000000000001</v>
      </c>
      <c r="H20" s="6">
        <v>9</v>
      </c>
      <c r="I20" s="7">
        <v>0.33300000000000002</v>
      </c>
      <c r="J20" s="8">
        <f t="shared" si="2"/>
        <v>2.9970000000000003</v>
      </c>
      <c r="K20" s="6">
        <v>3</v>
      </c>
      <c r="L20" s="7">
        <v>0.33300000000000002</v>
      </c>
      <c r="M20" s="8">
        <f t="shared" si="3"/>
        <v>0.99900000000000011</v>
      </c>
      <c r="N20" s="6">
        <v>3</v>
      </c>
      <c r="O20" s="7">
        <v>0</v>
      </c>
      <c r="P20" s="8">
        <f t="shared" si="4"/>
        <v>0</v>
      </c>
      <c r="Q20" s="1"/>
      <c r="R20" s="6">
        <f t="shared" si="5"/>
        <v>33</v>
      </c>
      <c r="S20" s="9">
        <f t="shared" si="6"/>
        <v>0.51518181818181819</v>
      </c>
      <c r="T20" s="9">
        <f t="shared" si="7"/>
        <v>6.4960629921259838E-2</v>
      </c>
      <c r="U20" s="9">
        <f>R20 / _xlfn.XLOOKUP(A20, Top!A:A, Top!AA:AA)</f>
        <v>6.4579256360078274E-2</v>
      </c>
      <c r="V20" s="1"/>
      <c r="W20" s="1"/>
    </row>
    <row r="21" spans="1:23" x14ac:dyDescent="0.25">
      <c r="A21" s="1" t="s">
        <v>20</v>
      </c>
      <c r="B21" s="6">
        <v>3</v>
      </c>
      <c r="C21" s="7">
        <v>0.66700000000000004</v>
      </c>
      <c r="D21" s="8">
        <f t="shared" si="0"/>
        <v>2.0010000000000003</v>
      </c>
      <c r="E21" s="6">
        <v>1</v>
      </c>
      <c r="F21" s="7">
        <v>0</v>
      </c>
      <c r="G21" s="8">
        <f t="shared" si="1"/>
        <v>0</v>
      </c>
      <c r="H21" s="6"/>
      <c r="I21" s="7"/>
      <c r="J21" s="8">
        <f t="shared" si="2"/>
        <v>0</v>
      </c>
      <c r="K21" s="6"/>
      <c r="L21" s="7"/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4</v>
      </c>
      <c r="S21" s="9">
        <f t="shared" si="6"/>
        <v>0.50025000000000008</v>
      </c>
      <c r="T21" s="9">
        <f t="shared" si="7"/>
        <v>7.874015748031496E-3</v>
      </c>
      <c r="U21" s="9">
        <f>R21 / _xlfn.XLOOKUP(A21, Top!A:A, Top!AA:AA)</f>
        <v>4.7619047619047616E-2</v>
      </c>
      <c r="V21" s="1"/>
      <c r="W21" s="1"/>
    </row>
    <row r="22" spans="1:23" x14ac:dyDescent="0.25">
      <c r="A22" s="1" t="s">
        <v>26</v>
      </c>
      <c r="B22" s="6">
        <v>6</v>
      </c>
      <c r="C22" s="7">
        <v>0.5</v>
      </c>
      <c r="D22" s="8">
        <f t="shared" si="0"/>
        <v>3</v>
      </c>
      <c r="E22" s="6"/>
      <c r="F22" s="7"/>
      <c r="G22" s="8">
        <f t="shared" si="1"/>
        <v>0</v>
      </c>
      <c r="H22" s="6"/>
      <c r="I22" s="7"/>
      <c r="J22" s="8">
        <f t="shared" si="2"/>
        <v>0</v>
      </c>
      <c r="K22" s="6"/>
      <c r="L22" s="7"/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6</v>
      </c>
      <c r="S22" s="9">
        <f t="shared" si="6"/>
        <v>0.5</v>
      </c>
      <c r="T22" s="9">
        <f t="shared" si="7"/>
        <v>1.1811023622047244E-2</v>
      </c>
      <c r="U22" s="9">
        <f>R22 / _xlfn.XLOOKUP(A22, Top!A:A, Top!AA:AA)</f>
        <v>8.1081081081081086E-2</v>
      </c>
      <c r="V22" s="1"/>
      <c r="W22" s="1"/>
    </row>
    <row r="23" spans="1:23" x14ac:dyDescent="0.25">
      <c r="A23" s="1" t="s">
        <v>27</v>
      </c>
      <c r="B23" s="6">
        <v>2</v>
      </c>
      <c r="C23" s="7">
        <v>0.5</v>
      </c>
      <c r="D23" s="8">
        <f t="shared" si="0"/>
        <v>1</v>
      </c>
      <c r="E23" s="6"/>
      <c r="F23" s="7"/>
      <c r="G23" s="8">
        <f t="shared" si="1"/>
        <v>0</v>
      </c>
      <c r="H23" s="6"/>
      <c r="I23" s="7"/>
      <c r="J23" s="8">
        <f t="shared" si="2"/>
        <v>0</v>
      </c>
      <c r="K23" s="6"/>
      <c r="L23" s="7"/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2</v>
      </c>
      <c r="S23" s="9">
        <f t="shared" si="6"/>
        <v>0.5</v>
      </c>
      <c r="T23" s="9">
        <f t="shared" si="7"/>
        <v>3.937007874015748E-3</v>
      </c>
      <c r="U23" s="9">
        <f>R23 / _xlfn.XLOOKUP(A23, Top!A:A, Top!AA:AA)</f>
        <v>4.4444444444444446E-2</v>
      </c>
      <c r="V23" s="1"/>
      <c r="W23" s="1"/>
    </row>
    <row r="24" spans="1:23" x14ac:dyDescent="0.25">
      <c r="A24" s="1" t="s">
        <v>32</v>
      </c>
      <c r="B24" s="6">
        <v>1</v>
      </c>
      <c r="C24" s="7">
        <v>1</v>
      </c>
      <c r="D24" s="8">
        <f t="shared" si="0"/>
        <v>1</v>
      </c>
      <c r="E24" s="6"/>
      <c r="F24" s="7"/>
      <c r="G24" s="8">
        <f t="shared" si="1"/>
        <v>0</v>
      </c>
      <c r="H24" s="6"/>
      <c r="I24" s="7"/>
      <c r="J24" s="8">
        <f t="shared" si="2"/>
        <v>0</v>
      </c>
      <c r="K24" s="6">
        <v>3</v>
      </c>
      <c r="L24" s="7">
        <v>0.33300000000000002</v>
      </c>
      <c r="M24" s="8">
        <f t="shared" si="3"/>
        <v>0.99900000000000011</v>
      </c>
      <c r="N24" s="6"/>
      <c r="O24" s="7"/>
      <c r="P24" s="8">
        <f t="shared" si="4"/>
        <v>0</v>
      </c>
      <c r="Q24" s="1"/>
      <c r="R24" s="6">
        <f t="shared" si="5"/>
        <v>4</v>
      </c>
      <c r="S24" s="9">
        <f t="shared" si="6"/>
        <v>0.49975000000000003</v>
      </c>
      <c r="T24" s="9">
        <f t="shared" si="7"/>
        <v>7.874015748031496E-3</v>
      </c>
      <c r="U24" s="9">
        <f>R24 / _xlfn.XLOOKUP(A24, Top!A:A, Top!AA:AA)</f>
        <v>0.36363636363636365</v>
      </c>
      <c r="V24" s="1"/>
      <c r="W24" s="1"/>
    </row>
    <row r="25" spans="1:23" x14ac:dyDescent="0.25">
      <c r="A25" s="25" t="s">
        <v>208</v>
      </c>
      <c r="B25" s="6"/>
      <c r="C25" s="7"/>
      <c r="D25" s="8">
        <f t="shared" si="0"/>
        <v>0</v>
      </c>
      <c r="E25" s="6"/>
      <c r="F25" s="7"/>
      <c r="G25" s="8">
        <f t="shared" si="1"/>
        <v>0</v>
      </c>
      <c r="H25" s="6"/>
      <c r="I25" s="7"/>
      <c r="J25" s="8">
        <f t="shared" si="2"/>
        <v>0</v>
      </c>
      <c r="K25" s="6">
        <v>13</v>
      </c>
      <c r="L25" s="7">
        <v>0.46100000000000002</v>
      </c>
      <c r="M25" s="8">
        <f t="shared" si="3"/>
        <v>5.9930000000000003</v>
      </c>
      <c r="N25" s="6">
        <v>3</v>
      </c>
      <c r="O25" s="7">
        <v>0.66700000000000004</v>
      </c>
      <c r="P25" s="8">
        <f t="shared" si="4"/>
        <v>2.0010000000000003</v>
      </c>
      <c r="Q25" s="1"/>
      <c r="R25" s="6">
        <f t="shared" si="5"/>
        <v>16</v>
      </c>
      <c r="S25" s="9">
        <f t="shared" si="6"/>
        <v>0.49962500000000004</v>
      </c>
      <c r="T25" s="9">
        <f t="shared" si="7"/>
        <v>3.1496062992125984E-2</v>
      </c>
      <c r="U25" s="9">
        <f>R25 / _xlfn.XLOOKUP(A25, Top!A:A, Top!AA:AA)</f>
        <v>8.3333333333333329E-2</v>
      </c>
      <c r="V25" s="1"/>
      <c r="W25" s="1"/>
    </row>
    <row r="26" spans="1:23" x14ac:dyDescent="0.25">
      <c r="A26" s="1" t="s">
        <v>11</v>
      </c>
      <c r="B26" s="6">
        <v>18</v>
      </c>
      <c r="C26" s="7">
        <v>0.38900000000000001</v>
      </c>
      <c r="D26" s="8">
        <f t="shared" si="0"/>
        <v>7.0020000000000007</v>
      </c>
      <c r="E26" s="6">
        <v>2</v>
      </c>
      <c r="F26" s="7">
        <v>1</v>
      </c>
      <c r="G26" s="8">
        <f t="shared" si="1"/>
        <v>2</v>
      </c>
      <c r="H26" s="6"/>
      <c r="I26" s="7"/>
      <c r="J26" s="8">
        <f t="shared" si="2"/>
        <v>0</v>
      </c>
      <c r="K26" s="6">
        <v>12</v>
      </c>
      <c r="L26" s="7">
        <v>0.33300000000000002</v>
      </c>
      <c r="M26" s="8">
        <f t="shared" si="3"/>
        <v>3.9960000000000004</v>
      </c>
      <c r="N26" s="6">
        <v>1</v>
      </c>
      <c r="O26" s="7">
        <v>1</v>
      </c>
      <c r="P26" s="8">
        <f t="shared" si="4"/>
        <v>1</v>
      </c>
      <c r="Q26" s="1"/>
      <c r="R26" s="6">
        <f t="shared" si="5"/>
        <v>33</v>
      </c>
      <c r="S26" s="9">
        <f t="shared" si="6"/>
        <v>0.42418181818181822</v>
      </c>
      <c r="T26" s="9">
        <f t="shared" si="7"/>
        <v>6.4960629921259838E-2</v>
      </c>
      <c r="U26" s="9">
        <f>R26 / _xlfn.XLOOKUP(A26, Top!A:A, Top!AA:AA)</f>
        <v>8.6614173228346455E-2</v>
      </c>
      <c r="V26" s="1"/>
      <c r="W26" s="1"/>
    </row>
    <row r="27" spans="1:23" x14ac:dyDescent="0.25">
      <c r="A27" s="25" t="s">
        <v>209</v>
      </c>
      <c r="B27" s="6"/>
      <c r="C27" s="7"/>
      <c r="D27" s="8">
        <f t="shared" si="0"/>
        <v>0</v>
      </c>
      <c r="E27" s="6"/>
      <c r="F27" s="7"/>
      <c r="G27" s="8">
        <f t="shared" si="1"/>
        <v>0</v>
      </c>
      <c r="H27" s="6"/>
      <c r="I27" s="7"/>
      <c r="J27" s="8">
        <f t="shared" si="2"/>
        <v>0</v>
      </c>
      <c r="K27" s="6">
        <v>5</v>
      </c>
      <c r="L27" s="7">
        <v>0.4</v>
      </c>
      <c r="M27" s="8">
        <f t="shared" si="3"/>
        <v>2</v>
      </c>
      <c r="N27" s="6"/>
      <c r="O27" s="7"/>
      <c r="P27" s="8">
        <f t="shared" si="4"/>
        <v>0</v>
      </c>
      <c r="Q27" s="1"/>
      <c r="R27" s="6">
        <f t="shared" si="5"/>
        <v>5</v>
      </c>
      <c r="S27" s="9">
        <f t="shared" si="6"/>
        <v>0.4</v>
      </c>
      <c r="T27" s="9">
        <f t="shared" si="7"/>
        <v>9.8425196850393699E-3</v>
      </c>
      <c r="U27" s="9">
        <f>R27 / _xlfn.XLOOKUP(A27, Top!A:A, Top!AA:AA)</f>
        <v>0.83333333333333337</v>
      </c>
      <c r="V27" s="1"/>
      <c r="W27" s="1"/>
    </row>
    <row r="28" spans="1:23" x14ac:dyDescent="0.25">
      <c r="A28" s="1" t="s">
        <v>23</v>
      </c>
      <c r="B28" s="6"/>
      <c r="C28" s="7"/>
      <c r="D28" s="8">
        <f t="shared" si="0"/>
        <v>0</v>
      </c>
      <c r="E28" s="6">
        <v>2</v>
      </c>
      <c r="F28" s="7">
        <v>0.5</v>
      </c>
      <c r="G28" s="8">
        <f t="shared" si="1"/>
        <v>1</v>
      </c>
      <c r="H28" s="6">
        <v>12</v>
      </c>
      <c r="I28" s="7">
        <v>0.5</v>
      </c>
      <c r="J28" s="8">
        <f t="shared" si="2"/>
        <v>6</v>
      </c>
      <c r="K28" s="6">
        <v>18</v>
      </c>
      <c r="L28" s="7">
        <v>0.33300000000000002</v>
      </c>
      <c r="M28" s="8">
        <f t="shared" si="3"/>
        <v>5.9940000000000007</v>
      </c>
      <c r="N28" s="6">
        <v>1</v>
      </c>
      <c r="O28" s="7">
        <v>0</v>
      </c>
      <c r="P28" s="8">
        <f t="shared" si="4"/>
        <v>0</v>
      </c>
      <c r="Q28" s="1"/>
      <c r="R28" s="6">
        <f t="shared" si="5"/>
        <v>33</v>
      </c>
      <c r="S28" s="9">
        <f t="shared" si="6"/>
        <v>0.39375757575757575</v>
      </c>
      <c r="T28" s="9">
        <f t="shared" si="7"/>
        <v>6.4960629921259838E-2</v>
      </c>
      <c r="U28" s="9">
        <f>R28 / _xlfn.XLOOKUP(A28, Top!A:A, Top!AA:AA)</f>
        <v>8.461538461538462E-2</v>
      </c>
      <c r="V28" s="1"/>
      <c r="W28" s="1"/>
    </row>
    <row r="29" spans="1:23" x14ac:dyDescent="0.25">
      <c r="A29" s="1" t="s">
        <v>201</v>
      </c>
      <c r="B29" s="6"/>
      <c r="C29" s="7"/>
      <c r="D29" s="8">
        <f t="shared" si="0"/>
        <v>0</v>
      </c>
      <c r="E29" s="6"/>
      <c r="F29" s="7"/>
      <c r="G29" s="8">
        <f t="shared" si="1"/>
        <v>0</v>
      </c>
      <c r="H29" s="6">
        <v>2</v>
      </c>
      <c r="I29" s="7">
        <v>1</v>
      </c>
      <c r="J29" s="8">
        <f t="shared" si="2"/>
        <v>2</v>
      </c>
      <c r="K29" s="6">
        <v>6</v>
      </c>
      <c r="L29" s="7">
        <v>0.16700000000000001</v>
      </c>
      <c r="M29" s="8">
        <f t="shared" si="3"/>
        <v>1.002</v>
      </c>
      <c r="N29" s="6"/>
      <c r="O29" s="7"/>
      <c r="P29" s="8">
        <f t="shared" si="4"/>
        <v>0</v>
      </c>
      <c r="Q29" s="1"/>
      <c r="R29" s="6">
        <f t="shared" si="5"/>
        <v>8</v>
      </c>
      <c r="S29" s="9">
        <f t="shared" si="6"/>
        <v>0.37524999999999997</v>
      </c>
      <c r="T29" s="9">
        <f t="shared" si="7"/>
        <v>1.5748031496062992E-2</v>
      </c>
      <c r="U29" s="9">
        <f>R29 / _xlfn.XLOOKUP(A29, Top!A:A, Top!AA:AA)</f>
        <v>0.1038961038961039</v>
      </c>
      <c r="V29" s="1"/>
      <c r="W29" s="1"/>
    </row>
    <row r="30" spans="1:23" x14ac:dyDescent="0.25">
      <c r="A30" s="25" t="s">
        <v>252</v>
      </c>
      <c r="B30" s="6"/>
      <c r="C30" s="7"/>
      <c r="D30" s="8">
        <f t="shared" si="0"/>
        <v>0</v>
      </c>
      <c r="E30" s="6">
        <v>19</v>
      </c>
      <c r="F30" s="7">
        <v>0.36799999999999999</v>
      </c>
      <c r="G30" s="8">
        <f t="shared" si="1"/>
        <v>6.992</v>
      </c>
      <c r="H30" s="6">
        <v>16</v>
      </c>
      <c r="I30" s="7">
        <v>0.438</v>
      </c>
      <c r="J30" s="8">
        <f t="shared" si="2"/>
        <v>7.008</v>
      </c>
      <c r="K30" s="6">
        <v>6</v>
      </c>
      <c r="L30" s="7">
        <v>0.33300000000000002</v>
      </c>
      <c r="M30" s="8">
        <f t="shared" si="3"/>
        <v>1.9980000000000002</v>
      </c>
      <c r="N30" s="6">
        <v>2</v>
      </c>
      <c r="O30" s="7">
        <v>0</v>
      </c>
      <c r="P30" s="8">
        <f t="shared" si="4"/>
        <v>0</v>
      </c>
      <c r="Q30" s="4"/>
      <c r="R30" s="6">
        <f t="shared" si="5"/>
        <v>43</v>
      </c>
      <c r="S30" s="9">
        <f t="shared" si="6"/>
        <v>0.37204651162790703</v>
      </c>
      <c r="T30" s="9">
        <f t="shared" si="7"/>
        <v>8.4645669291338585E-2</v>
      </c>
      <c r="U30" s="9">
        <f>R30 / _xlfn.XLOOKUP(A30, Top!A:A, Top!AA:AA)</f>
        <v>6.4371257485029934E-2</v>
      </c>
      <c r="V30" s="1"/>
      <c r="W30" s="1"/>
    </row>
    <row r="31" spans="1:23" x14ac:dyDescent="0.25">
      <c r="A31" s="1" t="s">
        <v>16</v>
      </c>
      <c r="B31" s="6">
        <v>2</v>
      </c>
      <c r="C31" s="7">
        <v>1</v>
      </c>
      <c r="D31" s="8">
        <f t="shared" si="0"/>
        <v>2</v>
      </c>
      <c r="E31" s="6">
        <v>9</v>
      </c>
      <c r="F31" s="7">
        <v>0.33300000000000002</v>
      </c>
      <c r="G31" s="8">
        <f t="shared" si="1"/>
        <v>2.9970000000000003</v>
      </c>
      <c r="H31" s="6">
        <v>3</v>
      </c>
      <c r="I31" s="7">
        <v>0</v>
      </c>
      <c r="J31" s="8">
        <f t="shared" si="2"/>
        <v>0</v>
      </c>
      <c r="K31" s="6"/>
      <c r="L31" s="7"/>
      <c r="M31" s="8">
        <f t="shared" si="3"/>
        <v>0</v>
      </c>
      <c r="N31" s="6"/>
      <c r="O31" s="7"/>
      <c r="P31" s="8">
        <f t="shared" si="4"/>
        <v>0</v>
      </c>
      <c r="Q31" s="1"/>
      <c r="R31" s="6">
        <f t="shared" si="5"/>
        <v>14</v>
      </c>
      <c r="S31" s="9">
        <f t="shared" si="6"/>
        <v>0.35692857142857143</v>
      </c>
      <c r="T31" s="9">
        <f t="shared" si="7"/>
        <v>2.7559055118110236E-2</v>
      </c>
      <c r="U31" s="9">
        <f>R31 / _xlfn.XLOOKUP(A31, Top!A:A, Top!AA:AA)</f>
        <v>3.3980582524271843E-2</v>
      </c>
      <c r="V31" s="1"/>
      <c r="W31" s="1"/>
    </row>
    <row r="32" spans="1:23" x14ac:dyDescent="0.25">
      <c r="A32" s="1" t="s">
        <v>33</v>
      </c>
      <c r="B32" s="6">
        <v>3</v>
      </c>
      <c r="C32" s="7">
        <v>0.33300000000000002</v>
      </c>
      <c r="D32" s="8">
        <f t="shared" si="0"/>
        <v>0.99900000000000011</v>
      </c>
      <c r="E32" s="6"/>
      <c r="F32" s="7"/>
      <c r="G32" s="8">
        <f t="shared" si="1"/>
        <v>0</v>
      </c>
      <c r="H32" s="6"/>
      <c r="I32" s="7"/>
      <c r="J32" s="8">
        <f t="shared" si="2"/>
        <v>0</v>
      </c>
      <c r="K32" s="6"/>
      <c r="L32" s="7"/>
      <c r="M32" s="8">
        <f t="shared" si="3"/>
        <v>0</v>
      </c>
      <c r="N32" s="6"/>
      <c r="O32" s="7"/>
      <c r="P32" s="8">
        <f t="shared" si="4"/>
        <v>0</v>
      </c>
      <c r="Q32" s="1"/>
      <c r="R32" s="6">
        <f t="shared" si="5"/>
        <v>3</v>
      </c>
      <c r="S32" s="9">
        <f t="shared" si="6"/>
        <v>0.33300000000000002</v>
      </c>
      <c r="T32" s="9">
        <f t="shared" si="7"/>
        <v>5.905511811023622E-3</v>
      </c>
      <c r="U32" s="9">
        <f>R32 / _xlfn.XLOOKUP(A32, Top!A:A, Top!AA:AA)</f>
        <v>6.5217391304347824E-2</v>
      </c>
      <c r="V32" s="1"/>
      <c r="W32" s="1"/>
    </row>
    <row r="33" spans="1:23" x14ac:dyDescent="0.25">
      <c r="A33" s="1" t="s">
        <v>18</v>
      </c>
      <c r="B33" s="6"/>
      <c r="C33" s="7"/>
      <c r="D33" s="8">
        <f t="shared" si="0"/>
        <v>0</v>
      </c>
      <c r="E33" s="6"/>
      <c r="F33" s="7"/>
      <c r="G33" s="8">
        <f t="shared" si="1"/>
        <v>0</v>
      </c>
      <c r="H33" s="6">
        <v>3</v>
      </c>
      <c r="I33" s="7">
        <v>0.33300000000000002</v>
      </c>
      <c r="J33" s="8">
        <f t="shared" si="2"/>
        <v>0.99900000000000011</v>
      </c>
      <c r="K33" s="6"/>
      <c r="L33" s="7"/>
      <c r="M33" s="8">
        <f t="shared" si="3"/>
        <v>0</v>
      </c>
      <c r="N33" s="6"/>
      <c r="O33" s="7"/>
      <c r="P33" s="8">
        <f t="shared" si="4"/>
        <v>0</v>
      </c>
      <c r="Q33" s="1"/>
      <c r="R33" s="6">
        <f t="shared" si="5"/>
        <v>3</v>
      </c>
      <c r="S33" s="9">
        <f t="shared" si="6"/>
        <v>0.33300000000000002</v>
      </c>
      <c r="T33" s="9">
        <f t="shared" si="7"/>
        <v>5.905511811023622E-3</v>
      </c>
      <c r="U33" s="9">
        <f>R33 / _xlfn.XLOOKUP(A33, Top!A:A, Top!AA:AA)</f>
        <v>6.25E-2</v>
      </c>
      <c r="V33" s="1"/>
      <c r="W33" s="1"/>
    </row>
    <row r="34" spans="1:23" x14ac:dyDescent="0.25">
      <c r="A34" s="1" t="s">
        <v>17</v>
      </c>
      <c r="B34" s="6">
        <v>2</v>
      </c>
      <c r="C34" s="7">
        <v>0.5</v>
      </c>
      <c r="D34" s="8">
        <f t="shared" si="0"/>
        <v>1</v>
      </c>
      <c r="E34" s="6">
        <v>6</v>
      </c>
      <c r="F34" s="7">
        <v>0.5</v>
      </c>
      <c r="G34" s="8">
        <f t="shared" si="1"/>
        <v>3</v>
      </c>
      <c r="H34" s="6"/>
      <c r="I34" s="7"/>
      <c r="J34" s="8">
        <f t="shared" si="2"/>
        <v>0</v>
      </c>
      <c r="K34" s="6">
        <v>2</v>
      </c>
      <c r="L34" s="7">
        <v>0</v>
      </c>
      <c r="M34" s="8">
        <f t="shared" si="3"/>
        <v>0</v>
      </c>
      <c r="N34" s="6">
        <v>4</v>
      </c>
      <c r="O34" s="7">
        <v>0</v>
      </c>
      <c r="P34" s="8">
        <f t="shared" si="4"/>
        <v>0</v>
      </c>
      <c r="Q34" s="13"/>
      <c r="R34" s="6">
        <f t="shared" si="5"/>
        <v>14</v>
      </c>
      <c r="S34" s="9">
        <f t="shared" si="6"/>
        <v>0.2857142857142857</v>
      </c>
      <c r="T34" s="9">
        <f t="shared" si="7"/>
        <v>2.7559055118110236E-2</v>
      </c>
      <c r="U34" s="9">
        <f>R34 / _xlfn.XLOOKUP(A34, Top!A:A, Top!AA:AA)</f>
        <v>5.9574468085106386E-2</v>
      </c>
      <c r="V34" s="1"/>
      <c r="W34" s="1"/>
    </row>
    <row r="35" spans="1:23" x14ac:dyDescent="0.25">
      <c r="A35" s="1" t="s">
        <v>50</v>
      </c>
      <c r="B35" s="6">
        <v>3</v>
      </c>
      <c r="C35" s="7">
        <v>0</v>
      </c>
      <c r="D35" s="8">
        <f t="shared" si="0"/>
        <v>0</v>
      </c>
      <c r="E35" s="6"/>
      <c r="F35" s="7"/>
      <c r="G35" s="8">
        <f t="shared" si="1"/>
        <v>0</v>
      </c>
      <c r="H35" s="6">
        <v>3</v>
      </c>
      <c r="I35" s="7">
        <v>0.33300000000000002</v>
      </c>
      <c r="J35" s="8">
        <f t="shared" si="2"/>
        <v>0.99900000000000011</v>
      </c>
      <c r="K35" s="6"/>
      <c r="L35" s="7"/>
      <c r="M35" s="8">
        <f t="shared" si="3"/>
        <v>0</v>
      </c>
      <c r="N35" s="6">
        <v>1</v>
      </c>
      <c r="O35" s="7">
        <v>1</v>
      </c>
      <c r="P35" s="8">
        <f t="shared" si="4"/>
        <v>1</v>
      </c>
      <c r="Q35" s="1"/>
      <c r="R35" s="6">
        <f t="shared" si="5"/>
        <v>7</v>
      </c>
      <c r="S35" s="9">
        <f t="shared" si="6"/>
        <v>0.28557142857142859</v>
      </c>
      <c r="T35" s="9">
        <f t="shared" si="7"/>
        <v>1.3779527559055118E-2</v>
      </c>
      <c r="U35" s="9">
        <f>R35 / _xlfn.XLOOKUP(A35, Top!A:A, Top!AA:AA)</f>
        <v>0.25</v>
      </c>
      <c r="V35" s="1"/>
      <c r="W35" s="1"/>
    </row>
    <row r="36" spans="1:23" x14ac:dyDescent="0.25">
      <c r="A36" s="1" t="s">
        <v>15</v>
      </c>
      <c r="B36" s="6"/>
      <c r="C36" s="7"/>
      <c r="D36" s="8">
        <f t="shared" si="0"/>
        <v>0</v>
      </c>
      <c r="E36" s="6">
        <v>3</v>
      </c>
      <c r="F36" s="7">
        <v>0</v>
      </c>
      <c r="G36" s="8">
        <f t="shared" si="1"/>
        <v>0</v>
      </c>
      <c r="H36" s="6"/>
      <c r="I36" s="7"/>
      <c r="J36" s="8">
        <f t="shared" si="2"/>
        <v>0</v>
      </c>
      <c r="K36" s="6">
        <v>2</v>
      </c>
      <c r="L36" s="7">
        <v>0.5</v>
      </c>
      <c r="M36" s="8">
        <f t="shared" si="3"/>
        <v>1</v>
      </c>
      <c r="N36" s="6"/>
      <c r="O36" s="7"/>
      <c r="P36" s="8">
        <f t="shared" si="4"/>
        <v>0</v>
      </c>
      <c r="Q36" s="1"/>
      <c r="R36" s="6">
        <f t="shared" si="5"/>
        <v>5</v>
      </c>
      <c r="S36" s="9">
        <f t="shared" si="6"/>
        <v>0.2</v>
      </c>
      <c r="T36" s="9">
        <f t="shared" si="7"/>
        <v>9.8425196850393699E-3</v>
      </c>
      <c r="U36" s="9">
        <f>R36 / _xlfn.XLOOKUP(A36, Top!A:A, Top!AA:AA)</f>
        <v>4.1322314049586778E-2</v>
      </c>
      <c r="V36" s="1"/>
      <c r="W36" s="1"/>
    </row>
    <row r="37" spans="1:23" x14ac:dyDescent="0.25">
      <c r="A37" s="1" t="s">
        <v>40</v>
      </c>
      <c r="B37" s="6"/>
      <c r="C37" s="7"/>
      <c r="D37" s="8">
        <f t="shared" si="0"/>
        <v>0</v>
      </c>
      <c r="E37" s="6"/>
      <c r="F37" s="7"/>
      <c r="G37" s="8">
        <f t="shared" si="1"/>
        <v>0</v>
      </c>
      <c r="H37" s="6">
        <v>4</v>
      </c>
      <c r="I37" s="7">
        <v>0</v>
      </c>
      <c r="J37" s="8">
        <f t="shared" si="2"/>
        <v>0</v>
      </c>
      <c r="K37" s="6"/>
      <c r="L37" s="7"/>
      <c r="M37" s="8">
        <f t="shared" si="3"/>
        <v>0</v>
      </c>
      <c r="N37" s="6"/>
      <c r="O37" s="7"/>
      <c r="P37" s="8">
        <f t="shared" si="4"/>
        <v>0</v>
      </c>
      <c r="Q37" s="1"/>
      <c r="R37" s="6">
        <f t="shared" si="5"/>
        <v>4</v>
      </c>
      <c r="S37" s="9">
        <f t="shared" si="6"/>
        <v>0</v>
      </c>
      <c r="T37" s="9">
        <f t="shared" si="7"/>
        <v>7.874015748031496E-3</v>
      </c>
      <c r="U37" s="9">
        <f>R37 / _xlfn.XLOOKUP(A37, Top!A:A, Top!AA:AA)</f>
        <v>6.25E-2</v>
      </c>
      <c r="V37" s="1"/>
      <c r="W37" s="1"/>
    </row>
    <row r="38" spans="1:23" x14ac:dyDescent="0.25">
      <c r="A38" s="25" t="s">
        <v>210</v>
      </c>
      <c r="B38" s="6"/>
      <c r="C38" s="7"/>
      <c r="D38" s="8">
        <f t="shared" si="0"/>
        <v>0</v>
      </c>
      <c r="E38" s="6"/>
      <c r="F38" s="7"/>
      <c r="G38" s="8">
        <f t="shared" si="1"/>
        <v>0</v>
      </c>
      <c r="H38" s="6"/>
      <c r="I38" s="7"/>
      <c r="J38" s="8">
        <f t="shared" si="2"/>
        <v>0</v>
      </c>
      <c r="K38" s="6">
        <v>4</v>
      </c>
      <c r="L38" s="7">
        <v>0</v>
      </c>
      <c r="M38" s="8">
        <f t="shared" si="3"/>
        <v>0</v>
      </c>
      <c r="N38" s="6"/>
      <c r="O38" s="7"/>
      <c r="P38" s="8">
        <f t="shared" si="4"/>
        <v>0</v>
      </c>
      <c r="Q38" s="1"/>
      <c r="R38" s="6">
        <f t="shared" si="5"/>
        <v>4</v>
      </c>
      <c r="S38" s="9">
        <f t="shared" si="6"/>
        <v>0</v>
      </c>
      <c r="T38" s="9">
        <f t="shared" si="7"/>
        <v>7.874015748031496E-3</v>
      </c>
      <c r="U38" s="9">
        <f>R38 / _xlfn.XLOOKUP(A38, Top!A:A, Top!AA:AA)</f>
        <v>6.25E-2</v>
      </c>
    </row>
    <row r="39" spans="1:23" x14ac:dyDescent="0.25">
      <c r="A39" s="1" t="s">
        <v>28</v>
      </c>
      <c r="B39" s="6">
        <v>3</v>
      </c>
      <c r="C39" s="7">
        <v>0</v>
      </c>
      <c r="D39" s="8">
        <f t="shared" si="0"/>
        <v>0</v>
      </c>
      <c r="E39" s="6"/>
      <c r="F39" s="7"/>
      <c r="G39" s="8">
        <f t="shared" si="1"/>
        <v>0</v>
      </c>
      <c r="H39" s="6"/>
      <c r="I39" s="7"/>
      <c r="J39" s="8">
        <f t="shared" si="2"/>
        <v>0</v>
      </c>
      <c r="K39" s="6"/>
      <c r="L39" s="7"/>
      <c r="M39" s="8">
        <f t="shared" si="3"/>
        <v>0</v>
      </c>
      <c r="N39" s="6"/>
      <c r="O39" s="7"/>
      <c r="P39" s="8">
        <f t="shared" si="4"/>
        <v>0</v>
      </c>
      <c r="Q39" s="1"/>
      <c r="R39" s="6">
        <f t="shared" si="5"/>
        <v>3</v>
      </c>
      <c r="S39" s="9">
        <f t="shared" si="6"/>
        <v>0</v>
      </c>
      <c r="T39" s="9">
        <f t="shared" si="7"/>
        <v>5.905511811023622E-3</v>
      </c>
      <c r="U39" s="9">
        <f>R39 / _xlfn.XLOOKUP(A39, Top!A:A, Top!AA:AA)</f>
        <v>6.1224489795918366E-2</v>
      </c>
    </row>
    <row r="40" spans="1:23" x14ac:dyDescent="0.25">
      <c r="A40" s="1" t="s">
        <v>36</v>
      </c>
      <c r="B40" s="6"/>
      <c r="C40" s="7"/>
      <c r="D40" s="8">
        <f t="shared" si="0"/>
        <v>0</v>
      </c>
      <c r="E40" s="6">
        <v>1</v>
      </c>
      <c r="F40" s="7">
        <v>0</v>
      </c>
      <c r="G40" s="8">
        <f t="shared" si="1"/>
        <v>0</v>
      </c>
      <c r="H40" s="6">
        <v>1</v>
      </c>
      <c r="I40" s="7">
        <v>0</v>
      </c>
      <c r="J40" s="8">
        <f t="shared" si="2"/>
        <v>0</v>
      </c>
      <c r="K40" s="6"/>
      <c r="L40" s="7"/>
      <c r="M40" s="8">
        <f t="shared" si="3"/>
        <v>0</v>
      </c>
      <c r="N40" s="6"/>
      <c r="O40" s="7"/>
      <c r="P40" s="8">
        <f t="shared" si="4"/>
        <v>0</v>
      </c>
      <c r="Q40" s="1"/>
      <c r="R40" s="6">
        <f t="shared" si="5"/>
        <v>2</v>
      </c>
      <c r="S40" s="9">
        <f t="shared" si="6"/>
        <v>0</v>
      </c>
      <c r="T40" s="9">
        <f t="shared" si="7"/>
        <v>3.937007874015748E-3</v>
      </c>
      <c r="U40" s="9">
        <f>R40 / _xlfn.XLOOKUP(A40, Top!A:A, Top!AA:AA)</f>
        <v>5.5555555555555552E-2</v>
      </c>
    </row>
    <row r="41" spans="1:23" x14ac:dyDescent="0.25">
      <c r="A41" s="1" t="s">
        <v>58</v>
      </c>
      <c r="B41" s="6"/>
      <c r="C41" s="7"/>
      <c r="D41" s="8">
        <f t="shared" si="0"/>
        <v>0</v>
      </c>
      <c r="E41" s="6"/>
      <c r="F41" s="7"/>
      <c r="G41" s="8">
        <f t="shared" si="1"/>
        <v>0</v>
      </c>
      <c r="H41" s="6">
        <v>2</v>
      </c>
      <c r="I41" s="7">
        <v>0</v>
      </c>
      <c r="J41" s="8">
        <f t="shared" si="2"/>
        <v>0</v>
      </c>
      <c r="K41" s="6"/>
      <c r="L41" s="7"/>
      <c r="M41" s="8">
        <f t="shared" si="3"/>
        <v>0</v>
      </c>
      <c r="N41" s="6"/>
      <c r="O41" s="7"/>
      <c r="P41" s="8">
        <f t="shared" si="4"/>
        <v>0</v>
      </c>
      <c r="Q41" s="1"/>
      <c r="R41" s="6">
        <f t="shared" si="5"/>
        <v>2</v>
      </c>
      <c r="S41" s="9">
        <f t="shared" si="6"/>
        <v>0</v>
      </c>
      <c r="T41" s="9">
        <f t="shared" si="7"/>
        <v>3.937007874015748E-3</v>
      </c>
      <c r="U41" s="9">
        <f>R41 / _xlfn.XLOOKUP(A41, Top!A:A, Top!AA:AA)</f>
        <v>0.4</v>
      </c>
    </row>
    <row r="42" spans="1:23" x14ac:dyDescent="0.25">
      <c r="A42" s="1" t="s">
        <v>108</v>
      </c>
      <c r="B42" s="6"/>
      <c r="C42" s="7"/>
      <c r="D42" s="8">
        <f t="shared" si="0"/>
        <v>0</v>
      </c>
      <c r="E42" s="6"/>
      <c r="F42" s="7"/>
      <c r="G42" s="8">
        <f t="shared" si="1"/>
        <v>0</v>
      </c>
      <c r="H42" s="6">
        <v>1</v>
      </c>
      <c r="I42" s="7">
        <v>0</v>
      </c>
      <c r="J42" s="8">
        <f t="shared" si="2"/>
        <v>0</v>
      </c>
      <c r="K42" s="6"/>
      <c r="L42" s="7"/>
      <c r="M42" s="8">
        <f t="shared" si="3"/>
        <v>0</v>
      </c>
      <c r="N42" s="6"/>
      <c r="O42" s="7"/>
      <c r="P42" s="8">
        <f t="shared" si="4"/>
        <v>0</v>
      </c>
      <c r="Q42" s="1"/>
      <c r="R42" s="6">
        <f t="shared" si="5"/>
        <v>1</v>
      </c>
      <c r="S42" s="9">
        <f t="shared" si="6"/>
        <v>0</v>
      </c>
      <c r="T42" s="9">
        <f t="shared" si="7"/>
        <v>1.968503937007874E-3</v>
      </c>
      <c r="U42" s="9">
        <f>R42 / _xlfn.XLOOKUP(A42, Top!A:A, Top!AA:AA)</f>
        <v>0.2</v>
      </c>
    </row>
    <row r="43" spans="1:23" x14ac:dyDescent="0.25">
      <c r="A43" s="25" t="s">
        <v>74</v>
      </c>
      <c r="B43" s="6"/>
      <c r="C43" s="7"/>
      <c r="D43" s="8">
        <f t="shared" si="0"/>
        <v>0</v>
      </c>
      <c r="E43" s="6"/>
      <c r="F43" s="7"/>
      <c r="G43" s="8">
        <f t="shared" si="1"/>
        <v>0</v>
      </c>
      <c r="H43" s="6"/>
      <c r="I43" s="7"/>
      <c r="J43" s="8">
        <f t="shared" si="2"/>
        <v>0</v>
      </c>
      <c r="K43" s="6">
        <v>1</v>
      </c>
      <c r="L43" s="7">
        <v>0</v>
      </c>
      <c r="M43" s="8">
        <f t="shared" si="3"/>
        <v>0</v>
      </c>
      <c r="N43" s="6"/>
      <c r="O43" s="7"/>
      <c r="P43" s="8">
        <f t="shared" si="4"/>
        <v>0</v>
      </c>
      <c r="Q43" s="1"/>
      <c r="R43" s="6">
        <f t="shared" si="5"/>
        <v>1</v>
      </c>
      <c r="S43" s="9">
        <f t="shared" si="6"/>
        <v>0</v>
      </c>
      <c r="T43" s="9">
        <f t="shared" si="7"/>
        <v>1.968503937007874E-3</v>
      </c>
      <c r="U43" s="9">
        <f>R43 / _xlfn.XLOOKUP(A43, Top!A:A, Top!AA:AA)</f>
        <v>1</v>
      </c>
    </row>
    <row r="44" spans="1:23" x14ac:dyDescent="0.25">
      <c r="A44" s="25" t="s">
        <v>112</v>
      </c>
      <c r="B44" s="6"/>
      <c r="C44" s="7"/>
      <c r="D44" s="8">
        <f t="shared" si="0"/>
        <v>0</v>
      </c>
      <c r="E44" s="6"/>
      <c r="F44" s="7"/>
      <c r="G44" s="8">
        <f t="shared" si="1"/>
        <v>0</v>
      </c>
      <c r="H44" s="6"/>
      <c r="I44" s="7"/>
      <c r="J44" s="8">
        <f t="shared" si="2"/>
        <v>0</v>
      </c>
      <c r="K44" s="6">
        <v>1</v>
      </c>
      <c r="L44" s="7">
        <v>0</v>
      </c>
      <c r="M44" s="8">
        <f t="shared" si="3"/>
        <v>0</v>
      </c>
      <c r="N44" s="6"/>
      <c r="O44" s="7"/>
      <c r="P44" s="8">
        <f t="shared" si="4"/>
        <v>0</v>
      </c>
      <c r="Q44" s="1"/>
      <c r="R44" s="6">
        <f t="shared" si="5"/>
        <v>1</v>
      </c>
      <c r="S44" s="9">
        <f t="shared" si="6"/>
        <v>0</v>
      </c>
      <c r="T44" s="9">
        <f t="shared" si="7"/>
        <v>1.968503937007874E-3</v>
      </c>
      <c r="U44" s="9">
        <f>R44 / _xlfn.XLOOKUP(A44, Top!A:A, Top!AA:AA)</f>
        <v>4.1666666666666664E-2</v>
      </c>
    </row>
    <row r="45" spans="1:23" x14ac:dyDescent="0.25">
      <c r="A45" s="1" t="s">
        <v>30</v>
      </c>
      <c r="B45" s="6">
        <v>1</v>
      </c>
      <c r="C45" s="7">
        <v>0</v>
      </c>
      <c r="D45" s="8">
        <f t="shared" si="0"/>
        <v>0</v>
      </c>
      <c r="E45" s="6"/>
      <c r="F45" s="7"/>
      <c r="G45" s="8">
        <f t="shared" si="1"/>
        <v>0</v>
      </c>
      <c r="H45" s="6"/>
      <c r="I45" s="7"/>
      <c r="J45" s="8">
        <f t="shared" si="2"/>
        <v>0</v>
      </c>
      <c r="K45" s="6"/>
      <c r="L45" s="7"/>
      <c r="M45" s="8">
        <f t="shared" si="3"/>
        <v>0</v>
      </c>
      <c r="N45" s="6"/>
      <c r="O45" s="7"/>
      <c r="P45" s="8">
        <f t="shared" si="4"/>
        <v>0</v>
      </c>
      <c r="Q45" s="1"/>
      <c r="R45" s="6">
        <f t="shared" si="5"/>
        <v>1</v>
      </c>
      <c r="S45" s="9">
        <f t="shared" si="6"/>
        <v>0</v>
      </c>
      <c r="T45" s="9">
        <f t="shared" si="7"/>
        <v>1.968503937007874E-3</v>
      </c>
      <c r="U45" s="9">
        <f>R45 / _xlfn.XLOOKUP(A45, Top!A:A, Top!AA:AA)</f>
        <v>5.2631578947368418E-2</v>
      </c>
    </row>
    <row r="46" spans="1:23" x14ac:dyDescent="0.25">
      <c r="A46" s="1" t="s">
        <v>200</v>
      </c>
      <c r="B46" s="6"/>
      <c r="C46" s="7"/>
      <c r="D46" s="8">
        <f t="shared" si="0"/>
        <v>0</v>
      </c>
      <c r="E46" s="6"/>
      <c r="F46" s="7"/>
      <c r="G46" s="8">
        <f t="shared" si="1"/>
        <v>0</v>
      </c>
      <c r="H46" s="6">
        <v>1</v>
      </c>
      <c r="I46" s="7">
        <v>0</v>
      </c>
      <c r="J46" s="8">
        <f t="shared" si="2"/>
        <v>0</v>
      </c>
      <c r="K46" s="6"/>
      <c r="L46" s="7"/>
      <c r="M46" s="8">
        <f t="shared" si="3"/>
        <v>0</v>
      </c>
      <c r="N46" s="6"/>
      <c r="O46" s="7"/>
      <c r="P46" s="8">
        <f t="shared" si="4"/>
        <v>0</v>
      </c>
      <c r="Q46" s="1"/>
      <c r="R46" s="6">
        <f t="shared" si="5"/>
        <v>1</v>
      </c>
      <c r="S46" s="9">
        <f t="shared" si="6"/>
        <v>0</v>
      </c>
      <c r="T46" s="9">
        <f t="shared" si="7"/>
        <v>1.968503937007874E-3</v>
      </c>
      <c r="U46" s="9">
        <f>R46 / _xlfn.XLOOKUP(A46, Top!A:A, Top!AA:AA)</f>
        <v>0.2</v>
      </c>
    </row>
    <row r="47" spans="1:23" x14ac:dyDescent="0.25">
      <c r="A47" s="25" t="s">
        <v>100</v>
      </c>
      <c r="B47" s="6">
        <v>1</v>
      </c>
      <c r="C47" s="7">
        <v>0</v>
      </c>
      <c r="D47" s="8">
        <f t="shared" si="0"/>
        <v>0</v>
      </c>
      <c r="E47" s="6"/>
      <c r="F47" s="7"/>
      <c r="G47" s="8">
        <f t="shared" si="1"/>
        <v>0</v>
      </c>
      <c r="H47" s="6"/>
      <c r="I47" s="7"/>
      <c r="J47" s="8">
        <f t="shared" si="2"/>
        <v>0</v>
      </c>
      <c r="K47" s="6"/>
      <c r="L47" s="7"/>
      <c r="M47" s="8">
        <f t="shared" si="3"/>
        <v>0</v>
      </c>
      <c r="N47" s="6"/>
      <c r="O47" s="7"/>
      <c r="P47" s="8">
        <f t="shared" si="4"/>
        <v>0</v>
      </c>
      <c r="Q47" s="1"/>
      <c r="R47" s="6">
        <f t="shared" si="5"/>
        <v>1</v>
      </c>
      <c r="S47" s="9">
        <f t="shared" si="6"/>
        <v>0</v>
      </c>
      <c r="T47" s="9">
        <f t="shared" si="7"/>
        <v>1.968503937007874E-3</v>
      </c>
      <c r="U47" s="9">
        <f>R47 / _xlfn.XLOOKUP(A47, Top!A:A, Top!AA:AA)</f>
        <v>0.33333333333333331</v>
      </c>
    </row>
    <row r="48" spans="1:23" x14ac:dyDescent="0.25">
      <c r="U48" s="9"/>
    </row>
    <row r="49" spans="21:21" x14ac:dyDescent="0.25">
      <c r="U49" s="9"/>
    </row>
    <row r="50" spans="21:21" x14ac:dyDescent="0.25">
      <c r="U50" s="9"/>
    </row>
    <row r="51" spans="21:21" x14ac:dyDescent="0.25">
      <c r="U51" s="9"/>
    </row>
    <row r="52" spans="21:21" x14ac:dyDescent="0.25">
      <c r="U52" s="9"/>
    </row>
    <row r="53" spans="21:21" x14ac:dyDescent="0.25">
      <c r="U53" s="9"/>
    </row>
    <row r="54" spans="21:21" x14ac:dyDescent="0.25">
      <c r="U54" s="9"/>
    </row>
    <row r="55" spans="21:21" x14ac:dyDescent="0.25">
      <c r="U55" s="9"/>
    </row>
    <row r="56" spans="21:21" x14ac:dyDescent="0.25">
      <c r="U56" s="9"/>
    </row>
  </sheetData>
  <sortState xmlns:xlrd2="http://schemas.microsoft.com/office/spreadsheetml/2017/richdata2" ref="A3:U47">
    <sortCondition descending="1" ref="S3:S47"/>
  </sortState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1F5A-C0EF-46E2-AE66-F3541C7B3688}">
  <sheetPr>
    <tabColor theme="4" tint="0.59999389629810485"/>
  </sheetPr>
  <dimension ref="A1:W56"/>
  <sheetViews>
    <sheetView workbookViewId="0">
      <selection activeCell="A25" sqref="A25"/>
    </sheetView>
  </sheetViews>
  <sheetFormatPr baseColWidth="10" defaultRowHeight="15" x14ac:dyDescent="0.25"/>
  <sheetData>
    <row r="1" spans="1:23" ht="15.75" x14ac:dyDescent="0.25">
      <c r="A1" s="2" t="s">
        <v>65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30</v>
      </c>
      <c r="B3" s="6"/>
      <c r="C3" s="7"/>
      <c r="D3" s="8">
        <f t="shared" ref="D3:D35" si="0">B3*C3</f>
        <v>0</v>
      </c>
      <c r="E3" s="6"/>
      <c r="F3" s="7"/>
      <c r="G3" s="8">
        <f t="shared" ref="G3:G35" si="1">E3*F3</f>
        <v>0</v>
      </c>
      <c r="H3" s="6"/>
      <c r="I3" s="7"/>
      <c r="J3" s="8">
        <f t="shared" ref="J3:J35" si="2">H3*I3</f>
        <v>0</v>
      </c>
      <c r="K3" s="6"/>
      <c r="L3" s="7"/>
      <c r="M3" s="8">
        <f t="shared" ref="M3:M35" si="3">K3*L3</f>
        <v>0</v>
      </c>
      <c r="N3" s="6"/>
      <c r="O3" s="7"/>
      <c r="P3" s="8">
        <f t="shared" ref="P3:P35" si="4">N3*O3</f>
        <v>0</v>
      </c>
      <c r="Q3" s="1"/>
      <c r="R3" s="6">
        <f t="shared" ref="R3:R35" si="5">B3+E3+H3+K3+N3</f>
        <v>0</v>
      </c>
      <c r="S3" s="9" t="e">
        <f t="shared" ref="S3:S35" si="6">(D3+G3+J3+M3+P3)/R3</f>
        <v>#DIV/0!</v>
      </c>
      <c r="T3" s="9">
        <f t="shared" ref="T3:T35" si="7">R3/$V$3</f>
        <v>0</v>
      </c>
      <c r="U3" s="9">
        <f>R3 / _xlfn.XLOOKUP(A3, Top!A:A, Top!AA:AA)</f>
        <v>0</v>
      </c>
      <c r="V3" s="11">
        <f>SUM(R3:R70)</f>
        <v>347</v>
      </c>
      <c r="W3" s="12">
        <f>(SUM(D3:D100)+SUM(G3:G100)+SUM(J3:J100)+SUM(M3:M100)+SUM(P3:P100)) / V3</f>
        <v>0.31983285302593661</v>
      </c>
    </row>
    <row r="4" spans="1:23" x14ac:dyDescent="0.25">
      <c r="A4" s="25" t="s">
        <v>161</v>
      </c>
      <c r="B4" s="6"/>
      <c r="C4" s="7"/>
      <c r="D4" s="8">
        <f t="shared" si="0"/>
        <v>0</v>
      </c>
      <c r="E4" s="6"/>
      <c r="F4" s="7"/>
      <c r="G4" s="8">
        <f t="shared" si="1"/>
        <v>0</v>
      </c>
      <c r="H4" s="6"/>
      <c r="I4" s="7"/>
      <c r="J4" s="8">
        <f t="shared" si="2"/>
        <v>0</v>
      </c>
      <c r="K4" s="6">
        <v>2</v>
      </c>
      <c r="L4" s="7">
        <v>1</v>
      </c>
      <c r="M4" s="8">
        <f t="shared" si="3"/>
        <v>2</v>
      </c>
      <c r="N4" s="6"/>
      <c r="O4" s="7"/>
      <c r="P4" s="8">
        <f t="shared" si="4"/>
        <v>0</v>
      </c>
      <c r="Q4" s="13"/>
      <c r="R4" s="6">
        <f t="shared" si="5"/>
        <v>2</v>
      </c>
      <c r="S4" s="9">
        <f t="shared" si="6"/>
        <v>1</v>
      </c>
      <c r="T4" s="9">
        <f t="shared" si="7"/>
        <v>5.763688760806916E-3</v>
      </c>
      <c r="U4" s="9">
        <f>R4 / _xlfn.XLOOKUP(A4, Top!A:A, Top!AA:AA)</f>
        <v>0.15384615384615385</v>
      </c>
      <c r="V4" s="6"/>
      <c r="W4" s="9"/>
    </row>
    <row r="5" spans="1:23" x14ac:dyDescent="0.25">
      <c r="A5" s="1" t="s">
        <v>12</v>
      </c>
      <c r="B5" s="6"/>
      <c r="C5" s="7"/>
      <c r="D5" s="8">
        <f t="shared" si="0"/>
        <v>0</v>
      </c>
      <c r="E5" s="6"/>
      <c r="F5" s="7"/>
      <c r="G5" s="8">
        <f t="shared" si="1"/>
        <v>0</v>
      </c>
      <c r="H5" s="6">
        <v>1</v>
      </c>
      <c r="I5" s="7">
        <v>1</v>
      </c>
      <c r="J5" s="8">
        <f t="shared" si="2"/>
        <v>1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1</v>
      </c>
      <c r="S5" s="9">
        <f t="shared" si="6"/>
        <v>1</v>
      </c>
      <c r="T5" s="9">
        <f t="shared" si="7"/>
        <v>2.881844380403458E-3</v>
      </c>
      <c r="U5" s="9">
        <f>R5 / _xlfn.XLOOKUP(A5, Top!A:A, Top!AA:AA)</f>
        <v>3.7037037037037035E-2</v>
      </c>
      <c r="W5" s="1"/>
    </row>
    <row r="6" spans="1:23" x14ac:dyDescent="0.25">
      <c r="A6" s="1" t="s">
        <v>20</v>
      </c>
      <c r="B6" s="6">
        <v>1</v>
      </c>
      <c r="C6" s="7">
        <v>1</v>
      </c>
      <c r="D6" s="8">
        <f t="shared" si="0"/>
        <v>1</v>
      </c>
      <c r="E6" s="6">
        <v>6</v>
      </c>
      <c r="F6" s="7">
        <v>0.5</v>
      </c>
      <c r="G6" s="8">
        <f t="shared" si="1"/>
        <v>3</v>
      </c>
      <c r="H6" s="6"/>
      <c r="I6" s="7"/>
      <c r="J6" s="8">
        <f t="shared" si="2"/>
        <v>0</v>
      </c>
      <c r="K6" s="6">
        <v>1</v>
      </c>
      <c r="L6" s="7">
        <v>1</v>
      </c>
      <c r="M6" s="8">
        <f t="shared" si="3"/>
        <v>1</v>
      </c>
      <c r="N6" s="6"/>
      <c r="O6" s="7"/>
      <c r="P6" s="8">
        <f t="shared" si="4"/>
        <v>0</v>
      </c>
      <c r="Q6" s="1"/>
      <c r="R6" s="6">
        <f t="shared" si="5"/>
        <v>8</v>
      </c>
      <c r="S6" s="9">
        <f t="shared" si="6"/>
        <v>0.625</v>
      </c>
      <c r="T6" s="9">
        <f t="shared" si="7"/>
        <v>2.3054755043227664E-2</v>
      </c>
      <c r="U6" s="9">
        <f>R6 / _xlfn.XLOOKUP(A6, Top!A:A, Top!AA:AA)</f>
        <v>9.5238095238095233E-2</v>
      </c>
      <c r="W6" s="1"/>
    </row>
    <row r="7" spans="1:23" x14ac:dyDescent="0.25">
      <c r="A7" s="1" t="s">
        <v>22</v>
      </c>
      <c r="B7" s="6">
        <v>10</v>
      </c>
      <c r="C7" s="7">
        <v>0.7</v>
      </c>
      <c r="D7" s="8">
        <f t="shared" si="0"/>
        <v>7</v>
      </c>
      <c r="E7" s="6">
        <v>21</v>
      </c>
      <c r="F7" s="7">
        <v>0.33300000000000002</v>
      </c>
      <c r="G7" s="8">
        <f t="shared" si="1"/>
        <v>6.9930000000000003</v>
      </c>
      <c r="H7" s="6">
        <v>10</v>
      </c>
      <c r="I7" s="7">
        <v>0.4</v>
      </c>
      <c r="J7" s="8">
        <f t="shared" si="2"/>
        <v>4</v>
      </c>
      <c r="K7" s="6">
        <v>9</v>
      </c>
      <c r="L7" s="7">
        <v>0.77700000000000002</v>
      </c>
      <c r="M7" s="8">
        <f t="shared" si="3"/>
        <v>6.9930000000000003</v>
      </c>
      <c r="N7" s="6"/>
      <c r="O7" s="7"/>
      <c r="P7" s="8">
        <f t="shared" si="4"/>
        <v>0</v>
      </c>
      <c r="Q7" s="1"/>
      <c r="R7" s="6">
        <f t="shared" si="5"/>
        <v>50</v>
      </c>
      <c r="S7" s="9">
        <f t="shared" si="6"/>
        <v>0.49972000000000011</v>
      </c>
      <c r="T7" s="9">
        <f t="shared" si="7"/>
        <v>0.14409221902017291</v>
      </c>
      <c r="U7" s="9">
        <f>R7 / _xlfn.XLOOKUP(A7, Top!A:A, Top!AA:AA)</f>
        <v>9.7847358121330719E-2</v>
      </c>
      <c r="V7" s="1"/>
      <c r="W7" s="1"/>
    </row>
    <row r="8" spans="1:23" x14ac:dyDescent="0.25">
      <c r="A8" s="1" t="s">
        <v>17</v>
      </c>
      <c r="B8" s="6">
        <v>2</v>
      </c>
      <c r="C8" s="7">
        <v>0</v>
      </c>
      <c r="D8" s="8">
        <f t="shared" si="0"/>
        <v>0</v>
      </c>
      <c r="E8" s="6">
        <v>3</v>
      </c>
      <c r="F8" s="7">
        <v>0</v>
      </c>
      <c r="G8" s="8">
        <f t="shared" si="1"/>
        <v>0</v>
      </c>
      <c r="H8" s="6"/>
      <c r="I8" s="7"/>
      <c r="J8" s="8">
        <f t="shared" si="2"/>
        <v>0</v>
      </c>
      <c r="K8" s="6">
        <v>12</v>
      </c>
      <c r="L8" s="7">
        <v>0.66700000000000004</v>
      </c>
      <c r="M8" s="8">
        <f t="shared" si="3"/>
        <v>8.0040000000000013</v>
      </c>
      <c r="N8" s="6"/>
      <c r="O8" s="7"/>
      <c r="P8" s="8">
        <f t="shared" si="4"/>
        <v>0</v>
      </c>
      <c r="Q8" s="1"/>
      <c r="R8" s="6">
        <f t="shared" si="5"/>
        <v>17</v>
      </c>
      <c r="S8" s="9">
        <f t="shared" si="6"/>
        <v>0.47082352941176481</v>
      </c>
      <c r="T8" s="9">
        <f t="shared" si="7"/>
        <v>4.8991354466858789E-2</v>
      </c>
      <c r="U8" s="9">
        <f>R8 / _xlfn.XLOOKUP(A8, Top!A:A, Top!AA:AA)</f>
        <v>7.2340425531914887E-2</v>
      </c>
      <c r="V8" s="1"/>
      <c r="W8" s="1"/>
    </row>
    <row r="9" spans="1:23" x14ac:dyDescent="0.25">
      <c r="A9" s="23" t="s">
        <v>210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/>
      <c r="I9" s="7"/>
      <c r="J9" s="8">
        <f t="shared" si="2"/>
        <v>0</v>
      </c>
      <c r="K9" s="6">
        <v>11</v>
      </c>
      <c r="L9" s="7">
        <v>0.45500000000000002</v>
      </c>
      <c r="M9" s="8">
        <f t="shared" si="3"/>
        <v>5.0049999999999999</v>
      </c>
      <c r="N9" s="6"/>
      <c r="O9" s="7"/>
      <c r="P9" s="8">
        <f t="shared" si="4"/>
        <v>0</v>
      </c>
      <c r="Q9" s="4"/>
      <c r="R9" s="6">
        <f t="shared" si="5"/>
        <v>11</v>
      </c>
      <c r="S9" s="9">
        <f t="shared" si="6"/>
        <v>0.45500000000000002</v>
      </c>
      <c r="T9" s="9">
        <f t="shared" si="7"/>
        <v>3.1700288184438041E-2</v>
      </c>
      <c r="U9" s="9">
        <f>R9 / _xlfn.XLOOKUP(A9, Top!A:A, Top!AA:AA)</f>
        <v>0.171875</v>
      </c>
      <c r="V9" s="1"/>
      <c r="W9" s="1"/>
    </row>
    <row r="10" spans="1:23" x14ac:dyDescent="0.25">
      <c r="A10" s="1" t="s">
        <v>23</v>
      </c>
      <c r="B10" s="6"/>
      <c r="C10" s="7"/>
      <c r="D10" s="8">
        <f t="shared" si="0"/>
        <v>0</v>
      </c>
      <c r="E10" s="6"/>
      <c r="F10" s="7"/>
      <c r="G10" s="8">
        <f t="shared" si="1"/>
        <v>0</v>
      </c>
      <c r="H10" s="6">
        <v>4</v>
      </c>
      <c r="I10" s="7">
        <v>0.25</v>
      </c>
      <c r="J10" s="8">
        <f t="shared" si="2"/>
        <v>1</v>
      </c>
      <c r="K10" s="6">
        <v>16</v>
      </c>
      <c r="L10" s="7">
        <v>0.375</v>
      </c>
      <c r="M10" s="8">
        <f t="shared" si="3"/>
        <v>6</v>
      </c>
      <c r="N10" s="6"/>
      <c r="O10" s="7"/>
      <c r="P10" s="8">
        <f t="shared" si="4"/>
        <v>0</v>
      </c>
      <c r="Q10" s="4"/>
      <c r="R10" s="6">
        <f t="shared" si="5"/>
        <v>20</v>
      </c>
      <c r="S10" s="9">
        <f t="shared" si="6"/>
        <v>0.35</v>
      </c>
      <c r="T10" s="9">
        <f t="shared" si="7"/>
        <v>5.7636887608069162E-2</v>
      </c>
      <c r="U10" s="9">
        <f>R10 / _xlfn.XLOOKUP(A10, Top!A:A, Top!AA:AA)</f>
        <v>5.128205128205128E-2</v>
      </c>
      <c r="V10" s="1"/>
      <c r="W10" s="1"/>
    </row>
    <row r="11" spans="1:23" x14ac:dyDescent="0.25">
      <c r="A11" s="1" t="s">
        <v>11</v>
      </c>
      <c r="B11" s="6">
        <v>20</v>
      </c>
      <c r="C11" s="7">
        <v>0.45</v>
      </c>
      <c r="D11" s="8">
        <f t="shared" si="0"/>
        <v>9</v>
      </c>
      <c r="E11" s="6">
        <v>3</v>
      </c>
      <c r="F11" s="7">
        <v>0.33300000000000002</v>
      </c>
      <c r="G11" s="8">
        <f t="shared" si="1"/>
        <v>0.99900000000000011</v>
      </c>
      <c r="H11" s="6">
        <v>1</v>
      </c>
      <c r="I11" s="7">
        <v>0</v>
      </c>
      <c r="J11" s="8">
        <f t="shared" si="2"/>
        <v>0</v>
      </c>
      <c r="K11" s="6">
        <v>6</v>
      </c>
      <c r="L11" s="7">
        <v>0</v>
      </c>
      <c r="M11" s="8">
        <f t="shared" si="3"/>
        <v>0</v>
      </c>
      <c r="N11" s="6"/>
      <c r="O11" s="7"/>
      <c r="P11" s="8">
        <f t="shared" si="4"/>
        <v>0</v>
      </c>
      <c r="Q11" s="1"/>
      <c r="R11" s="6">
        <f t="shared" si="5"/>
        <v>30</v>
      </c>
      <c r="S11" s="9">
        <f t="shared" si="6"/>
        <v>0.33330000000000004</v>
      </c>
      <c r="T11" s="9">
        <f t="shared" si="7"/>
        <v>8.645533141210375E-2</v>
      </c>
      <c r="U11" s="9">
        <f>R11 / _xlfn.XLOOKUP(A11, Top!A:A, Top!AA:AA)</f>
        <v>7.874015748031496E-2</v>
      </c>
      <c r="V11" s="1"/>
      <c r="W11" s="1"/>
    </row>
    <row r="12" spans="1:23" x14ac:dyDescent="0.25">
      <c r="A12" s="25" t="s">
        <v>252</v>
      </c>
      <c r="B12" s="6"/>
      <c r="C12" s="7"/>
      <c r="D12" s="8">
        <f t="shared" si="0"/>
        <v>0</v>
      </c>
      <c r="E12" s="6">
        <v>16</v>
      </c>
      <c r="F12" s="7">
        <v>0.375</v>
      </c>
      <c r="G12" s="8">
        <f t="shared" si="1"/>
        <v>6</v>
      </c>
      <c r="H12" s="6">
        <v>19</v>
      </c>
      <c r="I12" s="7">
        <v>0.26300000000000001</v>
      </c>
      <c r="J12" s="8">
        <f t="shared" si="2"/>
        <v>4.9969999999999999</v>
      </c>
      <c r="K12" s="6">
        <v>4</v>
      </c>
      <c r="L12" s="7">
        <v>0.5</v>
      </c>
      <c r="M12" s="8">
        <f t="shared" si="3"/>
        <v>2</v>
      </c>
      <c r="N12" s="6"/>
      <c r="O12" s="7"/>
      <c r="P12" s="8">
        <f t="shared" si="4"/>
        <v>0</v>
      </c>
      <c r="Q12" s="4"/>
      <c r="R12" s="6">
        <f t="shared" si="5"/>
        <v>39</v>
      </c>
      <c r="S12" s="9">
        <f t="shared" si="6"/>
        <v>0.33325641025641023</v>
      </c>
      <c r="T12" s="9">
        <f t="shared" si="7"/>
        <v>0.11239193083573487</v>
      </c>
      <c r="U12" s="9">
        <f>R12 / _xlfn.XLOOKUP(A12, Top!A:A, Top!AA:AA)</f>
        <v>5.8383233532934134E-2</v>
      </c>
      <c r="V12" s="1"/>
      <c r="W12" s="1"/>
    </row>
    <row r="13" spans="1:23" x14ac:dyDescent="0.25">
      <c r="A13" s="1" t="s">
        <v>13</v>
      </c>
      <c r="B13" s="6">
        <v>3</v>
      </c>
      <c r="C13" s="7">
        <v>0.33300000000000002</v>
      </c>
      <c r="D13" s="8">
        <f t="shared" si="0"/>
        <v>0.99900000000000011</v>
      </c>
      <c r="E13" s="6"/>
      <c r="F13" s="7"/>
      <c r="G13" s="8">
        <f t="shared" si="1"/>
        <v>0</v>
      </c>
      <c r="H13" s="6"/>
      <c r="I13" s="7"/>
      <c r="J13" s="8">
        <f t="shared" si="2"/>
        <v>0</v>
      </c>
      <c r="K13" s="6"/>
      <c r="L13" s="7"/>
      <c r="M13" s="8">
        <f t="shared" si="3"/>
        <v>0</v>
      </c>
      <c r="N13" s="6"/>
      <c r="O13" s="7"/>
      <c r="P13" s="8">
        <f t="shared" si="4"/>
        <v>0</v>
      </c>
      <c r="Q13" s="1"/>
      <c r="R13" s="6">
        <f t="shared" si="5"/>
        <v>3</v>
      </c>
      <c r="S13" s="9">
        <f t="shared" si="6"/>
        <v>0.33300000000000002</v>
      </c>
      <c r="T13" s="9">
        <f t="shared" si="7"/>
        <v>8.6455331412103754E-3</v>
      </c>
      <c r="U13" s="9">
        <f>R13 / _xlfn.XLOOKUP(A13, Top!A:A, Top!AA:AA)</f>
        <v>2.5000000000000001E-2</v>
      </c>
      <c r="V13" s="1"/>
      <c r="W13" s="1"/>
    </row>
    <row r="14" spans="1:23" x14ac:dyDescent="0.25">
      <c r="A14" s="1" t="s">
        <v>7</v>
      </c>
      <c r="B14" s="6">
        <v>10</v>
      </c>
      <c r="C14" s="7">
        <v>0.5</v>
      </c>
      <c r="D14" s="8">
        <f t="shared" si="0"/>
        <v>5</v>
      </c>
      <c r="E14" s="6">
        <v>9</v>
      </c>
      <c r="F14" s="7">
        <v>0.33300000000000002</v>
      </c>
      <c r="G14" s="8">
        <f t="shared" si="1"/>
        <v>2.9970000000000003</v>
      </c>
      <c r="H14" s="6">
        <v>6</v>
      </c>
      <c r="I14" s="7">
        <v>0</v>
      </c>
      <c r="J14" s="8">
        <f t="shared" si="2"/>
        <v>0</v>
      </c>
      <c r="K14" s="6"/>
      <c r="L14" s="7"/>
      <c r="M14" s="8">
        <f t="shared" si="3"/>
        <v>0</v>
      </c>
      <c r="N14" s="6"/>
      <c r="O14" s="7"/>
      <c r="P14" s="8">
        <f t="shared" si="4"/>
        <v>0</v>
      </c>
      <c r="Q14" s="1"/>
      <c r="R14" s="6">
        <f t="shared" si="5"/>
        <v>25</v>
      </c>
      <c r="S14" s="9">
        <f t="shared" si="6"/>
        <v>0.31988</v>
      </c>
      <c r="T14" s="9">
        <f t="shared" si="7"/>
        <v>7.2046109510086456E-2</v>
      </c>
      <c r="U14" s="9">
        <f>R14 / _xlfn.XLOOKUP(A14, Top!A:A, Top!AA:AA)</f>
        <v>4.7080979284369114E-2</v>
      </c>
      <c r="V14" s="1"/>
      <c r="W14" s="1"/>
    </row>
    <row r="15" spans="1:23" x14ac:dyDescent="0.25">
      <c r="A15" s="1" t="s">
        <v>9</v>
      </c>
      <c r="B15" s="6">
        <v>3</v>
      </c>
      <c r="C15" s="7">
        <v>0.33300000000000002</v>
      </c>
      <c r="D15" s="8">
        <f t="shared" si="0"/>
        <v>0.99900000000000011</v>
      </c>
      <c r="E15" s="6"/>
      <c r="F15" s="7"/>
      <c r="G15" s="8">
        <f t="shared" si="1"/>
        <v>0</v>
      </c>
      <c r="H15" s="6">
        <v>13</v>
      </c>
      <c r="I15" s="7">
        <v>0.23100000000000001</v>
      </c>
      <c r="J15" s="8">
        <f t="shared" si="2"/>
        <v>3.0030000000000001</v>
      </c>
      <c r="K15" s="6">
        <v>3</v>
      </c>
      <c r="L15" s="7">
        <v>0.66700000000000004</v>
      </c>
      <c r="M15" s="8">
        <f t="shared" si="3"/>
        <v>2.0010000000000003</v>
      </c>
      <c r="N15" s="6"/>
      <c r="O15" s="7"/>
      <c r="P15" s="8">
        <f t="shared" si="4"/>
        <v>0</v>
      </c>
      <c r="Q15" s="1"/>
      <c r="R15" s="6">
        <f t="shared" si="5"/>
        <v>19</v>
      </c>
      <c r="S15" s="9">
        <f t="shared" si="6"/>
        <v>0.3159473684210527</v>
      </c>
      <c r="T15" s="9">
        <f t="shared" si="7"/>
        <v>5.4755043227665709E-2</v>
      </c>
      <c r="U15" s="9">
        <f>R15 / _xlfn.XLOOKUP(A15, Top!A:A, Top!AA:AA)</f>
        <v>5.8282208588957052E-2</v>
      </c>
      <c r="V15" s="1"/>
      <c r="W15" s="1"/>
    </row>
    <row r="16" spans="1:23" x14ac:dyDescent="0.25">
      <c r="A16" s="1" t="s">
        <v>10</v>
      </c>
      <c r="B16" s="6">
        <v>8</v>
      </c>
      <c r="C16" s="7">
        <v>0.25</v>
      </c>
      <c r="D16" s="8">
        <f t="shared" si="0"/>
        <v>2</v>
      </c>
      <c r="E16" s="6">
        <v>12</v>
      </c>
      <c r="F16" s="7">
        <v>0.33300000000000002</v>
      </c>
      <c r="G16" s="8">
        <f t="shared" si="1"/>
        <v>3.9960000000000004</v>
      </c>
      <c r="H16" s="6"/>
      <c r="I16" s="7"/>
      <c r="J16" s="8">
        <f t="shared" si="2"/>
        <v>0</v>
      </c>
      <c r="K16" s="6"/>
      <c r="L16" s="7"/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20</v>
      </c>
      <c r="S16" s="9">
        <f t="shared" si="6"/>
        <v>0.29980000000000001</v>
      </c>
      <c r="T16" s="9">
        <f t="shared" si="7"/>
        <v>5.7636887608069162E-2</v>
      </c>
      <c r="U16" s="9">
        <f>R16 / _xlfn.XLOOKUP(A16, Top!A:A, Top!AA:AA)</f>
        <v>9.2592592592592587E-2</v>
      </c>
      <c r="V16" s="1"/>
      <c r="W16" s="1"/>
    </row>
    <row r="17" spans="1:23" x14ac:dyDescent="0.25">
      <c r="A17" s="1" t="s">
        <v>27</v>
      </c>
      <c r="B17" s="6">
        <v>4</v>
      </c>
      <c r="C17" s="7">
        <v>0.25</v>
      </c>
      <c r="D17" s="8">
        <f t="shared" si="0"/>
        <v>1</v>
      </c>
      <c r="E17" s="6"/>
      <c r="F17" s="7"/>
      <c r="G17" s="8">
        <f t="shared" si="1"/>
        <v>0</v>
      </c>
      <c r="H17" s="6"/>
      <c r="I17" s="7"/>
      <c r="J17" s="8">
        <f t="shared" si="2"/>
        <v>0</v>
      </c>
      <c r="K17" s="6"/>
      <c r="L17" s="7"/>
      <c r="M17" s="8">
        <f t="shared" si="3"/>
        <v>0</v>
      </c>
      <c r="N17" s="6"/>
      <c r="O17" s="7"/>
      <c r="P17" s="8">
        <f t="shared" si="4"/>
        <v>0</v>
      </c>
      <c r="Q17" s="1"/>
      <c r="R17" s="6">
        <f t="shared" si="5"/>
        <v>4</v>
      </c>
      <c r="S17" s="9">
        <f t="shared" si="6"/>
        <v>0.25</v>
      </c>
      <c r="T17" s="9">
        <f t="shared" si="7"/>
        <v>1.1527377521613832E-2</v>
      </c>
      <c r="U17" s="9">
        <f>R17 / _xlfn.XLOOKUP(A17, Top!A:A, Top!AA:AA)</f>
        <v>8.8888888888888892E-2</v>
      </c>
      <c r="V17" s="1"/>
      <c r="W17" s="1"/>
    </row>
    <row r="18" spans="1:23" x14ac:dyDescent="0.25">
      <c r="A18" s="1" t="s">
        <v>16</v>
      </c>
      <c r="B18" s="6"/>
      <c r="C18" s="7"/>
      <c r="D18" s="8">
        <f t="shared" si="0"/>
        <v>0</v>
      </c>
      <c r="E18" s="6">
        <v>14</v>
      </c>
      <c r="F18" s="7">
        <v>0.28599999999999998</v>
      </c>
      <c r="G18" s="8">
        <f t="shared" si="1"/>
        <v>4.0039999999999996</v>
      </c>
      <c r="H18" s="6">
        <v>8</v>
      </c>
      <c r="I18" s="7">
        <v>0.125</v>
      </c>
      <c r="J18" s="8">
        <f t="shared" si="2"/>
        <v>1</v>
      </c>
      <c r="K18" s="6">
        <v>8</v>
      </c>
      <c r="L18" s="7">
        <v>0.25</v>
      </c>
      <c r="M18" s="8">
        <f t="shared" si="3"/>
        <v>2</v>
      </c>
      <c r="N18" s="6"/>
      <c r="O18" s="7"/>
      <c r="P18" s="8">
        <f t="shared" si="4"/>
        <v>0</v>
      </c>
      <c r="Q18" s="1"/>
      <c r="R18" s="6">
        <f t="shared" si="5"/>
        <v>30</v>
      </c>
      <c r="S18" s="9">
        <f t="shared" si="6"/>
        <v>0.23346666666666666</v>
      </c>
      <c r="T18" s="9">
        <f t="shared" si="7"/>
        <v>8.645533141210375E-2</v>
      </c>
      <c r="U18" s="9">
        <f>R18 / _xlfn.XLOOKUP(A18, Top!A:A, Top!AA:AA)</f>
        <v>7.281553398058252E-2</v>
      </c>
      <c r="V18" s="1"/>
      <c r="W18" s="1"/>
    </row>
    <row r="19" spans="1:23" x14ac:dyDescent="0.25">
      <c r="A19" s="23" t="s">
        <v>201</v>
      </c>
      <c r="B19" s="6"/>
      <c r="C19" s="7"/>
      <c r="D19" s="8">
        <f t="shared" si="0"/>
        <v>0</v>
      </c>
      <c r="E19" s="6"/>
      <c r="F19" s="7"/>
      <c r="G19" s="8">
        <f t="shared" si="1"/>
        <v>0</v>
      </c>
      <c r="H19" s="6"/>
      <c r="I19" s="7"/>
      <c r="J19" s="8">
        <f t="shared" si="2"/>
        <v>0</v>
      </c>
      <c r="K19" s="6">
        <v>5</v>
      </c>
      <c r="L19" s="7">
        <v>0.2</v>
      </c>
      <c r="M19" s="8">
        <f t="shared" si="3"/>
        <v>1</v>
      </c>
      <c r="N19" s="6"/>
      <c r="O19" s="7"/>
      <c r="P19" s="8">
        <f t="shared" si="4"/>
        <v>0</v>
      </c>
      <c r="Q19" s="4"/>
      <c r="R19" s="6">
        <f t="shared" si="5"/>
        <v>5</v>
      </c>
      <c r="S19" s="9">
        <f t="shared" si="6"/>
        <v>0.2</v>
      </c>
      <c r="T19" s="9">
        <f t="shared" si="7"/>
        <v>1.4409221902017291E-2</v>
      </c>
      <c r="U19" s="9">
        <f>R19 / _xlfn.XLOOKUP(A19, Top!A:A, Top!AA:AA)</f>
        <v>6.4935064935064929E-2</v>
      </c>
      <c r="V19" s="1"/>
      <c r="W19" s="1"/>
    </row>
    <row r="20" spans="1:23" x14ac:dyDescent="0.25">
      <c r="A20" s="1" t="s">
        <v>8</v>
      </c>
      <c r="B20" s="6"/>
      <c r="C20" s="7"/>
      <c r="D20" s="8">
        <f t="shared" si="0"/>
        <v>0</v>
      </c>
      <c r="E20" s="6">
        <v>1</v>
      </c>
      <c r="F20" s="7">
        <v>0</v>
      </c>
      <c r="G20" s="8">
        <f t="shared" si="1"/>
        <v>0</v>
      </c>
      <c r="H20" s="6"/>
      <c r="I20" s="7"/>
      <c r="J20" s="8">
        <f t="shared" si="2"/>
        <v>0</v>
      </c>
      <c r="K20" s="6">
        <v>4</v>
      </c>
      <c r="L20" s="7">
        <v>0.25</v>
      </c>
      <c r="M20" s="8">
        <f t="shared" si="3"/>
        <v>1</v>
      </c>
      <c r="N20" s="6"/>
      <c r="O20" s="7"/>
      <c r="P20" s="8">
        <f t="shared" si="4"/>
        <v>0</v>
      </c>
      <c r="Q20" s="1"/>
      <c r="R20" s="6">
        <f t="shared" si="5"/>
        <v>5</v>
      </c>
      <c r="S20" s="9">
        <f t="shared" si="6"/>
        <v>0.2</v>
      </c>
      <c r="T20" s="9">
        <f t="shared" si="7"/>
        <v>1.4409221902017291E-2</v>
      </c>
      <c r="U20" s="9">
        <f>R20 / _xlfn.XLOOKUP(A20, Top!A:A, Top!AA:AA)</f>
        <v>1.9305019305019305E-2</v>
      </c>
      <c r="V20" s="1"/>
      <c r="W20" s="1"/>
    </row>
    <row r="21" spans="1:23" x14ac:dyDescent="0.25">
      <c r="A21" s="1" t="s">
        <v>95</v>
      </c>
      <c r="B21" s="6"/>
      <c r="C21" s="7"/>
      <c r="D21" s="8">
        <f t="shared" si="0"/>
        <v>0</v>
      </c>
      <c r="E21" s="6"/>
      <c r="F21" s="7"/>
      <c r="G21" s="8">
        <f t="shared" si="1"/>
        <v>0</v>
      </c>
      <c r="H21" s="6">
        <v>5</v>
      </c>
      <c r="I21" s="7">
        <v>0.2</v>
      </c>
      <c r="J21" s="8">
        <f t="shared" si="2"/>
        <v>1</v>
      </c>
      <c r="K21" s="6"/>
      <c r="L21" s="7"/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5</v>
      </c>
      <c r="S21" s="9">
        <f t="shared" si="6"/>
        <v>0.2</v>
      </c>
      <c r="T21" s="9">
        <f t="shared" si="7"/>
        <v>1.4409221902017291E-2</v>
      </c>
      <c r="U21" s="9">
        <f>R21 / _xlfn.XLOOKUP(A21, Top!A:A, Top!AA:AA)</f>
        <v>0.10638297872340426</v>
      </c>
      <c r="V21" s="1"/>
      <c r="W21" s="1"/>
    </row>
    <row r="22" spans="1:23" x14ac:dyDescent="0.25">
      <c r="A22" s="1" t="s">
        <v>19</v>
      </c>
      <c r="B22" s="6">
        <v>5</v>
      </c>
      <c r="C22" s="7">
        <v>0.2</v>
      </c>
      <c r="D22" s="8">
        <f t="shared" si="0"/>
        <v>1</v>
      </c>
      <c r="E22" s="6">
        <v>2</v>
      </c>
      <c r="F22" s="7">
        <v>0</v>
      </c>
      <c r="G22" s="8">
        <f t="shared" si="1"/>
        <v>0</v>
      </c>
      <c r="H22" s="6">
        <v>1</v>
      </c>
      <c r="I22" s="7">
        <v>0</v>
      </c>
      <c r="J22" s="8">
        <f t="shared" si="2"/>
        <v>0</v>
      </c>
      <c r="K22" s="6"/>
      <c r="L22" s="7"/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8</v>
      </c>
      <c r="S22" s="9">
        <f t="shared" si="6"/>
        <v>0.125</v>
      </c>
      <c r="T22" s="9">
        <f t="shared" si="7"/>
        <v>2.3054755043227664E-2</v>
      </c>
      <c r="U22" s="9">
        <f>R22 / _xlfn.XLOOKUP(A22, Top!A:A, Top!AA:AA)</f>
        <v>5.8394160583941604E-2</v>
      </c>
      <c r="V22" s="1"/>
      <c r="W22" s="1"/>
    </row>
    <row r="23" spans="1:23" x14ac:dyDescent="0.25">
      <c r="A23" s="1" t="s">
        <v>14</v>
      </c>
      <c r="B23" s="6">
        <v>5</v>
      </c>
      <c r="C23" s="7">
        <v>0.2</v>
      </c>
      <c r="D23" s="8">
        <f t="shared" si="0"/>
        <v>1</v>
      </c>
      <c r="E23" s="6"/>
      <c r="F23" s="7"/>
      <c r="G23" s="8">
        <f t="shared" si="1"/>
        <v>0</v>
      </c>
      <c r="H23" s="6">
        <v>1</v>
      </c>
      <c r="I23" s="7">
        <v>0</v>
      </c>
      <c r="J23" s="8">
        <f t="shared" si="2"/>
        <v>0</v>
      </c>
      <c r="K23" s="6">
        <v>3</v>
      </c>
      <c r="L23" s="7">
        <v>0</v>
      </c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9</v>
      </c>
      <c r="S23" s="9">
        <f t="shared" si="6"/>
        <v>0.1111111111111111</v>
      </c>
      <c r="T23" s="9">
        <f t="shared" si="7"/>
        <v>2.5936599423631124E-2</v>
      </c>
      <c r="U23" s="9">
        <f>R23 / _xlfn.XLOOKUP(A23, Top!A:A, Top!AA:AA)</f>
        <v>4.2056074766355138E-2</v>
      </c>
      <c r="V23" s="1"/>
      <c r="W23" s="1"/>
    </row>
    <row r="24" spans="1:23" x14ac:dyDescent="0.25">
      <c r="A24" s="23" t="s">
        <v>208</v>
      </c>
      <c r="B24" s="6"/>
      <c r="C24" s="7"/>
      <c r="D24" s="8">
        <f t="shared" si="0"/>
        <v>0</v>
      </c>
      <c r="E24" s="6"/>
      <c r="F24" s="7"/>
      <c r="G24" s="8">
        <f t="shared" si="1"/>
        <v>0</v>
      </c>
      <c r="H24" s="6"/>
      <c r="I24" s="7"/>
      <c r="J24" s="8">
        <f t="shared" si="2"/>
        <v>0</v>
      </c>
      <c r="K24" s="6">
        <v>16</v>
      </c>
      <c r="L24" s="7">
        <v>6.2E-2</v>
      </c>
      <c r="M24" s="8">
        <f t="shared" si="3"/>
        <v>0.99199999999999999</v>
      </c>
      <c r="N24" s="6"/>
      <c r="O24" s="7"/>
      <c r="P24" s="8">
        <f t="shared" si="4"/>
        <v>0</v>
      </c>
      <c r="Q24" s="1"/>
      <c r="R24" s="6">
        <f t="shared" si="5"/>
        <v>16</v>
      </c>
      <c r="S24" s="9">
        <f t="shared" si="6"/>
        <v>6.2E-2</v>
      </c>
      <c r="T24" s="9">
        <f t="shared" si="7"/>
        <v>4.6109510086455328E-2</v>
      </c>
      <c r="U24" s="9">
        <f>R24 / _xlfn.XLOOKUP(A24, Top!A:A, Top!AA:AA)</f>
        <v>8.3333333333333329E-2</v>
      </c>
      <c r="V24" s="1"/>
      <c r="W24" s="1"/>
    </row>
    <row r="25" spans="1:23" x14ac:dyDescent="0.25">
      <c r="A25" s="1" t="s">
        <v>15</v>
      </c>
      <c r="B25" s="6">
        <v>1</v>
      </c>
      <c r="C25" s="7">
        <v>0</v>
      </c>
      <c r="D25" s="8">
        <f t="shared" si="0"/>
        <v>0</v>
      </c>
      <c r="E25" s="6"/>
      <c r="F25" s="7"/>
      <c r="G25" s="8">
        <f t="shared" si="1"/>
        <v>0</v>
      </c>
      <c r="H25" s="6">
        <v>3</v>
      </c>
      <c r="I25" s="7">
        <v>0</v>
      </c>
      <c r="J25" s="8">
        <f t="shared" si="2"/>
        <v>0</v>
      </c>
      <c r="K25" s="6"/>
      <c r="L25" s="7"/>
      <c r="M25" s="8">
        <f t="shared" si="3"/>
        <v>0</v>
      </c>
      <c r="N25" s="6"/>
      <c r="O25" s="7"/>
      <c r="P25" s="8">
        <f t="shared" si="4"/>
        <v>0</v>
      </c>
      <c r="Q25" s="1"/>
      <c r="R25" s="6">
        <f t="shared" si="5"/>
        <v>4</v>
      </c>
      <c r="S25" s="9">
        <f t="shared" si="6"/>
        <v>0</v>
      </c>
      <c r="T25" s="9">
        <f t="shared" si="7"/>
        <v>1.1527377521613832E-2</v>
      </c>
      <c r="U25" s="9">
        <f>R25 / _xlfn.XLOOKUP(A25, Top!A:A, Top!AA:AA)</f>
        <v>3.3057851239669422E-2</v>
      </c>
      <c r="V25" s="1"/>
      <c r="W25" s="1"/>
    </row>
    <row r="26" spans="1:23" x14ac:dyDescent="0.25">
      <c r="A26" s="1" t="s">
        <v>31</v>
      </c>
      <c r="B26" s="6"/>
      <c r="C26" s="7"/>
      <c r="D26" s="8">
        <f t="shared" si="0"/>
        <v>0</v>
      </c>
      <c r="E26" s="6">
        <v>1</v>
      </c>
      <c r="F26" s="7">
        <v>0</v>
      </c>
      <c r="G26" s="8">
        <f t="shared" si="1"/>
        <v>0</v>
      </c>
      <c r="H26" s="6">
        <v>3</v>
      </c>
      <c r="I26" s="7">
        <v>0</v>
      </c>
      <c r="J26" s="8">
        <f t="shared" si="2"/>
        <v>0</v>
      </c>
      <c r="K26" s="6"/>
      <c r="L26" s="7"/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4</v>
      </c>
      <c r="S26" s="9">
        <f t="shared" si="6"/>
        <v>0</v>
      </c>
      <c r="T26" s="9">
        <f t="shared" si="7"/>
        <v>1.1527377521613832E-2</v>
      </c>
      <c r="U26" s="9">
        <f>R26 / _xlfn.XLOOKUP(A26, Top!A:A, Top!AA:AA)</f>
        <v>6.6666666666666666E-2</v>
      </c>
      <c r="V26" s="1"/>
      <c r="W26" s="1"/>
    </row>
    <row r="27" spans="1:23" x14ac:dyDescent="0.25">
      <c r="A27" s="1" t="s">
        <v>40</v>
      </c>
      <c r="B27" s="6"/>
      <c r="C27" s="7"/>
      <c r="D27" s="8">
        <f t="shared" si="0"/>
        <v>0</v>
      </c>
      <c r="E27" s="6"/>
      <c r="F27" s="7"/>
      <c r="G27" s="8">
        <f t="shared" si="1"/>
        <v>0</v>
      </c>
      <c r="H27" s="6">
        <v>4</v>
      </c>
      <c r="I27" s="7">
        <v>0</v>
      </c>
      <c r="J27" s="8">
        <f t="shared" si="2"/>
        <v>0</v>
      </c>
      <c r="K27" s="6"/>
      <c r="L27" s="7"/>
      <c r="M27" s="8">
        <f t="shared" si="3"/>
        <v>0</v>
      </c>
      <c r="N27" s="6"/>
      <c r="O27" s="7"/>
      <c r="P27" s="8">
        <f t="shared" si="4"/>
        <v>0</v>
      </c>
      <c r="Q27" s="1"/>
      <c r="R27" s="6">
        <f t="shared" si="5"/>
        <v>4</v>
      </c>
      <c r="S27" s="9">
        <f t="shared" si="6"/>
        <v>0</v>
      </c>
      <c r="T27" s="9">
        <f t="shared" si="7"/>
        <v>1.1527377521613832E-2</v>
      </c>
      <c r="U27" s="9">
        <f>R27 / _xlfn.XLOOKUP(A27, Top!A:A, Top!AA:AA)</f>
        <v>6.25E-2</v>
      </c>
      <c r="V27" s="1"/>
      <c r="W27" s="1"/>
    </row>
    <row r="28" spans="1:23" x14ac:dyDescent="0.25">
      <c r="A28" s="1" t="s">
        <v>49</v>
      </c>
      <c r="B28" s="6"/>
      <c r="C28" s="7"/>
      <c r="D28" s="8">
        <f t="shared" si="0"/>
        <v>0</v>
      </c>
      <c r="E28" s="6"/>
      <c r="F28" s="7"/>
      <c r="G28" s="8">
        <f t="shared" si="1"/>
        <v>0</v>
      </c>
      <c r="H28" s="6">
        <v>1</v>
      </c>
      <c r="I28" s="7">
        <v>0</v>
      </c>
      <c r="J28" s="8">
        <f t="shared" si="2"/>
        <v>0</v>
      </c>
      <c r="K28" s="6"/>
      <c r="L28" s="7"/>
      <c r="M28" s="8">
        <f t="shared" si="3"/>
        <v>0</v>
      </c>
      <c r="N28" s="6"/>
      <c r="O28" s="7"/>
      <c r="P28" s="8">
        <f t="shared" si="4"/>
        <v>0</v>
      </c>
      <c r="Q28" s="1"/>
      <c r="R28" s="6">
        <f t="shared" si="5"/>
        <v>1</v>
      </c>
      <c r="S28" s="9">
        <f t="shared" si="6"/>
        <v>0</v>
      </c>
      <c r="T28" s="9">
        <f t="shared" si="7"/>
        <v>2.881844380403458E-3</v>
      </c>
      <c r="U28" s="9">
        <f>R28 / _xlfn.XLOOKUP(A28, Top!A:A, Top!AA:AA)</f>
        <v>7.1428571428571425E-2</v>
      </c>
      <c r="V28" s="1"/>
      <c r="W28" s="1"/>
    </row>
    <row r="29" spans="1:23" x14ac:dyDescent="0.25">
      <c r="A29" s="1" t="s">
        <v>24</v>
      </c>
      <c r="B29" s="6"/>
      <c r="C29" s="7"/>
      <c r="D29" s="8">
        <f t="shared" si="0"/>
        <v>0</v>
      </c>
      <c r="E29" s="6">
        <v>1</v>
      </c>
      <c r="F29" s="7">
        <v>0</v>
      </c>
      <c r="G29" s="8">
        <f t="shared" si="1"/>
        <v>0</v>
      </c>
      <c r="H29" s="6"/>
      <c r="I29" s="7"/>
      <c r="J29" s="8">
        <f t="shared" si="2"/>
        <v>0</v>
      </c>
      <c r="K29" s="6"/>
      <c r="L29" s="7"/>
      <c r="M29" s="8">
        <f t="shared" si="3"/>
        <v>0</v>
      </c>
      <c r="N29" s="6"/>
      <c r="O29" s="7"/>
      <c r="P29" s="8">
        <f t="shared" si="4"/>
        <v>0</v>
      </c>
      <c r="Q29" s="1"/>
      <c r="R29" s="6">
        <f t="shared" si="5"/>
        <v>1</v>
      </c>
      <c r="S29" s="9">
        <f t="shared" si="6"/>
        <v>0</v>
      </c>
      <c r="T29" s="9">
        <f t="shared" si="7"/>
        <v>2.881844380403458E-3</v>
      </c>
      <c r="U29" s="9">
        <f>R29 / _xlfn.XLOOKUP(A29, Top!A:A, Top!AA:AA)</f>
        <v>5.5555555555555552E-2</v>
      </c>
      <c r="V29" s="1"/>
      <c r="W29" s="1"/>
    </row>
    <row r="30" spans="1:23" x14ac:dyDescent="0.25">
      <c r="A30" s="1" t="s">
        <v>43</v>
      </c>
      <c r="B30" s="6">
        <v>1</v>
      </c>
      <c r="C30" s="7">
        <v>0</v>
      </c>
      <c r="D30" s="8">
        <f t="shared" si="0"/>
        <v>0</v>
      </c>
      <c r="E30" s="6"/>
      <c r="F30" s="7"/>
      <c r="G30" s="8">
        <f t="shared" si="1"/>
        <v>0</v>
      </c>
      <c r="H30" s="6"/>
      <c r="I30" s="7"/>
      <c r="J30" s="8">
        <f t="shared" si="2"/>
        <v>0</v>
      </c>
      <c r="K30" s="6"/>
      <c r="L30" s="7"/>
      <c r="M30" s="8">
        <f t="shared" si="3"/>
        <v>0</v>
      </c>
      <c r="N30" s="6"/>
      <c r="O30" s="7"/>
      <c r="P30" s="8">
        <f t="shared" si="4"/>
        <v>0</v>
      </c>
      <c r="Q30" s="1"/>
      <c r="R30" s="6">
        <f t="shared" si="5"/>
        <v>1</v>
      </c>
      <c r="S30" s="9">
        <f t="shared" si="6"/>
        <v>0</v>
      </c>
      <c r="T30" s="9">
        <f t="shared" si="7"/>
        <v>2.881844380403458E-3</v>
      </c>
      <c r="U30" s="9">
        <f>R30 / _xlfn.XLOOKUP(A30, Top!A:A, Top!AA:AA)</f>
        <v>0.1</v>
      </c>
      <c r="V30" s="1"/>
      <c r="W30" s="1"/>
    </row>
    <row r="31" spans="1:23" x14ac:dyDescent="0.25">
      <c r="A31" s="1" t="s">
        <v>37</v>
      </c>
      <c r="B31" s="6"/>
      <c r="C31" s="7"/>
      <c r="D31" s="8">
        <f t="shared" si="0"/>
        <v>0</v>
      </c>
      <c r="E31" s="6"/>
      <c r="F31" s="7"/>
      <c r="G31" s="8">
        <f t="shared" si="1"/>
        <v>0</v>
      </c>
      <c r="H31" s="6">
        <v>1</v>
      </c>
      <c r="I31" s="7">
        <v>0</v>
      </c>
      <c r="J31" s="8">
        <f t="shared" si="2"/>
        <v>0</v>
      </c>
      <c r="K31" s="6"/>
      <c r="L31" s="7"/>
      <c r="M31" s="8">
        <f t="shared" si="3"/>
        <v>0</v>
      </c>
      <c r="N31" s="6"/>
      <c r="O31" s="7"/>
      <c r="P31" s="8">
        <f t="shared" si="4"/>
        <v>0</v>
      </c>
      <c r="Q31" s="1"/>
      <c r="R31" s="6">
        <f t="shared" si="5"/>
        <v>1</v>
      </c>
      <c r="S31" s="9">
        <f t="shared" si="6"/>
        <v>0</v>
      </c>
      <c r="T31" s="9">
        <f t="shared" si="7"/>
        <v>2.881844380403458E-3</v>
      </c>
      <c r="U31" s="9">
        <f>R31 / _xlfn.XLOOKUP(A31, Top!A:A, Top!AA:AA)</f>
        <v>4.5454545454545456E-2</v>
      </c>
      <c r="V31" s="1"/>
      <c r="W31" s="1"/>
    </row>
    <row r="32" spans="1:23" x14ac:dyDescent="0.25">
      <c r="A32" s="1" t="s">
        <v>200</v>
      </c>
      <c r="B32" s="6"/>
      <c r="C32" s="7"/>
      <c r="D32" s="8">
        <f t="shared" si="0"/>
        <v>0</v>
      </c>
      <c r="E32" s="6"/>
      <c r="F32" s="7"/>
      <c r="G32" s="8">
        <f t="shared" si="1"/>
        <v>0</v>
      </c>
      <c r="H32" s="6">
        <v>1</v>
      </c>
      <c r="I32" s="7">
        <v>0</v>
      </c>
      <c r="J32" s="8">
        <f t="shared" si="2"/>
        <v>0</v>
      </c>
      <c r="K32" s="6"/>
      <c r="L32" s="7"/>
      <c r="M32" s="8">
        <f t="shared" si="3"/>
        <v>0</v>
      </c>
      <c r="N32" s="6"/>
      <c r="O32" s="7"/>
      <c r="P32" s="8">
        <f t="shared" si="4"/>
        <v>0</v>
      </c>
      <c r="Q32" s="1"/>
      <c r="R32" s="6">
        <f t="shared" si="5"/>
        <v>1</v>
      </c>
      <c r="S32" s="9">
        <f t="shared" si="6"/>
        <v>0</v>
      </c>
      <c r="T32" s="9">
        <f t="shared" si="7"/>
        <v>2.881844380403458E-3</v>
      </c>
      <c r="U32" s="9">
        <f>R32 / _xlfn.XLOOKUP(A32, Top!A:A, Top!AA:AA)</f>
        <v>0.2</v>
      </c>
      <c r="V32" s="1"/>
      <c r="W32" s="1"/>
    </row>
    <row r="33" spans="1:23" x14ac:dyDescent="0.25">
      <c r="A33" s="23" t="s">
        <v>191</v>
      </c>
      <c r="B33" s="6"/>
      <c r="C33" s="7"/>
      <c r="D33" s="8">
        <f t="shared" si="0"/>
        <v>0</v>
      </c>
      <c r="E33" s="6"/>
      <c r="F33" s="7"/>
      <c r="G33" s="8">
        <f t="shared" si="1"/>
        <v>0</v>
      </c>
      <c r="H33" s="6"/>
      <c r="I33" s="7"/>
      <c r="J33" s="8">
        <f t="shared" si="2"/>
        <v>0</v>
      </c>
      <c r="K33" s="6">
        <v>1</v>
      </c>
      <c r="L33" s="7">
        <v>0</v>
      </c>
      <c r="M33" s="8">
        <f t="shared" si="3"/>
        <v>0</v>
      </c>
      <c r="N33" s="6"/>
      <c r="O33" s="7"/>
      <c r="P33" s="8">
        <f t="shared" si="4"/>
        <v>0</v>
      </c>
      <c r="Q33" s="1"/>
      <c r="R33" s="6">
        <f t="shared" si="5"/>
        <v>1</v>
      </c>
      <c r="S33" s="9">
        <f t="shared" si="6"/>
        <v>0</v>
      </c>
      <c r="T33" s="9">
        <f t="shared" si="7"/>
        <v>2.881844380403458E-3</v>
      </c>
      <c r="U33" s="9">
        <f>R33 / _xlfn.XLOOKUP(A33, Top!A:A, Top!AA:AA)</f>
        <v>0.25</v>
      </c>
      <c r="V33" s="1"/>
      <c r="W33" s="1"/>
    </row>
    <row r="34" spans="1:23" x14ac:dyDescent="0.25">
      <c r="A34" s="1" t="s">
        <v>32</v>
      </c>
      <c r="B34" s="6">
        <v>1</v>
      </c>
      <c r="C34" s="7">
        <v>0</v>
      </c>
      <c r="D34" s="8">
        <f t="shared" si="0"/>
        <v>0</v>
      </c>
      <c r="E34" s="6"/>
      <c r="F34" s="7"/>
      <c r="G34" s="8">
        <f t="shared" si="1"/>
        <v>0</v>
      </c>
      <c r="H34" s="6"/>
      <c r="I34" s="7"/>
      <c r="J34" s="8">
        <f t="shared" si="2"/>
        <v>0</v>
      </c>
      <c r="K34" s="6"/>
      <c r="L34" s="7"/>
      <c r="M34" s="8">
        <f t="shared" si="3"/>
        <v>0</v>
      </c>
      <c r="N34" s="6"/>
      <c r="O34" s="7"/>
      <c r="P34" s="8">
        <f t="shared" si="4"/>
        <v>0</v>
      </c>
      <c r="Q34" s="1"/>
      <c r="R34" s="6">
        <f t="shared" si="5"/>
        <v>1</v>
      </c>
      <c r="S34" s="9">
        <f t="shared" si="6"/>
        <v>0</v>
      </c>
      <c r="T34" s="9">
        <f t="shared" si="7"/>
        <v>2.881844380403458E-3</v>
      </c>
      <c r="U34" s="9">
        <f>R34 / _xlfn.XLOOKUP(A34, Top!A:A, Top!AA:AA)</f>
        <v>9.0909090909090912E-2</v>
      </c>
      <c r="V34" s="1"/>
      <c r="W34" s="1"/>
    </row>
    <row r="35" spans="1:23" x14ac:dyDescent="0.25">
      <c r="A35" s="1" t="s">
        <v>33</v>
      </c>
      <c r="B35" s="6">
        <v>1</v>
      </c>
      <c r="C35" s="7">
        <v>0</v>
      </c>
      <c r="D35" s="8">
        <f t="shared" si="0"/>
        <v>0</v>
      </c>
      <c r="E35" s="6"/>
      <c r="F35" s="7"/>
      <c r="G35" s="8">
        <f t="shared" si="1"/>
        <v>0</v>
      </c>
      <c r="H35" s="6"/>
      <c r="I35" s="7"/>
      <c r="J35" s="8">
        <f t="shared" si="2"/>
        <v>0</v>
      </c>
      <c r="K35" s="6"/>
      <c r="L35" s="7"/>
      <c r="M35" s="8">
        <f t="shared" si="3"/>
        <v>0</v>
      </c>
      <c r="N35" s="6"/>
      <c r="O35" s="7"/>
      <c r="P35" s="8">
        <f t="shared" si="4"/>
        <v>0</v>
      </c>
      <c r="Q35" s="1"/>
      <c r="R35" s="6">
        <f t="shared" si="5"/>
        <v>1</v>
      </c>
      <c r="S35" s="9">
        <f t="shared" si="6"/>
        <v>0</v>
      </c>
      <c r="T35" s="9">
        <f t="shared" si="7"/>
        <v>2.881844380403458E-3</v>
      </c>
      <c r="U35" s="9">
        <f>R35 / _xlfn.XLOOKUP(A35, Top!A:A, Top!AA:AA)</f>
        <v>2.1739130434782608E-2</v>
      </c>
      <c r="V35" s="1"/>
      <c r="W35" s="1"/>
    </row>
    <row r="36" spans="1:23" x14ac:dyDescent="0.25">
      <c r="B36" s="6"/>
      <c r="C36" s="7"/>
      <c r="D36" s="8">
        <f t="shared" ref="D36:D56" si="8">B36*C36</f>
        <v>0</v>
      </c>
      <c r="E36" s="6"/>
      <c r="F36" s="7"/>
      <c r="G36" s="8">
        <f t="shared" ref="G36:G56" si="9">E36*F36</f>
        <v>0</v>
      </c>
      <c r="H36" s="6"/>
      <c r="I36" s="7"/>
      <c r="J36" s="8">
        <f t="shared" ref="J36:J56" si="10">H36*I36</f>
        <v>0</v>
      </c>
      <c r="K36" s="6"/>
      <c r="L36" s="7"/>
      <c r="M36" s="8">
        <f t="shared" ref="M36:M56" si="11">K36*L36</f>
        <v>0</v>
      </c>
      <c r="N36" s="6"/>
      <c r="O36" s="7"/>
      <c r="P36" s="8">
        <f t="shared" ref="P36:P56" si="12">N36*O36</f>
        <v>0</v>
      </c>
      <c r="Q36" s="1"/>
      <c r="R36" s="6">
        <f t="shared" ref="R36:R56" si="13">B36+E36+H36+K36+N36</f>
        <v>0</v>
      </c>
      <c r="S36" s="9" t="e">
        <f t="shared" ref="S36:S56" si="14">(D36+G36+J36+M36+P36)/R36</f>
        <v>#DIV/0!</v>
      </c>
      <c r="T36" s="9">
        <f t="shared" ref="T36:T56" si="15">R36/$V$3</f>
        <v>0</v>
      </c>
      <c r="U36" s="9" t="e">
        <f>R36 / _xlfn.XLOOKUP(A36, Top!A:A, Top!AA:AA)</f>
        <v>#DIV/0!</v>
      </c>
      <c r="V36" s="1"/>
      <c r="W36" s="1"/>
    </row>
    <row r="37" spans="1:23" x14ac:dyDescent="0.25">
      <c r="B37" s="6"/>
      <c r="C37" s="7"/>
      <c r="D37" s="8">
        <f t="shared" si="8"/>
        <v>0</v>
      </c>
      <c r="E37" s="6"/>
      <c r="F37" s="7"/>
      <c r="G37" s="8">
        <f t="shared" si="9"/>
        <v>0</v>
      </c>
      <c r="H37" s="6"/>
      <c r="I37" s="7"/>
      <c r="J37" s="8">
        <f t="shared" si="10"/>
        <v>0</v>
      </c>
      <c r="K37" s="6"/>
      <c r="L37" s="7"/>
      <c r="M37" s="8">
        <f t="shared" si="11"/>
        <v>0</v>
      </c>
      <c r="N37" s="6"/>
      <c r="O37" s="7"/>
      <c r="P37" s="8">
        <f t="shared" si="12"/>
        <v>0</v>
      </c>
      <c r="Q37" s="1"/>
      <c r="R37" s="6">
        <f t="shared" si="13"/>
        <v>0</v>
      </c>
      <c r="S37" s="9" t="e">
        <f t="shared" si="14"/>
        <v>#DIV/0!</v>
      </c>
      <c r="T37" s="9">
        <f t="shared" si="15"/>
        <v>0</v>
      </c>
      <c r="U37" s="9" t="e">
        <f>R37 / _xlfn.XLOOKUP(A37, Top!A:A, Top!AA:AA)</f>
        <v>#DIV/0!</v>
      </c>
      <c r="V37" s="1"/>
      <c r="W37" s="1"/>
    </row>
    <row r="38" spans="1:23" x14ac:dyDescent="0.25">
      <c r="B38" s="6"/>
      <c r="C38" s="7"/>
      <c r="D38" s="8">
        <f t="shared" si="8"/>
        <v>0</v>
      </c>
      <c r="E38" s="6"/>
      <c r="F38" s="7"/>
      <c r="G38" s="8">
        <f t="shared" si="9"/>
        <v>0</v>
      </c>
      <c r="H38" s="6"/>
      <c r="I38" s="7"/>
      <c r="J38" s="8">
        <f t="shared" si="10"/>
        <v>0</v>
      </c>
      <c r="K38" s="6"/>
      <c r="L38" s="7"/>
      <c r="M38" s="8">
        <f t="shared" si="11"/>
        <v>0</v>
      </c>
      <c r="N38" s="6"/>
      <c r="O38" s="7"/>
      <c r="P38" s="8">
        <f t="shared" si="12"/>
        <v>0</v>
      </c>
      <c r="Q38" s="1"/>
      <c r="R38" s="6">
        <f t="shared" si="13"/>
        <v>0</v>
      </c>
      <c r="S38" s="9" t="e">
        <f t="shared" si="14"/>
        <v>#DIV/0!</v>
      </c>
      <c r="T38" s="9">
        <f t="shared" si="15"/>
        <v>0</v>
      </c>
      <c r="U38" s="9" t="e">
        <f>R38 / _xlfn.XLOOKUP(A38, Top!A:A, Top!AA:AA)</f>
        <v>#DIV/0!</v>
      </c>
      <c r="V38" s="1"/>
      <c r="W38" s="1"/>
    </row>
    <row r="39" spans="1:23" x14ac:dyDescent="0.25">
      <c r="B39" s="6"/>
      <c r="C39" s="7"/>
      <c r="D39" s="8">
        <f t="shared" si="8"/>
        <v>0</v>
      </c>
      <c r="E39" s="6"/>
      <c r="F39" s="7"/>
      <c r="G39" s="8">
        <f t="shared" si="9"/>
        <v>0</v>
      </c>
      <c r="H39" s="6"/>
      <c r="I39" s="7"/>
      <c r="J39" s="8">
        <f t="shared" si="10"/>
        <v>0</v>
      </c>
      <c r="K39" s="6"/>
      <c r="L39" s="7"/>
      <c r="M39" s="8">
        <f t="shared" si="11"/>
        <v>0</v>
      </c>
      <c r="N39" s="6"/>
      <c r="O39" s="7"/>
      <c r="P39" s="8">
        <f t="shared" si="12"/>
        <v>0</v>
      </c>
      <c r="Q39" s="1"/>
      <c r="R39" s="6">
        <f t="shared" si="13"/>
        <v>0</v>
      </c>
      <c r="S39" s="9" t="e">
        <f t="shared" si="14"/>
        <v>#DIV/0!</v>
      </c>
      <c r="T39" s="9">
        <f t="shared" si="15"/>
        <v>0</v>
      </c>
      <c r="U39" s="9" t="e">
        <f>R39 / _xlfn.XLOOKUP(A39, Top!A:A, Top!AA:AA)</f>
        <v>#DIV/0!</v>
      </c>
      <c r="V39" s="1"/>
      <c r="W39" s="1"/>
    </row>
    <row r="40" spans="1:23" x14ac:dyDescent="0.25">
      <c r="B40" s="6"/>
      <c r="C40" s="7"/>
      <c r="D40" s="8">
        <f t="shared" si="8"/>
        <v>0</v>
      </c>
      <c r="E40" s="6"/>
      <c r="F40" s="7"/>
      <c r="G40" s="8">
        <f t="shared" si="9"/>
        <v>0</v>
      </c>
      <c r="H40" s="6"/>
      <c r="I40" s="7"/>
      <c r="J40" s="8">
        <f t="shared" si="10"/>
        <v>0</v>
      </c>
      <c r="K40" s="6"/>
      <c r="L40" s="7"/>
      <c r="M40" s="8">
        <f t="shared" si="11"/>
        <v>0</v>
      </c>
      <c r="N40" s="6"/>
      <c r="O40" s="7"/>
      <c r="P40" s="8">
        <f t="shared" si="12"/>
        <v>0</v>
      </c>
      <c r="Q40" s="1"/>
      <c r="R40" s="6">
        <f t="shared" si="13"/>
        <v>0</v>
      </c>
      <c r="S40" s="9" t="e">
        <f t="shared" si="14"/>
        <v>#DIV/0!</v>
      </c>
      <c r="T40" s="9">
        <f t="shared" si="15"/>
        <v>0</v>
      </c>
      <c r="U40" s="9" t="e">
        <f>R40 / _xlfn.XLOOKUP(A40, Top!A:A, Top!AA:AA)</f>
        <v>#DIV/0!</v>
      </c>
    </row>
    <row r="41" spans="1:23" x14ac:dyDescent="0.25">
      <c r="B41" s="6"/>
      <c r="C41" s="7"/>
      <c r="D41" s="8">
        <f t="shared" si="8"/>
        <v>0</v>
      </c>
      <c r="E41" s="6"/>
      <c r="F41" s="7"/>
      <c r="G41" s="8">
        <f t="shared" si="9"/>
        <v>0</v>
      </c>
      <c r="H41" s="6"/>
      <c r="I41" s="7"/>
      <c r="J41" s="8">
        <f t="shared" si="10"/>
        <v>0</v>
      </c>
      <c r="K41" s="6"/>
      <c r="L41" s="7"/>
      <c r="M41" s="8">
        <f t="shared" si="11"/>
        <v>0</v>
      </c>
      <c r="N41" s="6"/>
      <c r="O41" s="7"/>
      <c r="P41" s="8">
        <f t="shared" si="12"/>
        <v>0</v>
      </c>
      <c r="Q41" s="1"/>
      <c r="R41" s="6">
        <f t="shared" si="13"/>
        <v>0</v>
      </c>
      <c r="S41" s="9" t="e">
        <f t="shared" si="14"/>
        <v>#DIV/0!</v>
      </c>
      <c r="T41" s="9">
        <f t="shared" si="15"/>
        <v>0</v>
      </c>
      <c r="U41" s="9" t="e">
        <f>R41 / _xlfn.XLOOKUP(A41, Top!A:A, Top!AA:AA)</f>
        <v>#DIV/0!</v>
      </c>
    </row>
    <row r="42" spans="1:23" x14ac:dyDescent="0.25">
      <c r="B42" s="6"/>
      <c r="C42" s="7"/>
      <c r="D42" s="8">
        <f t="shared" si="8"/>
        <v>0</v>
      </c>
      <c r="E42" s="6"/>
      <c r="F42" s="7"/>
      <c r="G42" s="8">
        <f t="shared" si="9"/>
        <v>0</v>
      </c>
      <c r="H42" s="6"/>
      <c r="I42" s="7"/>
      <c r="J42" s="8">
        <f t="shared" si="10"/>
        <v>0</v>
      </c>
      <c r="K42" s="6"/>
      <c r="L42" s="7"/>
      <c r="M42" s="8">
        <f t="shared" si="11"/>
        <v>0</v>
      </c>
      <c r="N42" s="6"/>
      <c r="O42" s="7"/>
      <c r="P42" s="8">
        <f t="shared" si="12"/>
        <v>0</v>
      </c>
      <c r="Q42" s="1"/>
      <c r="R42" s="6">
        <f t="shared" si="13"/>
        <v>0</v>
      </c>
      <c r="S42" s="9" t="e">
        <f t="shared" si="14"/>
        <v>#DIV/0!</v>
      </c>
      <c r="T42" s="9">
        <f t="shared" si="15"/>
        <v>0</v>
      </c>
      <c r="U42" s="9" t="e">
        <f>R42 / _xlfn.XLOOKUP(A42, Top!A:A, Top!AA:AA)</f>
        <v>#DIV/0!</v>
      </c>
    </row>
    <row r="43" spans="1:23" x14ac:dyDescent="0.25">
      <c r="B43" s="6"/>
      <c r="C43" s="7"/>
      <c r="D43" s="8">
        <f t="shared" si="8"/>
        <v>0</v>
      </c>
      <c r="E43" s="6"/>
      <c r="F43" s="7"/>
      <c r="G43" s="8">
        <f t="shared" si="9"/>
        <v>0</v>
      </c>
      <c r="H43" s="6"/>
      <c r="I43" s="7"/>
      <c r="J43" s="8">
        <f t="shared" si="10"/>
        <v>0</v>
      </c>
      <c r="K43" s="6"/>
      <c r="L43" s="7"/>
      <c r="M43" s="8">
        <f t="shared" si="11"/>
        <v>0</v>
      </c>
      <c r="N43" s="6"/>
      <c r="O43" s="7"/>
      <c r="P43" s="8">
        <f t="shared" si="12"/>
        <v>0</v>
      </c>
      <c r="Q43" s="1"/>
      <c r="R43" s="6">
        <f t="shared" si="13"/>
        <v>0</v>
      </c>
      <c r="S43" s="9" t="e">
        <f t="shared" si="14"/>
        <v>#DIV/0!</v>
      </c>
      <c r="T43" s="9">
        <f t="shared" si="15"/>
        <v>0</v>
      </c>
      <c r="U43" s="9" t="e">
        <f>R43 / _xlfn.XLOOKUP(A43, Top!A:A, Top!AA:AA)</f>
        <v>#DIV/0!</v>
      </c>
    </row>
    <row r="44" spans="1:23" x14ac:dyDescent="0.25">
      <c r="B44" s="6"/>
      <c r="C44" s="7"/>
      <c r="D44" s="8">
        <f t="shared" si="8"/>
        <v>0</v>
      </c>
      <c r="E44" s="6"/>
      <c r="F44" s="7"/>
      <c r="G44" s="8">
        <f t="shared" si="9"/>
        <v>0</v>
      </c>
      <c r="H44" s="6"/>
      <c r="I44" s="7"/>
      <c r="J44" s="8">
        <f t="shared" si="10"/>
        <v>0</v>
      </c>
      <c r="K44" s="6"/>
      <c r="L44" s="7"/>
      <c r="M44" s="8">
        <f t="shared" si="11"/>
        <v>0</v>
      </c>
      <c r="N44" s="6"/>
      <c r="O44" s="7"/>
      <c r="P44" s="8">
        <f t="shared" si="12"/>
        <v>0</v>
      </c>
      <c r="Q44" s="1"/>
      <c r="R44" s="6">
        <f t="shared" si="13"/>
        <v>0</v>
      </c>
      <c r="S44" s="9" t="e">
        <f t="shared" si="14"/>
        <v>#DIV/0!</v>
      </c>
      <c r="T44" s="9">
        <f t="shared" si="15"/>
        <v>0</v>
      </c>
      <c r="U44" s="9" t="e">
        <f>R44 / _xlfn.XLOOKUP(A44, Top!A:A, Top!AA:AA)</f>
        <v>#DIV/0!</v>
      </c>
    </row>
    <row r="45" spans="1:23" x14ac:dyDescent="0.25">
      <c r="B45" s="6"/>
      <c r="C45" s="7"/>
      <c r="D45" s="8">
        <f t="shared" si="8"/>
        <v>0</v>
      </c>
      <c r="E45" s="6"/>
      <c r="F45" s="7"/>
      <c r="G45" s="8">
        <f t="shared" si="9"/>
        <v>0</v>
      </c>
      <c r="H45" s="6"/>
      <c r="I45" s="7"/>
      <c r="J45" s="8">
        <f t="shared" si="10"/>
        <v>0</v>
      </c>
      <c r="K45" s="6"/>
      <c r="L45" s="7"/>
      <c r="M45" s="8">
        <f t="shared" si="11"/>
        <v>0</v>
      </c>
      <c r="N45" s="6"/>
      <c r="O45" s="7"/>
      <c r="P45" s="8">
        <f t="shared" si="12"/>
        <v>0</v>
      </c>
      <c r="Q45" s="1"/>
      <c r="R45" s="6">
        <f t="shared" si="13"/>
        <v>0</v>
      </c>
      <c r="S45" s="9" t="e">
        <f t="shared" si="14"/>
        <v>#DIV/0!</v>
      </c>
      <c r="T45" s="9">
        <f t="shared" si="15"/>
        <v>0</v>
      </c>
      <c r="U45" s="9" t="e">
        <f>R45 / _xlfn.XLOOKUP(A45, Top!A:A, Top!AA:AA)</f>
        <v>#DIV/0!</v>
      </c>
    </row>
    <row r="46" spans="1:23" x14ac:dyDescent="0.25">
      <c r="B46" s="6"/>
      <c r="C46" s="7"/>
      <c r="D46" s="8">
        <f t="shared" si="8"/>
        <v>0</v>
      </c>
      <c r="E46" s="6"/>
      <c r="F46" s="7"/>
      <c r="G46" s="8">
        <f t="shared" si="9"/>
        <v>0</v>
      </c>
      <c r="H46" s="6"/>
      <c r="I46" s="7"/>
      <c r="J46" s="8">
        <f t="shared" si="10"/>
        <v>0</v>
      </c>
      <c r="K46" s="6"/>
      <c r="L46" s="7"/>
      <c r="M46" s="8">
        <f t="shared" si="11"/>
        <v>0</v>
      </c>
      <c r="N46" s="6"/>
      <c r="O46" s="7"/>
      <c r="P46" s="8">
        <f t="shared" si="12"/>
        <v>0</v>
      </c>
      <c r="Q46" s="1"/>
      <c r="R46" s="6">
        <f t="shared" si="13"/>
        <v>0</v>
      </c>
      <c r="S46" s="9" t="e">
        <f t="shared" si="14"/>
        <v>#DIV/0!</v>
      </c>
      <c r="T46" s="9">
        <f t="shared" si="15"/>
        <v>0</v>
      </c>
      <c r="U46" s="9" t="e">
        <f>R46 / _xlfn.XLOOKUP(A46, Top!A:A, Top!AA:AA)</f>
        <v>#DIV/0!</v>
      </c>
    </row>
    <row r="47" spans="1:23" x14ac:dyDescent="0.25">
      <c r="B47" s="6"/>
      <c r="C47" s="7"/>
      <c r="D47" s="8">
        <f t="shared" si="8"/>
        <v>0</v>
      </c>
      <c r="E47" s="6"/>
      <c r="F47" s="7"/>
      <c r="G47" s="8">
        <f t="shared" si="9"/>
        <v>0</v>
      </c>
      <c r="H47" s="6"/>
      <c r="I47" s="7"/>
      <c r="J47" s="8">
        <f t="shared" si="10"/>
        <v>0</v>
      </c>
      <c r="K47" s="6"/>
      <c r="L47" s="7"/>
      <c r="M47" s="8">
        <f t="shared" si="11"/>
        <v>0</v>
      </c>
      <c r="N47" s="6"/>
      <c r="O47" s="7"/>
      <c r="P47" s="8">
        <f t="shared" si="12"/>
        <v>0</v>
      </c>
      <c r="Q47" s="1"/>
      <c r="R47" s="6">
        <f t="shared" si="13"/>
        <v>0</v>
      </c>
      <c r="S47" s="9" t="e">
        <f t="shared" si="14"/>
        <v>#DIV/0!</v>
      </c>
      <c r="T47" s="9">
        <f t="shared" si="15"/>
        <v>0</v>
      </c>
      <c r="U47" s="5" t="s">
        <v>242</v>
      </c>
    </row>
    <row r="48" spans="1:23" x14ac:dyDescent="0.25">
      <c r="B48" s="6"/>
      <c r="C48" s="7"/>
      <c r="D48" s="8">
        <f t="shared" si="8"/>
        <v>0</v>
      </c>
      <c r="E48" s="6"/>
      <c r="F48" s="7"/>
      <c r="G48" s="8">
        <f t="shared" si="9"/>
        <v>0</v>
      </c>
      <c r="H48" s="6"/>
      <c r="I48" s="7"/>
      <c r="J48" s="8">
        <f t="shared" si="10"/>
        <v>0</v>
      </c>
      <c r="K48" s="6"/>
      <c r="L48" s="7"/>
      <c r="M48" s="8">
        <f t="shared" si="11"/>
        <v>0</v>
      </c>
      <c r="N48" s="6"/>
      <c r="O48" s="7"/>
      <c r="P48" s="8">
        <f t="shared" si="12"/>
        <v>0</v>
      </c>
      <c r="Q48" s="1"/>
      <c r="R48" s="6">
        <f t="shared" si="13"/>
        <v>0</v>
      </c>
      <c r="S48" s="9" t="e">
        <f t="shared" si="14"/>
        <v>#DIV/0!</v>
      </c>
      <c r="T48" s="9">
        <f t="shared" si="15"/>
        <v>0</v>
      </c>
      <c r="U48" s="5" t="s">
        <v>242</v>
      </c>
    </row>
    <row r="49" spans="2:21" x14ac:dyDescent="0.25">
      <c r="B49" s="6"/>
      <c r="C49" s="7"/>
      <c r="D49" s="8">
        <f t="shared" si="8"/>
        <v>0</v>
      </c>
      <c r="E49" s="6"/>
      <c r="F49" s="7"/>
      <c r="G49" s="8">
        <f t="shared" si="9"/>
        <v>0</v>
      </c>
      <c r="H49" s="6"/>
      <c r="I49" s="7"/>
      <c r="J49" s="8">
        <f t="shared" si="10"/>
        <v>0</v>
      </c>
      <c r="K49" s="6"/>
      <c r="L49" s="7"/>
      <c r="M49" s="8">
        <f t="shared" si="11"/>
        <v>0</v>
      </c>
      <c r="N49" s="6"/>
      <c r="O49" s="7"/>
      <c r="P49" s="8">
        <f t="shared" si="12"/>
        <v>0</v>
      </c>
      <c r="Q49" s="1"/>
      <c r="R49" s="6">
        <f t="shared" si="13"/>
        <v>0</v>
      </c>
      <c r="S49" s="9" t="e">
        <f t="shared" si="14"/>
        <v>#DIV/0!</v>
      </c>
      <c r="T49" s="9">
        <f t="shared" si="15"/>
        <v>0</v>
      </c>
      <c r="U49" s="9" t="e">
        <f>R49 / _xlfn.XLOOKUP(A49, Top!A:A, Top!AA:AA)</f>
        <v>#DIV/0!</v>
      </c>
    </row>
    <row r="50" spans="2:21" x14ac:dyDescent="0.25">
      <c r="B50" s="6"/>
      <c r="C50" s="7"/>
      <c r="D50" s="8">
        <f t="shared" si="8"/>
        <v>0</v>
      </c>
      <c r="E50" s="6"/>
      <c r="F50" s="7"/>
      <c r="G50" s="8">
        <f t="shared" si="9"/>
        <v>0</v>
      </c>
      <c r="H50" s="6"/>
      <c r="I50" s="7"/>
      <c r="J50" s="8">
        <f t="shared" si="10"/>
        <v>0</v>
      </c>
      <c r="K50" s="6"/>
      <c r="L50" s="7"/>
      <c r="M50" s="8">
        <f t="shared" si="11"/>
        <v>0</v>
      </c>
      <c r="N50" s="6"/>
      <c r="O50" s="7"/>
      <c r="P50" s="8">
        <f t="shared" si="12"/>
        <v>0</v>
      </c>
      <c r="Q50" s="1"/>
      <c r="R50" s="6">
        <f t="shared" si="13"/>
        <v>0</v>
      </c>
      <c r="S50" s="9" t="e">
        <f t="shared" si="14"/>
        <v>#DIV/0!</v>
      </c>
      <c r="T50" s="9">
        <f t="shared" si="15"/>
        <v>0</v>
      </c>
      <c r="U50" s="9" t="e">
        <f>R50 / _xlfn.XLOOKUP(A50, Top!A:A, Top!AA:AA)</f>
        <v>#DIV/0!</v>
      </c>
    </row>
    <row r="51" spans="2:21" x14ac:dyDescent="0.25">
      <c r="B51" s="6"/>
      <c r="C51" s="7"/>
      <c r="D51" s="8">
        <f t="shared" si="8"/>
        <v>0</v>
      </c>
      <c r="E51" s="6"/>
      <c r="F51" s="7"/>
      <c r="G51" s="8">
        <f t="shared" si="9"/>
        <v>0</v>
      </c>
      <c r="H51" s="6"/>
      <c r="I51" s="7"/>
      <c r="J51" s="8">
        <f t="shared" si="10"/>
        <v>0</v>
      </c>
      <c r="K51" s="6"/>
      <c r="L51" s="7"/>
      <c r="M51" s="8">
        <f t="shared" si="11"/>
        <v>0</v>
      </c>
      <c r="N51" s="6"/>
      <c r="O51" s="7"/>
      <c r="P51" s="8">
        <f t="shared" si="12"/>
        <v>0</v>
      </c>
      <c r="Q51" s="1"/>
      <c r="R51" s="6">
        <f t="shared" si="13"/>
        <v>0</v>
      </c>
      <c r="S51" s="9" t="e">
        <f t="shared" si="14"/>
        <v>#DIV/0!</v>
      </c>
      <c r="T51" s="9">
        <f t="shared" si="15"/>
        <v>0</v>
      </c>
      <c r="U51" s="9" t="e">
        <f>R51 / _xlfn.XLOOKUP(A51, Top!A:A, Top!AA:AA)</f>
        <v>#DIV/0!</v>
      </c>
    </row>
    <row r="52" spans="2:21" x14ac:dyDescent="0.25">
      <c r="B52" s="6"/>
      <c r="C52" s="7"/>
      <c r="D52" s="8">
        <f t="shared" si="8"/>
        <v>0</v>
      </c>
      <c r="E52" s="6"/>
      <c r="F52" s="7"/>
      <c r="G52" s="8">
        <f t="shared" si="9"/>
        <v>0</v>
      </c>
      <c r="H52" s="6"/>
      <c r="I52" s="7"/>
      <c r="J52" s="8">
        <f t="shared" si="10"/>
        <v>0</v>
      </c>
      <c r="K52" s="6"/>
      <c r="L52" s="7"/>
      <c r="M52" s="8">
        <f t="shared" si="11"/>
        <v>0</v>
      </c>
      <c r="N52" s="6"/>
      <c r="O52" s="7"/>
      <c r="P52" s="8">
        <f t="shared" si="12"/>
        <v>0</v>
      </c>
      <c r="Q52" s="1"/>
      <c r="R52" s="6">
        <f t="shared" si="13"/>
        <v>0</v>
      </c>
      <c r="S52" s="9" t="e">
        <f t="shared" si="14"/>
        <v>#DIV/0!</v>
      </c>
      <c r="T52" s="9">
        <f t="shared" si="15"/>
        <v>0</v>
      </c>
      <c r="U52" s="9" t="e">
        <f>R52 / _xlfn.XLOOKUP(A52, Top!A:A, Top!AA:AA)</f>
        <v>#DIV/0!</v>
      </c>
    </row>
    <row r="53" spans="2:21" x14ac:dyDescent="0.25">
      <c r="B53" s="6"/>
      <c r="C53" s="7"/>
      <c r="D53" s="8">
        <f t="shared" si="8"/>
        <v>0</v>
      </c>
      <c r="E53" s="6"/>
      <c r="F53" s="7"/>
      <c r="G53" s="8">
        <f t="shared" si="9"/>
        <v>0</v>
      </c>
      <c r="H53" s="6"/>
      <c r="I53" s="7"/>
      <c r="J53" s="8">
        <f t="shared" si="10"/>
        <v>0</v>
      </c>
      <c r="K53" s="6"/>
      <c r="L53" s="7"/>
      <c r="M53" s="8">
        <f t="shared" si="11"/>
        <v>0</v>
      </c>
      <c r="N53" s="6"/>
      <c r="O53" s="7"/>
      <c r="P53" s="8">
        <f t="shared" si="12"/>
        <v>0</v>
      </c>
      <c r="Q53" s="1"/>
      <c r="R53" s="6">
        <f t="shared" si="13"/>
        <v>0</v>
      </c>
      <c r="S53" s="9" t="e">
        <f t="shared" si="14"/>
        <v>#DIV/0!</v>
      </c>
      <c r="T53" s="9">
        <f t="shared" si="15"/>
        <v>0</v>
      </c>
      <c r="U53" s="9" t="e">
        <f>R53 / _xlfn.XLOOKUP(A53, Top!A:A, Top!AA:AA)</f>
        <v>#DIV/0!</v>
      </c>
    </row>
    <row r="54" spans="2:21" x14ac:dyDescent="0.25">
      <c r="B54" s="6"/>
      <c r="C54" s="7"/>
      <c r="D54" s="8">
        <f t="shared" si="8"/>
        <v>0</v>
      </c>
      <c r="E54" s="6"/>
      <c r="F54" s="7"/>
      <c r="G54" s="8">
        <f t="shared" si="9"/>
        <v>0</v>
      </c>
      <c r="H54" s="6"/>
      <c r="I54" s="7"/>
      <c r="J54" s="8">
        <f t="shared" si="10"/>
        <v>0</v>
      </c>
      <c r="K54" s="6"/>
      <c r="L54" s="7"/>
      <c r="M54" s="8">
        <f t="shared" si="11"/>
        <v>0</v>
      </c>
      <c r="N54" s="6"/>
      <c r="O54" s="7"/>
      <c r="P54" s="8">
        <f t="shared" si="12"/>
        <v>0</v>
      </c>
      <c r="Q54" s="1"/>
      <c r="R54" s="6">
        <f t="shared" si="13"/>
        <v>0</v>
      </c>
      <c r="S54" s="9" t="e">
        <f t="shared" si="14"/>
        <v>#DIV/0!</v>
      </c>
      <c r="T54" s="9">
        <f t="shared" si="15"/>
        <v>0</v>
      </c>
      <c r="U54" s="9" t="e">
        <f>R54 / _xlfn.XLOOKUP(A54, Top!A:A, Top!AA:AA)</f>
        <v>#DIV/0!</v>
      </c>
    </row>
    <row r="55" spans="2:21" x14ac:dyDescent="0.25">
      <c r="B55" s="6"/>
      <c r="C55" s="7"/>
      <c r="D55" s="8">
        <f t="shared" si="8"/>
        <v>0</v>
      </c>
      <c r="E55" s="6"/>
      <c r="F55" s="7"/>
      <c r="G55" s="8">
        <f t="shared" si="9"/>
        <v>0</v>
      </c>
      <c r="H55" s="6"/>
      <c r="I55" s="7"/>
      <c r="J55" s="8">
        <f t="shared" si="10"/>
        <v>0</v>
      </c>
      <c r="K55" s="6"/>
      <c r="L55" s="7"/>
      <c r="M55" s="8">
        <f t="shared" si="11"/>
        <v>0</v>
      </c>
      <c r="N55" s="6"/>
      <c r="O55" s="7"/>
      <c r="P55" s="8">
        <f t="shared" si="12"/>
        <v>0</v>
      </c>
      <c r="Q55" s="1"/>
      <c r="R55" s="6">
        <f t="shared" si="13"/>
        <v>0</v>
      </c>
      <c r="S55" s="9" t="e">
        <f t="shared" si="14"/>
        <v>#DIV/0!</v>
      </c>
      <c r="T55" s="9">
        <f t="shared" si="15"/>
        <v>0</v>
      </c>
      <c r="U55" s="9" t="e">
        <f>R55 / _xlfn.XLOOKUP(A55, Top!A:A, Top!AA:AA)</f>
        <v>#DIV/0!</v>
      </c>
    </row>
    <row r="56" spans="2:21" x14ac:dyDescent="0.25">
      <c r="B56" s="6"/>
      <c r="C56" s="7"/>
      <c r="D56" s="8">
        <f t="shared" si="8"/>
        <v>0</v>
      </c>
      <c r="E56" s="6"/>
      <c r="F56" s="7"/>
      <c r="G56" s="8">
        <f t="shared" si="9"/>
        <v>0</v>
      </c>
      <c r="H56" s="6"/>
      <c r="I56" s="7"/>
      <c r="J56" s="8">
        <f t="shared" si="10"/>
        <v>0</v>
      </c>
      <c r="K56" s="6"/>
      <c r="L56" s="7"/>
      <c r="M56" s="8">
        <f t="shared" si="11"/>
        <v>0</v>
      </c>
      <c r="N56" s="6"/>
      <c r="O56" s="7"/>
      <c r="P56" s="8">
        <f t="shared" si="12"/>
        <v>0</v>
      </c>
      <c r="Q56" s="1"/>
      <c r="R56" s="6">
        <f t="shared" si="13"/>
        <v>0</v>
      </c>
      <c r="S56" s="9" t="e">
        <f t="shared" si="14"/>
        <v>#DIV/0!</v>
      </c>
      <c r="T56" s="9">
        <f t="shared" si="15"/>
        <v>0</v>
      </c>
      <c r="U56" s="9" t="e">
        <f>R56 / _xlfn.XLOOKUP(A56, Top!A:A, Top!AA:AA)</f>
        <v>#DIV/0!</v>
      </c>
    </row>
  </sheetData>
  <sortState xmlns:xlrd2="http://schemas.microsoft.com/office/spreadsheetml/2017/richdata2" ref="A3:U35">
    <sortCondition descending="1" ref="S3:S35"/>
  </sortState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00D85-F8E9-4239-9A1A-9330262AFE00}">
  <sheetPr>
    <tabColor theme="4" tint="0.59999389629810485"/>
  </sheetPr>
  <dimension ref="A1:W34"/>
  <sheetViews>
    <sheetView workbookViewId="0">
      <selection activeCell="A19" sqref="A19"/>
    </sheetView>
  </sheetViews>
  <sheetFormatPr baseColWidth="10" defaultRowHeight="15" x14ac:dyDescent="0.25"/>
  <sheetData>
    <row r="1" spans="1:23" ht="15.75" x14ac:dyDescent="0.25">
      <c r="A1" s="2" t="s">
        <v>202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10</v>
      </c>
      <c r="B3" s="6"/>
      <c r="C3" s="7"/>
      <c r="D3" s="8">
        <f t="shared" ref="D3:D24" si="0">B3*C3</f>
        <v>0</v>
      </c>
      <c r="E3" s="6">
        <v>1</v>
      </c>
      <c r="F3" s="7">
        <v>1</v>
      </c>
      <c r="G3" s="8">
        <f t="shared" ref="G3:G24" si="1">E3*F3</f>
        <v>1</v>
      </c>
      <c r="H3" s="6">
        <v>1</v>
      </c>
      <c r="I3" s="7">
        <v>1</v>
      </c>
      <c r="J3" s="8">
        <f t="shared" ref="J3:J24" si="2">H3*I3</f>
        <v>1</v>
      </c>
      <c r="K3" s="6">
        <v>1</v>
      </c>
      <c r="L3" s="7">
        <v>1</v>
      </c>
      <c r="M3" s="8">
        <f t="shared" ref="M3:M24" si="3">K3*L3</f>
        <v>1</v>
      </c>
      <c r="N3" s="6"/>
      <c r="O3" s="7"/>
      <c r="P3" s="8">
        <f t="shared" ref="P3:P24" si="4">N3*O3</f>
        <v>0</v>
      </c>
      <c r="Q3" s="1"/>
      <c r="R3" s="6">
        <f t="shared" ref="R3:R24" si="5">B3+E3+H3+K3+N3</f>
        <v>3</v>
      </c>
      <c r="S3" s="9">
        <f t="shared" ref="S3:S24" si="6">(D3+G3+J3+M3+P3)/R3</f>
        <v>1</v>
      </c>
      <c r="T3" s="9">
        <f t="shared" ref="T3:T24" si="7">R3/$V$3</f>
        <v>1.2987012987012988E-2</v>
      </c>
      <c r="U3" s="9">
        <f>R3 / _xlfn.XLOOKUP(A3, Top!A:A, Top!AA:AA)</f>
        <v>1.3888888888888888E-2</v>
      </c>
      <c r="V3" s="11">
        <f>SUM(R3:R48)</f>
        <v>231</v>
      </c>
      <c r="W3" s="12">
        <f>(SUM(D3:D78)+SUM(G3:G78)+SUM(J3:J78)+SUM(M3:M78)+SUM(P3:P78)) / V3</f>
        <v>0.52379653679653682</v>
      </c>
    </row>
    <row r="4" spans="1:23" x14ac:dyDescent="0.25">
      <c r="A4" s="25" t="s">
        <v>261</v>
      </c>
      <c r="B4" s="6"/>
      <c r="C4" s="7"/>
      <c r="D4" s="8">
        <f t="shared" si="0"/>
        <v>0</v>
      </c>
      <c r="E4" s="6"/>
      <c r="F4" s="7"/>
      <c r="G4" s="8">
        <f t="shared" si="1"/>
        <v>0</v>
      </c>
      <c r="H4" s="6"/>
      <c r="I4" s="7"/>
      <c r="J4" s="8">
        <f t="shared" si="2"/>
        <v>0</v>
      </c>
      <c r="K4" s="6"/>
      <c r="L4" s="7"/>
      <c r="M4" s="8">
        <f t="shared" si="3"/>
        <v>0</v>
      </c>
      <c r="N4" s="6">
        <v>1</v>
      </c>
      <c r="O4" s="7">
        <v>1</v>
      </c>
      <c r="P4" s="8">
        <f t="shared" si="4"/>
        <v>1</v>
      </c>
      <c r="Q4" s="1"/>
      <c r="R4" s="6">
        <f t="shared" si="5"/>
        <v>1</v>
      </c>
      <c r="S4" s="9">
        <f t="shared" si="6"/>
        <v>1</v>
      </c>
      <c r="T4" s="9">
        <f t="shared" si="7"/>
        <v>4.329004329004329E-3</v>
      </c>
      <c r="U4" s="9">
        <f>R4 / _xlfn.XLOOKUP(A4, Top!A:A, Top!AA:AA)</f>
        <v>7.1428571428571425E-2</v>
      </c>
      <c r="V4" s="1"/>
      <c r="W4" s="1"/>
    </row>
    <row r="5" spans="1:23" x14ac:dyDescent="0.25">
      <c r="A5" s="1" t="s">
        <v>95</v>
      </c>
      <c r="B5" s="6"/>
      <c r="C5" s="7"/>
      <c r="D5" s="8">
        <f t="shared" si="0"/>
        <v>0</v>
      </c>
      <c r="E5" s="6"/>
      <c r="F5" s="7"/>
      <c r="G5" s="8">
        <f t="shared" si="1"/>
        <v>0</v>
      </c>
      <c r="H5" s="6">
        <v>4</v>
      </c>
      <c r="I5" s="7">
        <v>0.75</v>
      </c>
      <c r="J5" s="8">
        <f t="shared" si="2"/>
        <v>3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4</v>
      </c>
      <c r="S5" s="9">
        <f t="shared" si="6"/>
        <v>0.75</v>
      </c>
      <c r="T5" s="9">
        <f t="shared" si="7"/>
        <v>1.7316017316017316E-2</v>
      </c>
      <c r="U5" s="9">
        <f>R5 / _xlfn.XLOOKUP(A5, Top!A:A, Top!AA:AA)</f>
        <v>8.5106382978723402E-2</v>
      </c>
      <c r="V5" s="1"/>
      <c r="W5" s="1"/>
    </row>
    <row r="6" spans="1:23" x14ac:dyDescent="0.25">
      <c r="A6" s="1" t="s">
        <v>14</v>
      </c>
      <c r="B6" s="6"/>
      <c r="C6" s="7"/>
      <c r="D6" s="8">
        <f t="shared" si="0"/>
        <v>0</v>
      </c>
      <c r="E6" s="6"/>
      <c r="F6" s="7"/>
      <c r="G6" s="8">
        <f t="shared" si="1"/>
        <v>0</v>
      </c>
      <c r="H6" s="6"/>
      <c r="I6" s="7"/>
      <c r="J6" s="8">
        <f t="shared" si="2"/>
        <v>0</v>
      </c>
      <c r="K6" s="6">
        <v>7</v>
      </c>
      <c r="L6" s="7">
        <v>0.71399999999999997</v>
      </c>
      <c r="M6" s="8">
        <f t="shared" si="3"/>
        <v>4.9979999999999993</v>
      </c>
      <c r="N6" s="6"/>
      <c r="O6" s="7"/>
      <c r="P6" s="8">
        <f t="shared" si="4"/>
        <v>0</v>
      </c>
      <c r="Q6" s="1"/>
      <c r="R6" s="6">
        <f t="shared" si="5"/>
        <v>7</v>
      </c>
      <c r="S6" s="9">
        <f t="shared" si="6"/>
        <v>0.71399999999999986</v>
      </c>
      <c r="T6" s="9">
        <f t="shared" si="7"/>
        <v>3.0303030303030304E-2</v>
      </c>
      <c r="U6" s="9">
        <f>R6 / _xlfn.XLOOKUP(A6, Top!A:A, Top!AA:AA)</f>
        <v>3.2710280373831772E-2</v>
      </c>
      <c r="V6" s="1"/>
      <c r="W6" s="1"/>
    </row>
    <row r="7" spans="1:23" x14ac:dyDescent="0.25">
      <c r="A7" s="1" t="s">
        <v>8</v>
      </c>
      <c r="B7" s="6"/>
      <c r="C7" s="7"/>
      <c r="D7" s="8">
        <f t="shared" si="0"/>
        <v>0</v>
      </c>
      <c r="E7" s="6"/>
      <c r="F7" s="7"/>
      <c r="G7" s="8">
        <f t="shared" si="1"/>
        <v>0</v>
      </c>
      <c r="H7" s="6"/>
      <c r="I7" s="7"/>
      <c r="J7" s="8">
        <f t="shared" si="2"/>
        <v>0</v>
      </c>
      <c r="K7" s="6">
        <v>9</v>
      </c>
      <c r="L7" s="7">
        <v>0.66700000000000004</v>
      </c>
      <c r="M7" s="8">
        <f t="shared" si="3"/>
        <v>6.0030000000000001</v>
      </c>
      <c r="N7" s="6"/>
      <c r="O7" s="7"/>
      <c r="P7" s="8">
        <f t="shared" si="4"/>
        <v>0</v>
      </c>
      <c r="Q7" s="1"/>
      <c r="R7" s="6">
        <f t="shared" si="5"/>
        <v>9</v>
      </c>
      <c r="S7" s="9">
        <f t="shared" si="6"/>
        <v>0.66700000000000004</v>
      </c>
      <c r="T7" s="9">
        <f t="shared" si="7"/>
        <v>3.896103896103896E-2</v>
      </c>
      <c r="U7" s="9">
        <f>R7 / _xlfn.XLOOKUP(A7, Top!A:A, Top!AA:AA)</f>
        <v>3.4749034749034749E-2</v>
      </c>
      <c r="V7" s="1"/>
      <c r="W7" s="1"/>
    </row>
    <row r="8" spans="1:23" x14ac:dyDescent="0.25">
      <c r="A8" s="1" t="s">
        <v>23</v>
      </c>
      <c r="B8" s="6"/>
      <c r="C8" s="7"/>
      <c r="D8" s="8">
        <f t="shared" si="0"/>
        <v>0</v>
      </c>
      <c r="E8" s="6"/>
      <c r="F8" s="7"/>
      <c r="G8" s="8">
        <f t="shared" si="1"/>
        <v>0</v>
      </c>
      <c r="H8" s="6">
        <v>12</v>
      </c>
      <c r="I8" s="7">
        <v>0.66700000000000004</v>
      </c>
      <c r="J8" s="8">
        <f t="shared" si="2"/>
        <v>8.0040000000000013</v>
      </c>
      <c r="K8" s="6">
        <v>21</v>
      </c>
      <c r="L8" s="7">
        <v>0.57099999999999995</v>
      </c>
      <c r="M8" s="8">
        <f t="shared" si="3"/>
        <v>11.991</v>
      </c>
      <c r="N8" s="6"/>
      <c r="O8" s="7"/>
      <c r="P8" s="8">
        <f t="shared" si="4"/>
        <v>0</v>
      </c>
      <c r="Q8" s="4"/>
      <c r="R8" s="6">
        <f t="shared" si="5"/>
        <v>33</v>
      </c>
      <c r="S8" s="9">
        <f t="shared" si="6"/>
        <v>0.60590909090909095</v>
      </c>
      <c r="T8" s="9">
        <f t="shared" si="7"/>
        <v>0.14285714285714285</v>
      </c>
      <c r="U8" s="9">
        <f>R8 / _xlfn.XLOOKUP(A8, Top!A:A, Top!AA:AA)</f>
        <v>8.461538461538462E-2</v>
      </c>
      <c r="V8" s="1"/>
      <c r="W8" s="1"/>
    </row>
    <row r="9" spans="1:23" x14ac:dyDescent="0.25">
      <c r="A9" s="1" t="s">
        <v>38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/>
      <c r="I9" s="7"/>
      <c r="J9" s="8">
        <f t="shared" si="2"/>
        <v>0</v>
      </c>
      <c r="K9" s="6">
        <v>2</v>
      </c>
      <c r="L9" s="7">
        <v>0.5</v>
      </c>
      <c r="M9" s="8">
        <f t="shared" si="3"/>
        <v>1</v>
      </c>
      <c r="N9" s="6">
        <v>3</v>
      </c>
      <c r="O9" s="7">
        <v>0.66700000000000004</v>
      </c>
      <c r="P9" s="8">
        <f t="shared" si="4"/>
        <v>2.0010000000000003</v>
      </c>
      <c r="Q9" s="1"/>
      <c r="R9" s="6">
        <f t="shared" si="5"/>
        <v>5</v>
      </c>
      <c r="S9" s="9">
        <f t="shared" si="6"/>
        <v>0.60020000000000007</v>
      </c>
      <c r="T9" s="9">
        <f t="shared" si="7"/>
        <v>2.1645021645021644E-2</v>
      </c>
      <c r="U9" s="9">
        <f>R9 / _xlfn.XLOOKUP(A9, Top!A:A, Top!AA:AA)</f>
        <v>0.10204081632653061</v>
      </c>
      <c r="V9" s="1"/>
      <c r="W9" s="1"/>
    </row>
    <row r="10" spans="1:23" x14ac:dyDescent="0.25">
      <c r="A10" s="25" t="s">
        <v>210</v>
      </c>
      <c r="B10" s="6"/>
      <c r="C10" s="7"/>
      <c r="D10" s="8">
        <f t="shared" si="0"/>
        <v>0</v>
      </c>
      <c r="E10" s="6"/>
      <c r="F10" s="7"/>
      <c r="G10" s="8">
        <f t="shared" si="1"/>
        <v>0</v>
      </c>
      <c r="H10" s="6"/>
      <c r="I10" s="7"/>
      <c r="J10" s="8">
        <f t="shared" si="2"/>
        <v>0</v>
      </c>
      <c r="K10" s="6">
        <v>10</v>
      </c>
      <c r="L10" s="7">
        <v>0.6</v>
      </c>
      <c r="M10" s="8">
        <f t="shared" si="3"/>
        <v>6</v>
      </c>
      <c r="N10" s="6"/>
      <c r="O10" s="7"/>
      <c r="P10" s="8">
        <f t="shared" si="4"/>
        <v>0</v>
      </c>
      <c r="Q10" s="1"/>
      <c r="R10" s="6">
        <f t="shared" si="5"/>
        <v>10</v>
      </c>
      <c r="S10" s="9">
        <f t="shared" si="6"/>
        <v>0.6</v>
      </c>
      <c r="T10" s="9">
        <f t="shared" si="7"/>
        <v>4.3290043290043288E-2</v>
      </c>
      <c r="U10" s="9">
        <f>R10 / _xlfn.XLOOKUP(A10, Top!A:A, Top!AA:AA)</f>
        <v>0.15625</v>
      </c>
      <c r="V10" s="1"/>
      <c r="W10" s="1"/>
    </row>
    <row r="11" spans="1:23" x14ac:dyDescent="0.25">
      <c r="A11" s="1" t="s">
        <v>11</v>
      </c>
      <c r="B11" s="6"/>
      <c r="C11" s="7"/>
      <c r="D11" s="8">
        <f t="shared" si="0"/>
        <v>0</v>
      </c>
      <c r="E11" s="6"/>
      <c r="F11" s="7"/>
      <c r="G11" s="8">
        <f t="shared" si="1"/>
        <v>0</v>
      </c>
      <c r="H11" s="6">
        <v>3</v>
      </c>
      <c r="I11" s="7">
        <v>0.33300000000000002</v>
      </c>
      <c r="J11" s="8">
        <f t="shared" si="2"/>
        <v>0.99900000000000011</v>
      </c>
      <c r="K11" s="6">
        <v>9</v>
      </c>
      <c r="L11" s="7">
        <v>0.66700000000000004</v>
      </c>
      <c r="M11" s="8">
        <f t="shared" si="3"/>
        <v>6.0030000000000001</v>
      </c>
      <c r="N11" s="6"/>
      <c r="O11" s="7"/>
      <c r="P11" s="8">
        <f t="shared" si="4"/>
        <v>0</v>
      </c>
      <c r="Q11" s="4"/>
      <c r="R11" s="6">
        <f t="shared" si="5"/>
        <v>12</v>
      </c>
      <c r="S11" s="9">
        <f t="shared" si="6"/>
        <v>0.58350000000000002</v>
      </c>
      <c r="T11" s="9">
        <f t="shared" si="7"/>
        <v>5.1948051948051951E-2</v>
      </c>
      <c r="U11" s="9">
        <f>R11 / _xlfn.XLOOKUP(A11, Top!A:A, Top!AA:AA)</f>
        <v>3.1496062992125984E-2</v>
      </c>
      <c r="V11" s="1"/>
      <c r="W11" s="1"/>
    </row>
    <row r="12" spans="1:23" x14ac:dyDescent="0.25">
      <c r="A12" s="1" t="s">
        <v>40</v>
      </c>
      <c r="B12" s="6"/>
      <c r="C12" s="7"/>
      <c r="D12" s="8">
        <f t="shared" si="0"/>
        <v>0</v>
      </c>
      <c r="E12" s="6"/>
      <c r="F12" s="7"/>
      <c r="G12" s="8">
        <f t="shared" si="1"/>
        <v>0</v>
      </c>
      <c r="H12" s="6">
        <v>9</v>
      </c>
      <c r="I12" s="7">
        <v>0.55600000000000005</v>
      </c>
      <c r="J12" s="8">
        <f t="shared" si="2"/>
        <v>5.0040000000000004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4"/>
      <c r="R12" s="6">
        <f t="shared" si="5"/>
        <v>9</v>
      </c>
      <c r="S12" s="9">
        <f t="shared" si="6"/>
        <v>0.55600000000000005</v>
      </c>
      <c r="T12" s="9">
        <f t="shared" si="7"/>
        <v>3.896103896103896E-2</v>
      </c>
      <c r="U12" s="9">
        <f>R12 / _xlfn.XLOOKUP(A12, Top!A:A, Top!AA:AA)</f>
        <v>0.140625</v>
      </c>
      <c r="V12" s="1"/>
      <c r="W12" s="1"/>
    </row>
    <row r="13" spans="1:23" x14ac:dyDescent="0.25">
      <c r="A13" s="25" t="s">
        <v>252</v>
      </c>
      <c r="B13" s="6"/>
      <c r="C13" s="7"/>
      <c r="D13" s="8">
        <f t="shared" si="0"/>
        <v>0</v>
      </c>
      <c r="E13" s="6"/>
      <c r="F13" s="7"/>
      <c r="G13" s="8">
        <f t="shared" si="1"/>
        <v>0</v>
      </c>
      <c r="H13" s="6">
        <v>31</v>
      </c>
      <c r="I13" s="7">
        <v>0.64500000000000002</v>
      </c>
      <c r="J13" s="8">
        <f t="shared" si="2"/>
        <v>19.995000000000001</v>
      </c>
      <c r="K13" s="6">
        <v>9</v>
      </c>
      <c r="L13" s="7">
        <v>0.33300000000000002</v>
      </c>
      <c r="M13" s="8">
        <f t="shared" si="3"/>
        <v>2.9970000000000003</v>
      </c>
      <c r="N13" s="6">
        <v>3</v>
      </c>
      <c r="O13" s="7">
        <v>0</v>
      </c>
      <c r="P13" s="8">
        <f t="shared" si="4"/>
        <v>0</v>
      </c>
      <c r="Q13" s="1"/>
      <c r="R13" s="6">
        <f t="shared" si="5"/>
        <v>43</v>
      </c>
      <c r="S13" s="9">
        <f t="shared" si="6"/>
        <v>0.53469767441860472</v>
      </c>
      <c r="T13" s="9">
        <f t="shared" si="7"/>
        <v>0.18614718614718614</v>
      </c>
      <c r="U13" s="9">
        <f>R13 / _xlfn.XLOOKUP(A13, Top!A:A, Top!AA:AA)</f>
        <v>6.4371257485029934E-2</v>
      </c>
      <c r="V13" s="1"/>
      <c r="W13" s="1"/>
    </row>
    <row r="14" spans="1:23" x14ac:dyDescent="0.25">
      <c r="A14" s="1" t="s">
        <v>22</v>
      </c>
      <c r="B14" s="6"/>
      <c r="C14" s="7"/>
      <c r="D14" s="8">
        <f t="shared" si="0"/>
        <v>0</v>
      </c>
      <c r="E14" s="6"/>
      <c r="F14" s="7"/>
      <c r="G14" s="8">
        <f t="shared" si="1"/>
        <v>0</v>
      </c>
      <c r="H14" s="6">
        <v>15</v>
      </c>
      <c r="I14" s="7">
        <v>0.53300000000000003</v>
      </c>
      <c r="J14" s="8">
        <f t="shared" si="2"/>
        <v>7.9950000000000001</v>
      </c>
      <c r="K14" s="6">
        <v>12</v>
      </c>
      <c r="L14" s="7">
        <v>0.66700000000000004</v>
      </c>
      <c r="M14" s="8">
        <f t="shared" si="3"/>
        <v>8.0040000000000013</v>
      </c>
      <c r="N14" s="6">
        <v>5</v>
      </c>
      <c r="O14" s="7">
        <v>0.2</v>
      </c>
      <c r="P14" s="8">
        <f t="shared" si="4"/>
        <v>1</v>
      </c>
      <c r="Q14" s="1"/>
      <c r="R14" s="6">
        <f t="shared" si="5"/>
        <v>32</v>
      </c>
      <c r="S14" s="9">
        <f t="shared" si="6"/>
        <v>0.53121875000000007</v>
      </c>
      <c r="T14" s="9">
        <f t="shared" si="7"/>
        <v>0.13852813852813853</v>
      </c>
      <c r="U14" s="9">
        <f>R14 / _xlfn.XLOOKUP(A14, Top!A:A, Top!AA:AA)</f>
        <v>6.262230919765166E-2</v>
      </c>
      <c r="V14" s="1"/>
      <c r="W14" s="1"/>
    </row>
    <row r="15" spans="1:23" x14ac:dyDescent="0.25">
      <c r="A15" s="1" t="s">
        <v>7</v>
      </c>
      <c r="B15" s="6"/>
      <c r="C15" s="7"/>
      <c r="D15" s="8">
        <f t="shared" si="0"/>
        <v>0</v>
      </c>
      <c r="E15" s="6"/>
      <c r="F15" s="7"/>
      <c r="G15" s="8">
        <f t="shared" si="1"/>
        <v>0</v>
      </c>
      <c r="H15" s="6">
        <v>14</v>
      </c>
      <c r="I15" s="7">
        <v>0.5</v>
      </c>
      <c r="J15" s="8">
        <f t="shared" si="2"/>
        <v>7</v>
      </c>
      <c r="K15" s="6">
        <v>1</v>
      </c>
      <c r="L15" s="7">
        <v>0</v>
      </c>
      <c r="M15" s="8">
        <f t="shared" si="3"/>
        <v>0</v>
      </c>
      <c r="N15" s="6">
        <v>1</v>
      </c>
      <c r="O15" s="7">
        <v>1</v>
      </c>
      <c r="P15" s="8">
        <f t="shared" si="4"/>
        <v>1</v>
      </c>
      <c r="Q15" s="1"/>
      <c r="R15" s="6">
        <f t="shared" si="5"/>
        <v>16</v>
      </c>
      <c r="S15" s="9">
        <f t="shared" si="6"/>
        <v>0.5</v>
      </c>
      <c r="T15" s="9">
        <f t="shared" si="7"/>
        <v>6.9264069264069264E-2</v>
      </c>
      <c r="U15" s="9">
        <f>R15 / _xlfn.XLOOKUP(A15, Top!A:A, Top!AA:AA)</f>
        <v>3.0131826741996232E-2</v>
      </c>
      <c r="V15" s="1"/>
      <c r="W15" s="1"/>
    </row>
    <row r="16" spans="1:23" x14ac:dyDescent="0.25">
      <c r="A16" s="1" t="s">
        <v>18</v>
      </c>
      <c r="B16" s="6"/>
      <c r="C16" s="7"/>
      <c r="D16" s="8">
        <f t="shared" si="0"/>
        <v>0</v>
      </c>
      <c r="E16" s="6"/>
      <c r="F16" s="7"/>
      <c r="G16" s="8">
        <f t="shared" si="1"/>
        <v>0</v>
      </c>
      <c r="H16" s="6">
        <v>2</v>
      </c>
      <c r="I16" s="7">
        <v>0.5</v>
      </c>
      <c r="J16" s="8">
        <f t="shared" si="2"/>
        <v>1</v>
      </c>
      <c r="K16" s="6"/>
      <c r="L16" s="7"/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2</v>
      </c>
      <c r="S16" s="9">
        <f t="shared" si="6"/>
        <v>0.5</v>
      </c>
      <c r="T16" s="9">
        <f t="shared" si="7"/>
        <v>8.658008658008658E-3</v>
      </c>
      <c r="U16" s="9">
        <f>R16 / _xlfn.XLOOKUP(A16, Top!A:A, Top!AA:AA)</f>
        <v>4.1666666666666664E-2</v>
      </c>
      <c r="V16" s="1"/>
      <c r="W16" s="1"/>
    </row>
    <row r="17" spans="1:23" x14ac:dyDescent="0.25">
      <c r="A17" s="1" t="s">
        <v>17</v>
      </c>
      <c r="B17" s="6"/>
      <c r="C17" s="7"/>
      <c r="D17" s="8">
        <f t="shared" si="0"/>
        <v>0</v>
      </c>
      <c r="E17" s="6"/>
      <c r="F17" s="7"/>
      <c r="G17" s="8">
        <f t="shared" si="1"/>
        <v>0</v>
      </c>
      <c r="H17" s="6"/>
      <c r="I17" s="7"/>
      <c r="J17" s="8">
        <f t="shared" si="2"/>
        <v>0</v>
      </c>
      <c r="K17" s="6">
        <v>14</v>
      </c>
      <c r="L17" s="7">
        <v>0.5</v>
      </c>
      <c r="M17" s="8">
        <f t="shared" si="3"/>
        <v>7</v>
      </c>
      <c r="N17" s="6">
        <v>2</v>
      </c>
      <c r="O17" s="7">
        <v>0</v>
      </c>
      <c r="P17" s="8">
        <f t="shared" si="4"/>
        <v>0</v>
      </c>
      <c r="Q17" s="1"/>
      <c r="R17" s="6">
        <f t="shared" si="5"/>
        <v>16</v>
      </c>
      <c r="S17" s="9">
        <f t="shared" si="6"/>
        <v>0.4375</v>
      </c>
      <c r="T17" s="9">
        <f t="shared" si="7"/>
        <v>6.9264069264069264E-2</v>
      </c>
      <c r="U17" s="9">
        <f>R17 / _xlfn.XLOOKUP(A17, Top!A:A, Top!AA:AA)</f>
        <v>6.8085106382978725E-2</v>
      </c>
      <c r="V17" s="1"/>
      <c r="W17" s="1"/>
    </row>
    <row r="18" spans="1:23" x14ac:dyDescent="0.25">
      <c r="A18" s="1" t="s">
        <v>16</v>
      </c>
      <c r="B18" s="6"/>
      <c r="C18" s="7"/>
      <c r="D18" s="8">
        <f t="shared" si="0"/>
        <v>0</v>
      </c>
      <c r="E18" s="6"/>
      <c r="F18" s="7"/>
      <c r="G18" s="8">
        <f t="shared" si="1"/>
        <v>0</v>
      </c>
      <c r="H18" s="6">
        <v>5</v>
      </c>
      <c r="I18" s="7">
        <v>0.2</v>
      </c>
      <c r="J18" s="8">
        <f t="shared" si="2"/>
        <v>1</v>
      </c>
      <c r="K18" s="6">
        <v>3</v>
      </c>
      <c r="L18" s="7">
        <v>0.66700000000000004</v>
      </c>
      <c r="M18" s="8">
        <f t="shared" si="3"/>
        <v>2.0010000000000003</v>
      </c>
      <c r="N18" s="6"/>
      <c r="O18" s="7"/>
      <c r="P18" s="8">
        <f t="shared" si="4"/>
        <v>0</v>
      </c>
      <c r="Q18" s="1"/>
      <c r="R18" s="6">
        <f t="shared" si="5"/>
        <v>8</v>
      </c>
      <c r="S18" s="9">
        <f t="shared" si="6"/>
        <v>0.37512500000000004</v>
      </c>
      <c r="T18" s="9">
        <f t="shared" si="7"/>
        <v>3.4632034632034632E-2</v>
      </c>
      <c r="U18" s="9">
        <f>R18 / _xlfn.XLOOKUP(A18, Top!A:A, Top!AA:AA)</f>
        <v>1.9417475728155338E-2</v>
      </c>
      <c r="V18" s="1"/>
      <c r="W18" s="1"/>
    </row>
    <row r="19" spans="1:23" x14ac:dyDescent="0.25">
      <c r="A19" s="1" t="s">
        <v>15</v>
      </c>
      <c r="B19" s="6"/>
      <c r="C19" s="7"/>
      <c r="D19" s="8">
        <f t="shared" si="0"/>
        <v>0</v>
      </c>
      <c r="E19" s="6"/>
      <c r="F19" s="7"/>
      <c r="G19" s="8">
        <f t="shared" si="1"/>
        <v>0</v>
      </c>
      <c r="H19" s="6">
        <v>2</v>
      </c>
      <c r="I19" s="7">
        <v>0</v>
      </c>
      <c r="J19" s="8">
        <f t="shared" si="2"/>
        <v>0</v>
      </c>
      <c r="K19" s="6"/>
      <c r="L19" s="7"/>
      <c r="M19" s="8">
        <f t="shared" si="3"/>
        <v>0</v>
      </c>
      <c r="N19" s="6">
        <v>1</v>
      </c>
      <c r="O19" s="7">
        <v>1</v>
      </c>
      <c r="P19" s="8">
        <f t="shared" si="4"/>
        <v>1</v>
      </c>
      <c r="Q19" s="1"/>
      <c r="R19" s="6">
        <f t="shared" si="5"/>
        <v>3</v>
      </c>
      <c r="S19" s="9">
        <f t="shared" si="6"/>
        <v>0.33333333333333331</v>
      </c>
      <c r="T19" s="9">
        <f t="shared" si="7"/>
        <v>1.2987012987012988E-2</v>
      </c>
      <c r="U19" s="9">
        <f>R19 / _xlfn.XLOOKUP(A19, Top!A:A, Top!AA:AA)</f>
        <v>2.4793388429752067E-2</v>
      </c>
    </row>
    <row r="20" spans="1:23" x14ac:dyDescent="0.25">
      <c r="A20" s="25" t="s">
        <v>208</v>
      </c>
      <c r="B20" s="6"/>
      <c r="C20" s="7"/>
      <c r="D20" s="8">
        <f t="shared" si="0"/>
        <v>0</v>
      </c>
      <c r="E20" s="6"/>
      <c r="F20" s="7"/>
      <c r="G20" s="8">
        <f t="shared" si="1"/>
        <v>0</v>
      </c>
      <c r="H20" s="6"/>
      <c r="I20" s="7"/>
      <c r="J20" s="8">
        <f t="shared" si="2"/>
        <v>0</v>
      </c>
      <c r="K20" s="6">
        <v>11</v>
      </c>
      <c r="L20" s="7">
        <v>0.182</v>
      </c>
      <c r="M20" s="8">
        <f t="shared" si="3"/>
        <v>2.0019999999999998</v>
      </c>
      <c r="N20" s="6">
        <v>1</v>
      </c>
      <c r="O20" s="7">
        <v>0</v>
      </c>
      <c r="P20" s="8">
        <f t="shared" si="4"/>
        <v>0</v>
      </c>
      <c r="Q20" s="1"/>
      <c r="R20" s="6">
        <f t="shared" si="5"/>
        <v>12</v>
      </c>
      <c r="S20" s="9">
        <f t="shared" si="6"/>
        <v>0.16683333333333331</v>
      </c>
      <c r="T20" s="9">
        <f t="shared" si="7"/>
        <v>5.1948051948051951E-2</v>
      </c>
      <c r="U20" s="9">
        <f>R20 / _xlfn.XLOOKUP(A20, Top!A:A, Top!AA:AA)</f>
        <v>6.25E-2</v>
      </c>
    </row>
    <row r="21" spans="1:23" x14ac:dyDescent="0.25">
      <c r="A21" s="1" t="s">
        <v>19</v>
      </c>
      <c r="B21" s="6"/>
      <c r="C21" s="7"/>
      <c r="D21" s="8">
        <f t="shared" si="0"/>
        <v>0</v>
      </c>
      <c r="E21" s="6"/>
      <c r="F21" s="7"/>
      <c r="G21" s="8">
        <f t="shared" si="1"/>
        <v>0</v>
      </c>
      <c r="H21" s="6">
        <v>2</v>
      </c>
      <c r="I21" s="7">
        <v>0</v>
      </c>
      <c r="J21" s="8">
        <f t="shared" si="2"/>
        <v>0</v>
      </c>
      <c r="K21" s="6"/>
      <c r="L21" s="7"/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2</v>
      </c>
      <c r="S21" s="9">
        <f t="shared" si="6"/>
        <v>0</v>
      </c>
      <c r="T21" s="9">
        <f t="shared" si="7"/>
        <v>8.658008658008658E-3</v>
      </c>
      <c r="U21" s="9">
        <f>R21 / _xlfn.XLOOKUP(A21, Top!A:A, Top!AA:AA)</f>
        <v>1.4598540145985401E-2</v>
      </c>
    </row>
    <row r="22" spans="1:23" x14ac:dyDescent="0.25">
      <c r="A22" s="1" t="s">
        <v>37</v>
      </c>
      <c r="B22" s="6"/>
      <c r="C22" s="7"/>
      <c r="D22" s="8">
        <f t="shared" si="0"/>
        <v>0</v>
      </c>
      <c r="E22" s="6"/>
      <c r="F22" s="7"/>
      <c r="G22" s="8">
        <f t="shared" si="1"/>
        <v>0</v>
      </c>
      <c r="H22" s="6">
        <v>1</v>
      </c>
      <c r="I22" s="7">
        <v>0</v>
      </c>
      <c r="J22" s="8">
        <f t="shared" si="2"/>
        <v>0</v>
      </c>
      <c r="K22" s="6">
        <v>1</v>
      </c>
      <c r="L22" s="7">
        <v>0</v>
      </c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2</v>
      </c>
      <c r="S22" s="9">
        <f t="shared" si="6"/>
        <v>0</v>
      </c>
      <c r="T22" s="9">
        <f t="shared" si="7"/>
        <v>8.658008658008658E-3</v>
      </c>
      <c r="U22" s="9">
        <f>R22 / _xlfn.XLOOKUP(A22, Top!A:A, Top!AA:AA)</f>
        <v>9.0909090909090912E-2</v>
      </c>
    </row>
    <row r="23" spans="1:23" x14ac:dyDescent="0.25">
      <c r="A23" s="1" t="s">
        <v>9</v>
      </c>
      <c r="B23" s="6"/>
      <c r="C23" s="7"/>
      <c r="D23" s="8">
        <f t="shared" si="0"/>
        <v>0</v>
      </c>
      <c r="E23" s="6"/>
      <c r="F23" s="7"/>
      <c r="G23" s="8">
        <f t="shared" si="1"/>
        <v>0</v>
      </c>
      <c r="H23" s="6">
        <v>1</v>
      </c>
      <c r="I23" s="7">
        <v>0</v>
      </c>
      <c r="J23" s="8">
        <f t="shared" si="2"/>
        <v>0</v>
      </c>
      <c r="K23" s="6"/>
      <c r="L23" s="7"/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1</v>
      </c>
      <c r="S23" s="9">
        <f t="shared" si="6"/>
        <v>0</v>
      </c>
      <c r="T23" s="9">
        <f t="shared" si="7"/>
        <v>4.329004329004329E-3</v>
      </c>
      <c r="U23" s="9">
        <f>R23 / _xlfn.XLOOKUP(A23, Top!A:A, Top!AA:AA)</f>
        <v>3.0674846625766872E-3</v>
      </c>
    </row>
    <row r="24" spans="1:23" x14ac:dyDescent="0.25">
      <c r="A24" s="1" t="s">
        <v>201</v>
      </c>
      <c r="B24" s="6"/>
      <c r="C24" s="7"/>
      <c r="D24" s="8">
        <f t="shared" si="0"/>
        <v>0</v>
      </c>
      <c r="E24" s="6"/>
      <c r="F24" s="7"/>
      <c r="G24" s="8">
        <f t="shared" si="1"/>
        <v>0</v>
      </c>
      <c r="H24" s="6"/>
      <c r="I24" s="7"/>
      <c r="J24" s="8">
        <f t="shared" si="2"/>
        <v>0</v>
      </c>
      <c r="K24" s="6">
        <v>1</v>
      </c>
      <c r="L24" s="7">
        <v>0</v>
      </c>
      <c r="M24" s="8">
        <f t="shared" si="3"/>
        <v>0</v>
      </c>
      <c r="N24" s="6"/>
      <c r="O24" s="7"/>
      <c r="P24" s="8">
        <f t="shared" si="4"/>
        <v>0</v>
      </c>
      <c r="Q24" s="13"/>
      <c r="R24" s="6">
        <f t="shared" si="5"/>
        <v>1</v>
      </c>
      <c r="S24" s="9">
        <f t="shared" si="6"/>
        <v>0</v>
      </c>
      <c r="T24" s="9">
        <f t="shared" si="7"/>
        <v>4.329004329004329E-3</v>
      </c>
      <c r="U24" s="9">
        <f>R24 / _xlfn.XLOOKUP(A24, Top!A:A, Top!AA:AA)</f>
        <v>1.2987012987012988E-2</v>
      </c>
    </row>
    <row r="25" spans="1:23" x14ac:dyDescent="0.25">
      <c r="B25" s="6"/>
      <c r="C25" s="7"/>
      <c r="D25" s="8">
        <f t="shared" ref="D25:D34" si="8">B25*C25</f>
        <v>0</v>
      </c>
      <c r="E25" s="6"/>
      <c r="F25" s="7"/>
      <c r="G25" s="8">
        <f t="shared" ref="G25:G34" si="9">E25*F25</f>
        <v>0</v>
      </c>
      <c r="H25" s="6"/>
      <c r="I25" s="7"/>
      <c r="J25" s="8">
        <f t="shared" ref="J25:J34" si="10">H25*I25</f>
        <v>0</v>
      </c>
      <c r="K25" s="6"/>
      <c r="L25" s="7"/>
      <c r="M25" s="8">
        <f t="shared" ref="M25:M34" si="11">K25*L25</f>
        <v>0</v>
      </c>
      <c r="N25" s="6"/>
      <c r="O25" s="7"/>
      <c r="P25" s="8">
        <f t="shared" ref="P25:P34" si="12">N25*O25</f>
        <v>0</v>
      </c>
      <c r="Q25" s="1"/>
      <c r="R25" s="6">
        <f t="shared" ref="R25:R34" si="13">B25+E25+H25+K25+N25</f>
        <v>0</v>
      </c>
      <c r="S25" s="9" t="e">
        <f t="shared" ref="S25:S34" si="14">(D25+G25+J25+M25+P25)/R25</f>
        <v>#DIV/0!</v>
      </c>
      <c r="T25" s="9">
        <f t="shared" ref="T25:T34" si="15">R25/$V$3</f>
        <v>0</v>
      </c>
      <c r="U25" s="9" t="e">
        <f>R25 / _xlfn.XLOOKUP(A25, Top!A:A, Top!AA:AA)</f>
        <v>#DIV/0!</v>
      </c>
    </row>
    <row r="26" spans="1:23" x14ac:dyDescent="0.25">
      <c r="B26" s="6"/>
      <c r="C26" s="7"/>
      <c r="D26" s="8">
        <f t="shared" si="8"/>
        <v>0</v>
      </c>
      <c r="E26" s="6"/>
      <c r="F26" s="7"/>
      <c r="G26" s="8">
        <f t="shared" si="9"/>
        <v>0</v>
      </c>
      <c r="H26" s="6"/>
      <c r="I26" s="7"/>
      <c r="J26" s="8">
        <f t="shared" si="10"/>
        <v>0</v>
      </c>
      <c r="K26" s="6"/>
      <c r="L26" s="7"/>
      <c r="M26" s="8">
        <f t="shared" si="11"/>
        <v>0</v>
      </c>
      <c r="N26" s="6"/>
      <c r="O26" s="7"/>
      <c r="P26" s="8">
        <f t="shared" si="12"/>
        <v>0</v>
      </c>
      <c r="Q26" s="1"/>
      <c r="R26" s="6">
        <f t="shared" si="13"/>
        <v>0</v>
      </c>
      <c r="S26" s="9" t="e">
        <f t="shared" si="14"/>
        <v>#DIV/0!</v>
      </c>
      <c r="T26" s="9">
        <f t="shared" si="15"/>
        <v>0</v>
      </c>
      <c r="U26" s="9" t="e">
        <f>R26 / _xlfn.XLOOKUP(A26, Top!A:A, Top!AA:AA)</f>
        <v>#DIV/0!</v>
      </c>
    </row>
    <row r="27" spans="1:23" x14ac:dyDescent="0.25">
      <c r="B27" s="6"/>
      <c r="C27" s="7"/>
      <c r="D27" s="8">
        <f t="shared" si="8"/>
        <v>0</v>
      </c>
      <c r="E27" s="6"/>
      <c r="F27" s="7"/>
      <c r="G27" s="8">
        <f t="shared" si="9"/>
        <v>0</v>
      </c>
      <c r="H27" s="6"/>
      <c r="I27" s="7"/>
      <c r="J27" s="8">
        <f t="shared" si="10"/>
        <v>0</v>
      </c>
      <c r="K27" s="6"/>
      <c r="L27" s="7"/>
      <c r="M27" s="8">
        <f t="shared" si="11"/>
        <v>0</v>
      </c>
      <c r="N27" s="6"/>
      <c r="O27" s="7"/>
      <c r="P27" s="8">
        <f t="shared" si="12"/>
        <v>0</v>
      </c>
      <c r="Q27" s="1"/>
      <c r="R27" s="6">
        <f t="shared" si="13"/>
        <v>0</v>
      </c>
      <c r="S27" s="9" t="e">
        <f t="shared" si="14"/>
        <v>#DIV/0!</v>
      </c>
      <c r="T27" s="9">
        <f t="shared" si="15"/>
        <v>0</v>
      </c>
      <c r="U27" s="9" t="e">
        <f>R27 / _xlfn.XLOOKUP(A27, Top!A:A, Top!AA:AA)</f>
        <v>#DIV/0!</v>
      </c>
    </row>
    <row r="28" spans="1:23" x14ac:dyDescent="0.25">
      <c r="B28" s="6"/>
      <c r="C28" s="7"/>
      <c r="D28" s="8">
        <f t="shared" si="8"/>
        <v>0</v>
      </c>
      <c r="E28" s="6"/>
      <c r="F28" s="7"/>
      <c r="G28" s="8">
        <f t="shared" si="9"/>
        <v>0</v>
      </c>
      <c r="H28" s="6"/>
      <c r="I28" s="7"/>
      <c r="J28" s="8">
        <f t="shared" si="10"/>
        <v>0</v>
      </c>
      <c r="K28" s="6"/>
      <c r="L28" s="7"/>
      <c r="M28" s="8">
        <f t="shared" si="11"/>
        <v>0</v>
      </c>
      <c r="N28" s="6"/>
      <c r="O28" s="7"/>
      <c r="P28" s="8">
        <f t="shared" si="12"/>
        <v>0</v>
      </c>
      <c r="Q28" s="1"/>
      <c r="R28" s="6">
        <f t="shared" si="13"/>
        <v>0</v>
      </c>
      <c r="S28" s="9" t="e">
        <f t="shared" si="14"/>
        <v>#DIV/0!</v>
      </c>
      <c r="T28" s="9">
        <f t="shared" si="15"/>
        <v>0</v>
      </c>
      <c r="U28" s="9" t="e">
        <f>R28 / _xlfn.XLOOKUP(A28, Top!A:A, Top!AA:AA)</f>
        <v>#DIV/0!</v>
      </c>
    </row>
    <row r="29" spans="1:23" x14ac:dyDescent="0.25">
      <c r="B29" s="6"/>
      <c r="C29" s="7"/>
      <c r="D29" s="8">
        <f t="shared" si="8"/>
        <v>0</v>
      </c>
      <c r="E29" s="6"/>
      <c r="F29" s="7"/>
      <c r="G29" s="8">
        <f t="shared" si="9"/>
        <v>0</v>
      </c>
      <c r="H29" s="6"/>
      <c r="I29" s="7"/>
      <c r="J29" s="8">
        <f t="shared" si="10"/>
        <v>0</v>
      </c>
      <c r="K29" s="6"/>
      <c r="L29" s="7"/>
      <c r="M29" s="8">
        <f t="shared" si="11"/>
        <v>0</v>
      </c>
      <c r="N29" s="6"/>
      <c r="O29" s="7"/>
      <c r="P29" s="8">
        <f t="shared" si="12"/>
        <v>0</v>
      </c>
      <c r="Q29" s="1"/>
      <c r="R29" s="6">
        <f t="shared" si="13"/>
        <v>0</v>
      </c>
      <c r="S29" s="9" t="e">
        <f t="shared" si="14"/>
        <v>#DIV/0!</v>
      </c>
      <c r="T29" s="9">
        <f t="shared" si="15"/>
        <v>0</v>
      </c>
      <c r="U29" s="9" t="e">
        <f>R29 / _xlfn.XLOOKUP(A29, Top!A:A, Top!AA:AA)</f>
        <v>#DIV/0!</v>
      </c>
    </row>
    <row r="30" spans="1:23" x14ac:dyDescent="0.25">
      <c r="B30" s="6"/>
      <c r="C30" s="7"/>
      <c r="D30" s="8">
        <f t="shared" si="8"/>
        <v>0</v>
      </c>
      <c r="E30" s="6"/>
      <c r="F30" s="7"/>
      <c r="G30" s="8">
        <f t="shared" si="9"/>
        <v>0</v>
      </c>
      <c r="H30" s="6"/>
      <c r="I30" s="7"/>
      <c r="J30" s="8">
        <f t="shared" si="10"/>
        <v>0</v>
      </c>
      <c r="K30" s="6"/>
      <c r="L30" s="7"/>
      <c r="M30" s="8">
        <f t="shared" si="11"/>
        <v>0</v>
      </c>
      <c r="N30" s="6"/>
      <c r="O30" s="7"/>
      <c r="P30" s="8">
        <f t="shared" si="12"/>
        <v>0</v>
      </c>
      <c r="Q30" s="1"/>
      <c r="R30" s="6">
        <f t="shared" si="13"/>
        <v>0</v>
      </c>
      <c r="S30" s="9" t="e">
        <f t="shared" si="14"/>
        <v>#DIV/0!</v>
      </c>
      <c r="T30" s="9">
        <f t="shared" si="15"/>
        <v>0</v>
      </c>
      <c r="U30" s="9" t="e">
        <f>R30 / _xlfn.XLOOKUP(A30, Top!A:A, Top!AA:AA)</f>
        <v>#DIV/0!</v>
      </c>
    </row>
    <row r="31" spans="1:23" x14ac:dyDescent="0.25">
      <c r="B31" s="6"/>
      <c r="C31" s="7"/>
      <c r="D31" s="8">
        <f t="shared" si="8"/>
        <v>0</v>
      </c>
      <c r="E31" s="6"/>
      <c r="F31" s="7"/>
      <c r="G31" s="8">
        <f t="shared" si="9"/>
        <v>0</v>
      </c>
      <c r="H31" s="6"/>
      <c r="I31" s="7"/>
      <c r="J31" s="8">
        <f t="shared" si="10"/>
        <v>0</v>
      </c>
      <c r="K31" s="6"/>
      <c r="L31" s="7"/>
      <c r="M31" s="8">
        <f t="shared" si="11"/>
        <v>0</v>
      </c>
      <c r="N31" s="6"/>
      <c r="O31" s="7"/>
      <c r="P31" s="8">
        <f t="shared" si="12"/>
        <v>0</v>
      </c>
      <c r="Q31" s="1"/>
      <c r="R31" s="6">
        <f t="shared" si="13"/>
        <v>0</v>
      </c>
      <c r="S31" s="9" t="e">
        <f t="shared" si="14"/>
        <v>#DIV/0!</v>
      </c>
      <c r="T31" s="9">
        <f t="shared" si="15"/>
        <v>0</v>
      </c>
      <c r="U31" s="9" t="e">
        <f>R31 / _xlfn.XLOOKUP(A31, Top!A:A, Top!AA:AA)</f>
        <v>#DIV/0!</v>
      </c>
    </row>
    <row r="32" spans="1:23" x14ac:dyDescent="0.25">
      <c r="B32" s="6"/>
      <c r="C32" s="7"/>
      <c r="D32" s="8">
        <f t="shared" si="8"/>
        <v>0</v>
      </c>
      <c r="E32" s="6"/>
      <c r="F32" s="7"/>
      <c r="G32" s="8">
        <f t="shared" si="9"/>
        <v>0</v>
      </c>
      <c r="H32" s="6"/>
      <c r="I32" s="7"/>
      <c r="J32" s="8">
        <f t="shared" si="10"/>
        <v>0</v>
      </c>
      <c r="K32" s="6"/>
      <c r="L32" s="7"/>
      <c r="M32" s="8">
        <f t="shared" si="11"/>
        <v>0</v>
      </c>
      <c r="N32" s="6"/>
      <c r="O32" s="7"/>
      <c r="P32" s="8">
        <f t="shared" si="12"/>
        <v>0</v>
      </c>
      <c r="Q32" s="1"/>
      <c r="R32" s="6">
        <f t="shared" si="13"/>
        <v>0</v>
      </c>
      <c r="S32" s="9" t="e">
        <f t="shared" si="14"/>
        <v>#DIV/0!</v>
      </c>
      <c r="T32" s="9">
        <f t="shared" si="15"/>
        <v>0</v>
      </c>
      <c r="U32" s="9" t="e">
        <f>R32 / _xlfn.XLOOKUP(A32, Top!A:A, Top!AA:AA)</f>
        <v>#DIV/0!</v>
      </c>
    </row>
    <row r="33" spans="2:21" x14ac:dyDescent="0.25">
      <c r="B33" s="6"/>
      <c r="C33" s="7"/>
      <c r="D33" s="8">
        <f t="shared" si="8"/>
        <v>0</v>
      </c>
      <c r="E33" s="6"/>
      <c r="F33" s="7"/>
      <c r="G33" s="8">
        <f t="shared" si="9"/>
        <v>0</v>
      </c>
      <c r="H33" s="6"/>
      <c r="I33" s="7"/>
      <c r="J33" s="8">
        <f t="shared" si="10"/>
        <v>0</v>
      </c>
      <c r="K33" s="6"/>
      <c r="L33" s="7"/>
      <c r="M33" s="8">
        <f t="shared" si="11"/>
        <v>0</v>
      </c>
      <c r="N33" s="6"/>
      <c r="O33" s="7"/>
      <c r="P33" s="8">
        <f t="shared" si="12"/>
        <v>0</v>
      </c>
      <c r="Q33" s="1"/>
      <c r="R33" s="6">
        <f t="shared" si="13"/>
        <v>0</v>
      </c>
      <c r="S33" s="9" t="e">
        <f t="shared" si="14"/>
        <v>#DIV/0!</v>
      </c>
      <c r="T33" s="9">
        <f t="shared" si="15"/>
        <v>0</v>
      </c>
      <c r="U33" s="9" t="e">
        <f>R33 / _xlfn.XLOOKUP(A33, Top!A:A, Top!AA:AA)</f>
        <v>#DIV/0!</v>
      </c>
    </row>
    <row r="34" spans="2:21" x14ac:dyDescent="0.25">
      <c r="B34" s="6"/>
      <c r="C34" s="7"/>
      <c r="D34" s="8">
        <f t="shared" si="8"/>
        <v>0</v>
      </c>
      <c r="E34" s="6"/>
      <c r="F34" s="7"/>
      <c r="G34" s="8">
        <f t="shared" si="9"/>
        <v>0</v>
      </c>
      <c r="H34" s="6"/>
      <c r="I34" s="7"/>
      <c r="J34" s="8">
        <f t="shared" si="10"/>
        <v>0</v>
      </c>
      <c r="K34" s="6"/>
      <c r="L34" s="7"/>
      <c r="M34" s="8">
        <f t="shared" si="11"/>
        <v>0</v>
      </c>
      <c r="N34" s="6"/>
      <c r="O34" s="7"/>
      <c r="P34" s="8">
        <f t="shared" si="12"/>
        <v>0</v>
      </c>
      <c r="Q34" s="1"/>
      <c r="R34" s="6">
        <f t="shared" si="13"/>
        <v>0</v>
      </c>
      <c r="S34" s="9" t="e">
        <f t="shared" si="14"/>
        <v>#DIV/0!</v>
      </c>
      <c r="T34" s="9">
        <f t="shared" si="15"/>
        <v>0</v>
      </c>
      <c r="U34" s="9" t="e">
        <f>R34 / _xlfn.XLOOKUP(A34, Top!A:A, Top!AA:AA)</f>
        <v>#DIV/0!</v>
      </c>
    </row>
  </sheetData>
  <sortState xmlns:xlrd2="http://schemas.microsoft.com/office/spreadsheetml/2017/richdata2" ref="A3:U24">
    <sortCondition descending="1" ref="S3:S24"/>
  </sortState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349E9-989F-46C0-AADD-042CAD59BE81}">
  <sheetPr>
    <tabColor theme="4" tint="0.59999389629810485"/>
  </sheetPr>
  <dimension ref="A1:W36"/>
  <sheetViews>
    <sheetView workbookViewId="0">
      <selection activeCell="A26" sqref="A26"/>
    </sheetView>
  </sheetViews>
  <sheetFormatPr baseColWidth="10" defaultRowHeight="15" x14ac:dyDescent="0.25"/>
  <sheetData>
    <row r="1" spans="1:23" ht="15.75" x14ac:dyDescent="0.25">
      <c r="A1" s="2" t="s">
        <v>60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42</v>
      </c>
      <c r="B3" s="6"/>
      <c r="C3" s="7"/>
      <c r="D3" s="8">
        <f t="shared" ref="D3:D12" si="0">B3*C3</f>
        <v>0</v>
      </c>
      <c r="E3" s="6"/>
      <c r="F3" s="7"/>
      <c r="G3" s="8">
        <f t="shared" ref="G3:G12" si="1">E3*F3</f>
        <v>0</v>
      </c>
      <c r="H3" s="6"/>
      <c r="I3" s="7"/>
      <c r="J3" s="8">
        <f t="shared" ref="J3:J12" si="2">H3*I3</f>
        <v>0</v>
      </c>
      <c r="K3" s="6"/>
      <c r="L3" s="7"/>
      <c r="M3" s="8">
        <f t="shared" ref="M3:M12" si="3">K3*L3</f>
        <v>0</v>
      </c>
      <c r="N3" s="6"/>
      <c r="O3" s="7"/>
      <c r="P3" s="8">
        <f t="shared" ref="P3:P12" si="4">N3*O3</f>
        <v>0</v>
      </c>
      <c r="Q3" s="1"/>
      <c r="R3" s="6">
        <f t="shared" ref="R3:R12" si="5">B3+E3+H3+K3+N3</f>
        <v>0</v>
      </c>
      <c r="S3" s="9" t="e">
        <f t="shared" ref="S3:S12" si="6">(D3+G3+J3+M3+P3)/R3</f>
        <v>#DIV/0!</v>
      </c>
      <c r="T3" s="9">
        <f t="shared" ref="T3:T12" si="7">R3/$V$3</f>
        <v>0</v>
      </c>
      <c r="U3" s="9">
        <f>R3 / _xlfn.XLOOKUP(A3, Top!A:A, Top!AA:AA)</f>
        <v>0</v>
      </c>
      <c r="V3" s="11">
        <f>SUM(R3:R48)</f>
        <v>253</v>
      </c>
      <c r="W3" s="12">
        <f>(SUM(D3:D78)+SUM(G3:G78)+SUM(J3:J78)+SUM(M3:M78)+SUM(P3:P78)) / V3</f>
        <v>0.35186561264822136</v>
      </c>
    </row>
    <row r="4" spans="1:23" x14ac:dyDescent="0.25">
      <c r="A4" s="1" t="s">
        <v>32</v>
      </c>
      <c r="B4" s="6"/>
      <c r="C4" s="7"/>
      <c r="D4" s="8">
        <f t="shared" si="0"/>
        <v>0</v>
      </c>
      <c r="E4" s="6">
        <v>1</v>
      </c>
      <c r="F4" s="7">
        <v>1</v>
      </c>
      <c r="G4" s="8">
        <f t="shared" si="1"/>
        <v>1</v>
      </c>
      <c r="H4" s="6"/>
      <c r="I4" s="7"/>
      <c r="J4" s="8">
        <f t="shared" si="2"/>
        <v>0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1</v>
      </c>
      <c r="S4" s="9">
        <f t="shared" si="6"/>
        <v>1</v>
      </c>
      <c r="T4" s="9">
        <f t="shared" si="7"/>
        <v>3.952569169960474E-3</v>
      </c>
      <c r="U4" s="9">
        <f>R4 / _xlfn.XLOOKUP(A4, Top!A:A, Top!AA:AA)</f>
        <v>9.0909090909090912E-2</v>
      </c>
      <c r="V4" s="1"/>
      <c r="W4" s="1"/>
    </row>
    <row r="5" spans="1:23" x14ac:dyDescent="0.25">
      <c r="A5" s="1" t="s">
        <v>61</v>
      </c>
      <c r="B5" s="6">
        <v>1</v>
      </c>
      <c r="C5" s="7">
        <v>1</v>
      </c>
      <c r="D5" s="8">
        <f t="shared" si="0"/>
        <v>1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1</v>
      </c>
      <c r="S5" s="9">
        <f t="shared" si="6"/>
        <v>1</v>
      </c>
      <c r="T5" s="9">
        <f t="shared" si="7"/>
        <v>3.952569169960474E-3</v>
      </c>
      <c r="U5" s="9">
        <f>R5 / _xlfn.XLOOKUP(A5, Top!A:A, Top!AA:AA)</f>
        <v>1</v>
      </c>
      <c r="V5" s="1"/>
      <c r="W5" s="1"/>
    </row>
    <row r="6" spans="1:23" x14ac:dyDescent="0.25">
      <c r="A6" s="1" t="s">
        <v>33</v>
      </c>
      <c r="B6" s="6">
        <v>5</v>
      </c>
      <c r="C6" s="7">
        <v>0.6</v>
      </c>
      <c r="D6" s="8">
        <f t="shared" si="0"/>
        <v>3</v>
      </c>
      <c r="E6" s="6"/>
      <c r="F6" s="7"/>
      <c r="G6" s="8">
        <f t="shared" si="1"/>
        <v>0</v>
      </c>
      <c r="H6" s="6"/>
      <c r="I6" s="7"/>
      <c r="J6" s="8">
        <f t="shared" si="2"/>
        <v>0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1"/>
      <c r="R6" s="6">
        <f t="shared" si="5"/>
        <v>5</v>
      </c>
      <c r="S6" s="9">
        <f t="shared" si="6"/>
        <v>0.6</v>
      </c>
      <c r="T6" s="9">
        <f t="shared" si="7"/>
        <v>1.9762845849802372E-2</v>
      </c>
      <c r="U6" s="9">
        <f>R6 / _xlfn.XLOOKUP(A6, Top!A:A, Top!AA:AA)</f>
        <v>0.10869565217391304</v>
      </c>
      <c r="V6" s="1"/>
      <c r="W6" s="1"/>
    </row>
    <row r="7" spans="1:23" x14ac:dyDescent="0.25">
      <c r="A7" s="1" t="s">
        <v>26</v>
      </c>
      <c r="B7" s="6">
        <v>12</v>
      </c>
      <c r="C7" s="7">
        <v>0.66700000000000004</v>
      </c>
      <c r="D7" s="8">
        <f t="shared" si="0"/>
        <v>8.0040000000000013</v>
      </c>
      <c r="E7" s="6">
        <v>2</v>
      </c>
      <c r="F7" s="7">
        <v>0</v>
      </c>
      <c r="G7" s="8">
        <f t="shared" si="1"/>
        <v>0</v>
      </c>
      <c r="H7" s="6"/>
      <c r="I7" s="7"/>
      <c r="J7" s="8">
        <f t="shared" si="2"/>
        <v>0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14</v>
      </c>
      <c r="S7" s="9">
        <f t="shared" si="6"/>
        <v>0.57171428571428584</v>
      </c>
      <c r="T7" s="9">
        <f t="shared" si="7"/>
        <v>5.533596837944664E-2</v>
      </c>
      <c r="U7" s="9">
        <f>R7 / _xlfn.XLOOKUP(A7, Top!A:A, Top!AA:AA)</f>
        <v>0.1891891891891892</v>
      </c>
      <c r="V7" s="1"/>
      <c r="W7" s="1"/>
    </row>
    <row r="8" spans="1:23" x14ac:dyDescent="0.25">
      <c r="A8" s="1" t="s">
        <v>27</v>
      </c>
      <c r="B8" s="6">
        <v>7</v>
      </c>
      <c r="C8" s="7">
        <v>0.71399999999999997</v>
      </c>
      <c r="D8" s="8">
        <f t="shared" si="0"/>
        <v>4.9979999999999993</v>
      </c>
      <c r="E8" s="6">
        <v>2</v>
      </c>
      <c r="F8" s="7">
        <v>0</v>
      </c>
      <c r="G8" s="8">
        <f t="shared" si="1"/>
        <v>0</v>
      </c>
      <c r="H8" s="6"/>
      <c r="I8" s="7"/>
      <c r="J8" s="8">
        <f t="shared" si="2"/>
        <v>0</v>
      </c>
      <c r="K8" s="6"/>
      <c r="L8" s="7"/>
      <c r="M8" s="8">
        <f t="shared" si="3"/>
        <v>0</v>
      </c>
      <c r="N8" s="6"/>
      <c r="O8" s="7"/>
      <c r="P8" s="8">
        <f t="shared" si="4"/>
        <v>0</v>
      </c>
      <c r="Q8" s="1"/>
      <c r="R8" s="6">
        <f t="shared" si="5"/>
        <v>9</v>
      </c>
      <c r="S8" s="9">
        <f t="shared" si="6"/>
        <v>0.55533333333333323</v>
      </c>
      <c r="T8" s="9">
        <f t="shared" si="7"/>
        <v>3.5573122529644272E-2</v>
      </c>
      <c r="U8" s="9">
        <f>R8 / _xlfn.XLOOKUP(A8, Top!A:A, Top!AA:AA)</f>
        <v>0.2</v>
      </c>
      <c r="V8" s="1"/>
      <c r="W8" s="1"/>
    </row>
    <row r="9" spans="1:23" x14ac:dyDescent="0.25">
      <c r="A9" s="1" t="s">
        <v>13</v>
      </c>
      <c r="B9" s="6">
        <v>2</v>
      </c>
      <c r="C9" s="7">
        <v>0.5</v>
      </c>
      <c r="D9" s="8">
        <f t="shared" si="0"/>
        <v>1</v>
      </c>
      <c r="E9" s="6"/>
      <c r="F9" s="7"/>
      <c r="G9" s="8">
        <f t="shared" si="1"/>
        <v>0</v>
      </c>
      <c r="H9" s="6"/>
      <c r="I9" s="7"/>
      <c r="J9" s="8">
        <f t="shared" si="2"/>
        <v>0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1"/>
      <c r="R9" s="6">
        <f t="shared" si="5"/>
        <v>2</v>
      </c>
      <c r="S9" s="9">
        <f t="shared" si="6"/>
        <v>0.5</v>
      </c>
      <c r="T9" s="9">
        <f t="shared" si="7"/>
        <v>7.9051383399209481E-3</v>
      </c>
      <c r="U9" s="9">
        <f>R9 / _xlfn.XLOOKUP(A9, Top!A:A, Top!AA:AA)</f>
        <v>1.6666666666666666E-2</v>
      </c>
      <c r="V9" s="1"/>
      <c r="W9" s="1"/>
    </row>
    <row r="10" spans="1:23" x14ac:dyDescent="0.25">
      <c r="A10" s="1" t="s">
        <v>31</v>
      </c>
      <c r="B10" s="6"/>
      <c r="C10" s="7"/>
      <c r="D10" s="8">
        <f t="shared" si="0"/>
        <v>0</v>
      </c>
      <c r="E10" s="6">
        <v>2</v>
      </c>
      <c r="F10" s="7">
        <v>0.5</v>
      </c>
      <c r="G10" s="8">
        <f t="shared" si="1"/>
        <v>1</v>
      </c>
      <c r="H10" s="6"/>
      <c r="I10" s="7"/>
      <c r="J10" s="8">
        <f t="shared" si="2"/>
        <v>0</v>
      </c>
      <c r="K10" s="6"/>
      <c r="L10" s="7"/>
      <c r="M10" s="8">
        <f t="shared" si="3"/>
        <v>0</v>
      </c>
      <c r="N10" s="6"/>
      <c r="O10" s="7"/>
      <c r="P10" s="8">
        <f t="shared" si="4"/>
        <v>0</v>
      </c>
      <c r="Q10" s="1"/>
      <c r="R10" s="6">
        <f t="shared" si="5"/>
        <v>2</v>
      </c>
      <c r="S10" s="9">
        <f t="shared" si="6"/>
        <v>0.5</v>
      </c>
      <c r="T10" s="9">
        <f t="shared" si="7"/>
        <v>7.9051383399209481E-3</v>
      </c>
      <c r="U10" s="9">
        <f>R10 / _xlfn.XLOOKUP(A10, Top!A:A, Top!AA:AA)</f>
        <v>3.3333333333333333E-2</v>
      </c>
      <c r="V10" s="1"/>
      <c r="W10" s="1"/>
    </row>
    <row r="11" spans="1:23" x14ac:dyDescent="0.25">
      <c r="A11" s="25" t="s">
        <v>161</v>
      </c>
      <c r="B11" s="6"/>
      <c r="C11" s="7"/>
      <c r="D11" s="8">
        <f t="shared" si="0"/>
        <v>0</v>
      </c>
      <c r="E11" s="6">
        <v>2</v>
      </c>
      <c r="F11" s="7">
        <v>0.5</v>
      </c>
      <c r="G11" s="8">
        <f t="shared" si="1"/>
        <v>1</v>
      </c>
      <c r="H11" s="6"/>
      <c r="I11" s="7"/>
      <c r="J11" s="8">
        <f t="shared" si="2"/>
        <v>0</v>
      </c>
      <c r="K11" s="6"/>
      <c r="L11" s="7"/>
      <c r="M11" s="8">
        <f t="shared" si="3"/>
        <v>0</v>
      </c>
      <c r="N11" s="6"/>
      <c r="O11" s="7"/>
      <c r="P11" s="8">
        <f t="shared" si="4"/>
        <v>0</v>
      </c>
      <c r="Q11" s="4"/>
      <c r="R11" s="6">
        <f t="shared" si="5"/>
        <v>2</v>
      </c>
      <c r="S11" s="9">
        <f t="shared" si="6"/>
        <v>0.5</v>
      </c>
      <c r="T11" s="9">
        <f t="shared" si="7"/>
        <v>7.9051383399209481E-3</v>
      </c>
      <c r="U11" s="9">
        <f>R11 / _xlfn.XLOOKUP(A11, Top!A:A, Top!AA:AA)</f>
        <v>0.15384615384615385</v>
      </c>
      <c r="V11" s="1"/>
      <c r="W11" s="1"/>
    </row>
    <row r="12" spans="1:23" x14ac:dyDescent="0.25">
      <c r="A12" s="1" t="s">
        <v>8</v>
      </c>
      <c r="B12" s="6">
        <v>1</v>
      </c>
      <c r="C12" s="7">
        <v>1</v>
      </c>
      <c r="D12" s="8">
        <f t="shared" si="0"/>
        <v>1</v>
      </c>
      <c r="E12" s="6">
        <v>3</v>
      </c>
      <c r="F12" s="7">
        <v>0.33300000000000002</v>
      </c>
      <c r="G12" s="8">
        <f t="shared" si="1"/>
        <v>0.99900000000000011</v>
      </c>
      <c r="H12" s="6"/>
      <c r="I12" s="7"/>
      <c r="J12" s="8">
        <f t="shared" si="2"/>
        <v>0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1"/>
      <c r="R12" s="6">
        <f t="shared" si="5"/>
        <v>4</v>
      </c>
      <c r="S12" s="9">
        <f t="shared" si="6"/>
        <v>0.49975000000000003</v>
      </c>
      <c r="T12" s="9">
        <f t="shared" si="7"/>
        <v>1.5810276679841896E-2</v>
      </c>
      <c r="U12" s="9">
        <f>R12 / _xlfn.XLOOKUP(A12, Top!A:A, Top!AA:AA)</f>
        <v>1.5444015444015444E-2</v>
      </c>
      <c r="V12" s="1"/>
      <c r="W12" s="1"/>
    </row>
    <row r="13" spans="1:23" x14ac:dyDescent="0.25">
      <c r="A13" s="1" t="s">
        <v>57</v>
      </c>
      <c r="B13" s="6">
        <v>8</v>
      </c>
      <c r="C13" s="7">
        <v>0.5</v>
      </c>
      <c r="D13" s="8">
        <f t="shared" ref="D13:D36" si="8">B13*C13</f>
        <v>4</v>
      </c>
      <c r="E13" s="6">
        <v>1</v>
      </c>
      <c r="F13" s="7">
        <v>0</v>
      </c>
      <c r="G13" s="8">
        <f t="shared" ref="G13:G36" si="9">E13*F13</f>
        <v>0</v>
      </c>
      <c r="H13" s="6"/>
      <c r="I13" s="7"/>
      <c r="J13" s="8">
        <f t="shared" ref="J13:J36" si="10">H13*I13</f>
        <v>0</v>
      </c>
      <c r="K13" s="6"/>
      <c r="L13" s="7"/>
      <c r="M13" s="8">
        <f t="shared" ref="M13:M36" si="11">K13*L13</f>
        <v>0</v>
      </c>
      <c r="N13" s="6"/>
      <c r="O13" s="7"/>
      <c r="P13" s="8">
        <f t="shared" ref="P13:P36" si="12">N13*O13</f>
        <v>0</v>
      </c>
      <c r="Q13" s="4"/>
      <c r="R13" s="6">
        <f t="shared" ref="R13:R36" si="13">B13+E13+H13+K13+N13</f>
        <v>9</v>
      </c>
      <c r="S13" s="9">
        <f t="shared" ref="S13:S36" si="14">(D13+G13+J13+M13+P13)/R13</f>
        <v>0.44444444444444442</v>
      </c>
      <c r="T13" s="9">
        <f t="shared" ref="T13:T36" si="15">R13/$V$3</f>
        <v>3.5573122529644272E-2</v>
      </c>
      <c r="U13" s="9">
        <f>R13 / _xlfn.XLOOKUP(A13, Top!A:A, Top!AA:AA)</f>
        <v>0.75</v>
      </c>
      <c r="V13" s="1"/>
      <c r="W13" s="1"/>
    </row>
    <row r="14" spans="1:23" x14ac:dyDescent="0.25">
      <c r="A14" s="1" t="s">
        <v>17</v>
      </c>
      <c r="B14" s="6">
        <v>2</v>
      </c>
      <c r="C14" s="7">
        <v>1</v>
      </c>
      <c r="D14" s="8">
        <f t="shared" si="8"/>
        <v>2</v>
      </c>
      <c r="E14" s="6">
        <v>5</v>
      </c>
      <c r="F14" s="7">
        <v>0.2</v>
      </c>
      <c r="G14" s="8">
        <f t="shared" si="9"/>
        <v>1</v>
      </c>
      <c r="H14" s="6"/>
      <c r="I14" s="7"/>
      <c r="J14" s="8">
        <f t="shared" si="10"/>
        <v>0</v>
      </c>
      <c r="K14" s="6"/>
      <c r="L14" s="7"/>
      <c r="M14" s="8">
        <f t="shared" si="11"/>
        <v>0</v>
      </c>
      <c r="N14" s="6"/>
      <c r="O14" s="7"/>
      <c r="P14" s="8">
        <f t="shared" si="12"/>
        <v>0</v>
      </c>
      <c r="Q14" s="1"/>
      <c r="R14" s="6">
        <f t="shared" si="13"/>
        <v>7</v>
      </c>
      <c r="S14" s="9">
        <f t="shared" si="14"/>
        <v>0.42857142857142855</v>
      </c>
      <c r="T14" s="9">
        <f t="shared" si="15"/>
        <v>2.766798418972332E-2</v>
      </c>
      <c r="U14" s="9">
        <f>R14 / _xlfn.XLOOKUP(A14, Top!A:A, Top!AA:AA)</f>
        <v>2.9787234042553193E-2</v>
      </c>
      <c r="V14" s="1"/>
      <c r="W14" s="1"/>
    </row>
    <row r="15" spans="1:23" x14ac:dyDescent="0.25">
      <c r="A15" s="25" t="s">
        <v>252</v>
      </c>
      <c r="B15" s="6"/>
      <c r="C15" s="7"/>
      <c r="D15" s="8">
        <f t="shared" si="8"/>
        <v>0</v>
      </c>
      <c r="E15" s="6">
        <v>14</v>
      </c>
      <c r="F15" s="7">
        <v>0.42899999999999999</v>
      </c>
      <c r="G15" s="8">
        <f t="shared" si="9"/>
        <v>6.0060000000000002</v>
      </c>
      <c r="H15" s="6">
        <v>11</v>
      </c>
      <c r="I15" s="7">
        <v>0.36399999999999999</v>
      </c>
      <c r="J15" s="8">
        <f t="shared" si="10"/>
        <v>4.0039999999999996</v>
      </c>
      <c r="K15" s="6"/>
      <c r="L15" s="7"/>
      <c r="M15" s="8">
        <f t="shared" si="11"/>
        <v>0</v>
      </c>
      <c r="N15" s="6"/>
      <c r="O15" s="7"/>
      <c r="P15" s="8">
        <f t="shared" si="12"/>
        <v>0</v>
      </c>
      <c r="Q15" s="4"/>
      <c r="R15" s="6">
        <f t="shared" si="13"/>
        <v>25</v>
      </c>
      <c r="S15" s="9">
        <f t="shared" si="14"/>
        <v>0.40039999999999998</v>
      </c>
      <c r="T15" s="9">
        <f t="shared" si="15"/>
        <v>9.8814229249011856E-2</v>
      </c>
      <c r="U15" s="9">
        <f>R15 / _xlfn.XLOOKUP(A15, Top!A:A, Top!AA:AA)</f>
        <v>3.7425149700598799E-2</v>
      </c>
      <c r="V15" s="1"/>
      <c r="W15" s="1"/>
    </row>
    <row r="16" spans="1:23" x14ac:dyDescent="0.25">
      <c r="A16" s="1" t="s">
        <v>23</v>
      </c>
      <c r="B16" s="6"/>
      <c r="C16" s="7"/>
      <c r="D16" s="8">
        <f t="shared" si="8"/>
        <v>0</v>
      </c>
      <c r="E16" s="6">
        <v>3</v>
      </c>
      <c r="F16" s="7">
        <v>0.33300000000000002</v>
      </c>
      <c r="G16" s="8">
        <f t="shared" si="9"/>
        <v>0.99900000000000011</v>
      </c>
      <c r="H16" s="6">
        <v>2</v>
      </c>
      <c r="I16" s="7">
        <v>0.5</v>
      </c>
      <c r="J16" s="8">
        <f t="shared" si="10"/>
        <v>1</v>
      </c>
      <c r="K16" s="6"/>
      <c r="L16" s="7"/>
      <c r="M16" s="8">
        <f t="shared" si="11"/>
        <v>0</v>
      </c>
      <c r="N16" s="6"/>
      <c r="O16" s="7"/>
      <c r="P16" s="8">
        <f t="shared" si="12"/>
        <v>0</v>
      </c>
      <c r="Q16" s="1"/>
      <c r="R16" s="6">
        <f t="shared" si="13"/>
        <v>5</v>
      </c>
      <c r="S16" s="9">
        <f t="shared" si="14"/>
        <v>0.39980000000000004</v>
      </c>
      <c r="T16" s="9">
        <f t="shared" si="15"/>
        <v>1.9762845849802372E-2</v>
      </c>
      <c r="U16" s="9">
        <f>R16 / _xlfn.XLOOKUP(A16, Top!A:A, Top!AA:AA)</f>
        <v>1.282051282051282E-2</v>
      </c>
      <c r="V16" s="1"/>
      <c r="W16" s="1"/>
    </row>
    <row r="17" spans="1:23" x14ac:dyDescent="0.25">
      <c r="A17" s="1" t="s">
        <v>10</v>
      </c>
      <c r="B17" s="6">
        <v>8</v>
      </c>
      <c r="C17" s="7">
        <v>0.625</v>
      </c>
      <c r="D17" s="8">
        <f t="shared" si="8"/>
        <v>5</v>
      </c>
      <c r="E17" s="6">
        <v>5</v>
      </c>
      <c r="F17" s="7">
        <v>0</v>
      </c>
      <c r="G17" s="8">
        <f t="shared" si="9"/>
        <v>0</v>
      </c>
      <c r="H17" s="6"/>
      <c r="I17" s="7"/>
      <c r="J17" s="8">
        <f t="shared" si="10"/>
        <v>0</v>
      </c>
      <c r="K17" s="6"/>
      <c r="L17" s="7"/>
      <c r="M17" s="8">
        <f t="shared" si="11"/>
        <v>0</v>
      </c>
      <c r="N17" s="6"/>
      <c r="O17" s="7"/>
      <c r="P17" s="8">
        <f t="shared" si="12"/>
        <v>0</v>
      </c>
      <c r="Q17" s="1"/>
      <c r="R17" s="6">
        <f t="shared" si="13"/>
        <v>13</v>
      </c>
      <c r="S17" s="9">
        <f t="shared" si="14"/>
        <v>0.38461538461538464</v>
      </c>
      <c r="T17" s="9">
        <f t="shared" si="15"/>
        <v>5.1383399209486168E-2</v>
      </c>
      <c r="U17" s="9">
        <f>R17 / _xlfn.XLOOKUP(A17, Top!A:A, Top!AA:AA)</f>
        <v>6.0185185185185182E-2</v>
      </c>
      <c r="V17" s="1"/>
      <c r="W17" s="1"/>
    </row>
    <row r="18" spans="1:23" x14ac:dyDescent="0.25">
      <c r="A18" s="1" t="s">
        <v>14</v>
      </c>
      <c r="B18" s="6">
        <v>8</v>
      </c>
      <c r="C18" s="7">
        <v>0.5</v>
      </c>
      <c r="D18" s="8">
        <f t="shared" si="8"/>
        <v>4</v>
      </c>
      <c r="E18" s="6">
        <v>3</v>
      </c>
      <c r="F18" s="7">
        <v>0.33300000000000002</v>
      </c>
      <c r="G18" s="8">
        <f t="shared" si="9"/>
        <v>0.99900000000000011</v>
      </c>
      <c r="H18" s="6">
        <v>2</v>
      </c>
      <c r="I18" s="7">
        <v>0</v>
      </c>
      <c r="J18" s="8">
        <f t="shared" si="10"/>
        <v>0</v>
      </c>
      <c r="K18" s="6"/>
      <c r="L18" s="7"/>
      <c r="M18" s="8">
        <f t="shared" si="11"/>
        <v>0</v>
      </c>
      <c r="N18" s="6"/>
      <c r="O18" s="7"/>
      <c r="P18" s="8">
        <f t="shared" si="12"/>
        <v>0</v>
      </c>
      <c r="Q18" s="1"/>
      <c r="R18" s="6">
        <f t="shared" si="13"/>
        <v>13</v>
      </c>
      <c r="S18" s="9">
        <f t="shared" si="14"/>
        <v>0.38453846153846161</v>
      </c>
      <c r="T18" s="9">
        <f t="shared" si="15"/>
        <v>5.1383399209486168E-2</v>
      </c>
      <c r="U18" s="9">
        <f>R18 / _xlfn.XLOOKUP(A18, Top!A:A, Top!AA:AA)</f>
        <v>6.0747663551401869E-2</v>
      </c>
    </row>
    <row r="19" spans="1:23" x14ac:dyDescent="0.25">
      <c r="A19" s="1" t="s">
        <v>22</v>
      </c>
      <c r="B19" s="6">
        <v>7</v>
      </c>
      <c r="C19" s="7">
        <v>0.42899999999999999</v>
      </c>
      <c r="D19" s="8">
        <f t="shared" si="8"/>
        <v>3.0030000000000001</v>
      </c>
      <c r="E19" s="6">
        <v>17</v>
      </c>
      <c r="F19" s="7">
        <v>0.41199999999999998</v>
      </c>
      <c r="G19" s="8">
        <f t="shared" si="9"/>
        <v>7.0039999999999996</v>
      </c>
      <c r="H19" s="6">
        <v>6</v>
      </c>
      <c r="I19" s="7">
        <v>0.16700000000000001</v>
      </c>
      <c r="J19" s="8">
        <f t="shared" si="10"/>
        <v>1.002</v>
      </c>
      <c r="K19" s="6"/>
      <c r="L19" s="7"/>
      <c r="M19" s="8">
        <f t="shared" si="11"/>
        <v>0</v>
      </c>
      <c r="N19" s="6"/>
      <c r="O19" s="7"/>
      <c r="P19" s="8">
        <f t="shared" si="12"/>
        <v>0</v>
      </c>
      <c r="Q19" s="1"/>
      <c r="R19" s="6">
        <f t="shared" si="13"/>
        <v>30</v>
      </c>
      <c r="S19" s="9">
        <f t="shared" si="14"/>
        <v>0.36696666666666666</v>
      </c>
      <c r="T19" s="9">
        <f t="shared" si="15"/>
        <v>0.11857707509881422</v>
      </c>
      <c r="U19" s="9">
        <f>R19 / _xlfn.XLOOKUP(A19, Top!A:A, Top!AA:AA)</f>
        <v>5.8708414872798431E-2</v>
      </c>
    </row>
    <row r="20" spans="1:23" x14ac:dyDescent="0.25">
      <c r="A20" s="1" t="s">
        <v>11</v>
      </c>
      <c r="B20" s="6">
        <v>15</v>
      </c>
      <c r="C20" s="7">
        <v>0.4</v>
      </c>
      <c r="D20" s="8">
        <f t="shared" si="8"/>
        <v>6</v>
      </c>
      <c r="E20" s="6"/>
      <c r="F20" s="7"/>
      <c r="G20" s="8">
        <f t="shared" si="9"/>
        <v>0</v>
      </c>
      <c r="H20" s="6">
        <v>3</v>
      </c>
      <c r="I20" s="7">
        <v>0</v>
      </c>
      <c r="J20" s="8">
        <f t="shared" si="10"/>
        <v>0</v>
      </c>
      <c r="K20" s="6"/>
      <c r="L20" s="7"/>
      <c r="M20" s="8">
        <f t="shared" si="11"/>
        <v>0</v>
      </c>
      <c r="N20" s="6"/>
      <c r="O20" s="7"/>
      <c r="P20" s="8">
        <f t="shared" si="12"/>
        <v>0</v>
      </c>
      <c r="Q20" s="4"/>
      <c r="R20" s="6">
        <f t="shared" si="13"/>
        <v>18</v>
      </c>
      <c r="S20" s="9">
        <f t="shared" si="14"/>
        <v>0.33333333333333331</v>
      </c>
      <c r="T20" s="9">
        <f t="shared" si="15"/>
        <v>7.1146245059288543E-2</v>
      </c>
      <c r="U20" s="9">
        <f>R20 / _xlfn.XLOOKUP(A20, Top!A:A, Top!AA:AA)</f>
        <v>4.7244094488188976E-2</v>
      </c>
    </row>
    <row r="21" spans="1:23" x14ac:dyDescent="0.25">
      <c r="A21" s="1" t="s">
        <v>16</v>
      </c>
      <c r="B21" s="6">
        <v>2</v>
      </c>
      <c r="C21" s="7">
        <v>0.5</v>
      </c>
      <c r="D21" s="8">
        <f t="shared" si="8"/>
        <v>1</v>
      </c>
      <c r="E21" s="6">
        <v>22</v>
      </c>
      <c r="F21" s="7">
        <v>0.36399999999999999</v>
      </c>
      <c r="G21" s="8">
        <f t="shared" si="9"/>
        <v>8.0079999999999991</v>
      </c>
      <c r="H21" s="6">
        <v>9</v>
      </c>
      <c r="I21" s="7">
        <v>0.111</v>
      </c>
      <c r="J21" s="8">
        <f t="shared" si="10"/>
        <v>0.999</v>
      </c>
      <c r="K21" s="6"/>
      <c r="L21" s="7"/>
      <c r="M21" s="8">
        <f t="shared" si="11"/>
        <v>0</v>
      </c>
      <c r="N21" s="6"/>
      <c r="O21" s="7"/>
      <c r="P21" s="8">
        <f t="shared" si="12"/>
        <v>0</v>
      </c>
      <c r="Q21" s="1"/>
      <c r="R21" s="6">
        <f t="shared" si="13"/>
        <v>33</v>
      </c>
      <c r="S21" s="9">
        <f t="shared" si="14"/>
        <v>0.30324242424242426</v>
      </c>
      <c r="T21" s="9">
        <f t="shared" si="15"/>
        <v>0.13043478260869565</v>
      </c>
      <c r="U21" s="9">
        <f>R21 / _xlfn.XLOOKUP(A21, Top!A:A, Top!AA:AA)</f>
        <v>8.0097087378640783E-2</v>
      </c>
    </row>
    <row r="22" spans="1:23" x14ac:dyDescent="0.25">
      <c r="A22" s="1" t="s">
        <v>7</v>
      </c>
      <c r="B22" s="6">
        <v>10</v>
      </c>
      <c r="C22" s="7">
        <v>0.3</v>
      </c>
      <c r="D22" s="8">
        <f t="shared" si="8"/>
        <v>3</v>
      </c>
      <c r="E22" s="6">
        <v>2</v>
      </c>
      <c r="F22" s="7">
        <v>0</v>
      </c>
      <c r="G22" s="8">
        <f t="shared" si="9"/>
        <v>0</v>
      </c>
      <c r="H22" s="6">
        <v>5</v>
      </c>
      <c r="I22" s="7">
        <v>0.4</v>
      </c>
      <c r="J22" s="8">
        <f t="shared" si="10"/>
        <v>2</v>
      </c>
      <c r="K22" s="6"/>
      <c r="L22" s="7"/>
      <c r="M22" s="8">
        <f t="shared" si="11"/>
        <v>0</v>
      </c>
      <c r="N22" s="6"/>
      <c r="O22" s="7"/>
      <c r="P22" s="8">
        <f t="shared" si="12"/>
        <v>0</v>
      </c>
      <c r="Q22" s="1"/>
      <c r="R22" s="6">
        <f t="shared" si="13"/>
        <v>17</v>
      </c>
      <c r="S22" s="9">
        <f t="shared" si="14"/>
        <v>0.29411764705882354</v>
      </c>
      <c r="T22" s="9">
        <f t="shared" si="15"/>
        <v>6.7193675889328064E-2</v>
      </c>
      <c r="U22" s="9">
        <f>R22 / _xlfn.XLOOKUP(A22, Top!A:A, Top!AA:AA)</f>
        <v>3.2015065913370999E-2</v>
      </c>
    </row>
    <row r="23" spans="1:23" x14ac:dyDescent="0.25">
      <c r="A23" s="1" t="s">
        <v>36</v>
      </c>
      <c r="B23" s="6"/>
      <c r="C23" s="7"/>
      <c r="D23" s="8">
        <f t="shared" si="8"/>
        <v>0</v>
      </c>
      <c r="E23" s="6">
        <v>2</v>
      </c>
      <c r="F23" s="7">
        <v>0</v>
      </c>
      <c r="G23" s="8">
        <f t="shared" si="9"/>
        <v>0</v>
      </c>
      <c r="H23" s="6">
        <v>5</v>
      </c>
      <c r="I23" s="7">
        <v>0.4</v>
      </c>
      <c r="J23" s="8">
        <f t="shared" si="10"/>
        <v>2</v>
      </c>
      <c r="K23" s="6"/>
      <c r="L23" s="7"/>
      <c r="M23" s="8">
        <f t="shared" si="11"/>
        <v>0</v>
      </c>
      <c r="N23" s="6"/>
      <c r="O23" s="7"/>
      <c r="P23" s="8">
        <f t="shared" si="12"/>
        <v>0</v>
      </c>
      <c r="Q23" s="13"/>
      <c r="R23" s="6">
        <f t="shared" si="13"/>
        <v>7</v>
      </c>
      <c r="S23" s="9">
        <f t="shared" si="14"/>
        <v>0.2857142857142857</v>
      </c>
      <c r="T23" s="9">
        <f t="shared" si="15"/>
        <v>2.766798418972332E-2</v>
      </c>
      <c r="U23" s="9">
        <f>R23 / _xlfn.XLOOKUP(A23, Top!A:A, Top!AA:AA)</f>
        <v>0.19444444444444445</v>
      </c>
    </row>
    <row r="24" spans="1:23" x14ac:dyDescent="0.25">
      <c r="A24" s="1" t="s">
        <v>9</v>
      </c>
      <c r="B24" s="6">
        <v>2</v>
      </c>
      <c r="C24" s="7">
        <v>0</v>
      </c>
      <c r="D24" s="8">
        <f t="shared" si="8"/>
        <v>0</v>
      </c>
      <c r="E24" s="6">
        <v>2</v>
      </c>
      <c r="F24" s="7">
        <v>0</v>
      </c>
      <c r="G24" s="8">
        <f t="shared" si="9"/>
        <v>0</v>
      </c>
      <c r="H24" s="6">
        <v>6</v>
      </c>
      <c r="I24" s="7">
        <v>0.33300000000000002</v>
      </c>
      <c r="J24" s="8">
        <f t="shared" si="10"/>
        <v>1.9980000000000002</v>
      </c>
      <c r="K24" s="6"/>
      <c r="L24" s="7"/>
      <c r="M24" s="8">
        <f t="shared" si="11"/>
        <v>0</v>
      </c>
      <c r="N24" s="6"/>
      <c r="O24" s="7"/>
      <c r="P24" s="8">
        <f t="shared" si="12"/>
        <v>0</v>
      </c>
      <c r="Q24" s="1"/>
      <c r="R24" s="6">
        <f t="shared" si="13"/>
        <v>10</v>
      </c>
      <c r="S24" s="9">
        <f t="shared" si="14"/>
        <v>0.19980000000000003</v>
      </c>
      <c r="T24" s="9">
        <f t="shared" si="15"/>
        <v>3.9525691699604744E-2</v>
      </c>
      <c r="U24" s="9">
        <f>R24 / _xlfn.XLOOKUP(A24, Top!A:A, Top!AA:AA)</f>
        <v>3.0674846625766871E-2</v>
      </c>
    </row>
    <row r="25" spans="1:23" x14ac:dyDescent="0.25">
      <c r="A25" s="1" t="s">
        <v>19</v>
      </c>
      <c r="B25" s="6">
        <v>3</v>
      </c>
      <c r="C25" s="7">
        <v>0.33300000000000002</v>
      </c>
      <c r="D25" s="8">
        <f t="shared" si="8"/>
        <v>0.99900000000000011</v>
      </c>
      <c r="E25" s="6">
        <v>1</v>
      </c>
      <c r="F25" s="7">
        <v>0</v>
      </c>
      <c r="G25" s="8">
        <f t="shared" si="9"/>
        <v>0</v>
      </c>
      <c r="H25" s="6">
        <v>1</v>
      </c>
      <c r="I25" s="7">
        <v>0</v>
      </c>
      <c r="J25" s="8">
        <f t="shared" si="10"/>
        <v>0</v>
      </c>
      <c r="K25" s="6"/>
      <c r="L25" s="7"/>
      <c r="M25" s="8">
        <f t="shared" si="11"/>
        <v>0</v>
      </c>
      <c r="N25" s="6"/>
      <c r="O25" s="7"/>
      <c r="P25" s="8">
        <f t="shared" si="12"/>
        <v>0</v>
      </c>
      <c r="Q25" s="1"/>
      <c r="R25" s="6">
        <f t="shared" si="13"/>
        <v>5</v>
      </c>
      <c r="S25" s="9">
        <f t="shared" si="14"/>
        <v>0.19980000000000003</v>
      </c>
      <c r="T25" s="9">
        <f t="shared" si="15"/>
        <v>1.9762845849802372E-2</v>
      </c>
      <c r="U25" s="9">
        <f>R25 / _xlfn.XLOOKUP(A25, Top!A:A, Top!AA:AA)</f>
        <v>3.6496350364963501E-2</v>
      </c>
    </row>
    <row r="26" spans="1:23" x14ac:dyDescent="0.25">
      <c r="A26" s="1" t="s">
        <v>15</v>
      </c>
      <c r="B26" s="6">
        <v>1</v>
      </c>
      <c r="C26" s="7">
        <v>0</v>
      </c>
      <c r="D26" s="8">
        <f t="shared" si="8"/>
        <v>0</v>
      </c>
      <c r="E26" s="6"/>
      <c r="F26" s="7"/>
      <c r="G26" s="8">
        <f t="shared" si="9"/>
        <v>0</v>
      </c>
      <c r="H26" s="6">
        <v>3</v>
      </c>
      <c r="I26" s="7">
        <v>0</v>
      </c>
      <c r="J26" s="8">
        <f t="shared" si="10"/>
        <v>0</v>
      </c>
      <c r="K26" s="6"/>
      <c r="L26" s="7"/>
      <c r="M26" s="8">
        <f t="shared" si="11"/>
        <v>0</v>
      </c>
      <c r="N26" s="6"/>
      <c r="O26" s="7"/>
      <c r="P26" s="8">
        <f t="shared" si="12"/>
        <v>0</v>
      </c>
      <c r="Q26" s="1"/>
      <c r="R26" s="6">
        <f t="shared" si="13"/>
        <v>4</v>
      </c>
      <c r="S26" s="9">
        <f t="shared" si="14"/>
        <v>0</v>
      </c>
      <c r="T26" s="9">
        <f t="shared" si="15"/>
        <v>1.5810276679841896E-2</v>
      </c>
      <c r="U26" s="9">
        <f>R26 / _xlfn.XLOOKUP(A26, Top!A:A, Top!AA:AA)</f>
        <v>3.3057851239669422E-2</v>
      </c>
    </row>
    <row r="27" spans="1:23" x14ac:dyDescent="0.25">
      <c r="A27" s="1" t="s">
        <v>28</v>
      </c>
      <c r="B27" s="6">
        <v>3</v>
      </c>
      <c r="C27" s="7">
        <v>0</v>
      </c>
      <c r="D27" s="8">
        <f t="shared" si="8"/>
        <v>0</v>
      </c>
      <c r="E27" s="6"/>
      <c r="F27" s="7"/>
      <c r="G27" s="8">
        <f t="shared" si="9"/>
        <v>0</v>
      </c>
      <c r="H27" s="6"/>
      <c r="I27" s="7"/>
      <c r="J27" s="8">
        <f t="shared" si="10"/>
        <v>0</v>
      </c>
      <c r="K27" s="6"/>
      <c r="L27" s="7"/>
      <c r="M27" s="8">
        <f t="shared" si="11"/>
        <v>0</v>
      </c>
      <c r="N27" s="6"/>
      <c r="O27" s="7"/>
      <c r="P27" s="8">
        <f t="shared" si="12"/>
        <v>0</v>
      </c>
      <c r="Q27" s="1"/>
      <c r="R27" s="6">
        <f t="shared" si="13"/>
        <v>3</v>
      </c>
      <c r="S27" s="9">
        <f t="shared" si="14"/>
        <v>0</v>
      </c>
      <c r="T27" s="9">
        <f t="shared" si="15"/>
        <v>1.1857707509881422E-2</v>
      </c>
      <c r="U27" s="9">
        <f>R27 / _xlfn.XLOOKUP(A27, Top!A:A, Top!AA:AA)</f>
        <v>6.1224489795918366E-2</v>
      </c>
    </row>
    <row r="28" spans="1:23" x14ac:dyDescent="0.25">
      <c r="A28" s="1" t="s">
        <v>40</v>
      </c>
      <c r="B28" s="6"/>
      <c r="C28" s="7"/>
      <c r="D28" s="8">
        <f t="shared" si="8"/>
        <v>0</v>
      </c>
      <c r="E28" s="6"/>
      <c r="F28" s="7"/>
      <c r="G28" s="8">
        <f t="shared" si="9"/>
        <v>0</v>
      </c>
      <c r="H28" s="6">
        <v>3</v>
      </c>
      <c r="I28" s="7">
        <v>0</v>
      </c>
      <c r="J28" s="8">
        <f t="shared" si="10"/>
        <v>0</v>
      </c>
      <c r="K28" s="6"/>
      <c r="L28" s="7"/>
      <c r="M28" s="8">
        <f t="shared" si="11"/>
        <v>0</v>
      </c>
      <c r="N28" s="6"/>
      <c r="O28" s="7"/>
      <c r="P28" s="8">
        <f t="shared" si="12"/>
        <v>0</v>
      </c>
      <c r="Q28" s="1"/>
      <c r="R28" s="6">
        <f t="shared" si="13"/>
        <v>3</v>
      </c>
      <c r="S28" s="9">
        <f t="shared" si="14"/>
        <v>0</v>
      </c>
      <c r="T28" s="9">
        <f t="shared" si="15"/>
        <v>1.1857707509881422E-2</v>
      </c>
      <c r="U28" s="9">
        <f>R28 / _xlfn.XLOOKUP(A28, Top!A:A, Top!AA:AA)</f>
        <v>4.6875E-2</v>
      </c>
    </row>
    <row r="29" spans="1:23" x14ac:dyDescent="0.25">
      <c r="A29" s="1" t="s">
        <v>20</v>
      </c>
      <c r="B29" s="6"/>
      <c r="C29" s="7"/>
      <c r="D29" s="8">
        <f t="shared" si="8"/>
        <v>0</v>
      </c>
      <c r="E29" s="6">
        <v>2</v>
      </c>
      <c r="F29" s="7">
        <v>0</v>
      </c>
      <c r="G29" s="8">
        <f t="shared" si="9"/>
        <v>0</v>
      </c>
      <c r="H29" s="6"/>
      <c r="I29" s="7"/>
      <c r="J29" s="8">
        <f t="shared" si="10"/>
        <v>0</v>
      </c>
      <c r="K29" s="6"/>
      <c r="L29" s="7"/>
      <c r="M29" s="8">
        <f t="shared" si="11"/>
        <v>0</v>
      </c>
      <c r="N29" s="6"/>
      <c r="O29" s="7"/>
      <c r="P29" s="8">
        <f t="shared" si="12"/>
        <v>0</v>
      </c>
      <c r="Q29" s="1"/>
      <c r="R29" s="6">
        <f t="shared" si="13"/>
        <v>2</v>
      </c>
      <c r="S29" s="9">
        <f t="shared" si="14"/>
        <v>0</v>
      </c>
      <c r="T29" s="9">
        <f t="shared" si="15"/>
        <v>7.9051383399209481E-3</v>
      </c>
      <c r="U29" s="9">
        <f>R29 / _xlfn.XLOOKUP(A29, Top!A:A, Top!AA:AA)</f>
        <v>2.3809523809523808E-2</v>
      </c>
    </row>
    <row r="30" spans="1:23" x14ac:dyDescent="0.25">
      <c r="A30" s="1" t="s">
        <v>29</v>
      </c>
      <c r="B30" s="6"/>
      <c r="C30" s="7"/>
      <c r="D30" s="8">
        <f t="shared" si="8"/>
        <v>0</v>
      </c>
      <c r="E30" s="6"/>
      <c r="F30" s="7"/>
      <c r="G30" s="8">
        <f t="shared" si="9"/>
        <v>0</v>
      </c>
      <c r="H30" s="6">
        <v>2</v>
      </c>
      <c r="I30" s="7">
        <v>0</v>
      </c>
      <c r="J30" s="8">
        <f t="shared" si="10"/>
        <v>0</v>
      </c>
      <c r="K30" s="6"/>
      <c r="L30" s="7"/>
      <c r="M30" s="8">
        <f t="shared" si="11"/>
        <v>0</v>
      </c>
      <c r="N30" s="6"/>
      <c r="O30" s="7"/>
      <c r="P30" s="8">
        <f t="shared" si="12"/>
        <v>0</v>
      </c>
      <c r="Q30" s="1"/>
      <c r="R30" s="6">
        <f t="shared" si="13"/>
        <v>2</v>
      </c>
      <c r="S30" s="9">
        <f t="shared" si="14"/>
        <v>0</v>
      </c>
      <c r="T30" s="9">
        <f t="shared" si="15"/>
        <v>7.9051383399209481E-3</v>
      </c>
      <c r="U30" s="9">
        <f>R30 / _xlfn.XLOOKUP(A30, Top!A:A, Top!AA:AA)</f>
        <v>0.5</v>
      </c>
    </row>
    <row r="31" spans="1:23" x14ac:dyDescent="0.25">
      <c r="A31" s="1" t="s">
        <v>58</v>
      </c>
      <c r="B31" s="6">
        <v>1</v>
      </c>
      <c r="C31" s="7">
        <v>0</v>
      </c>
      <c r="D31" s="8">
        <f t="shared" si="8"/>
        <v>0</v>
      </c>
      <c r="E31" s="6">
        <v>1</v>
      </c>
      <c r="F31" s="7">
        <v>0</v>
      </c>
      <c r="G31" s="8">
        <f t="shared" si="9"/>
        <v>0</v>
      </c>
      <c r="H31" s="6"/>
      <c r="I31" s="7"/>
      <c r="J31" s="8">
        <f t="shared" si="10"/>
        <v>0</v>
      </c>
      <c r="K31" s="6"/>
      <c r="L31" s="7"/>
      <c r="M31" s="8">
        <f t="shared" si="11"/>
        <v>0</v>
      </c>
      <c r="N31" s="6"/>
      <c r="O31" s="7"/>
      <c r="P31" s="8">
        <f t="shared" si="12"/>
        <v>0</v>
      </c>
      <c r="Q31" s="1"/>
      <c r="R31" s="6">
        <f t="shared" si="13"/>
        <v>2</v>
      </c>
      <c r="S31" s="9">
        <f t="shared" si="14"/>
        <v>0</v>
      </c>
      <c r="T31" s="9">
        <f t="shared" si="15"/>
        <v>7.9051383399209481E-3</v>
      </c>
      <c r="U31" s="9">
        <f>R31 / _xlfn.XLOOKUP(A31, Top!A:A, Top!AA:AA)</f>
        <v>0.4</v>
      </c>
    </row>
    <row r="32" spans="1:23" x14ac:dyDescent="0.25">
      <c r="A32" s="1" t="s">
        <v>44</v>
      </c>
      <c r="B32" s="6"/>
      <c r="C32" s="7"/>
      <c r="D32" s="8">
        <f t="shared" si="8"/>
        <v>0</v>
      </c>
      <c r="E32" s="6"/>
      <c r="F32" s="7"/>
      <c r="G32" s="8">
        <f t="shared" si="9"/>
        <v>0</v>
      </c>
      <c r="H32" s="6">
        <v>1</v>
      </c>
      <c r="I32" s="7">
        <v>0</v>
      </c>
      <c r="J32" s="8">
        <f t="shared" si="10"/>
        <v>0</v>
      </c>
      <c r="K32" s="6"/>
      <c r="L32" s="7"/>
      <c r="M32" s="8">
        <f t="shared" si="11"/>
        <v>0</v>
      </c>
      <c r="N32" s="6"/>
      <c r="O32" s="7"/>
      <c r="P32" s="8">
        <f t="shared" si="12"/>
        <v>0</v>
      </c>
      <c r="Q32" s="1"/>
      <c r="R32" s="6">
        <f t="shared" si="13"/>
        <v>1</v>
      </c>
      <c r="S32" s="9">
        <f t="shared" si="14"/>
        <v>0</v>
      </c>
      <c r="T32" s="9">
        <f t="shared" si="15"/>
        <v>3.952569169960474E-3</v>
      </c>
      <c r="U32" s="9">
        <f>R32 / _xlfn.XLOOKUP(A32, Top!A:A, Top!AA:AA)</f>
        <v>0.1</v>
      </c>
    </row>
    <row r="33" spans="1:21" x14ac:dyDescent="0.25">
      <c r="A33" s="1" t="s">
        <v>62</v>
      </c>
      <c r="B33" s="6"/>
      <c r="C33" s="7"/>
      <c r="D33" s="8">
        <f t="shared" si="8"/>
        <v>0</v>
      </c>
      <c r="E33" s="6">
        <v>1</v>
      </c>
      <c r="F33" s="7">
        <v>0</v>
      </c>
      <c r="G33" s="8">
        <f t="shared" si="9"/>
        <v>0</v>
      </c>
      <c r="H33" s="6"/>
      <c r="I33" s="7"/>
      <c r="J33" s="8">
        <f t="shared" si="10"/>
        <v>0</v>
      </c>
      <c r="K33" s="6"/>
      <c r="L33" s="7"/>
      <c r="M33" s="8">
        <f t="shared" si="11"/>
        <v>0</v>
      </c>
      <c r="N33" s="6"/>
      <c r="O33" s="7"/>
      <c r="P33" s="8">
        <f t="shared" si="12"/>
        <v>0</v>
      </c>
      <c r="Q33" s="1"/>
      <c r="R33" s="6">
        <f t="shared" si="13"/>
        <v>1</v>
      </c>
      <c r="S33" s="9">
        <f t="shared" si="14"/>
        <v>0</v>
      </c>
      <c r="T33" s="9">
        <f t="shared" si="15"/>
        <v>3.952569169960474E-3</v>
      </c>
      <c r="U33" s="9">
        <f>R33 / _xlfn.XLOOKUP(A33, Top!A:A, Top!AA:AA)</f>
        <v>1</v>
      </c>
    </row>
    <row r="34" spans="1:21" x14ac:dyDescent="0.25">
      <c r="A34" s="1" t="s">
        <v>108</v>
      </c>
      <c r="B34" s="6"/>
      <c r="C34" s="7"/>
      <c r="D34" s="8">
        <f t="shared" si="8"/>
        <v>0</v>
      </c>
      <c r="E34" s="6"/>
      <c r="F34" s="7"/>
      <c r="G34" s="8">
        <f t="shared" si="9"/>
        <v>0</v>
      </c>
      <c r="H34" s="6">
        <v>1</v>
      </c>
      <c r="I34" s="7">
        <v>0</v>
      </c>
      <c r="J34" s="8">
        <f t="shared" si="10"/>
        <v>0</v>
      </c>
      <c r="K34" s="6"/>
      <c r="L34" s="7"/>
      <c r="M34" s="8">
        <f t="shared" si="11"/>
        <v>0</v>
      </c>
      <c r="N34" s="6"/>
      <c r="O34" s="7"/>
      <c r="P34" s="8">
        <f t="shared" si="12"/>
        <v>0</v>
      </c>
      <c r="Q34" s="1"/>
      <c r="R34" s="6">
        <f t="shared" si="13"/>
        <v>1</v>
      </c>
      <c r="S34" s="9">
        <f t="shared" si="14"/>
        <v>0</v>
      </c>
      <c r="T34" s="9">
        <f t="shared" si="15"/>
        <v>3.952569169960474E-3</v>
      </c>
      <c r="U34" s="9">
        <f>R34 / _xlfn.XLOOKUP(A34, Top!A:A, Top!AA:AA)</f>
        <v>0.2</v>
      </c>
    </row>
    <row r="35" spans="1:21" x14ac:dyDescent="0.25">
      <c r="A35" s="1" t="s">
        <v>201</v>
      </c>
      <c r="B35" s="6"/>
      <c r="C35" s="7"/>
      <c r="D35" s="8">
        <f t="shared" si="8"/>
        <v>0</v>
      </c>
      <c r="E35" s="6"/>
      <c r="F35" s="7"/>
      <c r="G35" s="8">
        <f t="shared" si="9"/>
        <v>0</v>
      </c>
      <c r="H35" s="6">
        <v>1</v>
      </c>
      <c r="I35" s="7">
        <v>0</v>
      </c>
      <c r="J35" s="8">
        <f t="shared" si="10"/>
        <v>0</v>
      </c>
      <c r="K35" s="6"/>
      <c r="L35" s="7"/>
      <c r="M35" s="8">
        <f t="shared" si="11"/>
        <v>0</v>
      </c>
      <c r="N35" s="1"/>
      <c r="O35" s="1"/>
      <c r="P35" s="8">
        <f t="shared" si="12"/>
        <v>0</v>
      </c>
      <c r="Q35" s="1"/>
      <c r="R35" s="6">
        <f t="shared" si="13"/>
        <v>1</v>
      </c>
      <c r="S35" s="9">
        <f t="shared" si="14"/>
        <v>0</v>
      </c>
      <c r="T35" s="9">
        <f t="shared" si="15"/>
        <v>3.952569169960474E-3</v>
      </c>
      <c r="U35" s="9">
        <f>R35 / _xlfn.XLOOKUP(A35, Top!A:A, Top!AA:AA)</f>
        <v>1.2987012987012988E-2</v>
      </c>
    </row>
    <row r="36" spans="1:21" x14ac:dyDescent="0.25">
      <c r="A36" s="1" t="s">
        <v>95</v>
      </c>
      <c r="B36" s="6"/>
      <c r="C36" s="7"/>
      <c r="D36" s="8">
        <f t="shared" si="8"/>
        <v>0</v>
      </c>
      <c r="E36" s="6"/>
      <c r="F36" s="7"/>
      <c r="G36" s="8">
        <f t="shared" si="9"/>
        <v>0</v>
      </c>
      <c r="H36" s="6">
        <v>1</v>
      </c>
      <c r="I36" s="7">
        <v>0</v>
      </c>
      <c r="J36" s="8">
        <f t="shared" si="10"/>
        <v>0</v>
      </c>
      <c r="K36" s="6"/>
      <c r="L36" s="7"/>
      <c r="M36" s="8">
        <f t="shared" si="11"/>
        <v>0</v>
      </c>
      <c r="N36" s="1"/>
      <c r="O36" s="1"/>
      <c r="P36" s="8">
        <f t="shared" si="12"/>
        <v>0</v>
      </c>
      <c r="Q36" s="1"/>
      <c r="R36" s="6">
        <f t="shared" si="13"/>
        <v>1</v>
      </c>
      <c r="S36" s="9">
        <f t="shared" si="14"/>
        <v>0</v>
      </c>
      <c r="T36" s="9">
        <f t="shared" si="15"/>
        <v>3.952569169960474E-3</v>
      </c>
      <c r="U36" s="9">
        <f>R36 / _xlfn.XLOOKUP(A36, Top!A:A, Top!AA:AA)</f>
        <v>2.1276595744680851E-2</v>
      </c>
    </row>
  </sheetData>
  <sortState xmlns:xlrd2="http://schemas.microsoft.com/office/spreadsheetml/2017/richdata2" ref="A3:U36">
    <sortCondition descending="1" ref="S3:S36"/>
  </sortState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1CF95-40C1-43A7-BB87-369767239A7B}">
  <sheetPr>
    <tabColor theme="4" tint="0.59999389629810485"/>
  </sheetPr>
  <dimension ref="A1:W24"/>
  <sheetViews>
    <sheetView workbookViewId="0">
      <selection activeCell="A15" sqref="A15"/>
    </sheetView>
  </sheetViews>
  <sheetFormatPr baseColWidth="10" defaultRowHeight="15" x14ac:dyDescent="0.25"/>
  <sheetData>
    <row r="1" spans="1:23" ht="15.75" x14ac:dyDescent="0.25">
      <c r="A1" s="2" t="s">
        <v>219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25" t="s">
        <v>208</v>
      </c>
      <c r="B3" s="6"/>
      <c r="C3" s="7"/>
      <c r="D3" s="8">
        <f t="shared" ref="D3:D21" si="0">B3*C3</f>
        <v>0</v>
      </c>
      <c r="E3" s="6"/>
      <c r="F3" s="7"/>
      <c r="G3" s="8">
        <f t="shared" ref="G3:G21" si="1">E3*F3</f>
        <v>0</v>
      </c>
      <c r="H3" s="6"/>
      <c r="I3" s="7"/>
      <c r="J3" s="8">
        <f t="shared" ref="J3:J21" si="2">H3*I3</f>
        <v>0</v>
      </c>
      <c r="K3" s="6">
        <v>16</v>
      </c>
      <c r="L3" s="7">
        <v>0.438</v>
      </c>
      <c r="M3" s="8">
        <f t="shared" ref="M3:M21" si="3">K3*L3</f>
        <v>7.008</v>
      </c>
      <c r="N3" s="6">
        <v>2</v>
      </c>
      <c r="O3" s="7">
        <v>0.5</v>
      </c>
      <c r="P3" s="8">
        <f t="shared" ref="P3:P21" si="4">N3*O3</f>
        <v>1</v>
      </c>
      <c r="Q3" s="1"/>
      <c r="R3" s="6">
        <f t="shared" ref="R3:R21" si="5">B3+E3+H3+K3+N3</f>
        <v>18</v>
      </c>
      <c r="S3" s="9">
        <f t="shared" ref="S3:S21" si="6">(D3+G3+J3+M3+P3)/R3</f>
        <v>0.44488888888888883</v>
      </c>
      <c r="T3" s="9">
        <f t="shared" ref="T3:T21" si="7">R3/$V$3</f>
        <v>0.13846153846153847</v>
      </c>
      <c r="U3" s="9">
        <f>R3 / _xlfn.XLOOKUP(A3, Top!A:A, Top!AA:AA)</f>
        <v>9.375E-2</v>
      </c>
      <c r="V3" s="11">
        <f>SUM(R3:R38)</f>
        <v>130</v>
      </c>
      <c r="W3" s="12">
        <f>(SUM(D3:D68)+SUM(G3:G68)+SUM(J3:J68)+SUM(M3:M68)+SUM(P3:P68)) / V3</f>
        <v>0.40780769230769232</v>
      </c>
    </row>
    <row r="4" spans="1:23" x14ac:dyDescent="0.25">
      <c r="A4" s="1" t="s">
        <v>11</v>
      </c>
      <c r="B4" s="6"/>
      <c r="C4" s="7"/>
      <c r="D4" s="8">
        <f t="shared" si="0"/>
        <v>0</v>
      </c>
      <c r="E4" s="6"/>
      <c r="F4" s="7"/>
      <c r="G4" s="8">
        <f t="shared" si="1"/>
        <v>0</v>
      </c>
      <c r="H4" s="6"/>
      <c r="I4" s="7"/>
      <c r="J4" s="8">
        <f t="shared" si="2"/>
        <v>0</v>
      </c>
      <c r="K4" s="6">
        <v>9</v>
      </c>
      <c r="L4" s="32">
        <v>0.55600000000000005</v>
      </c>
      <c r="M4" s="8">
        <f t="shared" si="3"/>
        <v>5.0040000000000004</v>
      </c>
      <c r="N4" s="6">
        <v>4</v>
      </c>
      <c r="O4" s="7">
        <v>0.25</v>
      </c>
      <c r="P4" s="8">
        <f t="shared" si="4"/>
        <v>1</v>
      </c>
      <c r="Q4" s="1"/>
      <c r="R4" s="6">
        <f t="shared" si="5"/>
        <v>13</v>
      </c>
      <c r="S4" s="9">
        <f t="shared" si="6"/>
        <v>0.46184615384615391</v>
      </c>
      <c r="T4" s="9">
        <f t="shared" si="7"/>
        <v>0.1</v>
      </c>
      <c r="U4" s="9">
        <f>R4 / _xlfn.XLOOKUP(A4, Top!A:A, Top!AA:AA)</f>
        <v>3.4120734908136482E-2</v>
      </c>
      <c r="V4" s="6"/>
      <c r="W4" s="9"/>
    </row>
    <row r="5" spans="1:23" x14ac:dyDescent="0.25">
      <c r="A5" s="1" t="s">
        <v>23</v>
      </c>
      <c r="B5" s="6"/>
      <c r="C5" s="7"/>
      <c r="D5" s="8">
        <f t="shared" si="0"/>
        <v>0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>
        <v>11</v>
      </c>
      <c r="L5" s="7">
        <v>0.27300000000000002</v>
      </c>
      <c r="M5" s="8">
        <f t="shared" si="3"/>
        <v>3.0030000000000001</v>
      </c>
      <c r="N5" s="6">
        <v>2</v>
      </c>
      <c r="O5" s="7">
        <v>0</v>
      </c>
      <c r="P5" s="8">
        <f t="shared" si="4"/>
        <v>0</v>
      </c>
      <c r="Q5" s="1"/>
      <c r="R5" s="6">
        <f t="shared" si="5"/>
        <v>13</v>
      </c>
      <c r="S5" s="9">
        <f t="shared" si="6"/>
        <v>0.23100000000000001</v>
      </c>
      <c r="T5" s="9">
        <f t="shared" si="7"/>
        <v>0.1</v>
      </c>
      <c r="U5" s="9">
        <f>R5 / _xlfn.XLOOKUP(A5, Top!A:A, Top!AA:AA)</f>
        <v>3.3333333333333333E-2</v>
      </c>
      <c r="W5" s="1"/>
    </row>
    <row r="6" spans="1:23" x14ac:dyDescent="0.25">
      <c r="A6" s="1" t="s">
        <v>17</v>
      </c>
      <c r="B6" s="6"/>
      <c r="C6" s="7"/>
      <c r="D6" s="8">
        <f t="shared" si="0"/>
        <v>0</v>
      </c>
      <c r="E6" s="6"/>
      <c r="F6" s="7"/>
      <c r="G6" s="8">
        <f t="shared" si="1"/>
        <v>0</v>
      </c>
      <c r="H6" s="6"/>
      <c r="I6" s="7"/>
      <c r="J6" s="8">
        <f t="shared" si="2"/>
        <v>0</v>
      </c>
      <c r="K6" s="6">
        <v>10</v>
      </c>
      <c r="L6" s="7">
        <v>0.4</v>
      </c>
      <c r="M6" s="8">
        <f t="shared" si="3"/>
        <v>4</v>
      </c>
      <c r="N6" s="6">
        <v>3</v>
      </c>
      <c r="O6" s="7">
        <v>0</v>
      </c>
      <c r="P6" s="8">
        <f t="shared" si="4"/>
        <v>0</v>
      </c>
      <c r="Q6" s="1"/>
      <c r="R6" s="6">
        <f t="shared" si="5"/>
        <v>13</v>
      </c>
      <c r="S6" s="9">
        <f t="shared" si="6"/>
        <v>0.30769230769230771</v>
      </c>
      <c r="T6" s="9">
        <f t="shared" si="7"/>
        <v>0.1</v>
      </c>
      <c r="U6" s="9">
        <f>R6 / _xlfn.XLOOKUP(A6, Top!A:A, Top!AA:AA)</f>
        <v>5.5319148936170209E-2</v>
      </c>
      <c r="W6" s="1"/>
    </row>
    <row r="7" spans="1:23" x14ac:dyDescent="0.25">
      <c r="A7" s="25" t="s">
        <v>252</v>
      </c>
      <c r="B7" s="6"/>
      <c r="C7" s="7"/>
      <c r="D7" s="8">
        <f t="shared" si="0"/>
        <v>0</v>
      </c>
      <c r="E7" s="6"/>
      <c r="F7" s="7"/>
      <c r="G7" s="8">
        <f t="shared" si="1"/>
        <v>0</v>
      </c>
      <c r="H7" s="6"/>
      <c r="I7" s="7"/>
      <c r="J7" s="8">
        <f t="shared" si="2"/>
        <v>0</v>
      </c>
      <c r="K7" s="6">
        <v>8</v>
      </c>
      <c r="L7" s="7">
        <v>0.375</v>
      </c>
      <c r="M7" s="8">
        <f t="shared" si="3"/>
        <v>3</v>
      </c>
      <c r="N7" s="6">
        <v>4</v>
      </c>
      <c r="O7" s="7">
        <v>1</v>
      </c>
      <c r="P7" s="8">
        <f t="shared" si="4"/>
        <v>4</v>
      </c>
      <c r="Q7" s="1"/>
      <c r="R7" s="6">
        <f t="shared" si="5"/>
        <v>12</v>
      </c>
      <c r="S7" s="9">
        <f t="shared" si="6"/>
        <v>0.58333333333333337</v>
      </c>
      <c r="T7" s="9">
        <f t="shared" si="7"/>
        <v>9.2307692307692313E-2</v>
      </c>
      <c r="U7" s="9">
        <f>R7 / _xlfn.XLOOKUP(A7, Top!A:A, Top!AA:AA)</f>
        <v>1.7964071856287425E-2</v>
      </c>
      <c r="V7" s="1"/>
      <c r="W7" s="1"/>
    </row>
    <row r="8" spans="1:23" x14ac:dyDescent="0.25">
      <c r="A8" s="1" t="s">
        <v>8</v>
      </c>
      <c r="B8" s="6"/>
      <c r="C8" s="7"/>
      <c r="D8" s="8">
        <f t="shared" si="0"/>
        <v>0</v>
      </c>
      <c r="E8" s="6"/>
      <c r="F8" s="7"/>
      <c r="G8" s="8">
        <f t="shared" si="1"/>
        <v>0</v>
      </c>
      <c r="H8" s="6"/>
      <c r="I8" s="7"/>
      <c r="J8" s="8">
        <f t="shared" si="2"/>
        <v>0</v>
      </c>
      <c r="K8" s="6">
        <v>10</v>
      </c>
      <c r="L8" s="7">
        <v>0.2</v>
      </c>
      <c r="M8" s="8">
        <f t="shared" si="3"/>
        <v>2</v>
      </c>
      <c r="N8" s="6">
        <v>1</v>
      </c>
      <c r="O8" s="7">
        <v>0</v>
      </c>
      <c r="P8" s="8">
        <f t="shared" si="4"/>
        <v>0</v>
      </c>
      <c r="Q8" s="1"/>
      <c r="R8" s="6">
        <f t="shared" si="5"/>
        <v>11</v>
      </c>
      <c r="S8" s="9">
        <f t="shared" si="6"/>
        <v>0.18181818181818182</v>
      </c>
      <c r="T8" s="9">
        <f t="shared" si="7"/>
        <v>8.461538461538462E-2</v>
      </c>
      <c r="U8" s="9">
        <f>R8 / _xlfn.XLOOKUP(A8, Top!A:A, Top!AA:AA)</f>
        <v>4.2471042471042469E-2</v>
      </c>
      <c r="V8" s="1"/>
      <c r="W8" s="1"/>
    </row>
    <row r="9" spans="1:23" x14ac:dyDescent="0.25">
      <c r="A9" s="1" t="s">
        <v>7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/>
      <c r="I9" s="7"/>
      <c r="J9" s="8">
        <f t="shared" si="2"/>
        <v>0</v>
      </c>
      <c r="K9" s="6">
        <v>5</v>
      </c>
      <c r="L9" s="7">
        <v>0.2</v>
      </c>
      <c r="M9" s="8">
        <f t="shared" si="3"/>
        <v>1</v>
      </c>
      <c r="N9" s="6">
        <v>5</v>
      </c>
      <c r="O9" s="7">
        <v>0.8</v>
      </c>
      <c r="P9" s="8">
        <f t="shared" si="4"/>
        <v>4</v>
      </c>
      <c r="Q9" s="1"/>
      <c r="R9" s="6">
        <f t="shared" si="5"/>
        <v>10</v>
      </c>
      <c r="S9" s="9">
        <f t="shared" si="6"/>
        <v>0.5</v>
      </c>
      <c r="T9" s="9">
        <f t="shared" si="7"/>
        <v>7.6923076923076927E-2</v>
      </c>
      <c r="U9" s="9">
        <f>R9 / _xlfn.XLOOKUP(A9, Top!A:A, Top!AA:AA)</f>
        <v>1.8832391713747645E-2</v>
      </c>
      <c r="V9" s="1"/>
      <c r="W9" s="1"/>
    </row>
    <row r="10" spans="1:23" x14ac:dyDescent="0.25">
      <c r="A10" s="1" t="s">
        <v>22</v>
      </c>
      <c r="B10" s="6"/>
      <c r="C10" s="7"/>
      <c r="D10" s="8">
        <f t="shared" si="0"/>
        <v>0</v>
      </c>
      <c r="E10" s="6"/>
      <c r="F10" s="7"/>
      <c r="G10" s="8">
        <f t="shared" si="1"/>
        <v>0</v>
      </c>
      <c r="H10" s="6"/>
      <c r="I10" s="7"/>
      <c r="J10" s="8">
        <f t="shared" si="2"/>
        <v>0</v>
      </c>
      <c r="K10" s="6">
        <v>4</v>
      </c>
      <c r="L10" s="7">
        <v>0.5</v>
      </c>
      <c r="M10" s="8">
        <f t="shared" si="3"/>
        <v>2</v>
      </c>
      <c r="N10" s="6">
        <v>3</v>
      </c>
      <c r="O10" s="7">
        <v>1</v>
      </c>
      <c r="P10" s="8">
        <f t="shared" si="4"/>
        <v>3</v>
      </c>
      <c r="Q10" s="4"/>
      <c r="R10" s="6">
        <f t="shared" si="5"/>
        <v>7</v>
      </c>
      <c r="S10" s="9">
        <f t="shared" si="6"/>
        <v>0.7142857142857143</v>
      </c>
      <c r="T10" s="9">
        <f t="shared" si="7"/>
        <v>5.3846153846153849E-2</v>
      </c>
      <c r="U10" s="9">
        <f>R10 / _xlfn.XLOOKUP(A10, Top!A:A, Top!AA:AA)</f>
        <v>1.3698630136986301E-2</v>
      </c>
      <c r="V10" s="1"/>
      <c r="W10" s="1"/>
    </row>
    <row r="11" spans="1:23" x14ac:dyDescent="0.25">
      <c r="A11" s="1" t="s">
        <v>201</v>
      </c>
      <c r="B11" s="6"/>
      <c r="C11" s="7"/>
      <c r="D11" s="8">
        <f t="shared" si="0"/>
        <v>0</v>
      </c>
      <c r="E11" s="6"/>
      <c r="F11" s="7"/>
      <c r="G11" s="8">
        <f t="shared" si="1"/>
        <v>0</v>
      </c>
      <c r="H11" s="6"/>
      <c r="I11" s="7"/>
      <c r="J11" s="8">
        <f t="shared" si="2"/>
        <v>0</v>
      </c>
      <c r="K11" s="6">
        <v>5</v>
      </c>
      <c r="L11" s="7">
        <v>0.6</v>
      </c>
      <c r="M11" s="8">
        <f t="shared" si="3"/>
        <v>3</v>
      </c>
      <c r="N11" s="6">
        <v>1</v>
      </c>
      <c r="O11" s="7">
        <v>0</v>
      </c>
      <c r="P11" s="8">
        <f t="shared" si="4"/>
        <v>0</v>
      </c>
      <c r="Q11" s="1"/>
      <c r="R11" s="6">
        <f t="shared" si="5"/>
        <v>6</v>
      </c>
      <c r="S11" s="9">
        <f t="shared" si="6"/>
        <v>0.5</v>
      </c>
      <c r="T11" s="9">
        <f t="shared" si="7"/>
        <v>4.6153846153846156E-2</v>
      </c>
      <c r="U11" s="9">
        <f>R11 / _xlfn.XLOOKUP(A11, Top!A:A, Top!AA:AA)</f>
        <v>7.792207792207792E-2</v>
      </c>
      <c r="V11" s="1"/>
      <c r="W11" s="1"/>
    </row>
    <row r="12" spans="1:23" x14ac:dyDescent="0.25">
      <c r="A12" s="1" t="s">
        <v>16</v>
      </c>
      <c r="B12" s="6"/>
      <c r="C12" s="7"/>
      <c r="D12" s="8">
        <f t="shared" si="0"/>
        <v>0</v>
      </c>
      <c r="E12" s="6"/>
      <c r="F12" s="7"/>
      <c r="G12" s="8">
        <f t="shared" si="1"/>
        <v>0</v>
      </c>
      <c r="H12" s="6"/>
      <c r="I12" s="7"/>
      <c r="J12" s="8">
        <f t="shared" si="2"/>
        <v>0</v>
      </c>
      <c r="K12" s="6">
        <v>3</v>
      </c>
      <c r="L12" s="7">
        <v>0.66700000000000004</v>
      </c>
      <c r="M12" s="8">
        <f t="shared" si="3"/>
        <v>2.0010000000000003</v>
      </c>
      <c r="N12" s="6">
        <v>2</v>
      </c>
      <c r="O12" s="7">
        <v>0.5</v>
      </c>
      <c r="P12" s="8">
        <f t="shared" si="4"/>
        <v>1</v>
      </c>
      <c r="Q12" s="1"/>
      <c r="R12" s="6">
        <f t="shared" si="5"/>
        <v>5</v>
      </c>
      <c r="S12" s="9">
        <f t="shared" si="6"/>
        <v>0.60020000000000007</v>
      </c>
      <c r="T12" s="9">
        <f t="shared" si="7"/>
        <v>3.8461538461538464E-2</v>
      </c>
      <c r="U12" s="9">
        <f>R12 / _xlfn.XLOOKUP(A12, Top!A:A, Top!AA:AA)</f>
        <v>1.2135922330097087E-2</v>
      </c>
      <c r="V12" s="1"/>
      <c r="W12" s="1"/>
    </row>
    <row r="13" spans="1:23" x14ac:dyDescent="0.25">
      <c r="A13" s="1" t="s">
        <v>9</v>
      </c>
      <c r="B13" s="6"/>
      <c r="C13" s="7"/>
      <c r="D13" s="8">
        <f t="shared" si="0"/>
        <v>0</v>
      </c>
      <c r="E13" s="6"/>
      <c r="F13" s="7"/>
      <c r="G13" s="8">
        <f t="shared" si="1"/>
        <v>0</v>
      </c>
      <c r="H13" s="6"/>
      <c r="I13" s="7"/>
      <c r="J13" s="8">
        <f t="shared" si="2"/>
        <v>0</v>
      </c>
      <c r="K13" s="6">
        <v>3</v>
      </c>
      <c r="L13" s="7">
        <v>0.33300000000000002</v>
      </c>
      <c r="M13" s="8">
        <f t="shared" si="3"/>
        <v>0.99900000000000011</v>
      </c>
      <c r="N13" s="6"/>
      <c r="O13" s="7"/>
      <c r="P13" s="8">
        <f t="shared" si="4"/>
        <v>0</v>
      </c>
      <c r="Q13" s="1"/>
      <c r="R13" s="6">
        <f t="shared" si="5"/>
        <v>3</v>
      </c>
      <c r="S13" s="9">
        <f t="shared" si="6"/>
        <v>0.33300000000000002</v>
      </c>
      <c r="T13" s="9">
        <f t="shared" si="7"/>
        <v>2.3076923076923078E-2</v>
      </c>
      <c r="U13" s="9">
        <f>R13 / _xlfn.XLOOKUP(A13, Top!A:A, Top!AA:AA)</f>
        <v>9.202453987730062E-3</v>
      </c>
      <c r="V13" s="1"/>
      <c r="W13" s="1"/>
    </row>
    <row r="14" spans="1:23" x14ac:dyDescent="0.25">
      <c r="A14" s="1" t="s">
        <v>10</v>
      </c>
      <c r="B14" s="6"/>
      <c r="C14" s="7"/>
      <c r="D14" s="8">
        <f t="shared" si="0"/>
        <v>0</v>
      </c>
      <c r="E14" s="6"/>
      <c r="F14" s="7"/>
      <c r="G14" s="8">
        <f t="shared" si="1"/>
        <v>0</v>
      </c>
      <c r="H14" s="6"/>
      <c r="I14" s="7"/>
      <c r="J14" s="8">
        <f t="shared" si="2"/>
        <v>0</v>
      </c>
      <c r="K14" s="6">
        <v>2</v>
      </c>
      <c r="L14" s="7">
        <v>0.5</v>
      </c>
      <c r="M14" s="8">
        <f t="shared" si="3"/>
        <v>1</v>
      </c>
      <c r="N14" s="6">
        <v>1</v>
      </c>
      <c r="O14" s="7">
        <v>0</v>
      </c>
      <c r="P14" s="8">
        <f t="shared" si="4"/>
        <v>0</v>
      </c>
      <c r="Q14" s="1"/>
      <c r="R14" s="6">
        <f t="shared" si="5"/>
        <v>3</v>
      </c>
      <c r="S14" s="9">
        <f t="shared" si="6"/>
        <v>0.33333333333333331</v>
      </c>
      <c r="T14" s="9">
        <f t="shared" si="7"/>
        <v>2.3076923076923078E-2</v>
      </c>
      <c r="U14" s="9">
        <f>R14 / _xlfn.XLOOKUP(A14, Top!A:A, Top!AA:AA)</f>
        <v>1.3888888888888888E-2</v>
      </c>
      <c r="V14" s="1"/>
      <c r="W14" s="1"/>
    </row>
    <row r="15" spans="1:23" x14ac:dyDescent="0.25">
      <c r="A15" s="1" t="s">
        <v>15</v>
      </c>
      <c r="B15" s="6"/>
      <c r="C15" s="7"/>
      <c r="D15" s="8">
        <f t="shared" si="0"/>
        <v>0</v>
      </c>
      <c r="E15" s="6"/>
      <c r="F15" s="7"/>
      <c r="G15" s="8">
        <f t="shared" si="1"/>
        <v>0</v>
      </c>
      <c r="H15" s="6"/>
      <c r="I15" s="7"/>
      <c r="J15" s="8">
        <f t="shared" si="2"/>
        <v>0</v>
      </c>
      <c r="K15" s="6"/>
      <c r="L15" s="7"/>
      <c r="M15" s="8">
        <f t="shared" si="3"/>
        <v>0</v>
      </c>
      <c r="N15" s="6">
        <v>3</v>
      </c>
      <c r="O15" s="7">
        <v>0.33300000000000002</v>
      </c>
      <c r="P15" s="8">
        <f t="shared" si="4"/>
        <v>0.99900000000000011</v>
      </c>
      <c r="Q15" s="1"/>
      <c r="R15" s="6">
        <f t="shared" si="5"/>
        <v>3</v>
      </c>
      <c r="S15" s="9">
        <f t="shared" si="6"/>
        <v>0.33300000000000002</v>
      </c>
      <c r="T15" s="9">
        <f t="shared" si="7"/>
        <v>2.3076923076923078E-2</v>
      </c>
      <c r="U15" s="9">
        <f>R15 / _xlfn.XLOOKUP(A15, Top!A:A, Top!AA:AA)</f>
        <v>2.4793388429752067E-2</v>
      </c>
      <c r="V15" s="1"/>
      <c r="W15" s="1"/>
    </row>
    <row r="16" spans="1:23" x14ac:dyDescent="0.25">
      <c r="A16" s="1" t="s">
        <v>14</v>
      </c>
      <c r="B16" s="6"/>
      <c r="C16" s="7"/>
      <c r="D16" s="8">
        <f t="shared" si="0"/>
        <v>0</v>
      </c>
      <c r="E16" s="6"/>
      <c r="F16" s="7"/>
      <c r="G16" s="8">
        <f t="shared" si="1"/>
        <v>0</v>
      </c>
      <c r="H16" s="6"/>
      <c r="I16" s="7"/>
      <c r="J16" s="8">
        <f t="shared" si="2"/>
        <v>0</v>
      </c>
      <c r="K16" s="6">
        <v>2</v>
      </c>
      <c r="L16" s="7">
        <v>0.5</v>
      </c>
      <c r="M16" s="8">
        <f t="shared" si="3"/>
        <v>1</v>
      </c>
      <c r="N16" s="6">
        <v>1</v>
      </c>
      <c r="O16" s="7">
        <v>0</v>
      </c>
      <c r="P16" s="8">
        <f t="shared" si="4"/>
        <v>0</v>
      </c>
      <c r="Q16" s="1"/>
      <c r="R16" s="6">
        <f t="shared" si="5"/>
        <v>3</v>
      </c>
      <c r="S16" s="9">
        <f t="shared" si="6"/>
        <v>0.33333333333333331</v>
      </c>
      <c r="T16" s="9">
        <f t="shared" si="7"/>
        <v>2.3076923076923078E-2</v>
      </c>
      <c r="U16" s="9">
        <f>R16 / _xlfn.XLOOKUP(A16, Top!A:A, Top!AA:AA)</f>
        <v>1.4018691588785047E-2</v>
      </c>
      <c r="V16" s="1"/>
      <c r="W16" s="1"/>
    </row>
    <row r="17" spans="1:23" x14ac:dyDescent="0.25">
      <c r="A17" s="25" t="s">
        <v>210</v>
      </c>
      <c r="B17" s="6"/>
      <c r="C17" s="7"/>
      <c r="D17" s="8">
        <f t="shared" si="0"/>
        <v>0</v>
      </c>
      <c r="E17" s="6"/>
      <c r="F17" s="7"/>
      <c r="G17" s="8">
        <f t="shared" si="1"/>
        <v>0</v>
      </c>
      <c r="H17" s="6"/>
      <c r="I17" s="7"/>
      <c r="J17" s="8">
        <f t="shared" si="2"/>
        <v>0</v>
      </c>
      <c r="K17" s="6">
        <v>3</v>
      </c>
      <c r="L17" s="7">
        <v>0</v>
      </c>
      <c r="M17" s="8">
        <f t="shared" si="3"/>
        <v>0</v>
      </c>
      <c r="N17" s="6"/>
      <c r="O17" s="7"/>
      <c r="P17" s="8">
        <f t="shared" si="4"/>
        <v>0</v>
      </c>
      <c r="Q17" s="1"/>
      <c r="R17" s="6">
        <f t="shared" si="5"/>
        <v>3</v>
      </c>
      <c r="S17" s="9">
        <f t="shared" si="6"/>
        <v>0</v>
      </c>
      <c r="T17" s="9">
        <f t="shared" si="7"/>
        <v>2.3076923076923078E-2</v>
      </c>
      <c r="U17" s="9">
        <f>R17 / _xlfn.XLOOKUP(A17, Top!A:A, Top!AA:AA)</f>
        <v>4.6875E-2</v>
      </c>
      <c r="V17" s="1"/>
      <c r="W17" s="1"/>
    </row>
    <row r="18" spans="1:23" x14ac:dyDescent="0.25">
      <c r="A18" s="25" t="s">
        <v>112</v>
      </c>
      <c r="B18" s="6"/>
      <c r="C18" s="7"/>
      <c r="D18" s="8">
        <f t="shared" si="0"/>
        <v>0</v>
      </c>
      <c r="E18" s="6"/>
      <c r="F18" s="7"/>
      <c r="G18" s="8">
        <f t="shared" si="1"/>
        <v>0</v>
      </c>
      <c r="H18" s="6"/>
      <c r="I18" s="7"/>
      <c r="J18" s="8">
        <f t="shared" si="2"/>
        <v>0</v>
      </c>
      <c r="K18" s="6">
        <v>3</v>
      </c>
      <c r="L18" s="7">
        <v>0.66700000000000004</v>
      </c>
      <c r="M18" s="8">
        <f t="shared" si="3"/>
        <v>2.0010000000000003</v>
      </c>
      <c r="N18" s="6"/>
      <c r="O18" s="7"/>
      <c r="P18" s="8">
        <f t="shared" si="4"/>
        <v>0</v>
      </c>
      <c r="Q18" s="1"/>
      <c r="R18" s="6">
        <f t="shared" si="5"/>
        <v>3</v>
      </c>
      <c r="S18" s="9">
        <f t="shared" si="6"/>
        <v>0.66700000000000015</v>
      </c>
      <c r="T18" s="9">
        <f t="shared" si="7"/>
        <v>2.3076923076923078E-2</v>
      </c>
      <c r="U18" s="9">
        <f>R18 / _xlfn.XLOOKUP(A18, Top!A:A, Top!AA:AA)</f>
        <v>0.125</v>
      </c>
      <c r="V18" s="1"/>
      <c r="W18" s="1"/>
    </row>
    <row r="19" spans="1:23" x14ac:dyDescent="0.25">
      <c r="A19" s="1" t="s">
        <v>19</v>
      </c>
      <c r="B19" s="6"/>
      <c r="C19" s="7"/>
      <c r="D19" s="8">
        <f t="shared" si="0"/>
        <v>0</v>
      </c>
      <c r="E19" s="6"/>
      <c r="F19" s="7"/>
      <c r="G19" s="8">
        <f t="shared" si="1"/>
        <v>0</v>
      </c>
      <c r="H19" s="6"/>
      <c r="I19" s="7"/>
      <c r="J19" s="8">
        <f t="shared" si="2"/>
        <v>0</v>
      </c>
      <c r="K19" s="6">
        <v>2</v>
      </c>
      <c r="L19" s="7">
        <v>0.5</v>
      </c>
      <c r="M19" s="8">
        <f t="shared" si="3"/>
        <v>1</v>
      </c>
      <c r="N19" s="6"/>
      <c r="O19" s="7"/>
      <c r="P19" s="8">
        <f t="shared" si="4"/>
        <v>0</v>
      </c>
      <c r="Q19" s="1"/>
      <c r="R19" s="6">
        <f t="shared" si="5"/>
        <v>2</v>
      </c>
      <c r="S19" s="9">
        <f t="shared" si="6"/>
        <v>0.5</v>
      </c>
      <c r="T19" s="9">
        <f t="shared" si="7"/>
        <v>1.5384615384615385E-2</v>
      </c>
      <c r="U19" s="9">
        <f>R19 / _xlfn.XLOOKUP(A19, Top!A:A, Top!AA:AA)</f>
        <v>1.4598540145985401E-2</v>
      </c>
      <c r="V19" s="1"/>
      <c r="W19" s="1"/>
    </row>
    <row r="20" spans="1:23" x14ac:dyDescent="0.25">
      <c r="A20" s="25" t="s">
        <v>161</v>
      </c>
      <c r="B20" s="6"/>
      <c r="C20" s="7"/>
      <c r="D20" s="8">
        <f t="shared" si="0"/>
        <v>0</v>
      </c>
      <c r="E20" s="6"/>
      <c r="F20" s="7"/>
      <c r="G20" s="8">
        <f t="shared" si="1"/>
        <v>0</v>
      </c>
      <c r="H20" s="6"/>
      <c r="I20" s="7"/>
      <c r="J20" s="8">
        <f t="shared" si="2"/>
        <v>0</v>
      </c>
      <c r="K20" s="6">
        <v>1</v>
      </c>
      <c r="L20" s="7">
        <v>0</v>
      </c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1</v>
      </c>
      <c r="S20" s="9">
        <f t="shared" si="6"/>
        <v>0</v>
      </c>
      <c r="T20" s="9">
        <f t="shared" si="7"/>
        <v>7.6923076923076927E-3</v>
      </c>
      <c r="U20" s="9">
        <f>R20 / _xlfn.XLOOKUP(A20, Top!A:A, Top!AA:AA)</f>
        <v>7.6923076923076927E-2</v>
      </c>
      <c r="V20" s="1"/>
      <c r="W20" s="1"/>
    </row>
    <row r="21" spans="1:23" x14ac:dyDescent="0.25">
      <c r="A21" s="25" t="s">
        <v>261</v>
      </c>
      <c r="B21" s="6"/>
      <c r="C21" s="7"/>
      <c r="D21" s="8">
        <f t="shared" si="0"/>
        <v>0</v>
      </c>
      <c r="E21" s="6"/>
      <c r="F21" s="7"/>
      <c r="G21" s="8">
        <f t="shared" si="1"/>
        <v>0</v>
      </c>
      <c r="H21" s="6"/>
      <c r="I21" s="7"/>
      <c r="J21" s="8">
        <f t="shared" si="2"/>
        <v>0</v>
      </c>
      <c r="K21" s="6"/>
      <c r="L21" s="7"/>
      <c r="M21" s="8">
        <f t="shared" si="3"/>
        <v>0</v>
      </c>
      <c r="N21" s="6">
        <v>1</v>
      </c>
      <c r="O21" s="7">
        <v>0</v>
      </c>
      <c r="P21" s="8">
        <f t="shared" si="4"/>
        <v>0</v>
      </c>
      <c r="Q21" s="1"/>
      <c r="R21" s="6">
        <f t="shared" si="5"/>
        <v>1</v>
      </c>
      <c r="S21" s="9">
        <f t="shared" si="6"/>
        <v>0</v>
      </c>
      <c r="T21" s="9">
        <f t="shared" si="7"/>
        <v>7.6923076923076927E-3</v>
      </c>
      <c r="U21" s="9">
        <f>R21 / _xlfn.XLOOKUP(A21, Top!A:A, Top!AA:AA)</f>
        <v>7.1428571428571425E-2</v>
      </c>
    </row>
    <row r="22" spans="1:23" x14ac:dyDescent="0.25">
      <c r="B22" s="6"/>
      <c r="C22" s="7"/>
      <c r="D22" s="8">
        <f t="shared" ref="D22:D24" si="8">B22*C22</f>
        <v>0</v>
      </c>
      <c r="E22" s="6"/>
      <c r="F22" s="7"/>
      <c r="G22" s="8">
        <f t="shared" ref="G22:G24" si="9">E22*F22</f>
        <v>0</v>
      </c>
      <c r="H22" s="6"/>
      <c r="I22" s="7"/>
      <c r="J22" s="8">
        <f t="shared" ref="J22:J24" si="10">H22*I22</f>
        <v>0</v>
      </c>
      <c r="K22" s="6"/>
      <c r="L22" s="7"/>
      <c r="M22" s="8">
        <f t="shared" ref="M22:M24" si="11">K22*L22</f>
        <v>0</v>
      </c>
      <c r="N22" s="6"/>
      <c r="O22" s="7"/>
      <c r="P22" s="8">
        <f t="shared" ref="P22:P24" si="12">N22*O22</f>
        <v>0</v>
      </c>
      <c r="Q22" s="1"/>
      <c r="R22" s="6">
        <f t="shared" ref="R22:R24" si="13">B22+E22+H22+K22+N22</f>
        <v>0</v>
      </c>
      <c r="S22" s="9" t="e">
        <f t="shared" ref="S22:S24" si="14">(D22+G22+J22+M22+P22)/R22</f>
        <v>#DIV/0!</v>
      </c>
      <c r="T22" s="9">
        <f t="shared" ref="T22:T24" si="15">R22/$V$3</f>
        <v>0</v>
      </c>
      <c r="U22" s="9" t="e">
        <f>R22 / _xlfn.XLOOKUP(A22, Top!A:A, Top!AA:AA)</f>
        <v>#DIV/0!</v>
      </c>
    </row>
    <row r="23" spans="1:23" x14ac:dyDescent="0.25">
      <c r="B23" s="6"/>
      <c r="C23" s="7"/>
      <c r="D23" s="8">
        <f t="shared" si="8"/>
        <v>0</v>
      </c>
      <c r="E23" s="6"/>
      <c r="F23" s="7"/>
      <c r="G23" s="8">
        <f t="shared" si="9"/>
        <v>0</v>
      </c>
      <c r="H23" s="6"/>
      <c r="I23" s="7"/>
      <c r="J23" s="8">
        <f t="shared" si="10"/>
        <v>0</v>
      </c>
      <c r="K23" s="6"/>
      <c r="L23" s="7"/>
      <c r="M23" s="8">
        <f t="shared" si="11"/>
        <v>0</v>
      </c>
      <c r="N23" s="6"/>
      <c r="O23" s="7"/>
      <c r="P23" s="8">
        <f t="shared" si="12"/>
        <v>0</v>
      </c>
      <c r="Q23" s="1"/>
      <c r="R23" s="6">
        <f t="shared" si="13"/>
        <v>0</v>
      </c>
      <c r="S23" s="9" t="e">
        <f t="shared" si="14"/>
        <v>#DIV/0!</v>
      </c>
      <c r="T23" s="9">
        <f t="shared" si="15"/>
        <v>0</v>
      </c>
      <c r="U23" s="9" t="e">
        <f>R23 / _xlfn.XLOOKUP(A23, Top!A:A, Top!AA:AA)</f>
        <v>#DIV/0!</v>
      </c>
    </row>
    <row r="24" spans="1:23" x14ac:dyDescent="0.25">
      <c r="B24" s="6"/>
      <c r="C24" s="7"/>
      <c r="D24" s="8">
        <f t="shared" si="8"/>
        <v>0</v>
      </c>
      <c r="E24" s="6"/>
      <c r="F24" s="7"/>
      <c r="G24" s="8">
        <f t="shared" si="9"/>
        <v>0</v>
      </c>
      <c r="H24" s="6"/>
      <c r="I24" s="7"/>
      <c r="J24" s="8">
        <f t="shared" si="10"/>
        <v>0</v>
      </c>
      <c r="K24" s="6"/>
      <c r="L24" s="7"/>
      <c r="M24" s="8">
        <f t="shared" si="11"/>
        <v>0</v>
      </c>
      <c r="N24" s="6"/>
      <c r="O24" s="7"/>
      <c r="P24" s="8">
        <f t="shared" si="12"/>
        <v>0</v>
      </c>
      <c r="Q24" s="1"/>
      <c r="R24" s="6">
        <f t="shared" si="13"/>
        <v>0</v>
      </c>
      <c r="S24" s="9" t="e">
        <f t="shared" si="14"/>
        <v>#DIV/0!</v>
      </c>
      <c r="T24" s="9">
        <f t="shared" si="15"/>
        <v>0</v>
      </c>
      <c r="U24" s="9" t="e">
        <f>R24 / _xlfn.XLOOKUP(A24, Top!A:A, Top!AA:AA)</f>
        <v>#DIV/0!</v>
      </c>
    </row>
  </sheetData>
  <sortState xmlns:xlrd2="http://schemas.microsoft.com/office/spreadsheetml/2017/richdata2" ref="A3:U21">
    <sortCondition descending="1" ref="T3:T21"/>
  </sortState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AA01-A892-4F82-A9B9-1790CBBB92A6}">
  <sheetPr>
    <tabColor theme="4" tint="0.59999389629810485"/>
  </sheetPr>
  <dimension ref="A1:W25"/>
  <sheetViews>
    <sheetView workbookViewId="0">
      <selection activeCell="A18" sqref="A18"/>
    </sheetView>
  </sheetViews>
  <sheetFormatPr baseColWidth="10" defaultRowHeight="15" x14ac:dyDescent="0.25"/>
  <sheetData>
    <row r="1" spans="1:23" ht="15.75" x14ac:dyDescent="0.25">
      <c r="A1" s="2" t="s">
        <v>263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25" t="s">
        <v>208</v>
      </c>
      <c r="B3" s="6"/>
      <c r="C3" s="7"/>
      <c r="D3" s="8">
        <f t="shared" ref="D3:D21" si="0">B3*C3</f>
        <v>0</v>
      </c>
      <c r="E3" s="6"/>
      <c r="F3" s="7"/>
      <c r="G3" s="8">
        <f t="shared" ref="G3:G21" si="1">E3*F3</f>
        <v>0</v>
      </c>
      <c r="H3" s="6"/>
      <c r="I3" s="7"/>
      <c r="J3" s="8">
        <f t="shared" ref="J3:J21" si="2">H3*I3</f>
        <v>0</v>
      </c>
      <c r="K3" s="6">
        <v>19</v>
      </c>
      <c r="L3" s="7">
        <v>0.57899999999999996</v>
      </c>
      <c r="M3" s="8">
        <f t="shared" ref="M3:M21" si="3">K3*L3</f>
        <v>11.000999999999999</v>
      </c>
      <c r="N3" s="6">
        <v>3</v>
      </c>
      <c r="O3" s="7">
        <v>0.66700000000000004</v>
      </c>
      <c r="P3" s="8">
        <f t="shared" ref="P3:P21" si="4">N3*O3</f>
        <v>2.0010000000000003</v>
      </c>
      <c r="Q3" s="1"/>
      <c r="R3" s="6">
        <f t="shared" ref="R3:R21" si="5">B3+E3+H3+K3+N3</f>
        <v>22</v>
      </c>
      <c r="S3" s="9">
        <f t="shared" ref="S3:S21" si="6">(D3+G3+J3+M3+P3)/R3</f>
        <v>0.59099999999999997</v>
      </c>
      <c r="T3" s="9">
        <f t="shared" ref="T3:T21" si="7">R3/$V$3</f>
        <v>0.13253012048192772</v>
      </c>
      <c r="U3" s="9">
        <f>R3 / _xlfn.XLOOKUP(A3, Top!A:A, Top!AA:AA)</f>
        <v>0.11458333333333333</v>
      </c>
      <c r="V3" s="11">
        <f>SUM(R3:R39)</f>
        <v>166</v>
      </c>
      <c r="W3" s="12">
        <f>(SUM(D3:D69)+SUM(G3:G69)+SUM(J3:J69)+SUM(M3:M69)+SUM(P3:P69)) / V3</f>
        <v>0.54825903614457827</v>
      </c>
    </row>
    <row r="4" spans="1:23" x14ac:dyDescent="0.25">
      <c r="A4" s="1" t="s">
        <v>11</v>
      </c>
      <c r="B4" s="6"/>
      <c r="C4" s="7"/>
      <c r="D4" s="8">
        <f t="shared" si="0"/>
        <v>0</v>
      </c>
      <c r="E4" s="6"/>
      <c r="F4" s="7"/>
      <c r="G4" s="8">
        <f t="shared" si="1"/>
        <v>0</v>
      </c>
      <c r="H4" s="6"/>
      <c r="I4" s="7"/>
      <c r="J4" s="8">
        <f t="shared" si="2"/>
        <v>0</v>
      </c>
      <c r="K4" s="6">
        <v>13</v>
      </c>
      <c r="L4" s="32">
        <v>0.69199999999999995</v>
      </c>
      <c r="M4" s="8">
        <f t="shared" si="3"/>
        <v>8.9959999999999987</v>
      </c>
      <c r="N4" s="6">
        <v>5</v>
      </c>
      <c r="O4" s="7">
        <v>0.8</v>
      </c>
      <c r="P4" s="8">
        <f t="shared" si="4"/>
        <v>4</v>
      </c>
      <c r="Q4" s="1"/>
      <c r="R4" s="6">
        <f t="shared" si="5"/>
        <v>18</v>
      </c>
      <c r="S4" s="9">
        <f t="shared" si="6"/>
        <v>0.72199999999999998</v>
      </c>
      <c r="T4" s="9">
        <f t="shared" si="7"/>
        <v>0.10843373493975904</v>
      </c>
      <c r="U4" s="9">
        <f>R4 / _xlfn.XLOOKUP(A4, Top!A:A, Top!AA:AA)</f>
        <v>4.7244094488188976E-2</v>
      </c>
      <c r="V4" s="6"/>
      <c r="W4" s="9"/>
    </row>
    <row r="5" spans="1:23" x14ac:dyDescent="0.25">
      <c r="A5" s="1" t="s">
        <v>23</v>
      </c>
      <c r="B5" s="6"/>
      <c r="C5" s="7"/>
      <c r="D5" s="8">
        <f t="shared" si="0"/>
        <v>0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>
        <v>14</v>
      </c>
      <c r="L5" s="7">
        <v>0.64300000000000002</v>
      </c>
      <c r="M5" s="8">
        <f t="shared" si="3"/>
        <v>9.0020000000000007</v>
      </c>
      <c r="N5" s="6">
        <v>2</v>
      </c>
      <c r="O5" s="7">
        <v>0.5</v>
      </c>
      <c r="P5" s="8">
        <f t="shared" si="4"/>
        <v>1</v>
      </c>
      <c r="Q5" s="1"/>
      <c r="R5" s="6">
        <f t="shared" si="5"/>
        <v>16</v>
      </c>
      <c r="S5" s="9">
        <f t="shared" si="6"/>
        <v>0.62512500000000004</v>
      </c>
      <c r="T5" s="9">
        <f t="shared" si="7"/>
        <v>9.6385542168674704E-2</v>
      </c>
      <c r="U5" s="9">
        <f>R5 / _xlfn.XLOOKUP(A5, Top!A:A, Top!AA:AA)</f>
        <v>4.1025641025641026E-2</v>
      </c>
      <c r="W5" s="1"/>
    </row>
    <row r="6" spans="1:23" x14ac:dyDescent="0.25">
      <c r="A6" s="1" t="s">
        <v>201</v>
      </c>
      <c r="B6" s="6"/>
      <c r="C6" s="7"/>
      <c r="D6" s="8">
        <f t="shared" si="0"/>
        <v>0</v>
      </c>
      <c r="E6" s="6"/>
      <c r="F6" s="7"/>
      <c r="G6" s="8">
        <f t="shared" si="1"/>
        <v>0</v>
      </c>
      <c r="H6" s="6"/>
      <c r="I6" s="7"/>
      <c r="J6" s="8">
        <f t="shared" si="2"/>
        <v>0</v>
      </c>
      <c r="K6" s="6">
        <v>11</v>
      </c>
      <c r="L6" s="7">
        <v>0.81799999999999995</v>
      </c>
      <c r="M6" s="8">
        <f t="shared" si="3"/>
        <v>8.9979999999999993</v>
      </c>
      <c r="N6" s="6">
        <v>2</v>
      </c>
      <c r="O6" s="7">
        <v>0</v>
      </c>
      <c r="P6" s="8">
        <f t="shared" si="4"/>
        <v>0</v>
      </c>
      <c r="Q6" s="1"/>
      <c r="R6" s="6">
        <f t="shared" si="5"/>
        <v>13</v>
      </c>
      <c r="S6" s="9">
        <f t="shared" si="6"/>
        <v>0.69215384615384612</v>
      </c>
      <c r="T6" s="9">
        <f t="shared" si="7"/>
        <v>7.8313253012048195E-2</v>
      </c>
      <c r="U6" s="9">
        <f>R6 / _xlfn.XLOOKUP(A6, Top!A:A, Top!AA:AA)</f>
        <v>0.16883116883116883</v>
      </c>
      <c r="W6" s="1"/>
    </row>
    <row r="7" spans="1:23" x14ac:dyDescent="0.25">
      <c r="A7" s="1" t="s">
        <v>8</v>
      </c>
      <c r="B7" s="6"/>
      <c r="C7" s="7"/>
      <c r="D7" s="8">
        <f t="shared" si="0"/>
        <v>0</v>
      </c>
      <c r="E7" s="6"/>
      <c r="F7" s="7"/>
      <c r="G7" s="8">
        <f t="shared" si="1"/>
        <v>0</v>
      </c>
      <c r="H7" s="6"/>
      <c r="I7" s="7"/>
      <c r="J7" s="8">
        <f t="shared" si="2"/>
        <v>0</v>
      </c>
      <c r="K7" s="6">
        <v>12</v>
      </c>
      <c r="L7" s="7">
        <v>0.41699999999999998</v>
      </c>
      <c r="M7" s="8">
        <f t="shared" si="3"/>
        <v>5.0039999999999996</v>
      </c>
      <c r="N7" s="6">
        <v>1</v>
      </c>
      <c r="O7" s="7">
        <v>0</v>
      </c>
      <c r="P7" s="8">
        <f t="shared" si="4"/>
        <v>0</v>
      </c>
      <c r="Q7" s="1"/>
      <c r="R7" s="6">
        <f t="shared" si="5"/>
        <v>13</v>
      </c>
      <c r="S7" s="9">
        <f t="shared" si="6"/>
        <v>0.38492307692307687</v>
      </c>
      <c r="T7" s="9">
        <f t="shared" si="7"/>
        <v>7.8313253012048195E-2</v>
      </c>
      <c r="U7" s="9">
        <f>R7 / _xlfn.XLOOKUP(A7, Top!A:A, Top!AA:AA)</f>
        <v>5.019305019305019E-2</v>
      </c>
      <c r="V7" s="1"/>
      <c r="W7" s="1"/>
    </row>
    <row r="8" spans="1:23" x14ac:dyDescent="0.25">
      <c r="A8" s="1" t="s">
        <v>17</v>
      </c>
      <c r="B8" s="6"/>
      <c r="C8" s="7"/>
      <c r="D8" s="8">
        <f t="shared" si="0"/>
        <v>0</v>
      </c>
      <c r="E8" s="6"/>
      <c r="F8" s="7"/>
      <c r="G8" s="8">
        <f t="shared" si="1"/>
        <v>0</v>
      </c>
      <c r="H8" s="6"/>
      <c r="I8" s="7"/>
      <c r="J8" s="8">
        <f t="shared" si="2"/>
        <v>0</v>
      </c>
      <c r="K8" s="6">
        <v>8</v>
      </c>
      <c r="L8" s="7">
        <v>0.625</v>
      </c>
      <c r="M8" s="8">
        <f t="shared" si="3"/>
        <v>5</v>
      </c>
      <c r="N8" s="6">
        <v>5</v>
      </c>
      <c r="O8" s="7">
        <v>0.2</v>
      </c>
      <c r="P8" s="8">
        <f t="shared" si="4"/>
        <v>1</v>
      </c>
      <c r="Q8" s="1"/>
      <c r="R8" s="6">
        <f t="shared" si="5"/>
        <v>13</v>
      </c>
      <c r="S8" s="9">
        <f t="shared" si="6"/>
        <v>0.46153846153846156</v>
      </c>
      <c r="T8" s="9">
        <f t="shared" si="7"/>
        <v>7.8313253012048195E-2</v>
      </c>
      <c r="U8" s="9">
        <f>R8 / _xlfn.XLOOKUP(A8, Top!A:A, Top!AA:AA)</f>
        <v>5.5319148936170209E-2</v>
      </c>
      <c r="V8" s="1"/>
      <c r="W8" s="1"/>
    </row>
    <row r="9" spans="1:23" x14ac:dyDescent="0.25">
      <c r="A9" s="1" t="s">
        <v>7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/>
      <c r="I9" s="7"/>
      <c r="J9" s="8">
        <f t="shared" si="2"/>
        <v>0</v>
      </c>
      <c r="K9" s="6">
        <v>8</v>
      </c>
      <c r="L9" s="7">
        <v>0.625</v>
      </c>
      <c r="M9" s="8">
        <f t="shared" si="3"/>
        <v>5</v>
      </c>
      <c r="N9" s="6">
        <v>2</v>
      </c>
      <c r="O9" s="7">
        <v>1</v>
      </c>
      <c r="P9" s="8">
        <f t="shared" si="4"/>
        <v>2</v>
      </c>
      <c r="Q9" s="1"/>
      <c r="R9" s="6">
        <f t="shared" si="5"/>
        <v>10</v>
      </c>
      <c r="S9" s="9">
        <f t="shared" si="6"/>
        <v>0.7</v>
      </c>
      <c r="T9" s="9">
        <f t="shared" si="7"/>
        <v>6.0240963855421686E-2</v>
      </c>
      <c r="U9" s="9">
        <f>R9 / _xlfn.XLOOKUP(A9, Top!A:A, Top!AA:AA)</f>
        <v>1.8832391713747645E-2</v>
      </c>
      <c r="V9" s="1"/>
      <c r="W9" s="1"/>
    </row>
    <row r="10" spans="1:23" x14ac:dyDescent="0.25">
      <c r="A10" s="1" t="s">
        <v>16</v>
      </c>
      <c r="B10" s="6"/>
      <c r="C10" s="7"/>
      <c r="D10" s="8">
        <f t="shared" si="0"/>
        <v>0</v>
      </c>
      <c r="E10" s="6"/>
      <c r="F10" s="7"/>
      <c r="G10" s="8">
        <f t="shared" si="1"/>
        <v>0</v>
      </c>
      <c r="H10" s="6"/>
      <c r="I10" s="7"/>
      <c r="J10" s="8">
        <f t="shared" si="2"/>
        <v>0</v>
      </c>
      <c r="K10" s="6">
        <v>7</v>
      </c>
      <c r="L10" s="7">
        <v>0.57199999999999995</v>
      </c>
      <c r="M10" s="8">
        <f t="shared" si="3"/>
        <v>4.0039999999999996</v>
      </c>
      <c r="N10" s="6">
        <v>3</v>
      </c>
      <c r="O10" s="7">
        <v>0.33300000000000002</v>
      </c>
      <c r="P10" s="8">
        <f t="shared" si="4"/>
        <v>0.99900000000000011</v>
      </c>
      <c r="Q10" s="1"/>
      <c r="R10" s="6">
        <f t="shared" si="5"/>
        <v>10</v>
      </c>
      <c r="S10" s="9">
        <f t="shared" si="6"/>
        <v>0.50029999999999997</v>
      </c>
      <c r="T10" s="9">
        <f t="shared" si="7"/>
        <v>6.0240963855421686E-2</v>
      </c>
      <c r="U10" s="9">
        <f>R10 / _xlfn.XLOOKUP(A10, Top!A:A, Top!AA:AA)</f>
        <v>2.4271844660194174E-2</v>
      </c>
      <c r="V10" s="1"/>
      <c r="W10" s="1"/>
    </row>
    <row r="11" spans="1:23" x14ac:dyDescent="0.25">
      <c r="A11" s="25" t="s">
        <v>252</v>
      </c>
      <c r="B11" s="6"/>
      <c r="C11" s="7"/>
      <c r="D11" s="8">
        <f t="shared" si="0"/>
        <v>0</v>
      </c>
      <c r="E11" s="6"/>
      <c r="F11" s="7"/>
      <c r="G11" s="8">
        <f t="shared" si="1"/>
        <v>0</v>
      </c>
      <c r="H11" s="6"/>
      <c r="I11" s="7"/>
      <c r="J11" s="8">
        <f t="shared" si="2"/>
        <v>0</v>
      </c>
      <c r="K11" s="6">
        <v>5</v>
      </c>
      <c r="L11" s="7">
        <v>0</v>
      </c>
      <c r="M11" s="8">
        <f t="shared" si="3"/>
        <v>0</v>
      </c>
      <c r="N11" s="6">
        <v>5</v>
      </c>
      <c r="O11" s="7">
        <v>0.6</v>
      </c>
      <c r="P11" s="8">
        <f t="shared" si="4"/>
        <v>3</v>
      </c>
      <c r="Q11" s="1"/>
      <c r="R11" s="6">
        <f t="shared" si="5"/>
        <v>10</v>
      </c>
      <c r="S11" s="9">
        <f t="shared" si="6"/>
        <v>0.3</v>
      </c>
      <c r="T11" s="9">
        <f t="shared" si="7"/>
        <v>6.0240963855421686E-2</v>
      </c>
      <c r="U11" s="9">
        <f>R11 / _xlfn.XLOOKUP(A11, Top!A:A, Top!AA:AA)</f>
        <v>1.4970059880239521E-2</v>
      </c>
      <c r="V11" s="1"/>
      <c r="W11" s="1"/>
    </row>
    <row r="12" spans="1:23" x14ac:dyDescent="0.25">
      <c r="A12" s="1" t="s">
        <v>14</v>
      </c>
      <c r="B12" s="6"/>
      <c r="C12" s="7"/>
      <c r="D12" s="8">
        <f t="shared" si="0"/>
        <v>0</v>
      </c>
      <c r="E12" s="6"/>
      <c r="F12" s="7"/>
      <c r="G12" s="8">
        <f t="shared" si="1"/>
        <v>0</v>
      </c>
      <c r="H12" s="6"/>
      <c r="I12" s="7"/>
      <c r="J12" s="8">
        <f t="shared" si="2"/>
        <v>0</v>
      </c>
      <c r="K12" s="6">
        <v>8</v>
      </c>
      <c r="L12" s="7">
        <v>0.375</v>
      </c>
      <c r="M12" s="8">
        <f t="shared" si="3"/>
        <v>3</v>
      </c>
      <c r="N12" s="6">
        <v>2</v>
      </c>
      <c r="O12" s="7">
        <v>0.5</v>
      </c>
      <c r="P12" s="8">
        <f t="shared" si="4"/>
        <v>1</v>
      </c>
      <c r="Q12" s="1"/>
      <c r="R12" s="6">
        <f t="shared" si="5"/>
        <v>10</v>
      </c>
      <c r="S12" s="9">
        <f t="shared" si="6"/>
        <v>0.4</v>
      </c>
      <c r="T12" s="9">
        <f t="shared" si="7"/>
        <v>6.0240963855421686E-2</v>
      </c>
      <c r="U12" s="9">
        <f>R12 / _xlfn.XLOOKUP(A12, Top!A:A, Top!AA:AA)</f>
        <v>4.6728971962616821E-2</v>
      </c>
      <c r="V12" s="1"/>
      <c r="W12" s="1"/>
    </row>
    <row r="13" spans="1:23" x14ac:dyDescent="0.25">
      <c r="A13" s="1" t="s">
        <v>9</v>
      </c>
      <c r="B13" s="6"/>
      <c r="C13" s="7"/>
      <c r="D13" s="8">
        <f t="shared" si="0"/>
        <v>0</v>
      </c>
      <c r="E13" s="6"/>
      <c r="F13" s="7"/>
      <c r="G13" s="8">
        <f t="shared" si="1"/>
        <v>0</v>
      </c>
      <c r="H13" s="6"/>
      <c r="I13" s="7"/>
      <c r="J13" s="8">
        <f t="shared" si="2"/>
        <v>0</v>
      </c>
      <c r="K13" s="6">
        <v>7</v>
      </c>
      <c r="L13" s="7">
        <v>0.42899999999999999</v>
      </c>
      <c r="M13" s="8">
        <f t="shared" si="3"/>
        <v>3.0030000000000001</v>
      </c>
      <c r="N13" s="6"/>
      <c r="O13" s="7"/>
      <c r="P13" s="8">
        <f t="shared" si="4"/>
        <v>0</v>
      </c>
      <c r="Q13" s="1"/>
      <c r="R13" s="6">
        <f t="shared" si="5"/>
        <v>7</v>
      </c>
      <c r="S13" s="9">
        <f t="shared" si="6"/>
        <v>0.42899999999999999</v>
      </c>
      <c r="T13" s="9">
        <f t="shared" si="7"/>
        <v>4.2168674698795178E-2</v>
      </c>
      <c r="U13" s="9">
        <f>R13 / _xlfn.XLOOKUP(A13, Top!A:A, Top!AA:AA)</f>
        <v>2.1472392638036811E-2</v>
      </c>
      <c r="V13" s="1"/>
      <c r="W13" s="1"/>
    </row>
    <row r="14" spans="1:23" x14ac:dyDescent="0.25">
      <c r="A14" s="1" t="s">
        <v>22</v>
      </c>
      <c r="B14" s="6"/>
      <c r="C14" s="7"/>
      <c r="D14" s="8">
        <f t="shared" si="0"/>
        <v>0</v>
      </c>
      <c r="E14" s="6"/>
      <c r="F14" s="7"/>
      <c r="G14" s="8">
        <f t="shared" si="1"/>
        <v>0</v>
      </c>
      <c r="H14" s="6"/>
      <c r="I14" s="7"/>
      <c r="J14" s="8">
        <f t="shared" si="2"/>
        <v>0</v>
      </c>
      <c r="K14" s="6">
        <v>6</v>
      </c>
      <c r="L14" s="7">
        <v>0.66700000000000004</v>
      </c>
      <c r="M14" s="8">
        <f t="shared" si="3"/>
        <v>4.0020000000000007</v>
      </c>
      <c r="N14" s="6"/>
      <c r="O14" s="7"/>
      <c r="P14" s="8">
        <f t="shared" si="4"/>
        <v>0</v>
      </c>
      <c r="Q14" s="4"/>
      <c r="R14" s="6">
        <f t="shared" si="5"/>
        <v>6</v>
      </c>
      <c r="S14" s="9">
        <f t="shared" si="6"/>
        <v>0.66700000000000015</v>
      </c>
      <c r="T14" s="9">
        <f t="shared" si="7"/>
        <v>3.614457831325301E-2</v>
      </c>
      <c r="U14" s="9">
        <f>R14 / _xlfn.XLOOKUP(A14, Top!A:A, Top!AA:AA)</f>
        <v>1.1741682974559686E-2</v>
      </c>
      <c r="V14" s="1"/>
      <c r="W14" s="1"/>
    </row>
    <row r="15" spans="1:23" x14ac:dyDescent="0.25">
      <c r="A15" s="25" t="s">
        <v>210</v>
      </c>
      <c r="B15" s="6"/>
      <c r="C15" s="7"/>
      <c r="D15" s="8">
        <f t="shared" si="0"/>
        <v>0</v>
      </c>
      <c r="E15" s="6"/>
      <c r="F15" s="7"/>
      <c r="G15" s="8">
        <f t="shared" si="1"/>
        <v>0</v>
      </c>
      <c r="H15" s="6"/>
      <c r="I15" s="7"/>
      <c r="J15" s="8">
        <f t="shared" si="2"/>
        <v>0</v>
      </c>
      <c r="K15" s="6">
        <v>5</v>
      </c>
      <c r="L15" s="7">
        <v>0.4</v>
      </c>
      <c r="M15" s="8">
        <f t="shared" si="3"/>
        <v>2</v>
      </c>
      <c r="N15" s="6">
        <v>1</v>
      </c>
      <c r="O15" s="7">
        <v>0</v>
      </c>
      <c r="P15" s="8">
        <f t="shared" si="4"/>
        <v>0</v>
      </c>
      <c r="Q15" s="1"/>
      <c r="R15" s="6">
        <f t="shared" si="5"/>
        <v>6</v>
      </c>
      <c r="S15" s="9">
        <f t="shared" si="6"/>
        <v>0.33333333333333331</v>
      </c>
      <c r="T15" s="9">
        <f t="shared" si="7"/>
        <v>3.614457831325301E-2</v>
      </c>
      <c r="U15" s="9">
        <f>R15 / _xlfn.XLOOKUP(A15, Top!A:A, Top!AA:AA)</f>
        <v>9.375E-2</v>
      </c>
      <c r="V15" s="1"/>
      <c r="W15" s="1"/>
    </row>
    <row r="16" spans="1:23" x14ac:dyDescent="0.25">
      <c r="A16" s="1" t="s">
        <v>19</v>
      </c>
      <c r="B16" s="6"/>
      <c r="C16" s="7"/>
      <c r="D16" s="8">
        <f t="shared" si="0"/>
        <v>0</v>
      </c>
      <c r="E16" s="6"/>
      <c r="F16" s="7"/>
      <c r="G16" s="8">
        <f t="shared" si="1"/>
        <v>0</v>
      </c>
      <c r="H16" s="6"/>
      <c r="I16" s="7"/>
      <c r="J16" s="8">
        <f t="shared" si="2"/>
        <v>0</v>
      </c>
      <c r="K16" s="6">
        <v>3</v>
      </c>
      <c r="L16" s="7">
        <v>0.66700000000000004</v>
      </c>
      <c r="M16" s="8">
        <f t="shared" si="3"/>
        <v>2.0010000000000003</v>
      </c>
      <c r="N16" s="6"/>
      <c r="O16" s="7"/>
      <c r="P16" s="8">
        <f t="shared" si="4"/>
        <v>0</v>
      </c>
      <c r="Q16" s="1"/>
      <c r="R16" s="6">
        <f t="shared" si="5"/>
        <v>3</v>
      </c>
      <c r="S16" s="9">
        <f t="shared" si="6"/>
        <v>0.66700000000000015</v>
      </c>
      <c r="T16" s="9">
        <f t="shared" si="7"/>
        <v>1.8072289156626505E-2</v>
      </c>
      <c r="U16" s="9">
        <f>R16 / _xlfn.XLOOKUP(A16, Top!A:A, Top!AA:AA)</f>
        <v>2.1897810218978103E-2</v>
      </c>
      <c r="V16" s="1"/>
      <c r="W16" s="1"/>
    </row>
    <row r="17" spans="1:23" x14ac:dyDescent="0.25">
      <c r="A17" s="25" t="s">
        <v>161</v>
      </c>
      <c r="B17" s="6"/>
      <c r="C17" s="7"/>
      <c r="D17" s="8">
        <f t="shared" si="0"/>
        <v>0</v>
      </c>
      <c r="E17" s="6"/>
      <c r="F17" s="7"/>
      <c r="G17" s="8">
        <f t="shared" si="1"/>
        <v>0</v>
      </c>
      <c r="H17" s="6"/>
      <c r="I17" s="7"/>
      <c r="J17" s="8">
        <f t="shared" si="2"/>
        <v>0</v>
      </c>
      <c r="K17" s="6">
        <v>2</v>
      </c>
      <c r="L17" s="7">
        <v>0.5</v>
      </c>
      <c r="M17" s="8">
        <f t="shared" si="3"/>
        <v>1</v>
      </c>
      <c r="N17" s="6"/>
      <c r="O17" s="7"/>
      <c r="P17" s="8">
        <f t="shared" si="4"/>
        <v>0</v>
      </c>
      <c r="Q17" s="1"/>
      <c r="R17" s="6">
        <f t="shared" si="5"/>
        <v>2</v>
      </c>
      <c r="S17" s="9">
        <f t="shared" si="6"/>
        <v>0.5</v>
      </c>
      <c r="T17" s="9">
        <f t="shared" si="7"/>
        <v>1.2048192771084338E-2</v>
      </c>
      <c r="U17" s="9">
        <f>R17 / _xlfn.XLOOKUP(A17, Top!A:A, Top!AA:AA)</f>
        <v>0.15384615384615385</v>
      </c>
      <c r="V17" s="1"/>
      <c r="W17" s="1"/>
    </row>
    <row r="18" spans="1:23" x14ac:dyDescent="0.25">
      <c r="A18" s="1" t="s">
        <v>15</v>
      </c>
      <c r="B18" s="6"/>
      <c r="C18" s="7"/>
      <c r="D18" s="8">
        <f t="shared" si="0"/>
        <v>0</v>
      </c>
      <c r="E18" s="6"/>
      <c r="F18" s="7"/>
      <c r="G18" s="8">
        <f t="shared" si="1"/>
        <v>0</v>
      </c>
      <c r="H18" s="6"/>
      <c r="I18" s="7"/>
      <c r="J18" s="8">
        <f t="shared" si="2"/>
        <v>0</v>
      </c>
      <c r="K18" s="6">
        <v>1</v>
      </c>
      <c r="L18" s="7">
        <v>0</v>
      </c>
      <c r="M18" s="8">
        <f t="shared" si="3"/>
        <v>0</v>
      </c>
      <c r="N18" s="6">
        <v>1</v>
      </c>
      <c r="O18" s="7">
        <v>1</v>
      </c>
      <c r="P18" s="8">
        <f t="shared" si="4"/>
        <v>1</v>
      </c>
      <c r="Q18" s="1"/>
      <c r="R18" s="6">
        <f t="shared" si="5"/>
        <v>2</v>
      </c>
      <c r="S18" s="9">
        <f t="shared" si="6"/>
        <v>0.5</v>
      </c>
      <c r="T18" s="9">
        <f t="shared" si="7"/>
        <v>1.2048192771084338E-2</v>
      </c>
      <c r="U18" s="9">
        <f>R18 / _xlfn.XLOOKUP(A18, Top!A:A, Top!AA:AA)</f>
        <v>1.6528925619834711E-2</v>
      </c>
      <c r="V18" s="1"/>
      <c r="W18" s="1"/>
    </row>
    <row r="19" spans="1:23" x14ac:dyDescent="0.25">
      <c r="A19" s="1" t="s">
        <v>50</v>
      </c>
      <c r="B19" s="6"/>
      <c r="C19" s="7"/>
      <c r="D19" s="8">
        <f t="shared" si="0"/>
        <v>0</v>
      </c>
      <c r="E19" s="6"/>
      <c r="F19" s="7"/>
      <c r="G19" s="8">
        <f t="shared" si="1"/>
        <v>0</v>
      </c>
      <c r="H19" s="6"/>
      <c r="I19" s="7"/>
      <c r="J19" s="8">
        <f t="shared" si="2"/>
        <v>0</v>
      </c>
      <c r="K19" s="6">
        <v>1</v>
      </c>
      <c r="L19" s="7">
        <v>1</v>
      </c>
      <c r="M19" s="8">
        <f t="shared" si="3"/>
        <v>1</v>
      </c>
      <c r="N19" s="6">
        <v>1</v>
      </c>
      <c r="O19" s="7">
        <v>1</v>
      </c>
      <c r="P19" s="8">
        <f t="shared" si="4"/>
        <v>1</v>
      </c>
      <c r="Q19" s="1"/>
      <c r="R19" s="6">
        <f t="shared" si="5"/>
        <v>2</v>
      </c>
      <c r="S19" s="9">
        <f t="shared" si="6"/>
        <v>1</v>
      </c>
      <c r="T19" s="9">
        <f t="shared" si="7"/>
        <v>1.2048192771084338E-2</v>
      </c>
      <c r="U19" s="9">
        <f>R19 / _xlfn.XLOOKUP(A19, Top!A:A, Top!AA:AA)</f>
        <v>7.1428571428571425E-2</v>
      </c>
      <c r="V19" s="1"/>
      <c r="W19" s="1"/>
    </row>
    <row r="20" spans="1:23" x14ac:dyDescent="0.25">
      <c r="A20" s="25" t="s">
        <v>261</v>
      </c>
      <c r="B20" s="6"/>
      <c r="C20" s="7"/>
      <c r="D20" s="8">
        <f t="shared" si="0"/>
        <v>0</v>
      </c>
      <c r="E20" s="6"/>
      <c r="F20" s="7"/>
      <c r="G20" s="8">
        <f t="shared" si="1"/>
        <v>0</v>
      </c>
      <c r="H20" s="6"/>
      <c r="I20" s="7"/>
      <c r="J20" s="8">
        <f t="shared" si="2"/>
        <v>0</v>
      </c>
      <c r="K20" s="6"/>
      <c r="L20" s="7"/>
      <c r="M20" s="8">
        <f t="shared" si="3"/>
        <v>0</v>
      </c>
      <c r="N20" s="6">
        <v>2</v>
      </c>
      <c r="O20" s="7">
        <v>0.5</v>
      </c>
      <c r="P20" s="8">
        <f t="shared" si="4"/>
        <v>1</v>
      </c>
      <c r="Q20" s="1"/>
      <c r="R20" s="6">
        <f t="shared" si="5"/>
        <v>2</v>
      </c>
      <c r="S20" s="9">
        <f t="shared" si="6"/>
        <v>0.5</v>
      </c>
      <c r="T20" s="9">
        <f t="shared" si="7"/>
        <v>1.2048192771084338E-2</v>
      </c>
      <c r="U20" s="9">
        <f>R20 / _xlfn.XLOOKUP(A20, Top!A:A, Top!AA:AA)</f>
        <v>0.14285714285714285</v>
      </c>
      <c r="V20" s="1"/>
      <c r="W20" s="1"/>
    </row>
    <row r="21" spans="1:23" x14ac:dyDescent="0.25">
      <c r="A21" s="1" t="s">
        <v>10</v>
      </c>
      <c r="B21" s="6"/>
      <c r="C21" s="7"/>
      <c r="D21" s="8">
        <f t="shared" si="0"/>
        <v>0</v>
      </c>
      <c r="E21" s="6"/>
      <c r="F21" s="7"/>
      <c r="G21" s="8">
        <f t="shared" si="1"/>
        <v>0</v>
      </c>
      <c r="H21" s="6"/>
      <c r="I21" s="7"/>
      <c r="J21" s="8">
        <f t="shared" si="2"/>
        <v>0</v>
      </c>
      <c r="K21" s="6">
        <v>1</v>
      </c>
      <c r="L21" s="7">
        <v>0</v>
      </c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1</v>
      </c>
      <c r="S21" s="9">
        <f t="shared" si="6"/>
        <v>0</v>
      </c>
      <c r="T21" s="9">
        <f t="shared" si="7"/>
        <v>6.024096385542169E-3</v>
      </c>
      <c r="U21" s="9">
        <f>R21 / _xlfn.XLOOKUP(A21, Top!A:A, Top!AA:AA)</f>
        <v>4.6296296296296294E-3</v>
      </c>
      <c r="V21" s="1"/>
      <c r="W21" s="1"/>
    </row>
    <row r="22" spans="1:23" x14ac:dyDescent="0.25">
      <c r="B22" s="6"/>
      <c r="C22" s="7"/>
      <c r="D22" s="8">
        <f t="shared" ref="D22:D25" si="8">B22*C22</f>
        <v>0</v>
      </c>
      <c r="E22" s="6"/>
      <c r="F22" s="7"/>
      <c r="G22" s="8">
        <f t="shared" ref="G22:G25" si="9">E22*F22</f>
        <v>0</v>
      </c>
      <c r="H22" s="6"/>
      <c r="I22" s="7"/>
      <c r="J22" s="8">
        <f t="shared" ref="J22:J25" si="10">H22*I22</f>
        <v>0</v>
      </c>
      <c r="K22" s="6"/>
      <c r="L22" s="7"/>
      <c r="M22" s="8">
        <f t="shared" ref="M22:M25" si="11">K22*L22</f>
        <v>0</v>
      </c>
      <c r="N22" s="6"/>
      <c r="O22" s="7"/>
      <c r="P22" s="8">
        <f t="shared" ref="P22:P25" si="12">N22*O22</f>
        <v>0</v>
      </c>
      <c r="Q22" s="1"/>
      <c r="R22" s="6">
        <f t="shared" ref="R22:R25" si="13">B22+E22+H22+K22+N22</f>
        <v>0</v>
      </c>
      <c r="S22" s="9" t="e">
        <f t="shared" ref="S22:S25" si="14">(D22+G22+J22+M22+P22)/R22</f>
        <v>#DIV/0!</v>
      </c>
      <c r="T22" s="9">
        <f t="shared" ref="T22:T25" si="15">R22/$V$3</f>
        <v>0</v>
      </c>
      <c r="U22" s="9" t="e">
        <f>R22 / _xlfn.XLOOKUP(A22, Top!A:A, Top!AA:AA)</f>
        <v>#DIV/0!</v>
      </c>
    </row>
    <row r="23" spans="1:23" x14ac:dyDescent="0.25">
      <c r="B23" s="6"/>
      <c r="C23" s="7"/>
      <c r="D23" s="8">
        <f t="shared" si="8"/>
        <v>0</v>
      </c>
      <c r="E23" s="6"/>
      <c r="F23" s="7"/>
      <c r="G23" s="8">
        <f t="shared" si="9"/>
        <v>0</v>
      </c>
      <c r="H23" s="6"/>
      <c r="I23" s="7"/>
      <c r="J23" s="8">
        <f t="shared" si="10"/>
        <v>0</v>
      </c>
      <c r="K23" s="6"/>
      <c r="L23" s="7"/>
      <c r="M23" s="8">
        <f t="shared" si="11"/>
        <v>0</v>
      </c>
      <c r="N23" s="6"/>
      <c r="O23" s="7"/>
      <c r="P23" s="8">
        <f t="shared" si="12"/>
        <v>0</v>
      </c>
      <c r="Q23" s="1"/>
      <c r="R23" s="6">
        <f t="shared" si="13"/>
        <v>0</v>
      </c>
      <c r="S23" s="9" t="e">
        <f t="shared" si="14"/>
        <v>#DIV/0!</v>
      </c>
      <c r="T23" s="9">
        <f t="shared" si="15"/>
        <v>0</v>
      </c>
      <c r="U23" s="9" t="e">
        <f>R23 / _xlfn.XLOOKUP(A23, Top!A:A, Top!AA:AA)</f>
        <v>#DIV/0!</v>
      </c>
    </row>
    <row r="24" spans="1:23" x14ac:dyDescent="0.25">
      <c r="B24" s="6"/>
      <c r="C24" s="7"/>
      <c r="D24" s="8">
        <f t="shared" si="8"/>
        <v>0</v>
      </c>
      <c r="E24" s="6"/>
      <c r="F24" s="7"/>
      <c r="G24" s="8">
        <f t="shared" si="9"/>
        <v>0</v>
      </c>
      <c r="H24" s="6"/>
      <c r="I24" s="7"/>
      <c r="J24" s="8">
        <f t="shared" si="10"/>
        <v>0</v>
      </c>
      <c r="K24" s="6"/>
      <c r="L24" s="7"/>
      <c r="M24" s="8">
        <f t="shared" si="11"/>
        <v>0</v>
      </c>
      <c r="N24" s="6"/>
      <c r="O24" s="7"/>
      <c r="P24" s="8">
        <f t="shared" si="12"/>
        <v>0</v>
      </c>
      <c r="Q24" s="1"/>
      <c r="R24" s="6">
        <f t="shared" si="13"/>
        <v>0</v>
      </c>
      <c r="S24" s="9" t="e">
        <f t="shared" si="14"/>
        <v>#DIV/0!</v>
      </c>
      <c r="T24" s="9">
        <f t="shared" si="15"/>
        <v>0</v>
      </c>
      <c r="U24" s="9" t="e">
        <f>R24 / _xlfn.XLOOKUP(A24, Top!A:A, Top!AA:AA)</f>
        <v>#DIV/0!</v>
      </c>
    </row>
    <row r="25" spans="1:23" x14ac:dyDescent="0.25">
      <c r="B25" s="6"/>
      <c r="C25" s="7"/>
      <c r="D25" s="8">
        <f t="shared" si="8"/>
        <v>0</v>
      </c>
      <c r="E25" s="6"/>
      <c r="F25" s="7"/>
      <c r="G25" s="8">
        <f t="shared" si="9"/>
        <v>0</v>
      </c>
      <c r="H25" s="6"/>
      <c r="I25" s="7"/>
      <c r="J25" s="8">
        <f t="shared" si="10"/>
        <v>0</v>
      </c>
      <c r="K25" s="6"/>
      <c r="L25" s="7"/>
      <c r="M25" s="8">
        <f t="shared" si="11"/>
        <v>0</v>
      </c>
      <c r="N25" s="6"/>
      <c r="O25" s="7"/>
      <c r="P25" s="8">
        <f t="shared" si="12"/>
        <v>0</v>
      </c>
      <c r="Q25" s="1"/>
      <c r="R25" s="6">
        <f t="shared" si="13"/>
        <v>0</v>
      </c>
      <c r="S25" s="9" t="e">
        <f t="shared" si="14"/>
        <v>#DIV/0!</v>
      </c>
      <c r="T25" s="9">
        <f t="shared" si="15"/>
        <v>0</v>
      </c>
      <c r="U25" s="9" t="e">
        <f>R25 / _xlfn.XLOOKUP(A25, Top!A:A, Top!AA:AA)</f>
        <v>#DIV/0!</v>
      </c>
    </row>
  </sheetData>
  <sortState xmlns:xlrd2="http://schemas.microsoft.com/office/spreadsheetml/2017/richdata2" ref="A3:U21">
    <sortCondition descending="1" ref="T3:T21"/>
  </sortState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D64D-D409-4437-AFDC-0DAD4F099434}">
  <sheetPr codeName="Tabelle1">
    <tabColor theme="4" tint="0.59999389629810485"/>
  </sheetPr>
  <dimension ref="A1:W57"/>
  <sheetViews>
    <sheetView tabSelected="1" workbookViewId="0">
      <pane xSplit="1" topLeftCell="B1" activePane="topRight" state="frozen"/>
      <selection pane="topRight" activeCell="V17" sqref="V17"/>
    </sheetView>
  </sheetViews>
  <sheetFormatPr baseColWidth="10" defaultRowHeight="15" x14ac:dyDescent="0.25"/>
  <cols>
    <col min="1" max="1" width="11.42578125" style="44"/>
  </cols>
  <sheetData>
    <row r="1" spans="1:23" ht="15.75" x14ac:dyDescent="0.25">
      <c r="A1" s="46" t="s">
        <v>0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5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41"/>
      <c r="N3" s="6"/>
      <c r="O3" s="7"/>
      <c r="P3" s="8">
        <f>N3*O3</f>
        <v>0</v>
      </c>
      <c r="Q3" s="1"/>
      <c r="R3" s="6">
        <f>B3+E3+H3+K3+N3</f>
        <v>0</v>
      </c>
      <c r="S3" s="9" t="e">
        <f>(D3+G3+J3+M3+P3)/R3</f>
        <v>#DIV/0!</v>
      </c>
      <c r="T3" s="9">
        <f>R3/$V$3</f>
        <v>0</v>
      </c>
      <c r="U3" s="9" t="e">
        <f>R3 / _xlfn.XLOOKUP(A3, Top!A:A, Top!AA:AA)</f>
        <v>#DIV/0!</v>
      </c>
      <c r="V3" s="11">
        <f>SUM(R3:R69)</f>
        <v>624</v>
      </c>
      <c r="W3" s="12">
        <f>(SUM(D3:D99)+SUM(G3:G99)+SUM(J3:J99)+SUM(M3:M99)+SUM(P3:P99)) / V3</f>
        <v>0.65862660256410255</v>
      </c>
    </row>
    <row r="4" spans="1:23" x14ac:dyDescent="0.25">
      <c r="N4" s="6"/>
      <c r="O4" s="7"/>
      <c r="P4" s="8">
        <f>N4*O4</f>
        <v>0</v>
      </c>
      <c r="Q4" s="1"/>
      <c r="R4" s="6">
        <f>B4+E4+H4+K4+N4</f>
        <v>0</v>
      </c>
      <c r="S4" s="9" t="e">
        <f>(D4+G4+J4+M4+P4)/R4</f>
        <v>#DIV/0!</v>
      </c>
      <c r="T4" s="9">
        <f>R4/$V$3</f>
        <v>0</v>
      </c>
      <c r="U4" s="9" t="e">
        <f>R4 / _xlfn.XLOOKUP(A4, Top!A:A, Top!AA:AA)</f>
        <v>#DIV/0!</v>
      </c>
      <c r="V4" s="6"/>
      <c r="W4" s="9"/>
    </row>
    <row r="5" spans="1:23" x14ac:dyDescent="0.25">
      <c r="N5" s="6"/>
      <c r="O5" s="7"/>
      <c r="P5" s="8">
        <f>N5*O5</f>
        <v>0</v>
      </c>
      <c r="Q5" s="1"/>
      <c r="R5" s="6">
        <f>B5+E5+H5+K5+N5</f>
        <v>0</v>
      </c>
      <c r="S5" s="9" t="e">
        <f>(D5+G5+J5+M5+P5)/R5</f>
        <v>#DIV/0!</v>
      </c>
      <c r="T5" s="9">
        <f>R5/$V$3</f>
        <v>0</v>
      </c>
      <c r="U5" s="9" t="e">
        <f>R5 / _xlfn.XLOOKUP(A5, Top!A:A, Top!AA:AA)</f>
        <v>#DIV/0!</v>
      </c>
      <c r="W5" s="1"/>
    </row>
    <row r="6" spans="1:23" x14ac:dyDescent="0.25">
      <c r="N6" s="6"/>
      <c r="O6" s="7"/>
      <c r="P6" s="8">
        <f>N6*O6</f>
        <v>0</v>
      </c>
      <c r="Q6" s="1"/>
      <c r="R6" s="6">
        <f>B6+E6+H6+K6+N6</f>
        <v>0</v>
      </c>
      <c r="S6" s="9" t="e">
        <f>(D6+G6+J6+M6+P6)/R6</f>
        <v>#DIV/0!</v>
      </c>
      <c r="T6" s="9">
        <f>R6/$V$3</f>
        <v>0</v>
      </c>
      <c r="U6" s="9" t="e">
        <f>R6 / _xlfn.XLOOKUP(A6, Top!A:A, Top!AA:AA)</f>
        <v>#DIV/0!</v>
      </c>
      <c r="W6" s="1"/>
    </row>
    <row r="7" spans="1:23" x14ac:dyDescent="0.25">
      <c r="A7" s="42" t="s">
        <v>35</v>
      </c>
      <c r="B7" s="6">
        <v>1</v>
      </c>
      <c r="C7" s="7">
        <v>0</v>
      </c>
      <c r="D7" s="8">
        <f>B7*C7</f>
        <v>0</v>
      </c>
      <c r="E7" s="6"/>
      <c r="F7" s="7"/>
      <c r="G7" s="8">
        <f>E7*F7</f>
        <v>0</v>
      </c>
      <c r="H7" s="6"/>
      <c r="I7" s="7"/>
      <c r="J7" s="8">
        <f>H7*I7</f>
        <v>0</v>
      </c>
      <c r="K7" s="6"/>
      <c r="L7" s="7"/>
      <c r="M7" s="8">
        <f>K7*L7</f>
        <v>0</v>
      </c>
      <c r="N7" s="6"/>
      <c r="O7" s="7"/>
      <c r="P7" s="8">
        <f>N7*O7</f>
        <v>0</v>
      </c>
      <c r="Q7" s="1"/>
      <c r="R7" s="6">
        <f>B7+E7+H7+K7+N7</f>
        <v>1</v>
      </c>
      <c r="S7" s="9">
        <f>(D7+G7+J7+M7+P7)/R7</f>
        <v>0</v>
      </c>
      <c r="T7" s="9">
        <f>R7/$V$3</f>
        <v>1.6025641025641025E-3</v>
      </c>
      <c r="U7" s="9">
        <f>R7 / _xlfn.XLOOKUP(A7, Top!A:A, Top!AA:AA)</f>
        <v>1</v>
      </c>
      <c r="V7" s="1"/>
      <c r="W7" s="1"/>
    </row>
    <row r="8" spans="1:23" x14ac:dyDescent="0.25">
      <c r="A8" s="42" t="s">
        <v>139</v>
      </c>
      <c r="B8" s="6"/>
      <c r="C8" s="7"/>
      <c r="D8" s="8">
        <f>B8*C8</f>
        <v>0</v>
      </c>
      <c r="E8" s="6"/>
      <c r="F8" s="7"/>
      <c r="G8" s="8">
        <f>E8*F8</f>
        <v>0</v>
      </c>
      <c r="H8" s="6">
        <v>1</v>
      </c>
      <c r="I8" s="7">
        <v>0</v>
      </c>
      <c r="J8" s="8">
        <f>H8*I8</f>
        <v>0</v>
      </c>
      <c r="K8" s="6"/>
      <c r="L8" s="7"/>
      <c r="M8" s="8">
        <f>K8*L8</f>
        <v>0</v>
      </c>
      <c r="N8" s="6"/>
      <c r="O8" s="7"/>
      <c r="P8" s="8">
        <f>N8*O8</f>
        <v>0</v>
      </c>
      <c r="Q8" s="1"/>
      <c r="R8" s="6">
        <f>B8+E8+H8+K8+N8</f>
        <v>1</v>
      </c>
      <c r="S8" s="9">
        <f>(D8+G8+J8+M8+P8)/R8</f>
        <v>0</v>
      </c>
      <c r="T8" s="9">
        <f>R8/$V$3</f>
        <v>1.6025641025641025E-3</v>
      </c>
      <c r="U8" s="9">
        <f>R8 / _xlfn.XLOOKUP(A8, Top!A:A, Top!AA:AA)</f>
        <v>1</v>
      </c>
      <c r="V8" s="1"/>
      <c r="W8" s="1"/>
    </row>
    <row r="9" spans="1:23" x14ac:dyDescent="0.25">
      <c r="A9" s="42" t="s">
        <v>12</v>
      </c>
      <c r="B9" s="6">
        <v>6</v>
      </c>
      <c r="C9" s="7">
        <v>1</v>
      </c>
      <c r="D9" s="8">
        <f>B9*C9</f>
        <v>6</v>
      </c>
      <c r="E9" s="6">
        <v>3</v>
      </c>
      <c r="F9" s="7">
        <v>0.66700000000000004</v>
      </c>
      <c r="G9" s="8">
        <f>E9*F9</f>
        <v>2.0010000000000003</v>
      </c>
      <c r="H9" s="6">
        <v>7</v>
      </c>
      <c r="I9" s="7">
        <v>0.85699999999999998</v>
      </c>
      <c r="J9" s="8">
        <f>H9*I9</f>
        <v>5.9989999999999997</v>
      </c>
      <c r="K9" s="6"/>
      <c r="L9" s="7"/>
      <c r="M9" s="8">
        <f>K9*L9</f>
        <v>0</v>
      </c>
      <c r="N9" s="6"/>
      <c r="O9" s="7"/>
      <c r="P9" s="8">
        <f>N9*O9</f>
        <v>0</v>
      </c>
      <c r="Q9" s="1"/>
      <c r="R9" s="6">
        <f>B9+E9+H9+K9+N9</f>
        <v>16</v>
      </c>
      <c r="S9" s="9">
        <f>(D9+G9+J9+M9+P9)/R9</f>
        <v>0.875</v>
      </c>
      <c r="T9" s="9">
        <f>R9/$V$3</f>
        <v>2.564102564102564E-2</v>
      </c>
      <c r="U9" s="9">
        <f>R9 / _xlfn.XLOOKUP(A9, Top!A:A, Top!AA:AA)</f>
        <v>0.59259259259259256</v>
      </c>
      <c r="V9" s="1"/>
      <c r="W9" s="1"/>
    </row>
    <row r="10" spans="1:23" x14ac:dyDescent="0.25">
      <c r="A10" s="42" t="s">
        <v>25</v>
      </c>
      <c r="B10" s="6"/>
      <c r="C10" s="7"/>
      <c r="D10" s="8">
        <f>B10*C10</f>
        <v>0</v>
      </c>
      <c r="E10" s="6"/>
      <c r="F10" s="7"/>
      <c r="G10" s="8">
        <f>E10*F10</f>
        <v>0</v>
      </c>
      <c r="H10" s="6">
        <v>7</v>
      </c>
      <c r="I10" s="7">
        <v>0.85699999999999998</v>
      </c>
      <c r="J10" s="8">
        <f>H10*I10</f>
        <v>5.9989999999999997</v>
      </c>
      <c r="K10" s="6"/>
      <c r="L10" s="7"/>
      <c r="M10" s="8">
        <f>K10*L10</f>
        <v>0</v>
      </c>
      <c r="N10" s="6"/>
      <c r="O10" s="7"/>
      <c r="P10" s="8">
        <f>N10*O10</f>
        <v>0</v>
      </c>
      <c r="Q10" s="1"/>
      <c r="R10" s="6">
        <f>B10+E10+H10+K10+N10</f>
        <v>7</v>
      </c>
      <c r="S10" s="9">
        <f>(D10+G10+J10+M10+P10)/R10</f>
        <v>0.85699999999999998</v>
      </c>
      <c r="T10" s="9">
        <f>R10/$V$3</f>
        <v>1.1217948717948718E-2</v>
      </c>
      <c r="U10" s="9">
        <f>R10 / _xlfn.XLOOKUP(A10, Top!A:A, Top!AA:AA)</f>
        <v>0.41176470588235292</v>
      </c>
      <c r="V10" s="1"/>
      <c r="W10" s="1"/>
    </row>
    <row r="11" spans="1:23" x14ac:dyDescent="0.25">
      <c r="A11" s="41" t="s">
        <v>76</v>
      </c>
      <c r="B11" s="6"/>
      <c r="C11" s="7"/>
      <c r="D11" s="8">
        <f>B11*C11</f>
        <v>0</v>
      </c>
      <c r="E11" s="6"/>
      <c r="F11" s="7"/>
      <c r="G11" s="8">
        <f>E11*F11</f>
        <v>0</v>
      </c>
      <c r="H11" s="6"/>
      <c r="I11" s="7"/>
      <c r="J11" s="8">
        <f>H11*I11</f>
        <v>0</v>
      </c>
      <c r="K11" s="6">
        <v>4</v>
      </c>
      <c r="L11" s="7">
        <v>1</v>
      </c>
      <c r="M11" s="8">
        <f>K11*L11</f>
        <v>4</v>
      </c>
      <c r="N11" s="6"/>
      <c r="O11" s="7"/>
      <c r="P11" s="8">
        <f>N11*O11</f>
        <v>0</v>
      </c>
      <c r="Q11" s="1"/>
      <c r="R11" s="6">
        <f>B11+E11+H11+K11+N11</f>
        <v>4</v>
      </c>
      <c r="S11" s="9">
        <f>(D11+G11+J11+M11+P11)/R11</f>
        <v>1</v>
      </c>
      <c r="T11" s="9">
        <f>R11/$V$3</f>
        <v>6.41025641025641E-3</v>
      </c>
      <c r="U11" s="9">
        <f>R11 / _xlfn.XLOOKUP(A11, Top!A:A, Top!AA:AA)</f>
        <v>0.4</v>
      </c>
      <c r="V11" s="1"/>
      <c r="W11" s="1"/>
    </row>
    <row r="12" spans="1:23" x14ac:dyDescent="0.25">
      <c r="A12" s="42" t="s">
        <v>108</v>
      </c>
      <c r="B12" s="6">
        <v>1</v>
      </c>
      <c r="C12" s="7">
        <v>1</v>
      </c>
      <c r="D12" s="8">
        <f>B12*C12</f>
        <v>1</v>
      </c>
      <c r="E12" s="6"/>
      <c r="F12" s="7"/>
      <c r="G12" s="8">
        <f>E12*F12</f>
        <v>0</v>
      </c>
      <c r="H12" s="6">
        <v>1</v>
      </c>
      <c r="I12" s="7">
        <v>0</v>
      </c>
      <c r="J12" s="8">
        <f>H12*I12</f>
        <v>0</v>
      </c>
      <c r="K12" s="6"/>
      <c r="L12" s="7"/>
      <c r="M12" s="8">
        <f>K12*L12</f>
        <v>0</v>
      </c>
      <c r="N12" s="6"/>
      <c r="O12" s="7"/>
      <c r="P12" s="8">
        <f>N12*O12</f>
        <v>0</v>
      </c>
      <c r="Q12" s="1"/>
      <c r="R12" s="6">
        <f>B12+E12+H12+K12+N12</f>
        <v>2</v>
      </c>
      <c r="S12" s="9">
        <f>(D12+G12+J12+M12+P12)/R12</f>
        <v>0.5</v>
      </c>
      <c r="T12" s="9">
        <f>R12/$V$3</f>
        <v>3.205128205128205E-3</v>
      </c>
      <c r="U12" s="9">
        <f>R12 / _xlfn.XLOOKUP(A12, Top!A:A, Top!AA:AA)</f>
        <v>0.4</v>
      </c>
      <c r="V12" s="1"/>
      <c r="W12" s="1"/>
    </row>
    <row r="13" spans="1:23" x14ac:dyDescent="0.25">
      <c r="A13" s="42" t="s">
        <v>21</v>
      </c>
      <c r="B13" s="6">
        <v>1</v>
      </c>
      <c r="C13" s="7">
        <v>1</v>
      </c>
      <c r="D13" s="8">
        <f>B13*C13</f>
        <v>1</v>
      </c>
      <c r="E13" s="6"/>
      <c r="F13" s="7"/>
      <c r="G13" s="8">
        <f>E13*F13</f>
        <v>0</v>
      </c>
      <c r="H13" s="6">
        <v>6</v>
      </c>
      <c r="I13" s="7">
        <v>0.66700000000000004</v>
      </c>
      <c r="J13" s="8">
        <f>H13*I13</f>
        <v>4.0020000000000007</v>
      </c>
      <c r="K13" s="6"/>
      <c r="L13" s="7"/>
      <c r="M13" s="8">
        <f>K13*L13</f>
        <v>0</v>
      </c>
      <c r="N13" s="6"/>
      <c r="O13" s="7"/>
      <c r="P13" s="8">
        <f>N13*O13</f>
        <v>0</v>
      </c>
      <c r="Q13" s="1"/>
      <c r="R13" s="6">
        <f>B13+E13+H13+K13+N13</f>
        <v>7</v>
      </c>
      <c r="S13" s="9">
        <f>(D13+G13+J13+M13+P13)/R13</f>
        <v>0.71457142857142864</v>
      </c>
      <c r="T13" s="9">
        <f>R13/$V$3</f>
        <v>1.1217948717948718E-2</v>
      </c>
      <c r="U13" s="9">
        <f>R13 / _xlfn.XLOOKUP(A13, Top!A:A, Top!AA:AA)</f>
        <v>0.3888888888888889</v>
      </c>
      <c r="V13" s="1"/>
      <c r="W13" s="1"/>
    </row>
    <row r="14" spans="1:23" x14ac:dyDescent="0.25">
      <c r="A14" s="42" t="s">
        <v>34</v>
      </c>
      <c r="B14" s="6"/>
      <c r="C14" s="7"/>
      <c r="D14" s="8">
        <f>B14*C14</f>
        <v>0</v>
      </c>
      <c r="E14" s="6">
        <v>2</v>
      </c>
      <c r="F14" s="7">
        <v>0.5</v>
      </c>
      <c r="G14" s="8">
        <f>E14*F14</f>
        <v>1</v>
      </c>
      <c r="H14" s="6">
        <v>1</v>
      </c>
      <c r="I14" s="7">
        <v>0</v>
      </c>
      <c r="J14" s="8">
        <f>H14*I14</f>
        <v>0</v>
      </c>
      <c r="K14" s="6"/>
      <c r="L14" s="7"/>
      <c r="M14" s="8">
        <f>K14*L14</f>
        <v>0</v>
      </c>
      <c r="N14" s="6"/>
      <c r="O14" s="7"/>
      <c r="P14" s="8">
        <f>N14*O14</f>
        <v>0</v>
      </c>
      <c r="Q14" s="1"/>
      <c r="R14" s="6">
        <f>B14+E14+H14+K14+N14</f>
        <v>3</v>
      </c>
      <c r="S14" s="9">
        <f>(D14+G14+J14+M14+P14)/R14</f>
        <v>0.33333333333333331</v>
      </c>
      <c r="T14" s="9">
        <f>R14/$V$3</f>
        <v>4.807692307692308E-3</v>
      </c>
      <c r="U14" s="9">
        <f>R14 / _xlfn.XLOOKUP(A14, Top!A:A, Top!AA:AA)</f>
        <v>0.33333333333333331</v>
      </c>
      <c r="V14" s="1"/>
      <c r="W14" s="1"/>
    </row>
    <row r="15" spans="1:23" x14ac:dyDescent="0.25">
      <c r="A15" s="42" t="s">
        <v>39</v>
      </c>
      <c r="B15" s="6"/>
      <c r="C15" s="7"/>
      <c r="D15" s="8">
        <f>B15*C15</f>
        <v>0</v>
      </c>
      <c r="E15" s="6"/>
      <c r="F15" s="7"/>
      <c r="G15" s="8">
        <f>E15*F15</f>
        <v>0</v>
      </c>
      <c r="H15" s="6">
        <v>1</v>
      </c>
      <c r="I15" s="7">
        <v>0</v>
      </c>
      <c r="J15" s="8">
        <f>H15*I15</f>
        <v>0</v>
      </c>
      <c r="K15" s="6"/>
      <c r="L15" s="7"/>
      <c r="M15" s="8">
        <f>K15*L15</f>
        <v>0</v>
      </c>
      <c r="N15" s="6"/>
      <c r="O15" s="7"/>
      <c r="P15" s="8">
        <f>N15*O15</f>
        <v>0</v>
      </c>
      <c r="Q15" s="1"/>
      <c r="R15" s="6">
        <f>B15+E15+H15+K15+N15</f>
        <v>1</v>
      </c>
      <c r="S15" s="9">
        <f>(D15+G15+J15+M15+P15)/R15</f>
        <v>0</v>
      </c>
      <c r="T15" s="9">
        <f>R15/$V$3</f>
        <v>1.6025641025641025E-3</v>
      </c>
      <c r="U15" s="9">
        <f>R15 / _xlfn.XLOOKUP(A15, Top!A:A, Top!AA:AA)</f>
        <v>0.33333333333333331</v>
      </c>
      <c r="V15" s="1"/>
      <c r="W15" s="1"/>
    </row>
    <row r="16" spans="1:23" x14ac:dyDescent="0.25">
      <c r="A16" s="42" t="s">
        <v>18</v>
      </c>
      <c r="B16" s="6"/>
      <c r="C16" s="7"/>
      <c r="D16" s="8">
        <f>B16*C16</f>
        <v>0</v>
      </c>
      <c r="E16" s="6"/>
      <c r="F16" s="7"/>
      <c r="G16" s="8">
        <f>E16*F16</f>
        <v>0</v>
      </c>
      <c r="H16" s="6">
        <v>13</v>
      </c>
      <c r="I16" s="7">
        <v>0.53800000000000003</v>
      </c>
      <c r="J16" s="8">
        <f>H16*I16</f>
        <v>6.9940000000000007</v>
      </c>
      <c r="K16" s="6"/>
      <c r="L16" s="7"/>
      <c r="M16" s="8">
        <f>K16*L16</f>
        <v>0</v>
      </c>
      <c r="N16" s="6"/>
      <c r="O16" s="7"/>
      <c r="P16" s="8">
        <f>N16*O16</f>
        <v>0</v>
      </c>
      <c r="Q16" s="1"/>
      <c r="R16" s="6">
        <f>B16+E16+H16+K16+N16</f>
        <v>13</v>
      </c>
      <c r="S16" s="9">
        <f>(D16+G16+J16+M16+P16)/R16</f>
        <v>0.53800000000000003</v>
      </c>
      <c r="T16" s="9">
        <f>R16/$V$3</f>
        <v>2.0833333333333332E-2</v>
      </c>
      <c r="U16" s="9">
        <f>R16 / _xlfn.XLOOKUP(A16, Top!A:A, Top!AA:AA)</f>
        <v>0.27083333333333331</v>
      </c>
      <c r="V16" s="1"/>
      <c r="W16" s="1"/>
    </row>
    <row r="17" spans="1:23" x14ac:dyDescent="0.25">
      <c r="A17" s="42" t="s">
        <v>29</v>
      </c>
      <c r="B17" s="6"/>
      <c r="C17" s="7"/>
      <c r="D17" s="8">
        <f>B17*C17</f>
        <v>0</v>
      </c>
      <c r="E17" s="6">
        <v>1</v>
      </c>
      <c r="F17" s="7">
        <v>1</v>
      </c>
      <c r="G17" s="8">
        <f>E17*F17</f>
        <v>1</v>
      </c>
      <c r="H17" s="6"/>
      <c r="I17" s="7"/>
      <c r="J17" s="8">
        <f>H17*I17</f>
        <v>0</v>
      </c>
      <c r="K17" s="6"/>
      <c r="L17" s="7"/>
      <c r="M17" s="8">
        <f>K17*L17</f>
        <v>0</v>
      </c>
      <c r="N17" s="6"/>
      <c r="O17" s="7"/>
      <c r="P17" s="8">
        <f>N17*O17</f>
        <v>0</v>
      </c>
      <c r="Q17" s="1"/>
      <c r="R17" s="6">
        <f>B17+E17+H17+K17+N17</f>
        <v>1</v>
      </c>
      <c r="S17" s="9">
        <f>(D17+G17+J17+M17+P17)/R17</f>
        <v>1</v>
      </c>
      <c r="T17" s="9">
        <f>R17/$V$3</f>
        <v>1.6025641025641025E-3</v>
      </c>
      <c r="U17" s="9">
        <f>R17 / _xlfn.XLOOKUP(A17, Top!A:A, Top!AA:AA)</f>
        <v>0.25</v>
      </c>
      <c r="V17" s="1"/>
      <c r="W17" s="1"/>
    </row>
    <row r="18" spans="1:23" x14ac:dyDescent="0.25">
      <c r="A18" s="41" t="s">
        <v>54</v>
      </c>
      <c r="B18" s="6"/>
      <c r="C18" s="7"/>
      <c r="D18" s="8">
        <f>B18*C18</f>
        <v>0</v>
      </c>
      <c r="E18" s="6"/>
      <c r="F18" s="7"/>
      <c r="G18" s="8">
        <f>E18*F18</f>
        <v>0</v>
      </c>
      <c r="H18" s="6"/>
      <c r="I18" s="7"/>
      <c r="J18" s="8">
        <f>H18*I18</f>
        <v>0</v>
      </c>
      <c r="K18" s="6">
        <v>3</v>
      </c>
      <c r="L18" s="7">
        <v>1</v>
      </c>
      <c r="M18" s="8">
        <f>K18*L18</f>
        <v>3</v>
      </c>
      <c r="N18" s="6"/>
      <c r="O18" s="7"/>
      <c r="P18" s="8">
        <f>N18*O18</f>
        <v>0</v>
      </c>
      <c r="Q18" s="1"/>
      <c r="R18" s="6">
        <f>B18+E18+H18+K18+N18</f>
        <v>3</v>
      </c>
      <c r="S18" s="9">
        <f>(D18+G18+J18+M18+P18)/R18</f>
        <v>1</v>
      </c>
      <c r="T18" s="9">
        <f>R18/$V$3</f>
        <v>4.807692307692308E-3</v>
      </c>
      <c r="U18" s="9">
        <f>R18 / _xlfn.XLOOKUP(A18, Top!A:A, Top!AA:AA)</f>
        <v>0.23076923076923078</v>
      </c>
      <c r="V18" s="1"/>
      <c r="W18" s="1"/>
    </row>
    <row r="19" spans="1:23" x14ac:dyDescent="0.25">
      <c r="A19" s="42" t="s">
        <v>15</v>
      </c>
      <c r="B19" s="6">
        <v>7</v>
      </c>
      <c r="C19" s="7">
        <v>0.71399999999999997</v>
      </c>
      <c r="D19" s="8">
        <f>B19*C19</f>
        <v>4.9979999999999993</v>
      </c>
      <c r="E19" s="6">
        <v>6</v>
      </c>
      <c r="F19" s="7">
        <v>0.66700000000000004</v>
      </c>
      <c r="G19" s="8">
        <f>E19*F19</f>
        <v>4.0020000000000007</v>
      </c>
      <c r="H19" s="6">
        <v>11</v>
      </c>
      <c r="I19" s="7">
        <v>0.36399999999999999</v>
      </c>
      <c r="J19" s="8">
        <f>H19*I19</f>
        <v>4.0039999999999996</v>
      </c>
      <c r="K19" s="6">
        <v>3</v>
      </c>
      <c r="L19" s="7">
        <v>1</v>
      </c>
      <c r="M19" s="8">
        <f>K19*L19</f>
        <v>3</v>
      </c>
      <c r="N19" s="6"/>
      <c r="O19" s="7"/>
      <c r="P19" s="8">
        <f>N19*O19</f>
        <v>0</v>
      </c>
      <c r="Q19" s="4"/>
      <c r="R19" s="6">
        <f>B19+E19+H19+K19+N19</f>
        <v>27</v>
      </c>
      <c r="S19" s="9">
        <f>(D19+G19+J19+M19+P19)/R19</f>
        <v>0.59274074074074068</v>
      </c>
      <c r="T19" s="9">
        <f>R19/$V$3</f>
        <v>4.3269230769230768E-2</v>
      </c>
      <c r="U19" s="9">
        <f>R19 / _xlfn.XLOOKUP(A19, Top!A:A, Top!AA:AA)</f>
        <v>0.2231404958677686</v>
      </c>
      <c r="V19" s="1"/>
      <c r="W19" s="1"/>
    </row>
    <row r="20" spans="1:23" x14ac:dyDescent="0.25">
      <c r="A20" s="42" t="s">
        <v>24</v>
      </c>
      <c r="B20" s="6">
        <v>3</v>
      </c>
      <c r="C20" s="7">
        <v>1</v>
      </c>
      <c r="D20" s="8">
        <f>B20*C20</f>
        <v>3</v>
      </c>
      <c r="E20" s="6">
        <v>1</v>
      </c>
      <c r="F20" s="7">
        <v>0</v>
      </c>
      <c r="G20" s="8">
        <f>E20*F20</f>
        <v>0</v>
      </c>
      <c r="H20" s="6"/>
      <c r="I20" s="7"/>
      <c r="J20" s="8">
        <f>H20*I20</f>
        <v>0</v>
      </c>
      <c r="K20" s="6"/>
      <c r="L20" s="7"/>
      <c r="M20" s="8">
        <f>K20*L20</f>
        <v>0</v>
      </c>
      <c r="N20" s="6"/>
      <c r="O20" s="7"/>
      <c r="P20" s="8">
        <f>N20*O20</f>
        <v>0</v>
      </c>
      <c r="Q20" s="1"/>
      <c r="R20" s="6">
        <f>B20+E20+H20+K20+N20</f>
        <v>4</v>
      </c>
      <c r="S20" s="9">
        <f>(D20+G20+J20+M20+P20)/R20</f>
        <v>0.75</v>
      </c>
      <c r="T20" s="9">
        <f>R20/$V$3</f>
        <v>6.41025641025641E-3</v>
      </c>
      <c r="U20" s="9">
        <f>R20 / _xlfn.XLOOKUP(A20, Top!A:A, Top!AA:AA)</f>
        <v>0.22222222222222221</v>
      </c>
      <c r="V20" s="1"/>
      <c r="W20" s="1"/>
    </row>
    <row r="21" spans="1:23" x14ac:dyDescent="0.25">
      <c r="A21" s="42" t="s">
        <v>50</v>
      </c>
      <c r="B21" s="6">
        <v>1</v>
      </c>
      <c r="C21" s="7">
        <v>1</v>
      </c>
      <c r="D21" s="8">
        <f>B21*C21</f>
        <v>1</v>
      </c>
      <c r="E21" s="6"/>
      <c r="F21" s="7"/>
      <c r="G21" s="8">
        <f>E21*F21</f>
        <v>0</v>
      </c>
      <c r="H21" s="6">
        <v>3</v>
      </c>
      <c r="I21" s="7">
        <v>0.66700000000000004</v>
      </c>
      <c r="J21" s="8">
        <f>H21*I21</f>
        <v>2.0010000000000003</v>
      </c>
      <c r="K21" s="6">
        <v>2</v>
      </c>
      <c r="L21" s="7">
        <v>1</v>
      </c>
      <c r="M21" s="8">
        <f>K21*L21</f>
        <v>2</v>
      </c>
      <c r="N21" s="6"/>
      <c r="O21" s="7"/>
      <c r="P21" s="8">
        <f>N21*O21</f>
        <v>0</v>
      </c>
      <c r="Q21" s="1"/>
      <c r="R21" s="6">
        <f>B21+E21+H21+K21+N21</f>
        <v>6</v>
      </c>
      <c r="S21" s="9">
        <f>(D21+G21+J21+M21+P21)/R21</f>
        <v>0.83350000000000002</v>
      </c>
      <c r="T21" s="9">
        <f>R21/$V$3</f>
        <v>9.6153846153846159E-3</v>
      </c>
      <c r="U21" s="9">
        <f>R21 / _xlfn.XLOOKUP(A21, Top!A:A, Top!AA:AA)</f>
        <v>0.21428571428571427</v>
      </c>
      <c r="V21" s="1"/>
      <c r="W21" s="1"/>
    </row>
    <row r="22" spans="1:23" x14ac:dyDescent="0.25">
      <c r="A22" s="42" t="s">
        <v>8</v>
      </c>
      <c r="B22" s="6">
        <v>24</v>
      </c>
      <c r="C22" s="7">
        <v>0.75</v>
      </c>
      <c r="D22" s="8">
        <f>B22*C22</f>
        <v>18</v>
      </c>
      <c r="E22" s="6">
        <v>12</v>
      </c>
      <c r="F22" s="7">
        <v>0.83299999999999996</v>
      </c>
      <c r="G22" s="8">
        <f>E22*F22</f>
        <v>9.9959999999999987</v>
      </c>
      <c r="H22" s="6">
        <v>4</v>
      </c>
      <c r="I22" s="7">
        <v>0.25</v>
      </c>
      <c r="J22" s="8">
        <f>H22*I22</f>
        <v>1</v>
      </c>
      <c r="K22" s="6">
        <v>13</v>
      </c>
      <c r="L22" s="7">
        <v>0.61499999999999999</v>
      </c>
      <c r="M22" s="8">
        <f>K22*L22</f>
        <v>7.9950000000000001</v>
      </c>
      <c r="N22" s="6"/>
      <c r="O22" s="7"/>
      <c r="P22" s="8">
        <f>N22*O22</f>
        <v>0</v>
      </c>
      <c r="Q22" s="1"/>
      <c r="R22" s="6">
        <f>B22+E22+H22+K22+N22</f>
        <v>53</v>
      </c>
      <c r="S22" s="9">
        <f>(D22+G22+J22+M22+P22)/R22</f>
        <v>0.6979433962264151</v>
      </c>
      <c r="T22" s="9">
        <f>R22/$V$3</f>
        <v>8.4935897435897439E-2</v>
      </c>
      <c r="U22" s="9">
        <f>R22 / _xlfn.XLOOKUP(A22, Top!A:A, Top!AA:AA)</f>
        <v>0.20463320463320464</v>
      </c>
      <c r="V22" s="1"/>
      <c r="W22" s="1"/>
    </row>
    <row r="23" spans="1:23" x14ac:dyDescent="0.25">
      <c r="A23" s="42" t="s">
        <v>19</v>
      </c>
      <c r="B23" s="6">
        <v>8</v>
      </c>
      <c r="C23" s="7">
        <v>0.75</v>
      </c>
      <c r="D23" s="8">
        <f>B23*C23</f>
        <v>6</v>
      </c>
      <c r="E23" s="6"/>
      <c r="F23" s="7"/>
      <c r="G23" s="8">
        <f>E23*F23</f>
        <v>0</v>
      </c>
      <c r="H23" s="6">
        <v>11</v>
      </c>
      <c r="I23" s="7">
        <v>0.90900000000000003</v>
      </c>
      <c r="J23" s="8">
        <f>H23*I23</f>
        <v>9.9990000000000006</v>
      </c>
      <c r="K23" s="6">
        <v>6</v>
      </c>
      <c r="L23" s="7">
        <v>0.66700000000000004</v>
      </c>
      <c r="M23" s="8">
        <f>K23*L23</f>
        <v>4.0020000000000007</v>
      </c>
      <c r="N23" s="6"/>
      <c r="O23" s="7"/>
      <c r="P23" s="8">
        <f>N23*O23</f>
        <v>0</v>
      </c>
      <c r="Q23" s="1"/>
      <c r="R23" s="6">
        <f>B23+E23+H23+K23+N23</f>
        <v>25</v>
      </c>
      <c r="S23" s="9">
        <f>(D23+G23+J23+M23+P23)/R23</f>
        <v>0.80004000000000008</v>
      </c>
      <c r="T23" s="9">
        <f>R23/$V$3</f>
        <v>4.0064102564102567E-2</v>
      </c>
      <c r="U23" s="9">
        <f>R23 / _xlfn.XLOOKUP(A23, Top!A:A, Top!AA:AA)</f>
        <v>0.18248175182481752</v>
      </c>
      <c r="V23" s="1"/>
      <c r="W23" s="1"/>
    </row>
    <row r="24" spans="1:23" x14ac:dyDescent="0.25">
      <c r="A24" s="42" t="s">
        <v>32</v>
      </c>
      <c r="B24" s="6"/>
      <c r="C24" s="7"/>
      <c r="D24" s="8">
        <f>B24*C24</f>
        <v>0</v>
      </c>
      <c r="E24" s="6">
        <v>1</v>
      </c>
      <c r="F24" s="7">
        <v>1</v>
      </c>
      <c r="G24" s="8">
        <f>E24*F24</f>
        <v>1</v>
      </c>
      <c r="H24" s="6">
        <v>1</v>
      </c>
      <c r="I24" s="7">
        <v>1</v>
      </c>
      <c r="J24" s="8">
        <f>H24*I24</f>
        <v>1</v>
      </c>
      <c r="K24" s="6"/>
      <c r="L24" s="7"/>
      <c r="M24" s="8">
        <f>K24*L24</f>
        <v>0</v>
      </c>
      <c r="N24" s="6"/>
      <c r="O24" s="7"/>
      <c r="P24" s="8">
        <f>N24*O24</f>
        <v>0</v>
      </c>
      <c r="Q24" s="1"/>
      <c r="R24" s="6">
        <f>B24+E24+H24+K24+N24</f>
        <v>2</v>
      </c>
      <c r="S24" s="9">
        <f>(D24+G24+J24+M24+P24)/R24</f>
        <v>1</v>
      </c>
      <c r="T24" s="9">
        <f>R24/$V$3</f>
        <v>3.205128205128205E-3</v>
      </c>
      <c r="U24" s="9">
        <f>R24 / _xlfn.XLOOKUP(A24, Top!A:A, Top!AA:AA)</f>
        <v>0.18181818181818182</v>
      </c>
      <c r="V24" s="1"/>
      <c r="W24" s="1"/>
    </row>
    <row r="25" spans="1:23" x14ac:dyDescent="0.25">
      <c r="A25" s="43" t="s">
        <v>209</v>
      </c>
      <c r="B25" s="6"/>
      <c r="C25" s="22"/>
      <c r="D25" s="8">
        <f>B25*C25</f>
        <v>0</v>
      </c>
      <c r="E25" s="6"/>
      <c r="F25" s="7"/>
      <c r="G25" s="8">
        <f>E25*F25</f>
        <v>0</v>
      </c>
      <c r="H25" s="6"/>
      <c r="I25" s="7"/>
      <c r="J25" s="8">
        <f>H25*I25</f>
        <v>0</v>
      </c>
      <c r="K25" s="6">
        <v>1</v>
      </c>
      <c r="L25" s="7">
        <v>1</v>
      </c>
      <c r="M25" s="8">
        <f>K25*L25</f>
        <v>1</v>
      </c>
      <c r="N25" s="6"/>
      <c r="O25" s="7"/>
      <c r="P25" s="8">
        <f>N25*O25</f>
        <v>0</v>
      </c>
      <c r="Q25" s="1"/>
      <c r="R25" s="6">
        <f>B25+E25+H25+K25+N25</f>
        <v>1</v>
      </c>
      <c r="S25" s="9">
        <f>(D25+G25+J25+M25+P25)/R25</f>
        <v>1</v>
      </c>
      <c r="T25" s="9">
        <f>R25/$V$3</f>
        <v>1.6025641025641025E-3</v>
      </c>
      <c r="U25" s="9">
        <f>R25 / _xlfn.XLOOKUP(A25, Top!A:A, Top!AA:AA)</f>
        <v>0.16666666666666666</v>
      </c>
      <c r="V25" s="1"/>
      <c r="W25" s="1"/>
    </row>
    <row r="26" spans="1:23" x14ac:dyDescent="0.25">
      <c r="A26" s="42" t="s">
        <v>9</v>
      </c>
      <c r="B26" s="6">
        <v>3</v>
      </c>
      <c r="C26" s="7">
        <v>0.33300000000000002</v>
      </c>
      <c r="D26" s="8">
        <f>B26*C26</f>
        <v>0.99900000000000011</v>
      </c>
      <c r="E26" s="6">
        <v>17</v>
      </c>
      <c r="F26" s="7">
        <v>0.70599999999999996</v>
      </c>
      <c r="G26" s="8">
        <f>E26*F26</f>
        <v>12.001999999999999</v>
      </c>
      <c r="H26" s="6">
        <v>18</v>
      </c>
      <c r="I26" s="7">
        <v>0.77800000000000002</v>
      </c>
      <c r="J26" s="8">
        <f>H26*I26</f>
        <v>14.004000000000001</v>
      </c>
      <c r="K26" s="6">
        <v>11</v>
      </c>
      <c r="L26" s="7">
        <v>0.63600000000000001</v>
      </c>
      <c r="M26" s="8">
        <f>K26*L26</f>
        <v>6.9960000000000004</v>
      </c>
      <c r="N26" s="6"/>
      <c r="O26" s="7"/>
      <c r="P26" s="8">
        <f>N26*O26</f>
        <v>0</v>
      </c>
      <c r="Q26" s="1"/>
      <c r="R26" s="6">
        <f>B26+E26+H26+K26+N26</f>
        <v>49</v>
      </c>
      <c r="S26" s="9">
        <f>(D26+G26+J26+M26+P26)/R26</f>
        <v>0.69389795918367358</v>
      </c>
      <c r="T26" s="9">
        <f>R26/$V$3</f>
        <v>7.8525641025641024E-2</v>
      </c>
      <c r="U26" s="9">
        <f>R26 / _xlfn.XLOOKUP(A26, Top!A:A, Top!AA:AA)</f>
        <v>0.15030674846625766</v>
      </c>
      <c r="V26" s="1"/>
      <c r="W26" s="1"/>
    </row>
    <row r="27" spans="1:23" x14ac:dyDescent="0.25">
      <c r="A27" s="42" t="s">
        <v>7</v>
      </c>
      <c r="B27" s="6">
        <v>22</v>
      </c>
      <c r="C27" s="7">
        <v>0.77300000000000002</v>
      </c>
      <c r="D27" s="8">
        <f>B27*C27</f>
        <v>17.006</v>
      </c>
      <c r="E27" s="6">
        <v>24</v>
      </c>
      <c r="F27" s="7">
        <v>0.75</v>
      </c>
      <c r="G27" s="8">
        <f>E27*F27</f>
        <v>18</v>
      </c>
      <c r="H27" s="6">
        <v>13</v>
      </c>
      <c r="I27" s="7">
        <v>0.53800000000000003</v>
      </c>
      <c r="J27" s="8">
        <f>H27*I27</f>
        <v>6.9940000000000007</v>
      </c>
      <c r="K27" s="6">
        <v>12</v>
      </c>
      <c r="L27" s="7">
        <v>0.5</v>
      </c>
      <c r="M27" s="8">
        <f>K27*L27</f>
        <v>6</v>
      </c>
      <c r="N27" s="6">
        <v>2</v>
      </c>
      <c r="O27" s="7">
        <v>0.5</v>
      </c>
      <c r="P27" s="8">
        <f>N27*O27</f>
        <v>1</v>
      </c>
      <c r="Q27" s="1"/>
      <c r="R27" s="6">
        <f>B27+E27+H27+K27+N27</f>
        <v>73</v>
      </c>
      <c r="S27" s="9">
        <f>(D27+G27+J27+M27+P27)/R27</f>
        <v>0.67123287671232879</v>
      </c>
      <c r="T27" s="9">
        <f>R27/$V$3</f>
        <v>0.11698717948717949</v>
      </c>
      <c r="U27" s="9">
        <f>R27 / _xlfn.XLOOKUP(A27, Top!A:A, Top!AA:AA)</f>
        <v>0.13747645951035781</v>
      </c>
      <c r="V27" s="1"/>
      <c r="W27" s="1"/>
    </row>
    <row r="28" spans="1:23" x14ac:dyDescent="0.25">
      <c r="A28" s="42" t="s">
        <v>10</v>
      </c>
      <c r="B28" s="6">
        <v>10</v>
      </c>
      <c r="C28" s="7">
        <v>1</v>
      </c>
      <c r="D28" s="8">
        <f>B28*C28</f>
        <v>10</v>
      </c>
      <c r="E28" s="6">
        <v>12</v>
      </c>
      <c r="F28" s="7">
        <v>0.66700000000000004</v>
      </c>
      <c r="G28" s="8">
        <f>E28*F28</f>
        <v>8.0040000000000013</v>
      </c>
      <c r="H28" s="6">
        <v>4</v>
      </c>
      <c r="I28" s="7">
        <v>1</v>
      </c>
      <c r="J28" s="8">
        <f>H28*I28</f>
        <v>4</v>
      </c>
      <c r="K28" s="6"/>
      <c r="L28" s="7"/>
      <c r="M28" s="8">
        <f>K28*L28</f>
        <v>0</v>
      </c>
      <c r="N28" s="6"/>
      <c r="O28" s="7"/>
      <c r="P28" s="8">
        <f>N28*O28</f>
        <v>0</v>
      </c>
      <c r="Q28" s="4"/>
      <c r="R28" s="6">
        <f>B28+E28+H28+K28+N28</f>
        <v>26</v>
      </c>
      <c r="S28" s="9">
        <f>(D28+G28+J28+M28+P28)/R28</f>
        <v>0.84630769230769232</v>
      </c>
      <c r="T28" s="9">
        <f>R28/$V$3</f>
        <v>4.1666666666666664E-2</v>
      </c>
      <c r="U28" s="9">
        <f>R28 / _xlfn.XLOOKUP(A28, Top!A:A, Top!AA:AA)</f>
        <v>0.12037037037037036</v>
      </c>
      <c r="V28" s="1"/>
      <c r="W28" s="1"/>
    </row>
    <row r="29" spans="1:23" x14ac:dyDescent="0.25">
      <c r="A29" s="42" t="s">
        <v>13</v>
      </c>
      <c r="B29" s="6">
        <v>13</v>
      </c>
      <c r="C29" s="7">
        <v>0.84599999999999997</v>
      </c>
      <c r="D29" s="8">
        <f>B29*C29</f>
        <v>10.997999999999999</v>
      </c>
      <c r="E29" s="6">
        <v>1</v>
      </c>
      <c r="F29" s="7">
        <v>0</v>
      </c>
      <c r="G29" s="8">
        <f>E29*F29</f>
        <v>0</v>
      </c>
      <c r="H29" s="6"/>
      <c r="I29" s="7"/>
      <c r="J29" s="8">
        <f>H29*I29</f>
        <v>0</v>
      </c>
      <c r="K29" s="6"/>
      <c r="L29" s="7"/>
      <c r="M29" s="8">
        <f>K29*L29</f>
        <v>0</v>
      </c>
      <c r="N29" s="6"/>
      <c r="O29" s="7"/>
      <c r="P29" s="8">
        <f>N29*O29</f>
        <v>0</v>
      </c>
      <c r="Q29" s="1"/>
      <c r="R29" s="6">
        <f>B29+E29+H29+K29+N29</f>
        <v>14</v>
      </c>
      <c r="S29" s="9">
        <f>(D29+G29+J29+M29+P29)/R29</f>
        <v>0.78557142857142848</v>
      </c>
      <c r="T29" s="9">
        <f>R29/$V$3</f>
        <v>2.2435897435897436E-2</v>
      </c>
      <c r="U29" s="9">
        <f>R29 / _xlfn.XLOOKUP(A29, Top!A:A, Top!AA:AA)</f>
        <v>0.11666666666666667</v>
      </c>
      <c r="V29" s="1"/>
      <c r="W29" s="1"/>
    </row>
    <row r="30" spans="1:23" x14ac:dyDescent="0.25">
      <c r="A30" s="42" t="s">
        <v>14</v>
      </c>
      <c r="B30" s="6">
        <v>6</v>
      </c>
      <c r="C30" s="7">
        <v>0.66700000000000004</v>
      </c>
      <c r="D30" s="8">
        <f>B30*C30</f>
        <v>4.0020000000000007</v>
      </c>
      <c r="E30" s="6">
        <v>7</v>
      </c>
      <c r="F30" s="7">
        <v>0.42899999999999999</v>
      </c>
      <c r="G30" s="8">
        <f>E30*F30</f>
        <v>3.0030000000000001</v>
      </c>
      <c r="H30" s="6">
        <v>5</v>
      </c>
      <c r="I30" s="7">
        <v>0.6</v>
      </c>
      <c r="J30" s="8">
        <f>H30*I30</f>
        <v>3</v>
      </c>
      <c r="K30" s="6">
        <v>5</v>
      </c>
      <c r="L30" s="7">
        <v>0.4</v>
      </c>
      <c r="M30" s="8">
        <f>K30*L30</f>
        <v>2</v>
      </c>
      <c r="N30" s="6"/>
      <c r="O30" s="7"/>
      <c r="P30" s="8">
        <f>N30*O30</f>
        <v>0</v>
      </c>
      <c r="Q30" s="13"/>
      <c r="R30" s="6">
        <f>B30+E30+H30+K30+N30</f>
        <v>23</v>
      </c>
      <c r="S30" s="9">
        <f>(D30+G30+J30+M30+P30)/R30</f>
        <v>0.52195652173913043</v>
      </c>
      <c r="T30" s="9">
        <f>R30/$V$3</f>
        <v>3.685897435897436E-2</v>
      </c>
      <c r="U30" s="9">
        <f>R30 / _xlfn.XLOOKUP(A30, Top!A:A, Top!AA:AA)</f>
        <v>0.10747663551401869</v>
      </c>
      <c r="V30" s="1"/>
      <c r="W30" s="1"/>
    </row>
    <row r="31" spans="1:23" x14ac:dyDescent="0.25">
      <c r="A31" s="42" t="s">
        <v>95</v>
      </c>
      <c r="B31" s="6">
        <v>1</v>
      </c>
      <c r="C31" s="7">
        <v>1</v>
      </c>
      <c r="D31" s="8">
        <f>B31*C31</f>
        <v>1</v>
      </c>
      <c r="E31" s="6"/>
      <c r="F31" s="7"/>
      <c r="G31" s="8">
        <f>E31*F31</f>
        <v>0</v>
      </c>
      <c r="H31" s="6">
        <v>4</v>
      </c>
      <c r="I31" s="7">
        <v>0.75</v>
      </c>
      <c r="J31" s="8">
        <f>H31*I31</f>
        <v>3</v>
      </c>
      <c r="K31" s="6"/>
      <c r="L31" s="7"/>
      <c r="M31" s="8">
        <f>K31*L31</f>
        <v>0</v>
      </c>
      <c r="N31" s="6"/>
      <c r="O31" s="7"/>
      <c r="P31" s="8">
        <f>N31*O31</f>
        <v>0</v>
      </c>
      <c r="Q31" s="4"/>
      <c r="R31" s="6">
        <f>B31+E31+H31+K31+N31</f>
        <v>5</v>
      </c>
      <c r="S31" s="9">
        <f>(D31+G31+J31+M31+P31)/R31</f>
        <v>0.8</v>
      </c>
      <c r="T31" s="9">
        <f>R31/$V$3</f>
        <v>8.0128205128205121E-3</v>
      </c>
      <c r="U31" s="9">
        <f>R31 / _xlfn.XLOOKUP(A31, Top!A:A, Top!AA:AA)</f>
        <v>0.10638297872340426</v>
      </c>
      <c r="V31" s="1"/>
      <c r="W31" s="1"/>
    </row>
    <row r="32" spans="1:23" x14ac:dyDescent="0.25">
      <c r="A32" s="42" t="s">
        <v>30</v>
      </c>
      <c r="B32" s="6"/>
      <c r="C32" s="7"/>
      <c r="D32" s="8">
        <f>B32*C32</f>
        <v>0</v>
      </c>
      <c r="E32" s="6">
        <v>1</v>
      </c>
      <c r="F32" s="7">
        <v>1</v>
      </c>
      <c r="G32" s="8">
        <f>E32*F32</f>
        <v>1</v>
      </c>
      <c r="H32" s="6">
        <v>1</v>
      </c>
      <c r="I32" s="7">
        <v>0</v>
      </c>
      <c r="J32" s="8">
        <f>H32*I32</f>
        <v>0</v>
      </c>
      <c r="K32" s="6"/>
      <c r="L32" s="7"/>
      <c r="M32" s="8">
        <f>K32*L32</f>
        <v>0</v>
      </c>
      <c r="N32" s="6"/>
      <c r="O32" s="7"/>
      <c r="P32" s="8">
        <f>N32*O32</f>
        <v>0</v>
      </c>
      <c r="Q32" s="1"/>
      <c r="R32" s="6">
        <f>B32+E32+H32+K32+N32</f>
        <v>2</v>
      </c>
      <c r="S32" s="9">
        <f>(D32+G32+J32+M32+P32)/R32</f>
        <v>0.5</v>
      </c>
      <c r="T32" s="9">
        <f>R32/$V$3</f>
        <v>3.205128205128205E-3</v>
      </c>
      <c r="U32" s="9">
        <f>R32 / _xlfn.XLOOKUP(A32, Top!A:A, Top!AA:AA)</f>
        <v>0.10526315789473684</v>
      </c>
      <c r="V32" s="1"/>
      <c r="W32" s="1"/>
    </row>
    <row r="33" spans="1:23" x14ac:dyDescent="0.25">
      <c r="A33" s="42" t="s">
        <v>201</v>
      </c>
      <c r="B33" s="6"/>
      <c r="C33" s="7"/>
      <c r="D33" s="8">
        <f>B33*C33</f>
        <v>0</v>
      </c>
      <c r="E33" s="6"/>
      <c r="F33" s="7"/>
      <c r="G33" s="8">
        <f>E33*F33</f>
        <v>0</v>
      </c>
      <c r="H33" s="6">
        <v>1</v>
      </c>
      <c r="I33" s="7">
        <v>1</v>
      </c>
      <c r="J33" s="8">
        <f>H33*I33</f>
        <v>1</v>
      </c>
      <c r="K33" s="6">
        <v>6</v>
      </c>
      <c r="L33" s="7">
        <v>0.83299999999999996</v>
      </c>
      <c r="M33" s="8">
        <f>K33*L33</f>
        <v>4.9979999999999993</v>
      </c>
      <c r="N33" s="6">
        <v>1</v>
      </c>
      <c r="O33" s="7">
        <v>0</v>
      </c>
      <c r="P33" s="8">
        <f>N33*O33</f>
        <v>0</v>
      </c>
      <c r="Q33" s="1"/>
      <c r="R33" s="6">
        <f>B33+E33+H33+K33+N33</f>
        <v>8</v>
      </c>
      <c r="S33" s="9">
        <f>(D33+G33+J33+M33+P33)/R33</f>
        <v>0.74974999999999992</v>
      </c>
      <c r="T33" s="9">
        <f>R33/$V$3</f>
        <v>1.282051282051282E-2</v>
      </c>
      <c r="U33" s="9">
        <f>R33 / _xlfn.XLOOKUP(A33, Top!A:A, Top!AA:AA)</f>
        <v>0.1038961038961039</v>
      </c>
      <c r="V33" s="1"/>
      <c r="W33" s="1"/>
    </row>
    <row r="34" spans="1:23" x14ac:dyDescent="0.25">
      <c r="A34" s="42" t="s">
        <v>11</v>
      </c>
      <c r="B34" s="6">
        <v>22</v>
      </c>
      <c r="C34" s="7">
        <v>0.63600000000000001</v>
      </c>
      <c r="D34" s="8">
        <f>B34*C34</f>
        <v>13.992000000000001</v>
      </c>
      <c r="E34" s="6">
        <v>3</v>
      </c>
      <c r="F34" s="7">
        <v>0.66700000000000004</v>
      </c>
      <c r="G34" s="8">
        <f>E34*F34</f>
        <v>2.0010000000000003</v>
      </c>
      <c r="H34" s="6">
        <v>3</v>
      </c>
      <c r="I34" s="7">
        <v>0.33300000000000002</v>
      </c>
      <c r="J34" s="8">
        <f>H34*I34</f>
        <v>0.99900000000000011</v>
      </c>
      <c r="K34" s="6">
        <v>10</v>
      </c>
      <c r="L34" s="7">
        <v>0.7</v>
      </c>
      <c r="M34" s="8">
        <f>K34*L34</f>
        <v>7</v>
      </c>
      <c r="N34" s="6">
        <v>1</v>
      </c>
      <c r="O34" s="7">
        <v>1</v>
      </c>
      <c r="P34" s="8">
        <f>N34*O34</f>
        <v>1</v>
      </c>
      <c r="Q34" s="1"/>
      <c r="R34" s="6">
        <f>B34+E34+H34+K34+N34</f>
        <v>39</v>
      </c>
      <c r="S34" s="9">
        <f>(D34+G34+J34+M34+P34)/R34</f>
        <v>0.64082051282051289</v>
      </c>
      <c r="T34" s="9">
        <f>R34/$V$3</f>
        <v>6.25E-2</v>
      </c>
      <c r="U34" s="9">
        <f>R34 / _xlfn.XLOOKUP(A34, Top!A:A, Top!AA:AA)</f>
        <v>0.10236220472440945</v>
      </c>
      <c r="V34" s="1"/>
      <c r="W34" s="1"/>
    </row>
    <row r="35" spans="1:23" x14ac:dyDescent="0.25">
      <c r="A35" s="42" t="s">
        <v>38</v>
      </c>
      <c r="B35" s="6"/>
      <c r="C35" s="7"/>
      <c r="D35" s="8">
        <f>B35*C35</f>
        <v>0</v>
      </c>
      <c r="E35" s="6"/>
      <c r="F35" s="7"/>
      <c r="G35" s="8">
        <f>E35*F35</f>
        <v>0</v>
      </c>
      <c r="H35" s="6">
        <v>1</v>
      </c>
      <c r="I35" s="7">
        <v>0</v>
      </c>
      <c r="J35" s="8">
        <f>H35*I35</f>
        <v>0</v>
      </c>
      <c r="K35" s="6">
        <v>3</v>
      </c>
      <c r="L35" s="7">
        <v>0.66700000000000004</v>
      </c>
      <c r="M35" s="8">
        <f>K35*L35</f>
        <v>2.0010000000000003</v>
      </c>
      <c r="N35" s="6">
        <v>1</v>
      </c>
      <c r="O35" s="7">
        <v>0</v>
      </c>
      <c r="P35" s="8">
        <f>N35*O35</f>
        <v>0</v>
      </c>
      <c r="Q35" s="1"/>
      <c r="R35" s="6">
        <f>B35+E35+H35+K35+N35</f>
        <v>5</v>
      </c>
      <c r="S35" s="9">
        <f>(D35+G35+J35+M35+P35)/R35</f>
        <v>0.40020000000000006</v>
      </c>
      <c r="T35" s="9">
        <f>R35/$V$3</f>
        <v>8.0128205128205121E-3</v>
      </c>
      <c r="U35" s="9">
        <f>R35 / _xlfn.XLOOKUP(A35, Top!A:A, Top!AA:AA)</f>
        <v>0.10204081632653061</v>
      </c>
      <c r="V35" s="1"/>
      <c r="W35" s="1"/>
    </row>
    <row r="36" spans="1:23" x14ac:dyDescent="0.25">
      <c r="A36" s="41" t="s">
        <v>43</v>
      </c>
      <c r="B36" s="6"/>
      <c r="C36" s="7"/>
      <c r="D36" s="8">
        <f>B36*C36</f>
        <v>0</v>
      </c>
      <c r="E36" s="6"/>
      <c r="F36" s="7"/>
      <c r="G36" s="8">
        <f>E36*F36</f>
        <v>0</v>
      </c>
      <c r="H36" s="6"/>
      <c r="I36" s="7"/>
      <c r="J36" s="8">
        <f>H36*I36</f>
        <v>0</v>
      </c>
      <c r="K36" s="6">
        <v>1</v>
      </c>
      <c r="L36" s="7">
        <v>1</v>
      </c>
      <c r="M36" s="8">
        <f>K36*L36</f>
        <v>1</v>
      </c>
      <c r="N36" s="6"/>
      <c r="O36" s="7"/>
      <c r="P36" s="8">
        <f>N36*O36</f>
        <v>0</v>
      </c>
      <c r="Q36" s="1"/>
      <c r="R36" s="6">
        <f>B36+E36+H36+K36+N36</f>
        <v>1</v>
      </c>
      <c r="S36" s="9">
        <f>(D36+G36+J36+M36+P36)/R36</f>
        <v>1</v>
      </c>
      <c r="T36" s="9">
        <f>R36/$V$3</f>
        <v>1.6025641025641025E-3</v>
      </c>
      <c r="U36" s="9">
        <f>R36 / _xlfn.XLOOKUP(A36, Top!A:A, Top!AA:AA)</f>
        <v>0.1</v>
      </c>
      <c r="V36" s="1"/>
      <c r="W36" s="1"/>
    </row>
    <row r="37" spans="1:23" x14ac:dyDescent="0.25">
      <c r="A37" s="41" t="s">
        <v>44</v>
      </c>
      <c r="B37" s="6"/>
      <c r="C37" s="7"/>
      <c r="D37" s="8">
        <f>B37*C37</f>
        <v>0</v>
      </c>
      <c r="E37" s="6"/>
      <c r="F37" s="7"/>
      <c r="G37" s="8">
        <f>E37*F37</f>
        <v>0</v>
      </c>
      <c r="H37" s="6"/>
      <c r="I37" s="7"/>
      <c r="J37" s="8">
        <f>H37*I37</f>
        <v>0</v>
      </c>
      <c r="K37" s="6">
        <v>1</v>
      </c>
      <c r="L37" s="7">
        <v>0</v>
      </c>
      <c r="M37" s="8">
        <f>K37*L37</f>
        <v>0</v>
      </c>
      <c r="N37" s="6"/>
      <c r="O37" s="7"/>
      <c r="P37" s="8">
        <f>N37*O37</f>
        <v>0</v>
      </c>
      <c r="Q37" s="1"/>
      <c r="R37" s="6">
        <f>B37+E37+H37+K37+N37</f>
        <v>1</v>
      </c>
      <c r="S37" s="9">
        <f>(D37+G37+J37+M37+P37)/R37</f>
        <v>0</v>
      </c>
      <c r="T37" s="9">
        <f>R37/$V$3</f>
        <v>1.6025641025641025E-3</v>
      </c>
      <c r="U37" s="9">
        <f>R37 / _xlfn.XLOOKUP(A37, Top!A:A, Top!AA:AA)</f>
        <v>0.1</v>
      </c>
      <c r="V37" s="1"/>
      <c r="W37" s="1"/>
    </row>
    <row r="38" spans="1:23" x14ac:dyDescent="0.25">
      <c r="A38" s="42" t="s">
        <v>20</v>
      </c>
      <c r="B38" s="6">
        <v>4</v>
      </c>
      <c r="C38" s="7">
        <v>0.75</v>
      </c>
      <c r="D38" s="8">
        <f>B38*C38</f>
        <v>3</v>
      </c>
      <c r="E38" s="6">
        <v>3</v>
      </c>
      <c r="F38" s="7">
        <v>1</v>
      </c>
      <c r="G38" s="8">
        <f>E38*F38</f>
        <v>3</v>
      </c>
      <c r="H38" s="6"/>
      <c r="I38" s="7"/>
      <c r="J38" s="8">
        <f>H38*I38</f>
        <v>0</v>
      </c>
      <c r="K38" s="6">
        <v>1</v>
      </c>
      <c r="L38" s="7">
        <v>0</v>
      </c>
      <c r="M38" s="8">
        <f>K38*L38</f>
        <v>0</v>
      </c>
      <c r="N38" s="6"/>
      <c r="O38" s="7"/>
      <c r="P38" s="8">
        <f>N38*O38</f>
        <v>0</v>
      </c>
      <c r="Q38" s="1"/>
      <c r="R38" s="6">
        <f>B38+E38+H38+K38+N38</f>
        <v>8</v>
      </c>
      <c r="S38" s="9">
        <f>(D38+G38+J38+M38+P38)/R38</f>
        <v>0.75</v>
      </c>
      <c r="T38" s="9">
        <f>R38/$V$3</f>
        <v>1.282051282051282E-2</v>
      </c>
      <c r="U38" s="9">
        <f>R38 / _xlfn.XLOOKUP(A38, Top!A:A, Top!AA:AA)</f>
        <v>9.5238095238095233E-2</v>
      </c>
      <c r="V38" s="1"/>
      <c r="W38" s="1"/>
    </row>
    <row r="39" spans="1:23" x14ac:dyDescent="0.25">
      <c r="A39" s="43" t="s">
        <v>208</v>
      </c>
      <c r="B39" s="6"/>
      <c r="C39" s="22"/>
      <c r="D39" s="8">
        <f>B39*C39</f>
        <v>0</v>
      </c>
      <c r="E39" s="6"/>
      <c r="F39" s="7"/>
      <c r="G39" s="8">
        <f>E39*F39</f>
        <v>0</v>
      </c>
      <c r="H39" s="6"/>
      <c r="I39" s="7"/>
      <c r="J39" s="8">
        <f>H39*I39</f>
        <v>0</v>
      </c>
      <c r="K39" s="6">
        <v>17</v>
      </c>
      <c r="L39" s="7">
        <v>0.52900000000000003</v>
      </c>
      <c r="M39" s="8">
        <f>K39*L39</f>
        <v>8.9930000000000003</v>
      </c>
      <c r="N39" s="6">
        <v>1</v>
      </c>
      <c r="O39" s="7">
        <v>0</v>
      </c>
      <c r="P39" s="8">
        <f>N39*O39</f>
        <v>0</v>
      </c>
      <c r="Q39" s="1"/>
      <c r="R39" s="6">
        <f>B39+E39+H39+K39+N39</f>
        <v>18</v>
      </c>
      <c r="S39" s="9">
        <f>(D39+G39+J39+M39+P39)/R39</f>
        <v>0.49961111111111112</v>
      </c>
      <c r="T39" s="9">
        <f>R39/$V$3</f>
        <v>2.8846153846153848E-2</v>
      </c>
      <c r="U39" s="9">
        <f>R39 / _xlfn.XLOOKUP(A39, Top!A:A, Top!AA:AA)</f>
        <v>9.375E-2</v>
      </c>
    </row>
    <row r="40" spans="1:23" x14ac:dyDescent="0.25">
      <c r="A40" s="42" t="s">
        <v>23</v>
      </c>
      <c r="B40" s="6">
        <v>1</v>
      </c>
      <c r="C40" s="7">
        <v>1</v>
      </c>
      <c r="D40" s="8">
        <f>B40*C40</f>
        <v>1</v>
      </c>
      <c r="E40" s="6">
        <v>6</v>
      </c>
      <c r="F40" s="7">
        <v>0.5</v>
      </c>
      <c r="G40" s="8">
        <f>E40*F40</f>
        <v>3</v>
      </c>
      <c r="H40" s="6">
        <v>9</v>
      </c>
      <c r="I40" s="7">
        <v>0.88800000000000001</v>
      </c>
      <c r="J40" s="8">
        <f>H40*I40</f>
        <v>7.992</v>
      </c>
      <c r="K40" s="6">
        <v>18</v>
      </c>
      <c r="L40" s="7">
        <v>0.61099999999999999</v>
      </c>
      <c r="M40" s="8">
        <f>K40*L40</f>
        <v>10.997999999999999</v>
      </c>
      <c r="N40" s="6">
        <v>2</v>
      </c>
      <c r="O40" s="7">
        <v>0.5</v>
      </c>
      <c r="P40" s="8">
        <f>N40*O40</f>
        <v>1</v>
      </c>
      <c r="Q40" s="1"/>
      <c r="R40" s="6">
        <f>B40+E40+H40+K40+N40</f>
        <v>36</v>
      </c>
      <c r="S40" s="9">
        <f>(D40+G40+J40+M40+P40)/R40</f>
        <v>0.66638888888888892</v>
      </c>
      <c r="T40" s="9">
        <f>R40/$V$3</f>
        <v>5.7692307692307696E-2</v>
      </c>
      <c r="U40" s="9">
        <f>R40 / _xlfn.XLOOKUP(A40, Top!A:A, Top!AA:AA)</f>
        <v>9.2307692307692313E-2</v>
      </c>
    </row>
    <row r="41" spans="1:23" x14ac:dyDescent="0.25">
      <c r="A41" s="42" t="s">
        <v>37</v>
      </c>
      <c r="B41" s="6">
        <v>1</v>
      </c>
      <c r="C41" s="7">
        <v>0</v>
      </c>
      <c r="D41" s="8">
        <f>B41*C41</f>
        <v>0</v>
      </c>
      <c r="E41" s="6"/>
      <c r="F41" s="7"/>
      <c r="G41" s="8">
        <f>E41*F41</f>
        <v>0</v>
      </c>
      <c r="H41" s="6">
        <v>1</v>
      </c>
      <c r="I41" s="7">
        <v>0</v>
      </c>
      <c r="J41" s="8">
        <f>H41*I41</f>
        <v>0</v>
      </c>
      <c r="K41" s="6"/>
      <c r="L41" s="7"/>
      <c r="M41" s="8">
        <f>K41*L41</f>
        <v>0</v>
      </c>
      <c r="N41" s="6"/>
      <c r="O41" s="7"/>
      <c r="P41" s="8">
        <f>N41*O41</f>
        <v>0</v>
      </c>
      <c r="Q41" s="1"/>
      <c r="R41" s="6">
        <f>B41+E41+H41+K41+N41</f>
        <v>2</v>
      </c>
      <c r="S41" s="9">
        <f>(D41+G41+J41+M41+P41)/R41</f>
        <v>0</v>
      </c>
      <c r="T41" s="9">
        <f>R41/$V$3</f>
        <v>3.205128205128205E-3</v>
      </c>
      <c r="U41" s="9">
        <f>R41 / _xlfn.XLOOKUP(A41, Top!A:A, Top!AA:AA)</f>
        <v>9.0909090909090912E-2</v>
      </c>
    </row>
    <row r="42" spans="1:23" x14ac:dyDescent="0.25">
      <c r="A42" s="42" t="s">
        <v>16</v>
      </c>
      <c r="B42" s="6">
        <v>4</v>
      </c>
      <c r="C42" s="7">
        <v>0.75</v>
      </c>
      <c r="D42" s="8">
        <f>B42*C42</f>
        <v>3</v>
      </c>
      <c r="E42" s="6">
        <v>12</v>
      </c>
      <c r="F42" s="7">
        <v>0.41699999999999998</v>
      </c>
      <c r="G42" s="8">
        <f>E42*F42</f>
        <v>5.0039999999999996</v>
      </c>
      <c r="H42" s="6">
        <v>7</v>
      </c>
      <c r="I42" s="7">
        <v>0.42899999999999999</v>
      </c>
      <c r="J42" s="8">
        <f>H42*I42</f>
        <v>3.0030000000000001</v>
      </c>
      <c r="K42" s="6">
        <v>12</v>
      </c>
      <c r="L42" s="7">
        <v>0.83299999999999996</v>
      </c>
      <c r="M42" s="8">
        <f>K42*L42</f>
        <v>9.9959999999999987</v>
      </c>
      <c r="N42" s="6"/>
      <c r="O42" s="7"/>
      <c r="P42" s="8">
        <f>N42*O42</f>
        <v>0</v>
      </c>
      <c r="Q42" s="1"/>
      <c r="R42" s="6">
        <f>B42+E42+H42+K42+N42</f>
        <v>35</v>
      </c>
      <c r="S42" s="9">
        <f>(D42+G42+J42+M42+P42)/R42</f>
        <v>0.60008571428571433</v>
      </c>
      <c r="T42" s="9">
        <f>R42/$V$3</f>
        <v>5.6089743589743592E-2</v>
      </c>
      <c r="U42" s="9">
        <f>R42 / _xlfn.XLOOKUP(A42, Top!A:A, Top!AA:AA)</f>
        <v>8.4951456310679616E-2</v>
      </c>
    </row>
    <row r="43" spans="1:23" x14ac:dyDescent="0.25">
      <c r="A43" s="41" t="s">
        <v>252</v>
      </c>
      <c r="B43" s="6"/>
      <c r="C43" s="7"/>
      <c r="D43" s="8">
        <f>B43*C43</f>
        <v>0</v>
      </c>
      <c r="E43" s="6">
        <v>14</v>
      </c>
      <c r="F43" s="7">
        <v>0.57099999999999995</v>
      </c>
      <c r="G43" s="8">
        <f>E43*F43</f>
        <v>7.9939999999999998</v>
      </c>
      <c r="H43" s="6">
        <v>28</v>
      </c>
      <c r="I43" s="7">
        <v>0.67900000000000005</v>
      </c>
      <c r="J43" s="8">
        <f>H43*I43</f>
        <v>19.012</v>
      </c>
      <c r="K43" s="6">
        <v>10</v>
      </c>
      <c r="L43" s="7">
        <v>0.5</v>
      </c>
      <c r="M43" s="8">
        <f>K43*L43</f>
        <v>5</v>
      </c>
      <c r="N43" s="6">
        <v>1</v>
      </c>
      <c r="O43" s="7">
        <v>0</v>
      </c>
      <c r="P43" s="8">
        <f>N43*O43</f>
        <v>0</v>
      </c>
      <c r="Q43" s="4"/>
      <c r="R43" s="6">
        <f>B43+E43+H43+K43+N43</f>
        <v>53</v>
      </c>
      <c r="S43" s="9">
        <f>(D43+G43+J43+M43+P43)/R43</f>
        <v>0.60388679245283017</v>
      </c>
      <c r="T43" s="9">
        <f>R43/$V$3</f>
        <v>8.4935897435897439E-2</v>
      </c>
      <c r="U43" s="9">
        <f>R43 / _xlfn.XLOOKUP(A43, Top!A:A, Top!AA:AA)</f>
        <v>7.9341317365269462E-2</v>
      </c>
    </row>
    <row r="44" spans="1:23" x14ac:dyDescent="0.25">
      <c r="A44" s="42" t="s">
        <v>17</v>
      </c>
      <c r="B44" s="6">
        <v>11</v>
      </c>
      <c r="C44" s="7">
        <v>0.72699999999999998</v>
      </c>
      <c r="D44" s="8">
        <f>B44*C44</f>
        <v>7.9969999999999999</v>
      </c>
      <c r="E44" s="6"/>
      <c r="F44" s="7"/>
      <c r="G44" s="8">
        <f>E44*F44</f>
        <v>0</v>
      </c>
      <c r="H44" s="6"/>
      <c r="I44" s="7"/>
      <c r="J44" s="8">
        <f>H44*I44</f>
        <v>0</v>
      </c>
      <c r="K44" s="6">
        <v>4</v>
      </c>
      <c r="L44" s="7">
        <v>0.75</v>
      </c>
      <c r="M44" s="8">
        <f>K44*L44</f>
        <v>3</v>
      </c>
      <c r="N44" s="6">
        <v>2</v>
      </c>
      <c r="O44" s="7">
        <v>0.5</v>
      </c>
      <c r="P44" s="8">
        <f>N44*O44</f>
        <v>1</v>
      </c>
      <c r="Q44" s="1"/>
      <c r="R44" s="6">
        <f>B44+E44+H44+K44+N44</f>
        <v>17</v>
      </c>
      <c r="S44" s="9">
        <f>(D44+G44+J44+M44+P44)/R44</f>
        <v>0.70570588235294118</v>
      </c>
      <c r="T44" s="9">
        <f>R44/$V$3</f>
        <v>2.7243589743589744E-2</v>
      </c>
      <c r="U44" s="9">
        <f>R44 / _xlfn.XLOOKUP(A44, Top!A:A, Top!AA:AA)</f>
        <v>7.2340425531914887E-2</v>
      </c>
    </row>
    <row r="45" spans="1:23" x14ac:dyDescent="0.25">
      <c r="A45" s="41" t="s">
        <v>261</v>
      </c>
      <c r="B45" s="6"/>
      <c r="C45" s="7"/>
      <c r="D45" s="8">
        <f>B45*C45</f>
        <v>0</v>
      </c>
      <c r="E45" s="6"/>
      <c r="F45" s="7"/>
      <c r="G45" s="8">
        <f>E45*F45</f>
        <v>0</v>
      </c>
      <c r="H45" s="6"/>
      <c r="I45" s="7"/>
      <c r="J45" s="8">
        <f>H45*I45</f>
        <v>0</v>
      </c>
      <c r="K45" s="6"/>
      <c r="L45" s="7"/>
      <c r="M45" s="8">
        <f>K45*L45</f>
        <v>0</v>
      </c>
      <c r="N45" s="6">
        <v>1</v>
      </c>
      <c r="O45" s="7">
        <v>0</v>
      </c>
      <c r="P45" s="8">
        <f>N45*O45</f>
        <v>0</v>
      </c>
      <c r="Q45" s="1"/>
      <c r="R45" s="6">
        <f>B45+E45+H45+K45+N45</f>
        <v>1</v>
      </c>
      <c r="S45" s="9">
        <f>(D45+G45+J45+M45+P45)/R45</f>
        <v>0</v>
      </c>
      <c r="T45" s="9">
        <f>R45/$V$3</f>
        <v>1.6025641025641025E-3</v>
      </c>
      <c r="U45" s="9">
        <f>R45 / _xlfn.XLOOKUP(A45, Top!A:A, Top!AA:AA)</f>
        <v>7.1428571428571425E-2</v>
      </c>
    </row>
    <row r="46" spans="1:23" x14ac:dyDescent="0.25">
      <c r="A46" s="42" t="s">
        <v>36</v>
      </c>
      <c r="B46" s="6"/>
      <c r="C46" s="7"/>
      <c r="D46" s="8">
        <f>B46*C46</f>
        <v>0</v>
      </c>
      <c r="E46" s="6">
        <v>2</v>
      </c>
      <c r="F46" s="7">
        <v>0</v>
      </c>
      <c r="G46" s="8">
        <f>E46*F46</f>
        <v>0</v>
      </c>
      <c r="H46" s="6"/>
      <c r="I46" s="7"/>
      <c r="J46" s="8">
        <f>H46*I46</f>
        <v>0</v>
      </c>
      <c r="K46" s="6"/>
      <c r="L46" s="7"/>
      <c r="M46" s="8">
        <f>K46*L46</f>
        <v>0</v>
      </c>
      <c r="N46" s="6"/>
      <c r="O46" s="7"/>
      <c r="P46" s="8">
        <f>N46*O46</f>
        <v>0</v>
      </c>
      <c r="Q46" s="1"/>
      <c r="R46" s="6">
        <f>B46+E46+H46+K46+N46</f>
        <v>2</v>
      </c>
      <c r="S46" s="9">
        <f>(D46+G46+J46+M46+P46)/R46</f>
        <v>0</v>
      </c>
      <c r="T46" s="9">
        <f>R46/$V$3</f>
        <v>3.205128205128205E-3</v>
      </c>
      <c r="U46" s="9">
        <f>R46 / _xlfn.XLOOKUP(A46, Top!A:A, Top!AA:AA)</f>
        <v>5.5555555555555552E-2</v>
      </c>
    </row>
    <row r="47" spans="1:23" x14ac:dyDescent="0.25">
      <c r="A47" s="42" t="s">
        <v>26</v>
      </c>
      <c r="B47" s="6">
        <v>3</v>
      </c>
      <c r="C47" s="7">
        <v>0.33300000000000002</v>
      </c>
      <c r="D47" s="8">
        <f>B47*C47</f>
        <v>0.99900000000000011</v>
      </c>
      <c r="E47" s="6">
        <v>1</v>
      </c>
      <c r="F47" s="7">
        <v>1</v>
      </c>
      <c r="G47" s="8">
        <f>E47*F47</f>
        <v>1</v>
      </c>
      <c r="H47" s="6"/>
      <c r="I47" s="7"/>
      <c r="J47" s="8">
        <f>H47*I47</f>
        <v>0</v>
      </c>
      <c r="K47" s="6"/>
      <c r="L47" s="7"/>
      <c r="M47" s="8">
        <f>K47*L47</f>
        <v>0</v>
      </c>
      <c r="N47" s="6"/>
      <c r="O47" s="7"/>
      <c r="P47" s="8">
        <f>N47*O47</f>
        <v>0</v>
      </c>
      <c r="Q47" s="1"/>
      <c r="R47" s="6">
        <f>B47+E47+H47+K47+N47</f>
        <v>4</v>
      </c>
      <c r="S47" s="9">
        <f>(D47+G47+J47+M47+P47)/R47</f>
        <v>0.49975000000000003</v>
      </c>
      <c r="T47" s="9">
        <f>R47/$V$3</f>
        <v>6.41025641025641E-3</v>
      </c>
      <c r="U47" s="9">
        <f>R47 / _xlfn.XLOOKUP(A47, Top!A:A, Top!AA:AA)</f>
        <v>5.4054054054054057E-2</v>
      </c>
    </row>
    <row r="48" spans="1:23" x14ac:dyDescent="0.25">
      <c r="A48" s="42" t="s">
        <v>33</v>
      </c>
      <c r="B48" s="6">
        <v>2</v>
      </c>
      <c r="C48" s="7">
        <v>0.5</v>
      </c>
      <c r="D48" s="8">
        <f>B48*C48</f>
        <v>1</v>
      </c>
      <c r="E48" s="6"/>
      <c r="F48" s="7"/>
      <c r="G48" s="8">
        <f>E48*F48</f>
        <v>0</v>
      </c>
      <c r="H48" s="6"/>
      <c r="I48" s="7"/>
      <c r="J48" s="8">
        <f>H48*I48</f>
        <v>0</v>
      </c>
      <c r="K48" s="6"/>
      <c r="L48" s="7"/>
      <c r="M48" s="8">
        <f>K48*L48</f>
        <v>0</v>
      </c>
      <c r="N48" s="6"/>
      <c r="O48" s="7"/>
      <c r="P48" s="8">
        <f>N48*O48</f>
        <v>0</v>
      </c>
      <c r="Q48" s="1"/>
      <c r="R48" s="6">
        <f>B48+E48+H48+K48+N48</f>
        <v>2</v>
      </c>
      <c r="S48" s="9">
        <f>(D48+G48+J48+M48+P48)/R48</f>
        <v>0.5</v>
      </c>
      <c r="T48" s="9">
        <f>R48/$V$3</f>
        <v>3.205128205128205E-3</v>
      </c>
      <c r="U48" s="9">
        <f>R48 / _xlfn.XLOOKUP(A48, Top!A:A, Top!AA:AA)</f>
        <v>4.3478260869565216E-2</v>
      </c>
    </row>
    <row r="49" spans="1:21" x14ac:dyDescent="0.25">
      <c r="A49" s="43" t="s">
        <v>112</v>
      </c>
      <c r="B49" s="6"/>
      <c r="C49" s="22"/>
      <c r="D49" s="8">
        <f>B49*C49</f>
        <v>0</v>
      </c>
      <c r="E49" s="6"/>
      <c r="F49" s="7"/>
      <c r="G49" s="8">
        <f>E49*F49</f>
        <v>0</v>
      </c>
      <c r="H49" s="6"/>
      <c r="I49" s="7"/>
      <c r="J49" s="8">
        <f>H49*I49</f>
        <v>0</v>
      </c>
      <c r="K49" s="6">
        <v>1</v>
      </c>
      <c r="L49" s="7">
        <v>1</v>
      </c>
      <c r="M49" s="8">
        <f>K49*L49</f>
        <v>1</v>
      </c>
      <c r="N49" s="6"/>
      <c r="O49" s="7"/>
      <c r="P49" s="8">
        <f>N49*O49</f>
        <v>0</v>
      </c>
      <c r="Q49" s="1"/>
      <c r="R49" s="6">
        <f>B49+E49+H49+K49+N49</f>
        <v>1</v>
      </c>
      <c r="S49" s="9">
        <f>(D49+G49+J49+M49+P49)/R49</f>
        <v>1</v>
      </c>
      <c r="T49" s="9">
        <f>R49/$V$3</f>
        <v>1.6025641025641025E-3</v>
      </c>
      <c r="U49" s="9">
        <f>R49 / _xlfn.XLOOKUP(A49, Top!A:A, Top!AA:AA)</f>
        <v>4.1666666666666664E-2</v>
      </c>
    </row>
    <row r="50" spans="1:21" x14ac:dyDescent="0.25">
      <c r="A50" s="42" t="s">
        <v>31</v>
      </c>
      <c r="B50" s="6"/>
      <c r="C50" s="7"/>
      <c r="D50" s="8">
        <f>B50*C50</f>
        <v>0</v>
      </c>
      <c r="E50" s="6">
        <v>1</v>
      </c>
      <c r="F50" s="7">
        <v>1</v>
      </c>
      <c r="G50" s="8">
        <f>E50*F50</f>
        <v>1</v>
      </c>
      <c r="H50" s="6">
        <v>1</v>
      </c>
      <c r="I50" s="7">
        <v>1</v>
      </c>
      <c r="J50" s="8">
        <f>H50*I50</f>
        <v>1</v>
      </c>
      <c r="K50" s="6"/>
      <c r="L50" s="7"/>
      <c r="M50" s="8">
        <f>K50*L50</f>
        <v>0</v>
      </c>
      <c r="N50" s="6"/>
      <c r="O50" s="7"/>
      <c r="P50" s="8">
        <f>N50*O50</f>
        <v>0</v>
      </c>
      <c r="Q50" s="1"/>
      <c r="R50" s="6">
        <f>B50+E50+H50+K50+N50</f>
        <v>2</v>
      </c>
      <c r="S50" s="9">
        <f>(D50+G50+J50+M50+P50)/R50</f>
        <v>1</v>
      </c>
      <c r="T50" s="9">
        <f>R50/$V$3</f>
        <v>3.205128205128205E-3</v>
      </c>
      <c r="U50" s="9">
        <f>R50 / _xlfn.XLOOKUP(A50, Top!A:A, Top!AA:AA)</f>
        <v>3.3333333333333333E-2</v>
      </c>
    </row>
    <row r="51" spans="1:21" x14ac:dyDescent="0.25">
      <c r="A51" s="42" t="s">
        <v>22</v>
      </c>
      <c r="B51" s="6">
        <v>1</v>
      </c>
      <c r="C51" s="7">
        <v>0</v>
      </c>
      <c r="D51" s="8">
        <f>B51*C51</f>
        <v>0</v>
      </c>
      <c r="E51" s="6">
        <v>11</v>
      </c>
      <c r="F51" s="7">
        <v>0.36399999999999999</v>
      </c>
      <c r="G51" s="8">
        <f>E51*F51</f>
        <v>4.0039999999999996</v>
      </c>
      <c r="H51" s="6">
        <v>2</v>
      </c>
      <c r="I51" s="7">
        <v>0.5</v>
      </c>
      <c r="J51" s="8">
        <f>H51*I51</f>
        <v>1</v>
      </c>
      <c r="K51" s="6"/>
      <c r="L51" s="7"/>
      <c r="M51" s="8">
        <f>K51*L51</f>
        <v>0</v>
      </c>
      <c r="N51" s="6">
        <v>2</v>
      </c>
      <c r="O51" s="7">
        <v>0.5</v>
      </c>
      <c r="P51" s="8">
        <f>N51*O51</f>
        <v>1</v>
      </c>
      <c r="Q51" s="1"/>
      <c r="R51" s="6">
        <f>B51+E51+H51+K51+N51</f>
        <v>16</v>
      </c>
      <c r="S51" s="9">
        <f>(D51+G51+J51+M51+P51)/R51</f>
        <v>0.37524999999999997</v>
      </c>
      <c r="T51" s="9">
        <f>R51/$V$3</f>
        <v>2.564102564102564E-2</v>
      </c>
      <c r="U51" s="9">
        <f>R51 / _xlfn.XLOOKUP(A51, Top!A:A, Top!AA:AA)</f>
        <v>3.131115459882583E-2</v>
      </c>
    </row>
    <row r="52" spans="1:21" x14ac:dyDescent="0.25">
      <c r="A52" s="42" t="s">
        <v>27</v>
      </c>
      <c r="B52" s="6">
        <v>1</v>
      </c>
      <c r="C52" s="7">
        <v>1</v>
      </c>
      <c r="D52" s="8">
        <f>B52*C52</f>
        <v>1</v>
      </c>
      <c r="E52" s="6"/>
      <c r="F52" s="7"/>
      <c r="G52" s="8">
        <f>E52*F52</f>
        <v>0</v>
      </c>
      <c r="H52" s="6"/>
      <c r="I52" s="7"/>
      <c r="J52" s="8">
        <f>H52*I52</f>
        <v>0</v>
      </c>
      <c r="K52" s="6"/>
      <c r="L52" s="7"/>
      <c r="M52" s="8">
        <f>K52*L52</f>
        <v>0</v>
      </c>
      <c r="N52" s="6"/>
      <c r="O52" s="7"/>
      <c r="P52" s="8">
        <f>N52*O52</f>
        <v>0</v>
      </c>
      <c r="Q52" s="1"/>
      <c r="R52" s="6">
        <f>B52+E52+H52+K52+N52</f>
        <v>1</v>
      </c>
      <c r="S52" s="9">
        <f>(D52+G52+J52+M52+P52)/R52</f>
        <v>1</v>
      </c>
      <c r="T52" s="9">
        <f>R52/$V$3</f>
        <v>1.6025641025641025E-3</v>
      </c>
      <c r="U52" s="9">
        <f>R52 / _xlfn.XLOOKUP(A52, Top!A:A, Top!AA:AA)</f>
        <v>2.2222222222222223E-2</v>
      </c>
    </row>
    <row r="53" spans="1:21" x14ac:dyDescent="0.25">
      <c r="A53" s="42" t="s">
        <v>28</v>
      </c>
      <c r="B53" s="6">
        <v>1</v>
      </c>
      <c r="C53" s="7">
        <v>1</v>
      </c>
      <c r="D53" s="8">
        <f>B53*C53</f>
        <v>1</v>
      </c>
      <c r="E53" s="6"/>
      <c r="F53" s="7"/>
      <c r="G53" s="8">
        <f>E53*F53</f>
        <v>0</v>
      </c>
      <c r="H53" s="6"/>
      <c r="I53" s="7"/>
      <c r="J53" s="8">
        <f>H53*I53</f>
        <v>0</v>
      </c>
      <c r="K53" s="6"/>
      <c r="L53" s="7"/>
      <c r="M53" s="8">
        <f>K53*L53</f>
        <v>0</v>
      </c>
      <c r="N53" s="6"/>
      <c r="O53" s="7"/>
      <c r="P53" s="8">
        <f>N53*O53</f>
        <v>0</v>
      </c>
      <c r="Q53" s="1"/>
      <c r="R53" s="6">
        <f>B53+E53+H53+K53+N53</f>
        <v>1</v>
      </c>
      <c r="S53" s="9">
        <f>(D53+G53+J53+M53+P53)/R53</f>
        <v>1</v>
      </c>
      <c r="T53" s="9">
        <f>R53/$V$3</f>
        <v>1.6025641025641025E-3</v>
      </c>
      <c r="U53" s="9">
        <f>R53 / _xlfn.XLOOKUP(A53, Top!A:A, Top!AA:AA)</f>
        <v>2.0408163265306121E-2</v>
      </c>
    </row>
    <row r="54" spans="1:21" x14ac:dyDescent="0.25">
      <c r="A54" s="42" t="s">
        <v>40</v>
      </c>
      <c r="B54" s="6"/>
      <c r="C54" s="7"/>
      <c r="D54" s="8">
        <f>B54*C54</f>
        <v>0</v>
      </c>
      <c r="E54" s="6"/>
      <c r="F54" s="7"/>
      <c r="G54" s="8">
        <f>E54*F54</f>
        <v>0</v>
      </c>
      <c r="H54" s="6">
        <v>1</v>
      </c>
      <c r="I54" s="7">
        <v>0</v>
      </c>
      <c r="J54" s="8">
        <f>H54*I54</f>
        <v>0</v>
      </c>
      <c r="K54" s="6"/>
      <c r="L54" s="7"/>
      <c r="M54" s="8">
        <f>K54*L54</f>
        <v>0</v>
      </c>
      <c r="N54" s="6"/>
      <c r="O54" s="7"/>
      <c r="P54" s="8">
        <f>N54*O54</f>
        <v>0</v>
      </c>
      <c r="Q54" s="1"/>
      <c r="R54" s="6">
        <f>B54+E54+H54+K54+N54</f>
        <v>1</v>
      </c>
      <c r="S54" s="9">
        <f>(D54+G54+J54+M54+P54)/R54</f>
        <v>0</v>
      </c>
      <c r="T54" s="9">
        <f>R54/$V$3</f>
        <v>1.6025641025641025E-3</v>
      </c>
      <c r="U54" s="9">
        <f>R54 / _xlfn.XLOOKUP(A54, Top!A:A, Top!AA:AA)</f>
        <v>1.5625E-2</v>
      </c>
    </row>
    <row r="55" spans="1:21" x14ac:dyDescent="0.25">
      <c r="A55" s="41" t="s">
        <v>210</v>
      </c>
      <c r="B55" s="6"/>
      <c r="C55" s="7"/>
      <c r="D55" s="8">
        <f>B55*C55</f>
        <v>0</v>
      </c>
      <c r="E55" s="6"/>
      <c r="F55" s="7"/>
      <c r="G55" s="8">
        <f>E55*F55</f>
        <v>0</v>
      </c>
      <c r="H55" s="6"/>
      <c r="I55" s="7"/>
      <c r="J55" s="8">
        <f>H55*I55</f>
        <v>0</v>
      </c>
      <c r="K55" s="6">
        <v>1</v>
      </c>
      <c r="L55" s="7">
        <v>0</v>
      </c>
      <c r="M55" s="8">
        <f>K55*L55</f>
        <v>0</v>
      </c>
      <c r="N55" s="6"/>
      <c r="O55" s="7"/>
      <c r="P55" s="8">
        <f>N55*O55</f>
        <v>0</v>
      </c>
      <c r="Q55" s="1"/>
      <c r="R55" s="6">
        <f>B55+E55+H55+K55+N55</f>
        <v>1</v>
      </c>
      <c r="S55" s="9">
        <f>(D55+G55+J55+M55+P55)/R55</f>
        <v>0</v>
      </c>
      <c r="T55" s="9">
        <f>R55/$V$3</f>
        <v>1.6025641025641025E-3</v>
      </c>
      <c r="U55" s="9">
        <f>R55 / _xlfn.XLOOKUP(A55, Top!A:A, Top!AA:AA)</f>
        <v>1.5625E-2</v>
      </c>
    </row>
    <row r="56" spans="1:21" x14ac:dyDescent="0.25">
      <c r="U56" s="9"/>
    </row>
    <row r="57" spans="1:21" x14ac:dyDescent="0.25">
      <c r="U57" s="9"/>
    </row>
  </sheetData>
  <sortState xmlns:xlrd2="http://schemas.microsoft.com/office/spreadsheetml/2017/richdata2" ref="A3:U55">
    <sortCondition descending="1" ref="U3:U55"/>
  </sortState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D7254-BB7A-4FDA-A512-3E5CD54D3477}">
  <sheetPr>
    <tabColor theme="6" tint="0.59999389629810485"/>
  </sheetPr>
  <dimension ref="A1:W56"/>
  <sheetViews>
    <sheetView topLeftCell="A12" workbookViewId="0">
      <selection activeCell="U3" sqref="U3:U44"/>
    </sheetView>
  </sheetViews>
  <sheetFormatPr baseColWidth="10" defaultRowHeight="15" x14ac:dyDescent="0.25"/>
  <sheetData>
    <row r="1" spans="1:23" ht="15.75" x14ac:dyDescent="0.25">
      <c r="A1" s="2" t="s">
        <v>85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25" t="s">
        <v>230</v>
      </c>
      <c r="B3" s="6"/>
      <c r="C3" s="7"/>
      <c r="D3" s="8">
        <f t="shared" ref="D3:D44" si="0">B3*C3</f>
        <v>0</v>
      </c>
      <c r="E3" s="6"/>
      <c r="F3" s="7"/>
      <c r="G3" s="8">
        <f t="shared" ref="G3:G44" si="1">E3*F3</f>
        <v>0</v>
      </c>
      <c r="H3" s="6"/>
      <c r="I3" s="7"/>
      <c r="J3" s="8">
        <f t="shared" ref="J3:J44" si="2">H3*I3</f>
        <v>0</v>
      </c>
      <c r="K3" s="6"/>
      <c r="L3" s="7"/>
      <c r="M3" s="8">
        <f t="shared" ref="M3:M44" si="3">K3*L3</f>
        <v>0</v>
      </c>
      <c r="N3" s="6"/>
      <c r="O3" s="7"/>
      <c r="P3" s="8">
        <f t="shared" ref="P3:P45" si="4">N3*O3</f>
        <v>0</v>
      </c>
      <c r="Q3" s="1"/>
      <c r="R3" s="6">
        <f t="shared" ref="R3:R45" si="5">B3+E3+H3+K3+N3</f>
        <v>0</v>
      </c>
      <c r="S3" s="9" t="e">
        <f t="shared" ref="S3:S45" si="6">(D3+G3+J3+M3+P3)/R3</f>
        <v>#DIV/0!</v>
      </c>
      <c r="T3" s="9">
        <f t="shared" ref="T3:T45" si="7">R3/$V$3</f>
        <v>0</v>
      </c>
      <c r="U3" s="9">
        <f>R3 / _xlfn.XLOOKUP(A3, Jungle!A:A, Jungle!AA:AA)</f>
        <v>0</v>
      </c>
      <c r="V3" s="11">
        <f>SUM(R3:R70)</f>
        <v>508</v>
      </c>
      <c r="W3" s="12">
        <f>(SUM(D3:D100)+SUM(G3:G100)+SUM(J3:J100)+SUM(M3:M100)+SUM(P3:P100)) / V3</f>
        <v>0.69090157480314951</v>
      </c>
    </row>
    <row r="4" spans="1:23" x14ac:dyDescent="0.25">
      <c r="A4" s="1" t="s">
        <v>89</v>
      </c>
      <c r="B4" s="6">
        <v>1</v>
      </c>
      <c r="C4" s="7">
        <v>1</v>
      </c>
      <c r="D4" s="8">
        <f t="shared" si="0"/>
        <v>1</v>
      </c>
      <c r="E4" s="6"/>
      <c r="F4" s="7"/>
      <c r="G4" s="8">
        <f t="shared" si="1"/>
        <v>0</v>
      </c>
      <c r="H4" s="6">
        <v>4</v>
      </c>
      <c r="I4" s="7">
        <v>1</v>
      </c>
      <c r="J4" s="8">
        <f t="shared" si="2"/>
        <v>4</v>
      </c>
      <c r="K4" s="6">
        <v>2</v>
      </c>
      <c r="L4" s="7">
        <v>1</v>
      </c>
      <c r="M4" s="8">
        <f t="shared" si="3"/>
        <v>2</v>
      </c>
      <c r="N4" s="6"/>
      <c r="O4" s="7"/>
      <c r="P4" s="8">
        <f t="shared" si="4"/>
        <v>0</v>
      </c>
      <c r="Q4" s="1"/>
      <c r="R4" s="6">
        <f t="shared" si="5"/>
        <v>7</v>
      </c>
      <c r="S4" s="9">
        <f t="shared" si="6"/>
        <v>1</v>
      </c>
      <c r="T4" s="9">
        <f t="shared" si="7"/>
        <v>1.3779527559055118E-2</v>
      </c>
      <c r="U4" s="9">
        <f>R4 / _xlfn.XLOOKUP(A4, Jungle!A:A, Jungle!AA:AA)</f>
        <v>0.63636363636363635</v>
      </c>
      <c r="V4" s="6"/>
      <c r="W4" s="9"/>
    </row>
    <row r="5" spans="1:23" x14ac:dyDescent="0.25">
      <c r="A5" s="1" t="s">
        <v>82</v>
      </c>
      <c r="B5" s="6"/>
      <c r="C5" s="7"/>
      <c r="D5" s="8">
        <f t="shared" si="0"/>
        <v>0</v>
      </c>
      <c r="E5" s="6">
        <v>3</v>
      </c>
      <c r="F5" s="7">
        <v>1</v>
      </c>
      <c r="G5" s="8">
        <f t="shared" si="1"/>
        <v>3</v>
      </c>
      <c r="H5" s="6">
        <v>1</v>
      </c>
      <c r="I5" s="7">
        <v>1</v>
      </c>
      <c r="J5" s="8">
        <f t="shared" si="2"/>
        <v>1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4</v>
      </c>
      <c r="S5" s="9">
        <f t="shared" si="6"/>
        <v>1</v>
      </c>
      <c r="T5" s="9">
        <f t="shared" si="7"/>
        <v>7.874015748031496E-3</v>
      </c>
      <c r="U5" s="9">
        <f>R5 / _xlfn.XLOOKUP(A5, Jungle!A:A, Jungle!AA:AA)</f>
        <v>6.3492063492063489E-2</v>
      </c>
      <c r="W5" s="1"/>
    </row>
    <row r="6" spans="1:23" x14ac:dyDescent="0.25">
      <c r="A6" s="1" t="s">
        <v>92</v>
      </c>
      <c r="B6" s="6"/>
      <c r="C6" s="7"/>
      <c r="D6" s="8">
        <f t="shared" si="0"/>
        <v>0</v>
      </c>
      <c r="E6" s="6">
        <v>1</v>
      </c>
      <c r="F6" s="7">
        <v>1</v>
      </c>
      <c r="G6" s="8">
        <f t="shared" si="1"/>
        <v>1</v>
      </c>
      <c r="H6" s="6">
        <v>2</v>
      </c>
      <c r="I6" s="7">
        <v>1</v>
      </c>
      <c r="J6" s="8">
        <f t="shared" si="2"/>
        <v>2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1"/>
      <c r="R6" s="6">
        <f t="shared" si="5"/>
        <v>3</v>
      </c>
      <c r="S6" s="9">
        <f t="shared" si="6"/>
        <v>1</v>
      </c>
      <c r="T6" s="9">
        <f t="shared" si="7"/>
        <v>5.905511811023622E-3</v>
      </c>
      <c r="U6" s="9">
        <f>R6 / _xlfn.XLOOKUP(A6, Jungle!A:A, Jungle!AA:AA)</f>
        <v>0.12</v>
      </c>
      <c r="W6" s="1"/>
    </row>
    <row r="7" spans="1:23" x14ac:dyDescent="0.25">
      <c r="A7" s="1" t="s">
        <v>91</v>
      </c>
      <c r="B7" s="6"/>
      <c r="C7" s="7"/>
      <c r="D7" s="8">
        <f t="shared" si="0"/>
        <v>0</v>
      </c>
      <c r="E7" s="6">
        <v>3</v>
      </c>
      <c r="F7" s="7">
        <v>1</v>
      </c>
      <c r="G7" s="8">
        <f t="shared" si="1"/>
        <v>3</v>
      </c>
      <c r="H7" s="6"/>
      <c r="I7" s="7"/>
      <c r="J7" s="8">
        <f t="shared" si="2"/>
        <v>0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3</v>
      </c>
      <c r="S7" s="9">
        <f t="shared" si="6"/>
        <v>1</v>
      </c>
      <c r="T7" s="9">
        <f t="shared" si="7"/>
        <v>5.905511811023622E-3</v>
      </c>
      <c r="U7" s="9">
        <f>R7 / _xlfn.XLOOKUP(A7, Jungle!A:A, Jungle!AA:AA)</f>
        <v>0.75</v>
      </c>
      <c r="V7" s="1"/>
      <c r="W7" s="1"/>
    </row>
    <row r="8" spans="1:23" x14ac:dyDescent="0.25">
      <c r="A8" s="1" t="s">
        <v>87</v>
      </c>
      <c r="B8" s="6">
        <v>2</v>
      </c>
      <c r="C8" s="7">
        <v>1</v>
      </c>
      <c r="D8" s="8">
        <f t="shared" si="0"/>
        <v>2</v>
      </c>
      <c r="E8" s="6"/>
      <c r="F8" s="7"/>
      <c r="G8" s="8">
        <f t="shared" si="1"/>
        <v>0</v>
      </c>
      <c r="H8" s="6">
        <v>1</v>
      </c>
      <c r="I8" s="7">
        <v>1</v>
      </c>
      <c r="J8" s="8">
        <f t="shared" si="2"/>
        <v>1</v>
      </c>
      <c r="K8" s="6"/>
      <c r="L8" s="7"/>
      <c r="M8" s="8">
        <f t="shared" si="3"/>
        <v>0</v>
      </c>
      <c r="N8" s="6"/>
      <c r="O8" s="7"/>
      <c r="P8" s="8">
        <f t="shared" si="4"/>
        <v>0</v>
      </c>
      <c r="Q8" s="1"/>
      <c r="R8" s="6">
        <f t="shared" si="5"/>
        <v>3</v>
      </c>
      <c r="S8" s="9">
        <f t="shared" si="6"/>
        <v>1</v>
      </c>
      <c r="T8" s="9">
        <f t="shared" si="7"/>
        <v>5.905511811023622E-3</v>
      </c>
      <c r="U8" s="9">
        <f>R8 / _xlfn.XLOOKUP(A8, Jungle!A:A, Jungle!AA:AA)</f>
        <v>0.13636363636363635</v>
      </c>
      <c r="V8" s="1"/>
      <c r="W8" s="1"/>
    </row>
    <row r="9" spans="1:23" x14ac:dyDescent="0.25">
      <c r="A9" s="1" t="s">
        <v>93</v>
      </c>
      <c r="B9" s="6"/>
      <c r="C9" s="7"/>
      <c r="D9" s="8">
        <f t="shared" si="0"/>
        <v>0</v>
      </c>
      <c r="E9" s="6">
        <v>1</v>
      </c>
      <c r="F9" s="7">
        <v>1</v>
      </c>
      <c r="G9" s="8">
        <f t="shared" si="1"/>
        <v>1</v>
      </c>
      <c r="H9" s="6">
        <v>1</v>
      </c>
      <c r="I9" s="7">
        <v>1</v>
      </c>
      <c r="J9" s="8">
        <f t="shared" si="2"/>
        <v>1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1"/>
      <c r="R9" s="6">
        <f t="shared" si="5"/>
        <v>2</v>
      </c>
      <c r="S9" s="9">
        <f t="shared" si="6"/>
        <v>1</v>
      </c>
      <c r="T9" s="9">
        <f t="shared" si="7"/>
        <v>3.937007874015748E-3</v>
      </c>
      <c r="U9" s="9">
        <f>R9 / _xlfn.XLOOKUP(A9, Jungle!A:A, Jungle!AA:AA)</f>
        <v>0.4</v>
      </c>
      <c r="V9" s="1"/>
      <c r="W9" s="1"/>
    </row>
    <row r="10" spans="1:23" x14ac:dyDescent="0.25">
      <c r="A10" s="1" t="s">
        <v>78</v>
      </c>
      <c r="B10" s="6">
        <v>1</v>
      </c>
      <c r="C10" s="7">
        <v>1</v>
      </c>
      <c r="D10" s="8">
        <f t="shared" si="0"/>
        <v>1</v>
      </c>
      <c r="E10" s="6"/>
      <c r="F10" s="7"/>
      <c r="G10" s="8">
        <f t="shared" si="1"/>
        <v>0</v>
      </c>
      <c r="H10" s="6"/>
      <c r="I10" s="7"/>
      <c r="J10" s="8">
        <f t="shared" si="2"/>
        <v>0</v>
      </c>
      <c r="K10" s="6"/>
      <c r="L10" s="7"/>
      <c r="M10" s="8">
        <f t="shared" si="3"/>
        <v>0</v>
      </c>
      <c r="N10" s="6"/>
      <c r="O10" s="7"/>
      <c r="P10" s="8">
        <f t="shared" si="4"/>
        <v>0</v>
      </c>
      <c r="Q10" s="1"/>
      <c r="R10" s="6">
        <f t="shared" si="5"/>
        <v>1</v>
      </c>
      <c r="S10" s="9">
        <f t="shared" si="6"/>
        <v>1</v>
      </c>
      <c r="T10" s="9">
        <f t="shared" si="7"/>
        <v>1.968503937007874E-3</v>
      </c>
      <c r="U10" s="9">
        <f>R10 / _xlfn.XLOOKUP(A10, Jungle!A:A, Jungle!AA:AA)</f>
        <v>0.1111111111111111</v>
      </c>
      <c r="V10" s="1"/>
      <c r="W10" s="1"/>
    </row>
    <row r="11" spans="1:23" x14ac:dyDescent="0.25">
      <c r="A11" s="1" t="s">
        <v>50</v>
      </c>
      <c r="B11" s="6">
        <v>1</v>
      </c>
      <c r="C11" s="7">
        <v>1</v>
      </c>
      <c r="D11" s="8">
        <f t="shared" si="0"/>
        <v>1</v>
      </c>
      <c r="E11" s="6"/>
      <c r="F11" s="7"/>
      <c r="G11" s="8">
        <f t="shared" si="1"/>
        <v>0</v>
      </c>
      <c r="H11" s="6"/>
      <c r="I11" s="7"/>
      <c r="J11" s="8">
        <f t="shared" si="2"/>
        <v>0</v>
      </c>
      <c r="K11" s="6"/>
      <c r="L11" s="7"/>
      <c r="M11" s="8">
        <f t="shared" si="3"/>
        <v>0</v>
      </c>
      <c r="N11" s="6"/>
      <c r="O11" s="7"/>
      <c r="P11" s="8">
        <f t="shared" si="4"/>
        <v>0</v>
      </c>
      <c r="Q11" s="1"/>
      <c r="R11" s="6">
        <f t="shared" si="5"/>
        <v>1</v>
      </c>
      <c r="S11" s="9">
        <f t="shared" si="6"/>
        <v>1</v>
      </c>
      <c r="T11" s="9">
        <f t="shared" si="7"/>
        <v>1.968503937007874E-3</v>
      </c>
      <c r="U11" s="9">
        <f>R11 / _xlfn.XLOOKUP(A11, Jungle!A:A, Jungle!AA:AA)</f>
        <v>0.125</v>
      </c>
      <c r="V11" s="1"/>
      <c r="W11" s="1"/>
    </row>
    <row r="12" spans="1:23" x14ac:dyDescent="0.25">
      <c r="A12" s="1" t="s">
        <v>21</v>
      </c>
      <c r="B12" s="6"/>
      <c r="C12" s="7"/>
      <c r="D12" s="8">
        <f t="shared" si="0"/>
        <v>0</v>
      </c>
      <c r="E12" s="6">
        <v>1</v>
      </c>
      <c r="F12" s="7">
        <v>1</v>
      </c>
      <c r="G12" s="8">
        <f t="shared" si="1"/>
        <v>1</v>
      </c>
      <c r="H12" s="6"/>
      <c r="I12" s="7"/>
      <c r="J12" s="8">
        <f t="shared" si="2"/>
        <v>0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1"/>
      <c r="R12" s="6">
        <f t="shared" si="5"/>
        <v>1</v>
      </c>
      <c r="S12" s="9">
        <f t="shared" si="6"/>
        <v>1</v>
      </c>
      <c r="T12" s="9">
        <f t="shared" si="7"/>
        <v>1.968503937007874E-3</v>
      </c>
      <c r="U12" s="9">
        <f>R12 / _xlfn.XLOOKUP(A12, Jungle!A:A, Jungle!AA:AA)</f>
        <v>0.1</v>
      </c>
      <c r="V12" s="1"/>
      <c r="W12" s="1"/>
    </row>
    <row r="13" spans="1:23" x14ac:dyDescent="0.25">
      <c r="A13" s="1" t="s">
        <v>76</v>
      </c>
      <c r="B13" s="6">
        <v>2</v>
      </c>
      <c r="C13" s="7">
        <v>0</v>
      </c>
      <c r="D13" s="8">
        <f t="shared" si="0"/>
        <v>0</v>
      </c>
      <c r="E13" s="6">
        <v>1</v>
      </c>
      <c r="F13" s="7">
        <v>1</v>
      </c>
      <c r="G13" s="8">
        <f t="shared" si="1"/>
        <v>1</v>
      </c>
      <c r="H13" s="6">
        <v>18</v>
      </c>
      <c r="I13" s="7">
        <v>0.88900000000000001</v>
      </c>
      <c r="J13" s="8">
        <f t="shared" si="2"/>
        <v>16.001999999999999</v>
      </c>
      <c r="K13" s="6">
        <v>10</v>
      </c>
      <c r="L13" s="7">
        <v>0.9</v>
      </c>
      <c r="M13" s="8">
        <f t="shared" si="3"/>
        <v>9</v>
      </c>
      <c r="N13" s="6"/>
      <c r="O13" s="7"/>
      <c r="P13" s="8">
        <f t="shared" si="4"/>
        <v>0</v>
      </c>
      <c r="Q13" s="1"/>
      <c r="R13" s="6">
        <f t="shared" si="5"/>
        <v>31</v>
      </c>
      <c r="S13" s="9">
        <f t="shared" si="6"/>
        <v>0.83877419354838711</v>
      </c>
      <c r="T13" s="9">
        <f t="shared" si="7"/>
        <v>6.1023622047244097E-2</v>
      </c>
      <c r="U13" s="9">
        <f>R13 / _xlfn.XLOOKUP(A13, Jungle!A:A, Jungle!AA:AA)</f>
        <v>0.23308270676691728</v>
      </c>
      <c r="V13" s="1"/>
      <c r="W13" s="1"/>
    </row>
    <row r="14" spans="1:23" x14ac:dyDescent="0.25">
      <c r="A14" s="1" t="s">
        <v>16</v>
      </c>
      <c r="B14" s="6"/>
      <c r="C14" s="7"/>
      <c r="D14" s="8">
        <f t="shared" si="0"/>
        <v>0</v>
      </c>
      <c r="E14" s="6"/>
      <c r="F14" s="7"/>
      <c r="G14" s="8">
        <f t="shared" si="1"/>
        <v>0</v>
      </c>
      <c r="H14" s="6">
        <v>5</v>
      </c>
      <c r="I14" s="7">
        <v>0.8</v>
      </c>
      <c r="J14" s="8">
        <f t="shared" si="2"/>
        <v>4</v>
      </c>
      <c r="K14" s="6">
        <v>1</v>
      </c>
      <c r="L14" s="7">
        <v>1</v>
      </c>
      <c r="M14" s="8">
        <f t="shared" si="3"/>
        <v>1</v>
      </c>
      <c r="N14" s="6"/>
      <c r="O14" s="7"/>
      <c r="P14" s="8">
        <f t="shared" si="4"/>
        <v>0</v>
      </c>
      <c r="Q14" s="4"/>
      <c r="R14" s="6">
        <f t="shared" si="5"/>
        <v>6</v>
      </c>
      <c r="S14" s="9">
        <f t="shared" si="6"/>
        <v>0.83333333333333337</v>
      </c>
      <c r="T14" s="9">
        <f t="shared" si="7"/>
        <v>1.1811023622047244E-2</v>
      </c>
      <c r="U14" s="9">
        <f>R14 / _xlfn.XLOOKUP(A14, Jungle!A:A, Jungle!AA:AA)</f>
        <v>0.2608695652173913</v>
      </c>
      <c r="V14" s="1"/>
      <c r="W14" s="1"/>
    </row>
    <row r="15" spans="1:23" x14ac:dyDescent="0.25">
      <c r="A15" s="1" t="s">
        <v>75</v>
      </c>
      <c r="B15" s="6">
        <v>5</v>
      </c>
      <c r="C15" s="7">
        <v>0.8</v>
      </c>
      <c r="D15" s="8">
        <f t="shared" si="0"/>
        <v>4</v>
      </c>
      <c r="E15" s="6"/>
      <c r="F15" s="7"/>
      <c r="G15" s="8">
        <f t="shared" si="1"/>
        <v>0</v>
      </c>
      <c r="H15" s="6"/>
      <c r="I15" s="7"/>
      <c r="J15" s="8">
        <f t="shared" si="2"/>
        <v>0</v>
      </c>
      <c r="K15" s="6"/>
      <c r="L15" s="7"/>
      <c r="M15" s="8">
        <f t="shared" si="3"/>
        <v>0</v>
      </c>
      <c r="N15" s="6"/>
      <c r="O15" s="7"/>
      <c r="P15" s="8">
        <f t="shared" si="4"/>
        <v>0</v>
      </c>
      <c r="Q15" s="1"/>
      <c r="R15" s="6">
        <f t="shared" si="5"/>
        <v>5</v>
      </c>
      <c r="S15" s="9">
        <f t="shared" si="6"/>
        <v>0.8</v>
      </c>
      <c r="T15" s="9">
        <f t="shared" si="7"/>
        <v>9.8425196850393699E-3</v>
      </c>
      <c r="U15" s="9">
        <f>R15 / _xlfn.XLOOKUP(A15, Jungle!A:A, Jungle!AA:AA)</f>
        <v>8.1967213114754092E-2</v>
      </c>
      <c r="V15" s="1"/>
      <c r="W15" s="1"/>
    </row>
    <row r="16" spans="1:23" x14ac:dyDescent="0.25">
      <c r="A16" s="1" t="s">
        <v>195</v>
      </c>
      <c r="B16" s="6"/>
      <c r="C16" s="7"/>
      <c r="D16" s="8">
        <f t="shared" si="0"/>
        <v>0</v>
      </c>
      <c r="E16" s="6"/>
      <c r="F16" s="7"/>
      <c r="G16" s="8">
        <f t="shared" si="1"/>
        <v>0</v>
      </c>
      <c r="H16" s="6">
        <v>7</v>
      </c>
      <c r="I16" s="7">
        <v>0.85699999999999998</v>
      </c>
      <c r="J16" s="8">
        <f t="shared" si="2"/>
        <v>5.9989999999999997</v>
      </c>
      <c r="K16" s="6">
        <v>2</v>
      </c>
      <c r="L16" s="7">
        <v>0.5</v>
      </c>
      <c r="M16" s="8">
        <f t="shared" si="3"/>
        <v>1</v>
      </c>
      <c r="N16" s="6"/>
      <c r="O16" s="7"/>
      <c r="P16" s="8">
        <f t="shared" si="4"/>
        <v>0</v>
      </c>
      <c r="Q16" s="1"/>
      <c r="R16" s="6">
        <f t="shared" si="5"/>
        <v>9</v>
      </c>
      <c r="S16" s="9">
        <f t="shared" si="6"/>
        <v>0.77766666666666662</v>
      </c>
      <c r="T16" s="9">
        <f t="shared" si="7"/>
        <v>1.7716535433070866E-2</v>
      </c>
      <c r="U16" s="9">
        <f>R16 / _xlfn.XLOOKUP(A16, Jungle!A:A, Jungle!AA:AA)</f>
        <v>0.15</v>
      </c>
      <c r="V16" s="1"/>
      <c r="W16" s="1"/>
    </row>
    <row r="17" spans="1:23" x14ac:dyDescent="0.25">
      <c r="A17" s="1" t="s">
        <v>57</v>
      </c>
      <c r="B17" s="6">
        <v>12</v>
      </c>
      <c r="C17" s="7">
        <v>0.75</v>
      </c>
      <c r="D17" s="8">
        <f t="shared" si="0"/>
        <v>9</v>
      </c>
      <c r="E17" s="6">
        <v>18</v>
      </c>
      <c r="F17" s="7">
        <v>0.83299999999999996</v>
      </c>
      <c r="G17" s="8">
        <f t="shared" si="1"/>
        <v>14.994</v>
      </c>
      <c r="H17" s="6">
        <v>12</v>
      </c>
      <c r="I17" s="7">
        <v>0.91700000000000004</v>
      </c>
      <c r="J17" s="8">
        <f t="shared" si="2"/>
        <v>11.004000000000001</v>
      </c>
      <c r="K17" s="6">
        <v>7</v>
      </c>
      <c r="L17" s="7">
        <v>0.42899999999999999</v>
      </c>
      <c r="M17" s="8">
        <f t="shared" si="3"/>
        <v>3.0030000000000001</v>
      </c>
      <c r="N17" s="6"/>
      <c r="O17" s="7"/>
      <c r="P17" s="8">
        <f t="shared" si="4"/>
        <v>0</v>
      </c>
      <c r="Q17" s="1"/>
      <c r="R17" s="6">
        <f t="shared" si="5"/>
        <v>49</v>
      </c>
      <c r="S17" s="9">
        <f t="shared" si="6"/>
        <v>0.77553061224489805</v>
      </c>
      <c r="T17" s="9">
        <f t="shared" si="7"/>
        <v>9.6456692913385822E-2</v>
      </c>
      <c r="U17" s="9">
        <f>R17 / _xlfn.XLOOKUP(A17, Jungle!A:A, Jungle!AA:AA)</f>
        <v>0.1101123595505618</v>
      </c>
      <c r="V17" s="1"/>
      <c r="W17" s="1"/>
    </row>
    <row r="18" spans="1:23" x14ac:dyDescent="0.25">
      <c r="A18" s="1" t="s">
        <v>81</v>
      </c>
      <c r="B18" s="6"/>
      <c r="C18" s="7"/>
      <c r="D18" s="8">
        <f t="shared" si="0"/>
        <v>0</v>
      </c>
      <c r="E18" s="6">
        <v>4</v>
      </c>
      <c r="F18" s="7">
        <v>0.75</v>
      </c>
      <c r="G18" s="8">
        <f t="shared" si="1"/>
        <v>3</v>
      </c>
      <c r="H18" s="6"/>
      <c r="I18" s="7"/>
      <c r="J18" s="8">
        <f t="shared" si="2"/>
        <v>0</v>
      </c>
      <c r="K18" s="6"/>
      <c r="L18" s="7"/>
      <c r="M18" s="8">
        <f t="shared" si="3"/>
        <v>0</v>
      </c>
      <c r="N18" s="6"/>
      <c r="O18" s="7"/>
      <c r="P18" s="8">
        <f t="shared" si="4"/>
        <v>0</v>
      </c>
      <c r="Q18" s="1"/>
      <c r="R18" s="6">
        <f t="shared" si="5"/>
        <v>4</v>
      </c>
      <c r="S18" s="9">
        <f t="shared" si="6"/>
        <v>0.75</v>
      </c>
      <c r="T18" s="9">
        <f t="shared" si="7"/>
        <v>7.874015748031496E-3</v>
      </c>
      <c r="U18" s="9">
        <f>R18 / _xlfn.XLOOKUP(A18, Jungle!A:A, Jungle!AA:AA)</f>
        <v>0.1111111111111111</v>
      </c>
      <c r="V18" s="1"/>
      <c r="W18" s="1"/>
    </row>
    <row r="19" spans="1:23" x14ac:dyDescent="0.25">
      <c r="A19" s="1" t="s">
        <v>79</v>
      </c>
      <c r="B19" s="6"/>
      <c r="C19" s="7"/>
      <c r="D19" s="8">
        <f t="shared" si="0"/>
        <v>0</v>
      </c>
      <c r="E19" s="6">
        <v>2</v>
      </c>
      <c r="F19" s="7">
        <v>0.5</v>
      </c>
      <c r="G19" s="8">
        <f t="shared" si="1"/>
        <v>1</v>
      </c>
      <c r="H19" s="6">
        <v>2</v>
      </c>
      <c r="I19" s="7">
        <v>1</v>
      </c>
      <c r="J19" s="8">
        <f t="shared" si="2"/>
        <v>2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1"/>
      <c r="R19" s="6">
        <f t="shared" si="5"/>
        <v>4</v>
      </c>
      <c r="S19" s="9">
        <f t="shared" si="6"/>
        <v>0.75</v>
      </c>
      <c r="T19" s="9">
        <f t="shared" si="7"/>
        <v>7.874015748031496E-3</v>
      </c>
      <c r="U19" s="9">
        <f>R19 / _xlfn.XLOOKUP(A19, Jungle!A:A, Jungle!AA:AA)</f>
        <v>0.08</v>
      </c>
      <c r="V19" s="1"/>
      <c r="W19" s="1"/>
    </row>
    <row r="20" spans="1:23" x14ac:dyDescent="0.25">
      <c r="A20" s="1" t="s">
        <v>71</v>
      </c>
      <c r="B20" s="6">
        <v>13</v>
      </c>
      <c r="C20" s="7">
        <v>0.69199999999999995</v>
      </c>
      <c r="D20" s="8">
        <f t="shared" si="0"/>
        <v>8.9959999999999987</v>
      </c>
      <c r="E20" s="6">
        <v>7</v>
      </c>
      <c r="F20" s="7">
        <v>0.57099999999999995</v>
      </c>
      <c r="G20" s="8">
        <f t="shared" si="1"/>
        <v>3.9969999999999999</v>
      </c>
      <c r="H20" s="6"/>
      <c r="I20" s="7"/>
      <c r="J20" s="8">
        <f t="shared" si="2"/>
        <v>0</v>
      </c>
      <c r="K20" s="6">
        <v>16</v>
      </c>
      <c r="L20" s="7">
        <v>0.875</v>
      </c>
      <c r="M20" s="8">
        <f t="shared" si="3"/>
        <v>14</v>
      </c>
      <c r="N20" s="6"/>
      <c r="O20" s="7"/>
      <c r="P20" s="8">
        <f t="shared" si="4"/>
        <v>0</v>
      </c>
      <c r="Q20" s="1"/>
      <c r="R20" s="6">
        <f t="shared" si="5"/>
        <v>36</v>
      </c>
      <c r="S20" s="9">
        <f t="shared" si="6"/>
        <v>0.7498055555555555</v>
      </c>
      <c r="T20" s="9">
        <f t="shared" si="7"/>
        <v>7.0866141732283464E-2</v>
      </c>
      <c r="U20" s="9">
        <f>R20 / _xlfn.XLOOKUP(A20, Jungle!A:A, Jungle!AA:AA)</f>
        <v>6.4981949458483748E-2</v>
      </c>
      <c r="V20" s="1"/>
      <c r="W20" s="1"/>
    </row>
    <row r="21" spans="1:23" x14ac:dyDescent="0.25">
      <c r="A21" s="1" t="s">
        <v>80</v>
      </c>
      <c r="B21" s="6"/>
      <c r="C21" s="7"/>
      <c r="D21" s="8">
        <f t="shared" si="0"/>
        <v>0</v>
      </c>
      <c r="E21" s="6">
        <v>7</v>
      </c>
      <c r="F21" s="7">
        <v>0.57099999999999995</v>
      </c>
      <c r="G21" s="8">
        <f t="shared" si="1"/>
        <v>3.9969999999999999</v>
      </c>
      <c r="H21" s="6">
        <v>12</v>
      </c>
      <c r="I21" s="7">
        <v>0.83299999999999996</v>
      </c>
      <c r="J21" s="8">
        <f t="shared" si="2"/>
        <v>9.9959999999999987</v>
      </c>
      <c r="K21" s="6"/>
      <c r="L21" s="7"/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19</v>
      </c>
      <c r="S21" s="9">
        <f t="shared" si="6"/>
        <v>0.73647368421052628</v>
      </c>
      <c r="T21" s="9">
        <f t="shared" si="7"/>
        <v>3.7401574803149609E-2</v>
      </c>
      <c r="U21" s="9">
        <f>R21 / _xlfn.XLOOKUP(A21, Jungle!A:A, Jungle!AA:AA)</f>
        <v>0.20652173913043478</v>
      </c>
      <c r="V21" s="1"/>
      <c r="W21" s="1"/>
    </row>
    <row r="22" spans="1:23" x14ac:dyDescent="0.25">
      <c r="A22" s="25" t="s">
        <v>77</v>
      </c>
      <c r="B22" s="6"/>
      <c r="C22" s="7"/>
      <c r="D22" s="8">
        <f t="shared" si="0"/>
        <v>0</v>
      </c>
      <c r="E22" s="6"/>
      <c r="F22" s="7"/>
      <c r="G22" s="8">
        <f t="shared" si="1"/>
        <v>0</v>
      </c>
      <c r="H22" s="6"/>
      <c r="I22" s="7"/>
      <c r="J22" s="8">
        <f t="shared" si="2"/>
        <v>0</v>
      </c>
      <c r="K22" s="6">
        <v>15</v>
      </c>
      <c r="L22" s="7">
        <v>0.73299999999999998</v>
      </c>
      <c r="M22" s="8">
        <f t="shared" si="3"/>
        <v>10.994999999999999</v>
      </c>
      <c r="N22" s="6"/>
      <c r="O22" s="7"/>
      <c r="P22" s="8">
        <f t="shared" si="4"/>
        <v>0</v>
      </c>
      <c r="Q22" s="1"/>
      <c r="R22" s="6">
        <f t="shared" si="5"/>
        <v>15</v>
      </c>
      <c r="S22" s="9">
        <f t="shared" si="6"/>
        <v>0.73299999999999998</v>
      </c>
      <c r="T22" s="9">
        <f t="shared" si="7"/>
        <v>2.952755905511811E-2</v>
      </c>
      <c r="U22" s="9">
        <f>R22 / _xlfn.XLOOKUP(A22, Jungle!A:A, Jungle!AA:AA)</f>
        <v>0.10948905109489052</v>
      </c>
      <c r="V22" s="1"/>
      <c r="W22" s="1"/>
    </row>
    <row r="23" spans="1:23" x14ac:dyDescent="0.25">
      <c r="A23" s="1" t="s">
        <v>28</v>
      </c>
      <c r="B23" s="6">
        <v>6</v>
      </c>
      <c r="C23" s="7">
        <v>0.83299999999999996</v>
      </c>
      <c r="D23" s="8">
        <f t="shared" si="0"/>
        <v>4.9979999999999993</v>
      </c>
      <c r="E23" s="6">
        <v>1</v>
      </c>
      <c r="F23" s="7">
        <v>0</v>
      </c>
      <c r="G23" s="8">
        <f t="shared" si="1"/>
        <v>0</v>
      </c>
      <c r="H23" s="6"/>
      <c r="I23" s="7"/>
      <c r="J23" s="8">
        <f t="shared" si="2"/>
        <v>0</v>
      </c>
      <c r="K23" s="6"/>
      <c r="L23" s="7"/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7</v>
      </c>
      <c r="S23" s="9">
        <f t="shared" si="6"/>
        <v>0.71399999999999986</v>
      </c>
      <c r="T23" s="9">
        <f t="shared" si="7"/>
        <v>1.3779527559055118E-2</v>
      </c>
      <c r="U23" s="9">
        <f>R23 / _xlfn.XLOOKUP(A23, Jungle!A:A, Jungle!AA:AA)</f>
        <v>0.1</v>
      </c>
      <c r="V23" s="1"/>
      <c r="W23" s="1"/>
    </row>
    <row r="24" spans="1:23" x14ac:dyDescent="0.25">
      <c r="A24" s="25" t="s">
        <v>211</v>
      </c>
      <c r="B24" s="6"/>
      <c r="C24" s="7"/>
      <c r="D24" s="8">
        <f t="shared" si="0"/>
        <v>0</v>
      </c>
      <c r="E24" s="6"/>
      <c r="F24" s="7"/>
      <c r="G24" s="8">
        <f t="shared" si="1"/>
        <v>0</v>
      </c>
      <c r="H24" s="6"/>
      <c r="I24" s="7"/>
      <c r="J24" s="8">
        <f t="shared" si="2"/>
        <v>0</v>
      </c>
      <c r="K24" s="6">
        <v>7</v>
      </c>
      <c r="L24" s="7">
        <v>0.71399999999999997</v>
      </c>
      <c r="M24" s="8">
        <f t="shared" si="3"/>
        <v>4.9979999999999993</v>
      </c>
      <c r="N24" s="6"/>
      <c r="O24" s="7"/>
      <c r="P24" s="8">
        <f t="shared" si="4"/>
        <v>0</v>
      </c>
      <c r="Q24" s="1"/>
      <c r="R24" s="6">
        <f t="shared" si="5"/>
        <v>7</v>
      </c>
      <c r="S24" s="9">
        <f t="shared" si="6"/>
        <v>0.71399999999999986</v>
      </c>
      <c r="T24" s="9">
        <f t="shared" si="7"/>
        <v>1.3779527559055118E-2</v>
      </c>
      <c r="U24" s="9">
        <f>R24 / _xlfn.XLOOKUP(A24, Jungle!A:A, Jungle!AA:AA)</f>
        <v>9.3333333333333338E-2</v>
      </c>
      <c r="V24" s="1"/>
      <c r="W24" s="1"/>
    </row>
    <row r="25" spans="1:23" x14ac:dyDescent="0.25">
      <c r="A25" s="1" t="s">
        <v>83</v>
      </c>
      <c r="B25" s="6">
        <v>1</v>
      </c>
      <c r="C25" s="7">
        <v>1</v>
      </c>
      <c r="D25" s="8">
        <f t="shared" si="0"/>
        <v>1</v>
      </c>
      <c r="E25" s="6">
        <v>2</v>
      </c>
      <c r="F25" s="7">
        <v>0.5</v>
      </c>
      <c r="G25" s="8">
        <f t="shared" si="1"/>
        <v>1</v>
      </c>
      <c r="H25" s="6">
        <v>4</v>
      </c>
      <c r="I25" s="7">
        <v>0.75</v>
      </c>
      <c r="J25" s="8">
        <f t="shared" si="2"/>
        <v>3</v>
      </c>
      <c r="K25" s="6">
        <v>3</v>
      </c>
      <c r="L25" s="7">
        <v>0.66700000000000004</v>
      </c>
      <c r="M25" s="8">
        <f t="shared" si="3"/>
        <v>2.0010000000000003</v>
      </c>
      <c r="N25" s="6"/>
      <c r="O25" s="7"/>
      <c r="P25" s="8">
        <f t="shared" si="4"/>
        <v>0</v>
      </c>
      <c r="Q25" s="13"/>
      <c r="R25" s="6">
        <f t="shared" si="5"/>
        <v>10</v>
      </c>
      <c r="S25" s="9">
        <f t="shared" si="6"/>
        <v>0.70010000000000006</v>
      </c>
      <c r="T25" s="9">
        <f t="shared" si="7"/>
        <v>1.968503937007874E-2</v>
      </c>
      <c r="U25" s="9">
        <f>R25 / _xlfn.XLOOKUP(A25, Jungle!A:A, Jungle!AA:AA)</f>
        <v>0.12195121951219512</v>
      </c>
      <c r="V25" s="1"/>
      <c r="W25" s="1"/>
    </row>
    <row r="26" spans="1:23" x14ac:dyDescent="0.25">
      <c r="A26" s="1" t="s">
        <v>30</v>
      </c>
      <c r="B26" s="6">
        <v>2</v>
      </c>
      <c r="C26" s="7">
        <v>0</v>
      </c>
      <c r="D26" s="8">
        <f t="shared" si="0"/>
        <v>0</v>
      </c>
      <c r="E26" s="6">
        <v>9</v>
      </c>
      <c r="F26" s="7">
        <v>0.55600000000000005</v>
      </c>
      <c r="G26" s="8">
        <f t="shared" si="1"/>
        <v>5.0040000000000004</v>
      </c>
      <c r="H26" s="6">
        <v>19</v>
      </c>
      <c r="I26" s="7">
        <v>0.84199999999999997</v>
      </c>
      <c r="J26" s="8">
        <f t="shared" si="2"/>
        <v>15.997999999999999</v>
      </c>
      <c r="K26" s="6">
        <v>3</v>
      </c>
      <c r="L26" s="7">
        <v>0.66700000000000004</v>
      </c>
      <c r="M26" s="8">
        <f t="shared" si="3"/>
        <v>2.0010000000000003</v>
      </c>
      <c r="N26" s="6"/>
      <c r="O26" s="7"/>
      <c r="P26" s="8">
        <f t="shared" si="4"/>
        <v>0</v>
      </c>
      <c r="Q26" s="1"/>
      <c r="R26" s="6">
        <f t="shared" si="5"/>
        <v>33</v>
      </c>
      <c r="S26" s="9">
        <f t="shared" si="6"/>
        <v>0.69706060606060605</v>
      </c>
      <c r="T26" s="9">
        <f t="shared" si="7"/>
        <v>6.4960629921259838E-2</v>
      </c>
      <c r="U26" s="9">
        <f>R26 / _xlfn.XLOOKUP(A26, Jungle!A:A, Jungle!AA:AA)</f>
        <v>8.2294264339152115E-2</v>
      </c>
      <c r="V26" s="1"/>
      <c r="W26" s="1"/>
    </row>
    <row r="27" spans="1:23" x14ac:dyDescent="0.25">
      <c r="A27" s="1" t="s">
        <v>73</v>
      </c>
      <c r="B27" s="6">
        <v>3</v>
      </c>
      <c r="C27" s="7">
        <v>0</v>
      </c>
      <c r="D27" s="8">
        <f t="shared" si="0"/>
        <v>0</v>
      </c>
      <c r="E27" s="6">
        <v>9</v>
      </c>
      <c r="F27" s="7">
        <v>0.44400000000000001</v>
      </c>
      <c r="G27" s="8">
        <f t="shared" si="1"/>
        <v>3.996</v>
      </c>
      <c r="H27" s="6">
        <v>5</v>
      </c>
      <c r="I27" s="7">
        <v>0.8</v>
      </c>
      <c r="J27" s="8">
        <f t="shared" si="2"/>
        <v>4</v>
      </c>
      <c r="K27" s="6">
        <v>20</v>
      </c>
      <c r="L27" s="7">
        <v>0.85</v>
      </c>
      <c r="M27" s="8">
        <f t="shared" si="3"/>
        <v>17</v>
      </c>
      <c r="N27" s="6"/>
      <c r="O27" s="7"/>
      <c r="P27" s="8">
        <f t="shared" si="4"/>
        <v>0</v>
      </c>
      <c r="Q27" s="1"/>
      <c r="R27" s="6">
        <f t="shared" si="5"/>
        <v>37</v>
      </c>
      <c r="S27" s="9">
        <f t="shared" si="6"/>
        <v>0.67556756756756764</v>
      </c>
      <c r="T27" s="9">
        <f t="shared" si="7"/>
        <v>7.2834645669291334E-2</v>
      </c>
      <c r="U27" s="9">
        <f>R27 / _xlfn.XLOOKUP(A27, Jungle!A:A, Jungle!AA:AA)</f>
        <v>6.654676258992806E-2</v>
      </c>
      <c r="V27" s="1"/>
      <c r="W27" s="1"/>
    </row>
    <row r="28" spans="1:23" x14ac:dyDescent="0.25">
      <c r="A28" s="1" t="s">
        <v>90</v>
      </c>
      <c r="B28" s="6"/>
      <c r="C28" s="7"/>
      <c r="D28" s="8">
        <f t="shared" si="0"/>
        <v>0</v>
      </c>
      <c r="E28" s="6">
        <v>3</v>
      </c>
      <c r="F28" s="7">
        <v>0.66700000000000004</v>
      </c>
      <c r="G28" s="8">
        <f t="shared" si="1"/>
        <v>2.0010000000000003</v>
      </c>
      <c r="H28" s="6"/>
      <c r="I28" s="7"/>
      <c r="J28" s="8">
        <f t="shared" si="2"/>
        <v>0</v>
      </c>
      <c r="K28" s="6"/>
      <c r="L28" s="7"/>
      <c r="M28" s="8">
        <f t="shared" si="3"/>
        <v>0</v>
      </c>
      <c r="N28" s="6"/>
      <c r="O28" s="7"/>
      <c r="P28" s="8">
        <f t="shared" si="4"/>
        <v>0</v>
      </c>
      <c r="Q28" s="1"/>
      <c r="R28" s="6">
        <f t="shared" si="5"/>
        <v>3</v>
      </c>
      <c r="S28" s="9">
        <f t="shared" si="6"/>
        <v>0.66700000000000015</v>
      </c>
      <c r="T28" s="9">
        <f t="shared" si="7"/>
        <v>5.905511811023622E-3</v>
      </c>
      <c r="U28" s="9">
        <f>R28 / _xlfn.XLOOKUP(A28, Jungle!A:A, Jungle!AA:AA)</f>
        <v>0.33333333333333331</v>
      </c>
      <c r="V28" s="1"/>
      <c r="W28" s="1"/>
    </row>
    <row r="29" spans="1:23" x14ac:dyDescent="0.25">
      <c r="A29" s="1" t="s">
        <v>58</v>
      </c>
      <c r="B29" s="6">
        <v>3</v>
      </c>
      <c r="C29" s="7">
        <v>0.66700000000000004</v>
      </c>
      <c r="D29" s="8">
        <f t="shared" si="0"/>
        <v>2.0010000000000003</v>
      </c>
      <c r="E29" s="6"/>
      <c r="F29" s="7"/>
      <c r="G29" s="8">
        <f t="shared" si="1"/>
        <v>0</v>
      </c>
      <c r="H29" s="6"/>
      <c r="I29" s="7"/>
      <c r="J29" s="8">
        <f t="shared" si="2"/>
        <v>0</v>
      </c>
      <c r="K29" s="6"/>
      <c r="L29" s="7"/>
      <c r="M29" s="8">
        <f t="shared" si="3"/>
        <v>0</v>
      </c>
      <c r="N29" s="6"/>
      <c r="O29" s="7"/>
      <c r="P29" s="8">
        <f t="shared" si="4"/>
        <v>0</v>
      </c>
      <c r="Q29" s="1"/>
      <c r="R29" s="6">
        <f t="shared" si="5"/>
        <v>3</v>
      </c>
      <c r="S29" s="9">
        <f t="shared" si="6"/>
        <v>0.66700000000000015</v>
      </c>
      <c r="T29" s="9">
        <f t="shared" si="7"/>
        <v>5.905511811023622E-3</v>
      </c>
      <c r="U29" s="9">
        <f>R29 / _xlfn.XLOOKUP(A29, Jungle!A:A, Jungle!AA:AA)</f>
        <v>6.5217391304347824E-2</v>
      </c>
      <c r="V29" s="1"/>
      <c r="W29" s="1"/>
    </row>
    <row r="30" spans="1:23" x14ac:dyDescent="0.25">
      <c r="A30" s="25" t="s">
        <v>215</v>
      </c>
      <c r="B30" s="6"/>
      <c r="C30" s="7"/>
      <c r="D30" s="8">
        <f t="shared" si="0"/>
        <v>0</v>
      </c>
      <c r="E30" s="6"/>
      <c r="F30" s="7"/>
      <c r="G30" s="8">
        <f t="shared" si="1"/>
        <v>0</v>
      </c>
      <c r="H30" s="6"/>
      <c r="I30" s="7"/>
      <c r="J30" s="8">
        <f t="shared" si="2"/>
        <v>0</v>
      </c>
      <c r="K30" s="6">
        <v>3</v>
      </c>
      <c r="L30" s="7">
        <v>0.66700000000000004</v>
      </c>
      <c r="M30" s="8">
        <f t="shared" si="3"/>
        <v>2.0010000000000003</v>
      </c>
      <c r="N30" s="6"/>
      <c r="O30" s="7"/>
      <c r="P30" s="8">
        <f t="shared" si="4"/>
        <v>0</v>
      </c>
      <c r="Q30" s="1"/>
      <c r="R30" s="6">
        <f t="shared" si="5"/>
        <v>3</v>
      </c>
      <c r="S30" s="9">
        <f t="shared" si="6"/>
        <v>0.66700000000000015</v>
      </c>
      <c r="T30" s="9">
        <f t="shared" si="7"/>
        <v>5.905511811023622E-3</v>
      </c>
      <c r="U30" s="9">
        <f>R30 / _xlfn.XLOOKUP(A30, Jungle!A:A, Jungle!AA:AA)</f>
        <v>0.21428571428571427</v>
      </c>
      <c r="V30" s="1"/>
      <c r="W30" s="1"/>
    </row>
    <row r="31" spans="1:23" x14ac:dyDescent="0.25">
      <c r="A31" s="1" t="s">
        <v>95</v>
      </c>
      <c r="B31" s="6"/>
      <c r="C31" s="7"/>
      <c r="D31" s="8">
        <f t="shared" si="0"/>
        <v>0</v>
      </c>
      <c r="E31" s="6"/>
      <c r="F31" s="7"/>
      <c r="G31" s="8">
        <f t="shared" si="1"/>
        <v>0</v>
      </c>
      <c r="H31" s="6">
        <v>10</v>
      </c>
      <c r="I31" s="7">
        <v>0.6</v>
      </c>
      <c r="J31" s="8">
        <f t="shared" si="2"/>
        <v>6</v>
      </c>
      <c r="K31" s="6">
        <v>17</v>
      </c>
      <c r="L31" s="7">
        <v>0.70599999999999996</v>
      </c>
      <c r="M31" s="8">
        <f t="shared" si="3"/>
        <v>12.001999999999999</v>
      </c>
      <c r="N31" s="6"/>
      <c r="O31" s="7"/>
      <c r="P31" s="8">
        <f t="shared" si="4"/>
        <v>0</v>
      </c>
      <c r="Q31" s="4"/>
      <c r="R31" s="6">
        <f t="shared" si="5"/>
        <v>27</v>
      </c>
      <c r="S31" s="9">
        <f t="shared" si="6"/>
        <v>0.66674074074074074</v>
      </c>
      <c r="T31" s="9">
        <f t="shared" si="7"/>
        <v>5.3149606299212601E-2</v>
      </c>
      <c r="U31" s="9">
        <f>R31 / _xlfn.XLOOKUP(A31, Jungle!A:A, Jungle!AA:AA)</f>
        <v>0.16167664670658682</v>
      </c>
      <c r="V31" s="1"/>
      <c r="W31" s="1"/>
    </row>
    <row r="32" spans="1:23" x14ac:dyDescent="0.25">
      <c r="A32" s="1" t="s">
        <v>74</v>
      </c>
      <c r="B32" s="6">
        <v>5</v>
      </c>
      <c r="C32" s="7">
        <v>0.8</v>
      </c>
      <c r="D32" s="8">
        <f t="shared" si="0"/>
        <v>4</v>
      </c>
      <c r="E32" s="6">
        <v>1</v>
      </c>
      <c r="F32" s="7">
        <v>0</v>
      </c>
      <c r="G32" s="8">
        <f t="shared" si="1"/>
        <v>0</v>
      </c>
      <c r="H32" s="6"/>
      <c r="I32" s="7"/>
      <c r="J32" s="8">
        <f t="shared" si="2"/>
        <v>0</v>
      </c>
      <c r="K32" s="6"/>
      <c r="L32" s="7"/>
      <c r="M32" s="8">
        <f t="shared" si="3"/>
        <v>0</v>
      </c>
      <c r="N32" s="6"/>
      <c r="O32" s="7"/>
      <c r="P32" s="8">
        <f t="shared" si="4"/>
        <v>0</v>
      </c>
      <c r="Q32" s="1"/>
      <c r="R32" s="6">
        <f t="shared" si="5"/>
        <v>6</v>
      </c>
      <c r="S32" s="9">
        <f t="shared" si="6"/>
        <v>0.66666666666666663</v>
      </c>
      <c r="T32" s="9">
        <f t="shared" si="7"/>
        <v>1.1811023622047244E-2</v>
      </c>
      <c r="U32" s="9">
        <f>R32 / _xlfn.XLOOKUP(A32, Jungle!A:A, Jungle!AA:AA)</f>
        <v>0.21428571428571427</v>
      </c>
      <c r="V32" s="1"/>
      <c r="W32" s="1"/>
    </row>
    <row r="33" spans="1:23" x14ac:dyDescent="0.25">
      <c r="A33" s="1" t="s">
        <v>70</v>
      </c>
      <c r="B33" s="6">
        <v>7</v>
      </c>
      <c r="C33" s="7">
        <v>0.71399999999999997</v>
      </c>
      <c r="D33" s="8">
        <f t="shared" si="0"/>
        <v>4.9979999999999993</v>
      </c>
      <c r="E33" s="6">
        <v>2</v>
      </c>
      <c r="F33" s="7">
        <v>0</v>
      </c>
      <c r="G33" s="8">
        <f t="shared" si="1"/>
        <v>0</v>
      </c>
      <c r="H33" s="6">
        <v>1</v>
      </c>
      <c r="I33" s="7">
        <v>0</v>
      </c>
      <c r="J33" s="8">
        <f t="shared" si="2"/>
        <v>0</v>
      </c>
      <c r="K33" s="6">
        <v>28</v>
      </c>
      <c r="L33" s="7">
        <v>0.71399999999999997</v>
      </c>
      <c r="M33" s="8">
        <f t="shared" si="3"/>
        <v>19.991999999999997</v>
      </c>
      <c r="N33" s="6"/>
      <c r="O33" s="7"/>
      <c r="P33" s="8">
        <f t="shared" si="4"/>
        <v>0</v>
      </c>
      <c r="Q33" s="1"/>
      <c r="R33" s="6">
        <f t="shared" si="5"/>
        <v>38</v>
      </c>
      <c r="S33" s="9">
        <f t="shared" si="6"/>
        <v>0.65763157894736823</v>
      </c>
      <c r="T33" s="9">
        <f t="shared" si="7"/>
        <v>7.4803149606299218E-2</v>
      </c>
      <c r="U33" s="9">
        <f>R33 / _xlfn.XLOOKUP(A33, Jungle!A:A, Jungle!AA:AA)</f>
        <v>7.6458752515090544E-2</v>
      </c>
      <c r="V33" s="1"/>
      <c r="W33" s="1"/>
    </row>
    <row r="34" spans="1:23" x14ac:dyDescent="0.25">
      <c r="A34" s="1" t="s">
        <v>69</v>
      </c>
      <c r="B34" s="6">
        <v>17</v>
      </c>
      <c r="C34" s="7">
        <v>0.58799999999999997</v>
      </c>
      <c r="D34" s="8">
        <f t="shared" si="0"/>
        <v>9.9959999999999987</v>
      </c>
      <c r="E34" s="6">
        <v>7</v>
      </c>
      <c r="F34" s="7">
        <v>0.85699999999999998</v>
      </c>
      <c r="G34" s="8">
        <f t="shared" si="1"/>
        <v>5.9989999999999997</v>
      </c>
      <c r="H34" s="6">
        <v>2</v>
      </c>
      <c r="I34" s="7">
        <v>0.5</v>
      </c>
      <c r="J34" s="8">
        <f t="shared" si="2"/>
        <v>1</v>
      </c>
      <c r="K34" s="6">
        <v>1</v>
      </c>
      <c r="L34" s="7">
        <v>0</v>
      </c>
      <c r="M34" s="8">
        <f t="shared" si="3"/>
        <v>0</v>
      </c>
      <c r="N34" s="6"/>
      <c r="O34" s="7"/>
      <c r="P34" s="8">
        <f t="shared" si="4"/>
        <v>0</v>
      </c>
      <c r="Q34" s="4"/>
      <c r="R34" s="6">
        <f t="shared" si="5"/>
        <v>27</v>
      </c>
      <c r="S34" s="9">
        <f t="shared" si="6"/>
        <v>0.62944444444444436</v>
      </c>
      <c r="T34" s="9">
        <f t="shared" si="7"/>
        <v>5.3149606299212601E-2</v>
      </c>
      <c r="U34" s="9">
        <f>R34 / _xlfn.XLOOKUP(A34, Jungle!A:A, Jungle!AA:AA)</f>
        <v>6.0133630289532294E-2</v>
      </c>
      <c r="V34" s="1"/>
      <c r="W34" s="1"/>
    </row>
    <row r="35" spans="1:23" x14ac:dyDescent="0.25">
      <c r="A35" s="1" t="s">
        <v>26</v>
      </c>
      <c r="B35" s="6">
        <v>2</v>
      </c>
      <c r="C35" s="7">
        <v>1</v>
      </c>
      <c r="D35" s="8">
        <f t="shared" si="0"/>
        <v>2</v>
      </c>
      <c r="E35" s="6">
        <v>16</v>
      </c>
      <c r="F35" s="7">
        <v>0.438</v>
      </c>
      <c r="G35" s="8">
        <f t="shared" si="1"/>
        <v>7.008</v>
      </c>
      <c r="H35" s="6">
        <v>20</v>
      </c>
      <c r="I35" s="7">
        <v>0.75</v>
      </c>
      <c r="J35" s="8">
        <f t="shared" si="2"/>
        <v>15</v>
      </c>
      <c r="K35" s="6">
        <v>4</v>
      </c>
      <c r="L35" s="7">
        <v>0.25</v>
      </c>
      <c r="M35" s="8">
        <f t="shared" si="3"/>
        <v>1</v>
      </c>
      <c r="N35" s="6"/>
      <c r="O35" s="7"/>
      <c r="P35" s="8">
        <f t="shared" si="4"/>
        <v>0</v>
      </c>
      <c r="Q35" s="4"/>
      <c r="R35" s="6">
        <f t="shared" si="5"/>
        <v>42</v>
      </c>
      <c r="S35" s="9">
        <f t="shared" si="6"/>
        <v>0.59542857142857142</v>
      </c>
      <c r="T35" s="9">
        <f t="shared" si="7"/>
        <v>8.2677165354330714E-2</v>
      </c>
      <c r="U35" s="9">
        <f>R35 / _xlfn.XLOOKUP(A35, Jungle!A:A, Jungle!AA:AA)</f>
        <v>6.6141732283464566E-2</v>
      </c>
      <c r="V35" s="1"/>
      <c r="W35" s="1"/>
    </row>
    <row r="36" spans="1:23" x14ac:dyDescent="0.25">
      <c r="A36" s="1" t="s">
        <v>72</v>
      </c>
      <c r="B36" s="6">
        <v>3</v>
      </c>
      <c r="C36" s="7">
        <v>0.66700000000000004</v>
      </c>
      <c r="D36" s="8">
        <f t="shared" si="0"/>
        <v>2.0010000000000003</v>
      </c>
      <c r="E36" s="6">
        <v>1</v>
      </c>
      <c r="F36" s="7">
        <v>0</v>
      </c>
      <c r="G36" s="8">
        <f t="shared" si="1"/>
        <v>0</v>
      </c>
      <c r="H36" s="6">
        <v>4</v>
      </c>
      <c r="I36" s="7">
        <v>0.5</v>
      </c>
      <c r="J36" s="8">
        <f t="shared" si="2"/>
        <v>2</v>
      </c>
      <c r="K36" s="6">
        <v>4</v>
      </c>
      <c r="L36" s="7">
        <v>0.75</v>
      </c>
      <c r="M36" s="8">
        <f t="shared" si="3"/>
        <v>3</v>
      </c>
      <c r="N36" s="6"/>
      <c r="O36" s="7"/>
      <c r="P36" s="8">
        <f t="shared" si="4"/>
        <v>0</v>
      </c>
      <c r="Q36" s="1"/>
      <c r="R36" s="6">
        <f t="shared" si="5"/>
        <v>12</v>
      </c>
      <c r="S36" s="9">
        <f t="shared" si="6"/>
        <v>0.58341666666666669</v>
      </c>
      <c r="T36" s="9">
        <f t="shared" si="7"/>
        <v>2.3622047244094488E-2</v>
      </c>
      <c r="U36" s="9">
        <f>R36 / _xlfn.XLOOKUP(A36, Jungle!A:A, Jungle!AA:AA)</f>
        <v>6.6298342541436461E-2</v>
      </c>
      <c r="V36" s="1"/>
      <c r="W36" s="1"/>
    </row>
    <row r="37" spans="1:23" x14ac:dyDescent="0.25">
      <c r="A37" s="1" t="s">
        <v>67</v>
      </c>
      <c r="B37" s="6">
        <v>10</v>
      </c>
      <c r="C37" s="7">
        <v>0.6</v>
      </c>
      <c r="D37" s="8">
        <f t="shared" si="0"/>
        <v>6</v>
      </c>
      <c r="E37" s="6"/>
      <c r="F37" s="7"/>
      <c r="G37" s="8">
        <f t="shared" si="1"/>
        <v>0</v>
      </c>
      <c r="H37" s="6"/>
      <c r="I37" s="7"/>
      <c r="J37" s="8">
        <f t="shared" si="2"/>
        <v>0</v>
      </c>
      <c r="K37" s="6">
        <v>4</v>
      </c>
      <c r="L37" s="7">
        <v>0.25</v>
      </c>
      <c r="M37" s="8">
        <f t="shared" si="3"/>
        <v>1</v>
      </c>
      <c r="N37" s="6"/>
      <c r="O37" s="7"/>
      <c r="P37" s="8">
        <f t="shared" si="4"/>
        <v>0</v>
      </c>
      <c r="Q37" s="1"/>
      <c r="R37" s="6">
        <f t="shared" si="5"/>
        <v>14</v>
      </c>
      <c r="S37" s="9">
        <f t="shared" si="6"/>
        <v>0.5</v>
      </c>
      <c r="T37" s="9">
        <f t="shared" si="7"/>
        <v>2.7559055118110236E-2</v>
      </c>
      <c r="U37" s="9">
        <f>R37 / _xlfn.XLOOKUP(A37, Jungle!A:A, Jungle!AA:AA)</f>
        <v>7.1428571428571425E-2</v>
      </c>
      <c r="V37" s="1"/>
      <c r="W37" s="1"/>
    </row>
    <row r="38" spans="1:23" x14ac:dyDescent="0.25">
      <c r="A38" s="1" t="s">
        <v>31</v>
      </c>
      <c r="B38" s="6">
        <v>8</v>
      </c>
      <c r="C38" s="7">
        <v>0.375</v>
      </c>
      <c r="D38" s="8">
        <f t="shared" si="0"/>
        <v>3</v>
      </c>
      <c r="E38" s="6">
        <v>1</v>
      </c>
      <c r="F38" s="7">
        <v>1</v>
      </c>
      <c r="G38" s="8">
        <f t="shared" si="1"/>
        <v>1</v>
      </c>
      <c r="H38" s="6">
        <v>1</v>
      </c>
      <c r="I38" s="7">
        <v>1</v>
      </c>
      <c r="J38" s="8">
        <f t="shared" si="2"/>
        <v>1</v>
      </c>
      <c r="K38" s="6"/>
      <c r="L38" s="7"/>
      <c r="M38" s="8">
        <f t="shared" si="3"/>
        <v>0</v>
      </c>
      <c r="N38" s="6"/>
      <c r="O38" s="7"/>
      <c r="P38" s="8">
        <f t="shared" si="4"/>
        <v>0</v>
      </c>
      <c r="Q38" s="1"/>
      <c r="R38" s="6">
        <f t="shared" si="5"/>
        <v>10</v>
      </c>
      <c r="S38" s="9">
        <f t="shared" si="6"/>
        <v>0.5</v>
      </c>
      <c r="T38" s="9">
        <f t="shared" si="7"/>
        <v>1.968503937007874E-2</v>
      </c>
      <c r="U38" s="9">
        <f>R38 / _xlfn.XLOOKUP(A38, Jungle!A:A, Jungle!AA:AA)</f>
        <v>3.8167938931297711E-2</v>
      </c>
      <c r="V38" s="1"/>
      <c r="W38" s="1"/>
    </row>
    <row r="39" spans="1:23" x14ac:dyDescent="0.25">
      <c r="A39" s="1" t="s">
        <v>17</v>
      </c>
      <c r="B39" s="6"/>
      <c r="C39" s="7"/>
      <c r="D39" s="8">
        <f t="shared" si="0"/>
        <v>0</v>
      </c>
      <c r="E39" s="6">
        <v>2</v>
      </c>
      <c r="F39" s="7">
        <v>0.5</v>
      </c>
      <c r="G39" s="8">
        <f t="shared" si="1"/>
        <v>1</v>
      </c>
      <c r="H39" s="6"/>
      <c r="I39" s="7"/>
      <c r="J39" s="8">
        <f t="shared" si="2"/>
        <v>0</v>
      </c>
      <c r="K39" s="6"/>
      <c r="L39" s="7"/>
      <c r="M39" s="8">
        <f t="shared" si="3"/>
        <v>0</v>
      </c>
      <c r="N39" s="6"/>
      <c r="O39" s="7"/>
      <c r="P39" s="8">
        <f t="shared" si="4"/>
        <v>0</v>
      </c>
      <c r="Q39" s="1"/>
      <c r="R39" s="6">
        <f t="shared" si="5"/>
        <v>2</v>
      </c>
      <c r="S39" s="9">
        <f t="shared" si="6"/>
        <v>0.5</v>
      </c>
      <c r="T39" s="9">
        <f t="shared" si="7"/>
        <v>3.937007874015748E-3</v>
      </c>
      <c r="U39" s="9">
        <f>R39 / _xlfn.XLOOKUP(A39, Jungle!A:A, Jungle!AA:AA)</f>
        <v>0.66666666666666663</v>
      </c>
      <c r="V39" s="1"/>
      <c r="W39" s="1"/>
    </row>
    <row r="40" spans="1:23" x14ac:dyDescent="0.25">
      <c r="A40" s="1" t="s">
        <v>45</v>
      </c>
      <c r="B40" s="6">
        <v>8</v>
      </c>
      <c r="C40" s="7">
        <v>0.5</v>
      </c>
      <c r="D40" s="8">
        <f t="shared" si="0"/>
        <v>4</v>
      </c>
      <c r="E40" s="6">
        <v>3</v>
      </c>
      <c r="F40" s="7">
        <v>0</v>
      </c>
      <c r="G40" s="8">
        <f t="shared" si="1"/>
        <v>0</v>
      </c>
      <c r="H40" s="6">
        <v>2</v>
      </c>
      <c r="I40" s="7">
        <v>0</v>
      </c>
      <c r="J40" s="8">
        <f t="shared" si="2"/>
        <v>0</v>
      </c>
      <c r="K40" s="6">
        <v>4</v>
      </c>
      <c r="L40" s="7">
        <v>1</v>
      </c>
      <c r="M40" s="8">
        <f t="shared" si="3"/>
        <v>4</v>
      </c>
      <c r="N40" s="6"/>
      <c r="O40" s="7"/>
      <c r="P40" s="8">
        <f t="shared" si="4"/>
        <v>0</v>
      </c>
      <c r="Q40" s="1"/>
      <c r="R40" s="6">
        <f t="shared" si="5"/>
        <v>17</v>
      </c>
      <c r="S40" s="9">
        <f t="shared" si="6"/>
        <v>0.47058823529411764</v>
      </c>
      <c r="T40" s="9">
        <f t="shared" si="7"/>
        <v>3.3464566929133861E-2</v>
      </c>
      <c r="U40" s="9">
        <f>R40 / _xlfn.XLOOKUP(A40, Jungle!A:A, Jungle!AA:AA)</f>
        <v>7.0539419087136929E-2</v>
      </c>
    </row>
    <row r="41" spans="1:23" x14ac:dyDescent="0.25">
      <c r="A41" s="1" t="s">
        <v>88</v>
      </c>
      <c r="B41" s="6">
        <v>1</v>
      </c>
      <c r="C41" s="7">
        <v>0</v>
      </c>
      <c r="D41" s="8">
        <f t="shared" si="0"/>
        <v>0</v>
      </c>
      <c r="E41" s="6"/>
      <c r="F41" s="7"/>
      <c r="G41" s="8">
        <f t="shared" si="1"/>
        <v>0</v>
      </c>
      <c r="H41" s="6"/>
      <c r="I41" s="7"/>
      <c r="J41" s="8">
        <f t="shared" si="2"/>
        <v>0</v>
      </c>
      <c r="K41" s="6">
        <v>2</v>
      </c>
      <c r="L41" s="7">
        <v>0</v>
      </c>
      <c r="M41" s="8">
        <f t="shared" si="3"/>
        <v>0</v>
      </c>
      <c r="N41" s="6"/>
      <c r="O41" s="7"/>
      <c r="P41" s="8">
        <f t="shared" si="4"/>
        <v>0</v>
      </c>
      <c r="Q41" s="1"/>
      <c r="R41" s="6">
        <f t="shared" si="5"/>
        <v>3</v>
      </c>
      <c r="S41" s="9">
        <f t="shared" si="6"/>
        <v>0</v>
      </c>
      <c r="T41" s="9">
        <f t="shared" si="7"/>
        <v>5.905511811023622E-3</v>
      </c>
      <c r="U41" s="9">
        <f>R41 / _xlfn.XLOOKUP(A41, Jungle!A:A, Jungle!AA:AA)</f>
        <v>0.12</v>
      </c>
    </row>
    <row r="42" spans="1:23" x14ac:dyDescent="0.25">
      <c r="A42" s="1" t="s">
        <v>86</v>
      </c>
      <c r="B42" s="6">
        <v>2</v>
      </c>
      <c r="C42" s="7">
        <v>0</v>
      </c>
      <c r="D42" s="8">
        <f t="shared" si="0"/>
        <v>0</v>
      </c>
      <c r="E42" s="6"/>
      <c r="F42" s="7"/>
      <c r="G42" s="8">
        <f t="shared" si="1"/>
        <v>0</v>
      </c>
      <c r="H42" s="6"/>
      <c r="I42" s="7"/>
      <c r="J42" s="8">
        <f t="shared" si="2"/>
        <v>0</v>
      </c>
      <c r="K42" s="6"/>
      <c r="L42" s="7"/>
      <c r="M42" s="8">
        <f t="shared" si="3"/>
        <v>0</v>
      </c>
      <c r="N42" s="6"/>
      <c r="O42" s="7"/>
      <c r="P42" s="8">
        <f t="shared" si="4"/>
        <v>0</v>
      </c>
      <c r="Q42" s="1"/>
      <c r="R42" s="6">
        <f t="shared" si="5"/>
        <v>2</v>
      </c>
      <c r="S42" s="9">
        <f t="shared" si="6"/>
        <v>0</v>
      </c>
      <c r="T42" s="9">
        <f t="shared" si="7"/>
        <v>3.937007874015748E-3</v>
      </c>
      <c r="U42" s="9">
        <f>R42 / _xlfn.XLOOKUP(A42, Jungle!A:A, Jungle!AA:AA)</f>
        <v>1</v>
      </c>
    </row>
    <row r="43" spans="1:23" x14ac:dyDescent="0.25">
      <c r="A43" s="1" t="s">
        <v>84</v>
      </c>
      <c r="B43" s="6">
        <v>1</v>
      </c>
      <c r="C43" s="7">
        <v>0</v>
      </c>
      <c r="D43" s="8">
        <f t="shared" si="0"/>
        <v>0</v>
      </c>
      <c r="E43" s="6"/>
      <c r="F43" s="7"/>
      <c r="G43" s="8">
        <f t="shared" si="1"/>
        <v>0</v>
      </c>
      <c r="H43" s="6"/>
      <c r="I43" s="7"/>
      <c r="J43" s="8">
        <f t="shared" si="2"/>
        <v>0</v>
      </c>
      <c r="K43" s="6"/>
      <c r="L43" s="7"/>
      <c r="M43" s="8">
        <f t="shared" si="3"/>
        <v>0</v>
      </c>
      <c r="N43" s="6"/>
      <c r="O43" s="7"/>
      <c r="P43" s="8">
        <f t="shared" si="4"/>
        <v>0</v>
      </c>
      <c r="Q43" s="1"/>
      <c r="R43" s="6">
        <f t="shared" si="5"/>
        <v>1</v>
      </c>
      <c r="S43" s="9">
        <f t="shared" si="6"/>
        <v>0</v>
      </c>
      <c r="T43" s="9">
        <f t="shared" si="7"/>
        <v>1.968503937007874E-3</v>
      </c>
      <c r="U43" s="9">
        <f>R43 / _xlfn.XLOOKUP(A43, Jungle!A:A, Jungle!AA:AA)</f>
        <v>4.3478260869565216E-2</v>
      </c>
    </row>
    <row r="44" spans="1:23" x14ac:dyDescent="0.25">
      <c r="A44" s="1" t="s">
        <v>11</v>
      </c>
      <c r="B44" s="6">
        <v>1</v>
      </c>
      <c r="C44" s="7">
        <v>0</v>
      </c>
      <c r="D44" s="8">
        <f t="shared" si="0"/>
        <v>0</v>
      </c>
      <c r="E44" s="6"/>
      <c r="F44" s="7"/>
      <c r="G44" s="8">
        <f t="shared" si="1"/>
        <v>0</v>
      </c>
      <c r="H44" s="6"/>
      <c r="I44" s="7"/>
      <c r="J44" s="8">
        <f t="shared" si="2"/>
        <v>0</v>
      </c>
      <c r="K44" s="6"/>
      <c r="L44" s="7"/>
      <c r="M44" s="8">
        <f t="shared" si="3"/>
        <v>0</v>
      </c>
      <c r="N44" s="6"/>
      <c r="O44" s="7"/>
      <c r="P44" s="8">
        <f t="shared" si="4"/>
        <v>0</v>
      </c>
      <c r="Q44" s="1"/>
      <c r="R44" s="6">
        <f t="shared" si="5"/>
        <v>1</v>
      </c>
      <c r="S44" s="9">
        <f t="shared" si="6"/>
        <v>0</v>
      </c>
      <c r="T44" s="9">
        <f t="shared" si="7"/>
        <v>1.968503937007874E-3</v>
      </c>
      <c r="U44" s="9">
        <f>R44 / _xlfn.XLOOKUP(A44, Jungle!A:A, Jungle!AA:AA)</f>
        <v>0.5</v>
      </c>
    </row>
    <row r="45" spans="1:23" x14ac:dyDescent="0.25">
      <c r="N45" s="6"/>
      <c r="O45" s="7"/>
      <c r="P45" s="8">
        <f t="shared" si="4"/>
        <v>0</v>
      </c>
      <c r="Q45" s="1"/>
      <c r="R45" s="6">
        <f t="shared" si="5"/>
        <v>0</v>
      </c>
      <c r="S45" s="9" t="e">
        <f t="shared" si="6"/>
        <v>#DIV/0!</v>
      </c>
      <c r="T45" s="9">
        <f t="shared" si="7"/>
        <v>0</v>
      </c>
      <c r="U45" s="9" t="e">
        <f>R45 / _xlfn.XLOOKUP(A45, Jungle!A:A, Jungle!AA:AA)</f>
        <v>#DIV/0!</v>
      </c>
    </row>
    <row r="46" spans="1:23" x14ac:dyDescent="0.25">
      <c r="N46" s="6"/>
      <c r="O46" s="7"/>
      <c r="P46" s="8">
        <f t="shared" ref="P46:P56" si="8">N46*O46</f>
        <v>0</v>
      </c>
      <c r="Q46" s="1"/>
      <c r="R46" s="6">
        <f t="shared" ref="R46:R56" si="9">B46+E46+H46+K46+N46</f>
        <v>0</v>
      </c>
      <c r="S46" s="9" t="e">
        <f t="shared" ref="S46:S56" si="10">(D46+G46+J46+M46+P46)/R46</f>
        <v>#DIV/0!</v>
      </c>
      <c r="T46" s="9">
        <f t="shared" ref="T46:T56" si="11">R46/$V$3</f>
        <v>0</v>
      </c>
      <c r="U46" s="9" t="e">
        <f>R46 / _xlfn.XLOOKUP(A46, Jungle!A:A, Jungle!AA:AA)</f>
        <v>#DIV/0!</v>
      </c>
    </row>
    <row r="47" spans="1:23" x14ac:dyDescent="0.25">
      <c r="N47" s="6"/>
      <c r="O47" s="7"/>
      <c r="P47" s="8">
        <f t="shared" si="8"/>
        <v>0</v>
      </c>
      <c r="Q47" s="1"/>
      <c r="R47" s="6">
        <f t="shared" si="9"/>
        <v>0</v>
      </c>
      <c r="S47" s="9" t="e">
        <f t="shared" si="10"/>
        <v>#DIV/0!</v>
      </c>
      <c r="T47" s="9">
        <f t="shared" si="11"/>
        <v>0</v>
      </c>
      <c r="U47" s="9" t="e">
        <f>R47 / _xlfn.XLOOKUP(A47, Jungle!A:A, Jungle!AA:AA)</f>
        <v>#DIV/0!</v>
      </c>
    </row>
    <row r="48" spans="1:23" x14ac:dyDescent="0.25">
      <c r="N48" s="6"/>
      <c r="O48" s="7"/>
      <c r="P48" s="8">
        <f t="shared" si="8"/>
        <v>0</v>
      </c>
      <c r="Q48" s="1"/>
      <c r="R48" s="6">
        <f t="shared" si="9"/>
        <v>0</v>
      </c>
      <c r="S48" s="9" t="e">
        <f t="shared" si="10"/>
        <v>#DIV/0!</v>
      </c>
      <c r="T48" s="9">
        <f t="shared" si="11"/>
        <v>0</v>
      </c>
      <c r="U48" s="9" t="e">
        <f>R48 / _xlfn.XLOOKUP(A48, Jungle!A:A, Jungle!AA:AA)</f>
        <v>#DIV/0!</v>
      </c>
    </row>
    <row r="49" spans="14:21" x14ac:dyDescent="0.25">
      <c r="N49" s="6"/>
      <c r="O49" s="7"/>
      <c r="P49" s="8">
        <f t="shared" si="8"/>
        <v>0</v>
      </c>
      <c r="Q49" s="1"/>
      <c r="R49" s="6">
        <f t="shared" si="9"/>
        <v>0</v>
      </c>
      <c r="S49" s="9" t="e">
        <f t="shared" si="10"/>
        <v>#DIV/0!</v>
      </c>
      <c r="T49" s="9">
        <f t="shared" si="11"/>
        <v>0</v>
      </c>
      <c r="U49" s="9" t="e">
        <f>R49 / _xlfn.XLOOKUP(A49, Jungle!A:A, Jungle!AA:AA)</f>
        <v>#DIV/0!</v>
      </c>
    </row>
    <row r="50" spans="14:21" x14ac:dyDescent="0.25">
      <c r="N50" s="6"/>
      <c r="O50" s="7"/>
      <c r="P50" s="8">
        <f t="shared" si="8"/>
        <v>0</v>
      </c>
      <c r="Q50" s="1"/>
      <c r="R50" s="6">
        <f t="shared" si="9"/>
        <v>0</v>
      </c>
      <c r="S50" s="9" t="e">
        <f t="shared" si="10"/>
        <v>#DIV/0!</v>
      </c>
      <c r="T50" s="9">
        <f t="shared" si="11"/>
        <v>0</v>
      </c>
      <c r="U50" s="9" t="e">
        <f>R50 / _xlfn.XLOOKUP(A50, Jungle!A:A, Jungle!AA:AA)</f>
        <v>#DIV/0!</v>
      </c>
    </row>
    <row r="51" spans="14:21" x14ac:dyDescent="0.25">
      <c r="N51" s="6"/>
      <c r="O51" s="7"/>
      <c r="P51" s="8">
        <f t="shared" si="8"/>
        <v>0</v>
      </c>
      <c r="Q51" s="1"/>
      <c r="R51" s="6">
        <f t="shared" si="9"/>
        <v>0</v>
      </c>
      <c r="S51" s="9" t="e">
        <f t="shared" si="10"/>
        <v>#DIV/0!</v>
      </c>
      <c r="T51" s="9">
        <f t="shared" si="11"/>
        <v>0</v>
      </c>
      <c r="U51" s="9" t="e">
        <f>R51 / _xlfn.XLOOKUP(A51, Jungle!A:A, Jungle!AA:AA)</f>
        <v>#DIV/0!</v>
      </c>
    </row>
    <row r="52" spans="14:21" x14ac:dyDescent="0.25">
      <c r="N52" s="6"/>
      <c r="O52" s="7"/>
      <c r="P52" s="8">
        <f t="shared" si="8"/>
        <v>0</v>
      </c>
      <c r="Q52" s="1"/>
      <c r="R52" s="6">
        <f t="shared" si="9"/>
        <v>0</v>
      </c>
      <c r="S52" s="9" t="e">
        <f t="shared" si="10"/>
        <v>#DIV/0!</v>
      </c>
      <c r="T52" s="9">
        <f t="shared" si="11"/>
        <v>0</v>
      </c>
      <c r="U52" s="9" t="e">
        <f>R52 / _xlfn.XLOOKUP(A52, Jungle!A:A, Jungle!AA:AA)</f>
        <v>#DIV/0!</v>
      </c>
    </row>
    <row r="53" spans="14:21" x14ac:dyDescent="0.25">
      <c r="N53" s="6"/>
      <c r="O53" s="7"/>
      <c r="P53" s="8">
        <f t="shared" si="8"/>
        <v>0</v>
      </c>
      <c r="Q53" s="1"/>
      <c r="R53" s="6">
        <f t="shared" si="9"/>
        <v>0</v>
      </c>
      <c r="S53" s="9" t="e">
        <f t="shared" si="10"/>
        <v>#DIV/0!</v>
      </c>
      <c r="T53" s="9">
        <f t="shared" si="11"/>
        <v>0</v>
      </c>
      <c r="U53" s="9" t="e">
        <f>R53 / _xlfn.XLOOKUP(A53, Jungle!A:A, Jungle!AA:AA)</f>
        <v>#DIV/0!</v>
      </c>
    </row>
    <row r="54" spans="14:21" x14ac:dyDescent="0.25">
      <c r="N54" s="6"/>
      <c r="O54" s="7"/>
      <c r="P54" s="8">
        <f t="shared" si="8"/>
        <v>0</v>
      </c>
      <c r="Q54" s="1"/>
      <c r="R54" s="6">
        <f t="shared" si="9"/>
        <v>0</v>
      </c>
      <c r="S54" s="9" t="e">
        <f t="shared" si="10"/>
        <v>#DIV/0!</v>
      </c>
      <c r="T54" s="9">
        <f t="shared" si="11"/>
        <v>0</v>
      </c>
      <c r="U54" s="9" t="e">
        <f>R54 / _xlfn.XLOOKUP(A54, Jungle!A:A, Jungle!AA:AA)</f>
        <v>#DIV/0!</v>
      </c>
    </row>
    <row r="55" spans="14:21" x14ac:dyDescent="0.25">
      <c r="N55" s="6"/>
      <c r="O55" s="7"/>
      <c r="P55" s="8">
        <f t="shared" si="8"/>
        <v>0</v>
      </c>
      <c r="Q55" s="1"/>
      <c r="R55" s="6">
        <f t="shared" si="9"/>
        <v>0</v>
      </c>
      <c r="S55" s="9" t="e">
        <f t="shared" si="10"/>
        <v>#DIV/0!</v>
      </c>
      <c r="T55" s="9">
        <f t="shared" si="11"/>
        <v>0</v>
      </c>
      <c r="U55" s="9" t="e">
        <f>R55 / _xlfn.XLOOKUP(A55, Jungle!A:A, Jungle!AA:AA)</f>
        <v>#DIV/0!</v>
      </c>
    </row>
    <row r="56" spans="14:21" x14ac:dyDescent="0.25">
      <c r="N56" s="6"/>
      <c r="O56" s="7"/>
      <c r="P56" s="8">
        <f t="shared" si="8"/>
        <v>0</v>
      </c>
      <c r="Q56" s="1"/>
      <c r="R56" s="6">
        <f t="shared" si="9"/>
        <v>0</v>
      </c>
      <c r="S56" s="9" t="e">
        <f t="shared" si="10"/>
        <v>#DIV/0!</v>
      </c>
      <c r="T56" s="9">
        <f t="shared" si="11"/>
        <v>0</v>
      </c>
      <c r="U56" s="9" t="e">
        <f>R56 / _xlfn.XLOOKUP(A56, Jungle!A:A, Jungle!AA:AA)</f>
        <v>#DIV/0!</v>
      </c>
    </row>
  </sheetData>
  <sortState xmlns:xlrd2="http://schemas.microsoft.com/office/spreadsheetml/2017/richdata2" ref="A3:U44">
    <sortCondition descending="1" ref="S3:S44"/>
  </sortState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5C58-C820-4BE2-92DF-0E06578EF8C0}">
  <sheetPr>
    <tabColor theme="6" tint="0.59999389629810485"/>
  </sheetPr>
  <dimension ref="A1:W55"/>
  <sheetViews>
    <sheetView workbookViewId="0">
      <selection activeCell="U3" sqref="U3:U32"/>
    </sheetView>
  </sheetViews>
  <sheetFormatPr baseColWidth="10" defaultRowHeight="15" x14ac:dyDescent="0.25"/>
  <sheetData>
    <row r="1" spans="1:23" ht="15.75" x14ac:dyDescent="0.25">
      <c r="A1" s="2" t="s">
        <v>104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87</v>
      </c>
      <c r="B3" s="6"/>
      <c r="C3" s="7"/>
      <c r="D3" s="8">
        <f t="shared" ref="D3:D32" si="0">B3*C3</f>
        <v>0</v>
      </c>
      <c r="E3" s="6"/>
      <c r="F3" s="7"/>
      <c r="G3" s="8">
        <f t="shared" ref="G3:G32" si="1">E3*F3</f>
        <v>0</v>
      </c>
      <c r="H3" s="6"/>
      <c r="I3" s="7"/>
      <c r="J3" s="8">
        <f t="shared" ref="J3:J32" si="2">H3*I3</f>
        <v>0</v>
      </c>
      <c r="K3" s="6"/>
      <c r="L3" s="7"/>
      <c r="M3" s="8">
        <f t="shared" ref="M3:M32" si="3">K3*L3</f>
        <v>0</v>
      </c>
      <c r="N3" s="6"/>
      <c r="O3" s="7"/>
      <c r="P3" s="8">
        <f t="shared" ref="P3:P32" si="4">N3*O3</f>
        <v>0</v>
      </c>
      <c r="Q3" s="1"/>
      <c r="R3" s="6">
        <f t="shared" ref="R3:R32" si="5">B3+E3+H3+K3+N3</f>
        <v>0</v>
      </c>
      <c r="S3" s="9" t="e">
        <f t="shared" ref="S3:S32" si="6">(D3+G3+J3+M3+P3)/R3</f>
        <v>#DIV/0!</v>
      </c>
      <c r="T3" s="9">
        <f t="shared" ref="T3:T32" si="7">R3/$V$3</f>
        <v>0</v>
      </c>
      <c r="U3" s="9">
        <f>R3 / _xlfn.XLOOKUP(A3, Jungle!A:A, Jungle!AA:AA)</f>
        <v>0</v>
      </c>
      <c r="V3" s="11">
        <f>SUM(R3:R69)</f>
        <v>217</v>
      </c>
      <c r="W3" s="12">
        <f>(SUM(D3:D99)+SUM(G3:G99)+SUM(J3:J99)+SUM(M3:M99)+SUM(P3:P99)) / V3</f>
        <v>0.39628110599078337</v>
      </c>
    </row>
    <row r="4" spans="1:23" x14ac:dyDescent="0.25">
      <c r="A4" s="1" t="s">
        <v>38</v>
      </c>
      <c r="B4" s="6">
        <v>1</v>
      </c>
      <c r="C4" s="7">
        <v>1</v>
      </c>
      <c r="D4" s="8">
        <f t="shared" si="0"/>
        <v>1</v>
      </c>
      <c r="E4" s="6"/>
      <c r="F4" s="7"/>
      <c r="G4" s="8">
        <f t="shared" si="1"/>
        <v>0</v>
      </c>
      <c r="H4" s="6"/>
      <c r="I4" s="7"/>
      <c r="J4" s="8">
        <f t="shared" si="2"/>
        <v>0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1</v>
      </c>
      <c r="S4" s="9">
        <f t="shared" si="6"/>
        <v>1</v>
      </c>
      <c r="T4" s="9">
        <f t="shared" si="7"/>
        <v>4.608294930875576E-3</v>
      </c>
      <c r="U4" s="9">
        <f>R4 / _xlfn.XLOOKUP(A4, Jungle!A:A, Jungle!AA:AA)</f>
        <v>6.6666666666666666E-2</v>
      </c>
      <c r="W4" s="1"/>
    </row>
    <row r="5" spans="1:23" x14ac:dyDescent="0.25">
      <c r="A5" s="1" t="s">
        <v>21</v>
      </c>
      <c r="B5" s="6"/>
      <c r="C5" s="7"/>
      <c r="D5" s="8">
        <f t="shared" si="0"/>
        <v>0</v>
      </c>
      <c r="E5" s="6">
        <v>1</v>
      </c>
      <c r="F5" s="7">
        <v>1</v>
      </c>
      <c r="G5" s="8">
        <f t="shared" si="1"/>
        <v>1</v>
      </c>
      <c r="H5" s="6"/>
      <c r="I5" s="7"/>
      <c r="J5" s="8">
        <f t="shared" si="2"/>
        <v>0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1</v>
      </c>
      <c r="S5" s="9">
        <f t="shared" si="6"/>
        <v>1</v>
      </c>
      <c r="T5" s="9">
        <f t="shared" si="7"/>
        <v>4.608294930875576E-3</v>
      </c>
      <c r="U5" s="9">
        <f>R5 / _xlfn.XLOOKUP(A5, Jungle!A:A, Jungle!AA:AA)</f>
        <v>0.1</v>
      </c>
      <c r="W5" s="1"/>
    </row>
    <row r="6" spans="1:23" x14ac:dyDescent="0.25">
      <c r="A6" s="23" t="s">
        <v>215</v>
      </c>
      <c r="B6" s="6"/>
      <c r="C6" s="7"/>
      <c r="D6" s="8">
        <f t="shared" si="0"/>
        <v>0</v>
      </c>
      <c r="E6" s="6"/>
      <c r="F6" s="7"/>
      <c r="G6" s="8">
        <f t="shared" si="1"/>
        <v>0</v>
      </c>
      <c r="H6" s="6"/>
      <c r="I6" s="7"/>
      <c r="J6" s="8">
        <f t="shared" si="2"/>
        <v>0</v>
      </c>
      <c r="K6" s="6">
        <v>3</v>
      </c>
      <c r="L6" s="7">
        <v>0.66700000000000004</v>
      </c>
      <c r="M6" s="8">
        <f t="shared" si="3"/>
        <v>2.0010000000000003</v>
      </c>
      <c r="N6" s="6"/>
      <c r="O6" s="7"/>
      <c r="P6" s="8">
        <f t="shared" si="4"/>
        <v>0</v>
      </c>
      <c r="Q6" s="1"/>
      <c r="R6" s="6">
        <f t="shared" si="5"/>
        <v>3</v>
      </c>
      <c r="S6" s="9">
        <f t="shared" si="6"/>
        <v>0.66700000000000015</v>
      </c>
      <c r="T6" s="9">
        <f t="shared" si="7"/>
        <v>1.3824884792626729E-2</v>
      </c>
      <c r="U6" s="9">
        <f>R6 / _xlfn.XLOOKUP(A6, Jungle!A:A, Jungle!AA:AA)</f>
        <v>0.21428571428571427</v>
      </c>
      <c r="V6" s="1"/>
      <c r="W6" s="1"/>
    </row>
    <row r="7" spans="1:23" x14ac:dyDescent="0.25">
      <c r="A7" s="1" t="s">
        <v>50</v>
      </c>
      <c r="B7" s="6">
        <v>2</v>
      </c>
      <c r="C7" s="7">
        <v>0.5</v>
      </c>
      <c r="D7" s="8">
        <f t="shared" si="0"/>
        <v>1</v>
      </c>
      <c r="E7" s="6"/>
      <c r="F7" s="7"/>
      <c r="G7" s="8">
        <f t="shared" si="1"/>
        <v>0</v>
      </c>
      <c r="H7" s="6"/>
      <c r="I7" s="7"/>
      <c r="J7" s="8">
        <f t="shared" si="2"/>
        <v>0</v>
      </c>
      <c r="K7" s="6">
        <v>1</v>
      </c>
      <c r="L7" s="7">
        <v>1</v>
      </c>
      <c r="M7" s="8">
        <f t="shared" si="3"/>
        <v>1</v>
      </c>
      <c r="N7" s="6"/>
      <c r="O7" s="7"/>
      <c r="P7" s="8">
        <f t="shared" si="4"/>
        <v>0</v>
      </c>
      <c r="Q7" s="1"/>
      <c r="R7" s="6">
        <f t="shared" si="5"/>
        <v>3</v>
      </c>
      <c r="S7" s="9">
        <f t="shared" si="6"/>
        <v>0.66666666666666663</v>
      </c>
      <c r="T7" s="9">
        <f t="shared" si="7"/>
        <v>1.3824884792626729E-2</v>
      </c>
      <c r="U7" s="9">
        <f>R7 / _xlfn.XLOOKUP(A7, Jungle!A:A, Jungle!AA:AA)</f>
        <v>0.375</v>
      </c>
      <c r="V7" s="1"/>
      <c r="W7" s="1"/>
    </row>
    <row r="8" spans="1:23" x14ac:dyDescent="0.25">
      <c r="A8" s="1" t="s">
        <v>30</v>
      </c>
      <c r="B8" s="6"/>
      <c r="C8" s="7"/>
      <c r="D8" s="8">
        <f t="shared" si="0"/>
        <v>0</v>
      </c>
      <c r="E8" s="6">
        <v>12</v>
      </c>
      <c r="F8" s="7">
        <v>0.41699999999999998</v>
      </c>
      <c r="G8" s="8">
        <f t="shared" si="1"/>
        <v>5.0039999999999996</v>
      </c>
      <c r="H8" s="6"/>
      <c r="I8" s="7"/>
      <c r="J8" s="8">
        <f t="shared" si="2"/>
        <v>0</v>
      </c>
      <c r="K8" s="6">
        <v>6</v>
      </c>
      <c r="L8" s="7">
        <v>0.83299999999999996</v>
      </c>
      <c r="M8" s="8">
        <f t="shared" si="3"/>
        <v>4.9979999999999993</v>
      </c>
      <c r="N8" s="6"/>
      <c r="O8" s="7"/>
      <c r="P8" s="8">
        <f t="shared" si="4"/>
        <v>0</v>
      </c>
      <c r="Q8" s="1"/>
      <c r="R8" s="6">
        <f t="shared" si="5"/>
        <v>18</v>
      </c>
      <c r="S8" s="9">
        <f t="shared" si="6"/>
        <v>0.55566666666666664</v>
      </c>
      <c r="T8" s="9">
        <f t="shared" si="7"/>
        <v>8.294930875576037E-2</v>
      </c>
      <c r="U8" s="9">
        <f>R8 / _xlfn.XLOOKUP(A8, Jungle!A:A, Jungle!AA:AA)</f>
        <v>4.488778054862843E-2</v>
      </c>
      <c r="V8" s="1"/>
      <c r="W8" s="1"/>
    </row>
    <row r="9" spans="1:23" x14ac:dyDescent="0.25">
      <c r="A9" s="23" t="s">
        <v>211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/>
      <c r="I9" s="7"/>
      <c r="J9" s="8">
        <f t="shared" si="2"/>
        <v>0</v>
      </c>
      <c r="K9" s="6">
        <v>4</v>
      </c>
      <c r="L9" s="7">
        <v>0.5</v>
      </c>
      <c r="M9" s="8">
        <f t="shared" si="3"/>
        <v>2</v>
      </c>
      <c r="N9" s="6"/>
      <c r="O9" s="7"/>
      <c r="P9" s="8">
        <f t="shared" si="4"/>
        <v>0</v>
      </c>
      <c r="Q9" s="1"/>
      <c r="R9" s="6">
        <f t="shared" si="5"/>
        <v>4</v>
      </c>
      <c r="S9" s="9">
        <f t="shared" si="6"/>
        <v>0.5</v>
      </c>
      <c r="T9" s="9">
        <f t="shared" si="7"/>
        <v>1.8433179723502304E-2</v>
      </c>
      <c r="U9" s="9">
        <f>R9 / _xlfn.XLOOKUP(A9, Jungle!A:A, Jungle!AA:AA)</f>
        <v>5.3333333333333337E-2</v>
      </c>
      <c r="V9" s="1"/>
      <c r="W9" s="1"/>
    </row>
    <row r="10" spans="1:23" x14ac:dyDescent="0.25">
      <c r="A10" s="1" t="s">
        <v>74</v>
      </c>
      <c r="B10" s="6">
        <v>2</v>
      </c>
      <c r="C10" s="7">
        <v>0.5</v>
      </c>
      <c r="D10" s="8">
        <f t="shared" si="0"/>
        <v>1</v>
      </c>
      <c r="E10" s="6"/>
      <c r="F10" s="7"/>
      <c r="G10" s="8">
        <f t="shared" si="1"/>
        <v>0</v>
      </c>
      <c r="H10" s="6"/>
      <c r="I10" s="7"/>
      <c r="J10" s="8">
        <f t="shared" si="2"/>
        <v>0</v>
      </c>
      <c r="K10" s="6"/>
      <c r="L10" s="7"/>
      <c r="M10" s="8">
        <f t="shared" si="3"/>
        <v>0</v>
      </c>
      <c r="N10" s="6"/>
      <c r="O10" s="7"/>
      <c r="P10" s="8">
        <f t="shared" si="4"/>
        <v>0</v>
      </c>
      <c r="Q10" s="1"/>
      <c r="R10" s="6">
        <f t="shared" si="5"/>
        <v>2</v>
      </c>
      <c r="S10" s="9">
        <f t="shared" si="6"/>
        <v>0.5</v>
      </c>
      <c r="T10" s="9">
        <f t="shared" si="7"/>
        <v>9.2165898617511521E-3</v>
      </c>
      <c r="U10" s="9">
        <f>R10 / _xlfn.XLOOKUP(A10, Jungle!A:A, Jungle!AA:AA)</f>
        <v>7.1428571428571425E-2</v>
      </c>
      <c r="V10" s="1"/>
      <c r="W10" s="1"/>
    </row>
    <row r="11" spans="1:23" x14ac:dyDescent="0.25">
      <c r="A11" s="1" t="s">
        <v>81</v>
      </c>
      <c r="B11" s="6"/>
      <c r="C11" s="7"/>
      <c r="D11" s="8">
        <f t="shared" si="0"/>
        <v>0</v>
      </c>
      <c r="E11" s="6">
        <v>2</v>
      </c>
      <c r="F11" s="7">
        <v>0.5</v>
      </c>
      <c r="G11" s="8">
        <f t="shared" si="1"/>
        <v>1</v>
      </c>
      <c r="H11" s="6"/>
      <c r="I11" s="7"/>
      <c r="J11" s="8">
        <f t="shared" si="2"/>
        <v>0</v>
      </c>
      <c r="K11" s="6"/>
      <c r="L11" s="7"/>
      <c r="M11" s="8">
        <f t="shared" si="3"/>
        <v>0</v>
      </c>
      <c r="N11" s="6"/>
      <c r="O11" s="7"/>
      <c r="P11" s="8">
        <f t="shared" si="4"/>
        <v>0</v>
      </c>
      <c r="Q11" s="1"/>
      <c r="R11" s="6">
        <f t="shared" si="5"/>
        <v>2</v>
      </c>
      <c r="S11" s="9">
        <f t="shared" si="6"/>
        <v>0.5</v>
      </c>
      <c r="T11" s="9">
        <f t="shared" si="7"/>
        <v>9.2165898617511521E-3</v>
      </c>
      <c r="U11" s="9">
        <f>R11 / _xlfn.XLOOKUP(A11, Jungle!A:A, Jungle!AA:AA)</f>
        <v>5.5555555555555552E-2</v>
      </c>
      <c r="V11" s="1"/>
      <c r="W11" s="1"/>
    </row>
    <row r="12" spans="1:23" x14ac:dyDescent="0.25">
      <c r="A12" s="1" t="s">
        <v>79</v>
      </c>
      <c r="B12" s="6"/>
      <c r="C12" s="7"/>
      <c r="D12" s="8">
        <f t="shared" si="0"/>
        <v>0</v>
      </c>
      <c r="E12" s="6">
        <v>2</v>
      </c>
      <c r="F12" s="7">
        <v>0.5</v>
      </c>
      <c r="G12" s="8">
        <f t="shared" si="1"/>
        <v>1</v>
      </c>
      <c r="H12" s="6"/>
      <c r="I12" s="7"/>
      <c r="J12" s="8">
        <f t="shared" si="2"/>
        <v>0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1"/>
      <c r="R12" s="6">
        <f t="shared" si="5"/>
        <v>2</v>
      </c>
      <c r="S12" s="9">
        <f t="shared" si="6"/>
        <v>0.5</v>
      </c>
      <c r="T12" s="9">
        <f t="shared" si="7"/>
        <v>9.2165898617511521E-3</v>
      </c>
      <c r="U12" s="9">
        <f>R12 / _xlfn.XLOOKUP(A12, Jungle!A:A, Jungle!AA:AA)</f>
        <v>0.04</v>
      </c>
      <c r="V12" s="1"/>
      <c r="W12" s="1"/>
    </row>
    <row r="13" spans="1:23" x14ac:dyDescent="0.25">
      <c r="A13" s="1" t="s">
        <v>90</v>
      </c>
      <c r="B13" s="6"/>
      <c r="C13" s="7"/>
      <c r="D13" s="8">
        <f t="shared" si="0"/>
        <v>0</v>
      </c>
      <c r="E13" s="6">
        <v>2</v>
      </c>
      <c r="F13" s="7">
        <v>0.5</v>
      </c>
      <c r="G13" s="8">
        <f t="shared" si="1"/>
        <v>1</v>
      </c>
      <c r="H13" s="6"/>
      <c r="I13" s="7"/>
      <c r="J13" s="8">
        <f t="shared" si="2"/>
        <v>0</v>
      </c>
      <c r="K13" s="6"/>
      <c r="L13" s="7"/>
      <c r="M13" s="8">
        <f t="shared" si="3"/>
        <v>0</v>
      </c>
      <c r="N13" s="6"/>
      <c r="O13" s="7"/>
      <c r="P13" s="8">
        <f t="shared" si="4"/>
        <v>0</v>
      </c>
      <c r="Q13" s="1"/>
      <c r="R13" s="6">
        <f t="shared" si="5"/>
        <v>2</v>
      </c>
      <c r="S13" s="9">
        <f t="shared" si="6"/>
        <v>0.5</v>
      </c>
      <c r="T13" s="9">
        <f t="shared" si="7"/>
        <v>9.2165898617511521E-3</v>
      </c>
      <c r="U13" s="9">
        <f>R13 / _xlfn.XLOOKUP(A13, Jungle!A:A, Jungle!AA:AA)</f>
        <v>0.22222222222222221</v>
      </c>
      <c r="V13" s="1"/>
      <c r="W13" s="1"/>
    </row>
    <row r="14" spans="1:23" x14ac:dyDescent="0.25">
      <c r="A14" s="1" t="s">
        <v>76</v>
      </c>
      <c r="B14" s="6"/>
      <c r="C14" s="7"/>
      <c r="D14" s="8">
        <f t="shared" si="0"/>
        <v>0</v>
      </c>
      <c r="E14" s="6">
        <v>1</v>
      </c>
      <c r="F14" s="7">
        <v>0</v>
      </c>
      <c r="G14" s="8">
        <f t="shared" si="1"/>
        <v>0</v>
      </c>
      <c r="H14" s="6"/>
      <c r="I14" s="7"/>
      <c r="J14" s="8">
        <f t="shared" si="2"/>
        <v>0</v>
      </c>
      <c r="K14" s="6">
        <v>1</v>
      </c>
      <c r="L14" s="7">
        <v>1</v>
      </c>
      <c r="M14" s="8">
        <f t="shared" si="3"/>
        <v>1</v>
      </c>
      <c r="N14" s="6"/>
      <c r="O14" s="7"/>
      <c r="P14" s="8">
        <f t="shared" si="4"/>
        <v>0</v>
      </c>
      <c r="Q14" s="1"/>
      <c r="R14" s="6">
        <f t="shared" si="5"/>
        <v>2</v>
      </c>
      <c r="S14" s="9">
        <f t="shared" si="6"/>
        <v>0.5</v>
      </c>
      <c r="T14" s="9">
        <f t="shared" si="7"/>
        <v>9.2165898617511521E-3</v>
      </c>
      <c r="U14" s="9">
        <f>R14 / _xlfn.XLOOKUP(A14, Jungle!A:A, Jungle!AA:AA)</f>
        <v>1.5037593984962405E-2</v>
      </c>
      <c r="V14" s="1"/>
      <c r="W14" s="1"/>
    </row>
    <row r="15" spans="1:23" x14ac:dyDescent="0.25">
      <c r="A15" s="1" t="s">
        <v>45</v>
      </c>
      <c r="B15" s="6">
        <v>1</v>
      </c>
      <c r="C15" s="7">
        <v>1</v>
      </c>
      <c r="D15" s="8">
        <f t="shared" si="0"/>
        <v>1</v>
      </c>
      <c r="E15" s="6"/>
      <c r="F15" s="7"/>
      <c r="G15" s="8">
        <f t="shared" si="1"/>
        <v>0</v>
      </c>
      <c r="H15" s="6"/>
      <c r="I15" s="7"/>
      <c r="J15" s="8">
        <f t="shared" si="2"/>
        <v>0</v>
      </c>
      <c r="K15" s="6">
        <v>3</v>
      </c>
      <c r="L15" s="7">
        <v>0.33300000000000002</v>
      </c>
      <c r="M15" s="8">
        <f t="shared" si="3"/>
        <v>0.99900000000000011</v>
      </c>
      <c r="N15" s="6"/>
      <c r="O15" s="7"/>
      <c r="P15" s="8">
        <f t="shared" si="4"/>
        <v>0</v>
      </c>
      <c r="Q15" s="13"/>
      <c r="R15" s="6">
        <f t="shared" si="5"/>
        <v>4</v>
      </c>
      <c r="S15" s="9">
        <f t="shared" si="6"/>
        <v>0.49975000000000003</v>
      </c>
      <c r="T15" s="9">
        <f t="shared" si="7"/>
        <v>1.8433179723502304E-2</v>
      </c>
      <c r="U15" s="9">
        <f>R15 / _xlfn.XLOOKUP(A15, Jungle!A:A, Jungle!AA:AA)</f>
        <v>1.6597510373443983E-2</v>
      </c>
      <c r="V15" s="1"/>
      <c r="W15" s="1"/>
    </row>
    <row r="16" spans="1:23" x14ac:dyDescent="0.25">
      <c r="A16" s="1" t="s">
        <v>31</v>
      </c>
      <c r="B16" s="6">
        <v>11</v>
      </c>
      <c r="C16" s="7">
        <v>0.63600000000000001</v>
      </c>
      <c r="D16" s="8">
        <f t="shared" si="0"/>
        <v>6.9960000000000004</v>
      </c>
      <c r="E16" s="6">
        <v>2</v>
      </c>
      <c r="F16" s="7">
        <v>0</v>
      </c>
      <c r="G16" s="8">
        <f t="shared" si="1"/>
        <v>0</v>
      </c>
      <c r="H16" s="6"/>
      <c r="I16" s="7"/>
      <c r="J16" s="8">
        <f t="shared" si="2"/>
        <v>0</v>
      </c>
      <c r="K16" s="6">
        <v>1</v>
      </c>
      <c r="L16" s="7">
        <v>0</v>
      </c>
      <c r="M16" s="8">
        <f t="shared" si="3"/>
        <v>0</v>
      </c>
      <c r="N16" s="6"/>
      <c r="O16" s="7"/>
      <c r="P16" s="8">
        <f t="shared" si="4"/>
        <v>0</v>
      </c>
      <c r="Q16" s="4"/>
      <c r="R16" s="6">
        <f t="shared" si="5"/>
        <v>14</v>
      </c>
      <c r="S16" s="9">
        <f t="shared" si="6"/>
        <v>0.49971428571428572</v>
      </c>
      <c r="T16" s="9">
        <f t="shared" si="7"/>
        <v>6.4516129032258063E-2</v>
      </c>
      <c r="U16" s="9">
        <f>R16 / _xlfn.XLOOKUP(A16, Jungle!A:A, Jungle!AA:AA)</f>
        <v>5.3435114503816793E-2</v>
      </c>
      <c r="V16" s="1"/>
      <c r="W16" s="1"/>
    </row>
    <row r="17" spans="1:23" x14ac:dyDescent="0.25">
      <c r="A17" s="1" t="s">
        <v>71</v>
      </c>
      <c r="B17" s="6">
        <v>11</v>
      </c>
      <c r="C17" s="7">
        <v>0.45500000000000002</v>
      </c>
      <c r="D17" s="8">
        <f t="shared" si="0"/>
        <v>5.0049999999999999</v>
      </c>
      <c r="E17" s="6">
        <v>6</v>
      </c>
      <c r="F17" s="7">
        <v>0.16700000000000001</v>
      </c>
      <c r="G17" s="8">
        <f t="shared" si="1"/>
        <v>1.002</v>
      </c>
      <c r="H17" s="6"/>
      <c r="I17" s="7"/>
      <c r="J17" s="8">
        <f t="shared" si="2"/>
        <v>0</v>
      </c>
      <c r="K17" s="6">
        <v>10</v>
      </c>
      <c r="L17" s="7">
        <v>0.6</v>
      </c>
      <c r="M17" s="8">
        <f t="shared" si="3"/>
        <v>6</v>
      </c>
      <c r="N17" s="6"/>
      <c r="O17" s="7"/>
      <c r="P17" s="8">
        <f t="shared" si="4"/>
        <v>0</v>
      </c>
      <c r="Q17" s="1"/>
      <c r="R17" s="6">
        <f t="shared" si="5"/>
        <v>27</v>
      </c>
      <c r="S17" s="9">
        <f t="shared" si="6"/>
        <v>0.44470370370370371</v>
      </c>
      <c r="T17" s="9">
        <f t="shared" si="7"/>
        <v>0.12442396313364056</v>
      </c>
      <c r="U17" s="9">
        <f>R17 / _xlfn.XLOOKUP(A17, Jungle!A:A, Jungle!AA:AA)</f>
        <v>4.8736462093862815E-2</v>
      </c>
      <c r="V17" s="1"/>
      <c r="W17" s="1"/>
    </row>
    <row r="18" spans="1:23" x14ac:dyDescent="0.25">
      <c r="A18" s="1" t="s">
        <v>67</v>
      </c>
      <c r="B18" s="6">
        <v>18</v>
      </c>
      <c r="C18" s="7">
        <v>0.44400000000000001</v>
      </c>
      <c r="D18" s="8">
        <f t="shared" si="0"/>
        <v>7.992</v>
      </c>
      <c r="E18" s="6"/>
      <c r="F18" s="7"/>
      <c r="G18" s="8">
        <f t="shared" si="1"/>
        <v>0</v>
      </c>
      <c r="H18" s="6"/>
      <c r="I18" s="7"/>
      <c r="J18" s="8">
        <f t="shared" si="2"/>
        <v>0</v>
      </c>
      <c r="K18" s="6">
        <v>8</v>
      </c>
      <c r="L18" s="7">
        <v>0.375</v>
      </c>
      <c r="M18" s="8">
        <f t="shared" si="3"/>
        <v>3</v>
      </c>
      <c r="N18" s="6"/>
      <c r="O18" s="7"/>
      <c r="P18" s="8">
        <f t="shared" si="4"/>
        <v>0</v>
      </c>
      <c r="Q18" s="4"/>
      <c r="R18" s="6">
        <f t="shared" si="5"/>
        <v>26</v>
      </c>
      <c r="S18" s="9">
        <f t="shared" si="6"/>
        <v>0.42276923076923079</v>
      </c>
      <c r="T18" s="9">
        <f t="shared" si="7"/>
        <v>0.11981566820276497</v>
      </c>
      <c r="U18" s="9">
        <f>R18 / _xlfn.XLOOKUP(A18, Jungle!A:A, Jungle!AA:AA)</f>
        <v>0.1326530612244898</v>
      </c>
      <c r="V18" s="1"/>
      <c r="W18" s="1"/>
    </row>
    <row r="19" spans="1:23" x14ac:dyDescent="0.25">
      <c r="A19" s="1" t="s">
        <v>70</v>
      </c>
      <c r="B19" s="6">
        <v>6</v>
      </c>
      <c r="C19" s="7">
        <v>0.5</v>
      </c>
      <c r="D19" s="8">
        <f t="shared" si="0"/>
        <v>3</v>
      </c>
      <c r="E19" s="6"/>
      <c r="F19" s="7"/>
      <c r="G19" s="8">
        <f t="shared" si="1"/>
        <v>0</v>
      </c>
      <c r="H19" s="6"/>
      <c r="I19" s="7"/>
      <c r="J19" s="8">
        <f t="shared" si="2"/>
        <v>0</v>
      </c>
      <c r="K19" s="6">
        <v>7</v>
      </c>
      <c r="L19" s="7">
        <v>0.28599999999999998</v>
      </c>
      <c r="M19" s="8">
        <f t="shared" si="3"/>
        <v>2.0019999999999998</v>
      </c>
      <c r="N19" s="6"/>
      <c r="O19" s="7"/>
      <c r="P19" s="8">
        <f t="shared" si="4"/>
        <v>0</v>
      </c>
      <c r="Q19" s="1"/>
      <c r="R19" s="6">
        <f t="shared" si="5"/>
        <v>13</v>
      </c>
      <c r="S19" s="9">
        <f t="shared" si="6"/>
        <v>0.38476923076923075</v>
      </c>
      <c r="T19" s="9">
        <f t="shared" si="7"/>
        <v>5.9907834101382486E-2</v>
      </c>
      <c r="U19" s="9">
        <f>R19 / _xlfn.XLOOKUP(A19, Jungle!A:A, Jungle!AA:AA)</f>
        <v>2.6156941649899398E-2</v>
      </c>
      <c r="V19" s="1"/>
      <c r="W19" s="1"/>
    </row>
    <row r="20" spans="1:23" x14ac:dyDescent="0.25">
      <c r="A20" s="1" t="s">
        <v>73</v>
      </c>
      <c r="B20" s="6">
        <v>12</v>
      </c>
      <c r="C20" s="7">
        <v>0.66700000000000004</v>
      </c>
      <c r="D20" s="8">
        <f t="shared" si="0"/>
        <v>8.0040000000000013</v>
      </c>
      <c r="E20" s="6">
        <v>8</v>
      </c>
      <c r="F20" s="7">
        <v>0</v>
      </c>
      <c r="G20" s="8">
        <f t="shared" si="1"/>
        <v>0</v>
      </c>
      <c r="H20" s="6"/>
      <c r="I20" s="7"/>
      <c r="J20" s="8">
        <f t="shared" si="2"/>
        <v>0</v>
      </c>
      <c r="K20" s="6">
        <v>6</v>
      </c>
      <c r="L20" s="7">
        <v>0.33300000000000002</v>
      </c>
      <c r="M20" s="8">
        <f t="shared" si="3"/>
        <v>1.9980000000000002</v>
      </c>
      <c r="N20" s="6"/>
      <c r="O20" s="7"/>
      <c r="P20" s="8">
        <f t="shared" si="4"/>
        <v>0</v>
      </c>
      <c r="Q20" s="1"/>
      <c r="R20" s="6">
        <f t="shared" si="5"/>
        <v>26</v>
      </c>
      <c r="S20" s="9">
        <f t="shared" si="6"/>
        <v>0.38469230769230778</v>
      </c>
      <c r="T20" s="9">
        <f t="shared" si="7"/>
        <v>0.11981566820276497</v>
      </c>
      <c r="U20" s="9">
        <f>R20 / _xlfn.XLOOKUP(A20, Jungle!A:A, Jungle!AA:AA)</f>
        <v>4.6762589928057555E-2</v>
      </c>
      <c r="V20" s="1"/>
      <c r="W20" s="1"/>
    </row>
    <row r="21" spans="1:23" x14ac:dyDescent="0.25">
      <c r="A21" s="1" t="s">
        <v>57</v>
      </c>
      <c r="B21" s="6">
        <v>15</v>
      </c>
      <c r="C21" s="7">
        <v>0.33300000000000002</v>
      </c>
      <c r="D21" s="8">
        <f t="shared" si="0"/>
        <v>4.9950000000000001</v>
      </c>
      <c r="E21" s="6">
        <v>2</v>
      </c>
      <c r="F21" s="7">
        <v>0.5</v>
      </c>
      <c r="G21" s="8">
        <f t="shared" si="1"/>
        <v>1</v>
      </c>
      <c r="H21" s="6"/>
      <c r="I21" s="7"/>
      <c r="J21" s="8">
        <f t="shared" si="2"/>
        <v>0</v>
      </c>
      <c r="K21" s="6"/>
      <c r="L21" s="7"/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17</v>
      </c>
      <c r="S21" s="9">
        <f t="shared" si="6"/>
        <v>0.35264705882352942</v>
      </c>
      <c r="T21" s="9">
        <f t="shared" si="7"/>
        <v>7.8341013824884786E-2</v>
      </c>
      <c r="U21" s="9">
        <f>R21 / _xlfn.XLOOKUP(A21, Jungle!A:A, Jungle!AA:AA)</f>
        <v>3.8202247191011236E-2</v>
      </c>
      <c r="V21" s="1"/>
      <c r="W21" s="1"/>
    </row>
    <row r="22" spans="1:23" x14ac:dyDescent="0.25">
      <c r="A22" s="1" t="s">
        <v>58</v>
      </c>
      <c r="B22" s="6">
        <v>2</v>
      </c>
      <c r="C22" s="7">
        <v>0.5</v>
      </c>
      <c r="D22" s="8">
        <f t="shared" si="0"/>
        <v>1</v>
      </c>
      <c r="E22" s="6">
        <v>1</v>
      </c>
      <c r="F22" s="7">
        <v>0</v>
      </c>
      <c r="G22" s="8">
        <f t="shared" si="1"/>
        <v>0</v>
      </c>
      <c r="H22" s="6"/>
      <c r="I22" s="7"/>
      <c r="J22" s="8">
        <f t="shared" si="2"/>
        <v>0</v>
      </c>
      <c r="K22" s="6"/>
      <c r="L22" s="7"/>
      <c r="M22" s="8">
        <f t="shared" si="3"/>
        <v>0</v>
      </c>
      <c r="N22" s="6"/>
      <c r="O22" s="7"/>
      <c r="P22" s="8">
        <f t="shared" si="4"/>
        <v>0</v>
      </c>
      <c r="Q22" s="4"/>
      <c r="R22" s="6">
        <f t="shared" si="5"/>
        <v>3</v>
      </c>
      <c r="S22" s="9">
        <f t="shared" si="6"/>
        <v>0.33333333333333331</v>
      </c>
      <c r="T22" s="9">
        <f t="shared" si="7"/>
        <v>1.3824884792626729E-2</v>
      </c>
      <c r="U22" s="9">
        <f>R22 / _xlfn.XLOOKUP(A22, Jungle!A:A, Jungle!AA:AA)</f>
        <v>6.5217391304347824E-2</v>
      </c>
      <c r="V22" s="1"/>
      <c r="W22" s="1"/>
    </row>
    <row r="23" spans="1:23" x14ac:dyDescent="0.25">
      <c r="A23" s="1" t="s">
        <v>75</v>
      </c>
      <c r="B23" s="6">
        <v>3</v>
      </c>
      <c r="C23" s="7">
        <v>0.33300000000000002</v>
      </c>
      <c r="D23" s="8">
        <f t="shared" si="0"/>
        <v>0.99900000000000011</v>
      </c>
      <c r="E23" s="6"/>
      <c r="F23" s="7"/>
      <c r="G23" s="8">
        <f t="shared" si="1"/>
        <v>0</v>
      </c>
      <c r="H23" s="6"/>
      <c r="I23" s="7"/>
      <c r="J23" s="8">
        <f t="shared" si="2"/>
        <v>0</v>
      </c>
      <c r="K23" s="6"/>
      <c r="L23" s="7"/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3</v>
      </c>
      <c r="S23" s="9">
        <f t="shared" si="6"/>
        <v>0.33300000000000002</v>
      </c>
      <c r="T23" s="9">
        <f t="shared" si="7"/>
        <v>1.3824884792626729E-2</v>
      </c>
      <c r="U23" s="9">
        <f>R23 / _xlfn.XLOOKUP(A23, Jungle!A:A, Jungle!AA:AA)</f>
        <v>4.9180327868852458E-2</v>
      </c>
      <c r="V23" s="1"/>
      <c r="W23" s="1"/>
    </row>
    <row r="24" spans="1:23" x14ac:dyDescent="0.25">
      <c r="A24" s="1" t="s">
        <v>26</v>
      </c>
      <c r="B24" s="6">
        <v>3</v>
      </c>
      <c r="C24" s="7">
        <v>0.33300000000000002</v>
      </c>
      <c r="D24" s="8">
        <f t="shared" si="0"/>
        <v>0.99900000000000011</v>
      </c>
      <c r="E24" s="6">
        <v>10</v>
      </c>
      <c r="F24" s="7">
        <v>0.3</v>
      </c>
      <c r="G24" s="8">
        <f t="shared" si="1"/>
        <v>3</v>
      </c>
      <c r="H24" s="6"/>
      <c r="I24" s="7"/>
      <c r="J24" s="8">
        <f t="shared" si="2"/>
        <v>0</v>
      </c>
      <c r="K24" s="6">
        <v>3</v>
      </c>
      <c r="L24" s="7">
        <v>0.33300000000000002</v>
      </c>
      <c r="M24" s="8">
        <f t="shared" si="3"/>
        <v>0.99900000000000011</v>
      </c>
      <c r="N24" s="6"/>
      <c r="O24" s="7"/>
      <c r="P24" s="8">
        <f t="shared" si="4"/>
        <v>0</v>
      </c>
      <c r="Q24" s="1"/>
      <c r="R24" s="6">
        <f t="shared" si="5"/>
        <v>16</v>
      </c>
      <c r="S24" s="9">
        <f t="shared" si="6"/>
        <v>0.31237500000000001</v>
      </c>
      <c r="T24" s="9">
        <f t="shared" si="7"/>
        <v>7.3732718894009217E-2</v>
      </c>
      <c r="U24" s="9">
        <f>R24 / _xlfn.XLOOKUP(A24, Jungle!A:A, Jungle!AA:AA)</f>
        <v>2.5196850393700787E-2</v>
      </c>
      <c r="V24" s="1"/>
      <c r="W24" s="1"/>
    </row>
    <row r="25" spans="1:23" x14ac:dyDescent="0.25">
      <c r="A25" s="1" t="s">
        <v>72</v>
      </c>
      <c r="B25" s="6"/>
      <c r="C25" s="7"/>
      <c r="D25" s="8">
        <f t="shared" si="0"/>
        <v>0</v>
      </c>
      <c r="E25" s="6">
        <v>5</v>
      </c>
      <c r="F25" s="7">
        <v>0.2</v>
      </c>
      <c r="G25" s="8">
        <f t="shared" si="1"/>
        <v>1</v>
      </c>
      <c r="H25" s="6"/>
      <c r="I25" s="7"/>
      <c r="J25" s="8">
        <f t="shared" si="2"/>
        <v>0</v>
      </c>
      <c r="K25" s="6">
        <v>4</v>
      </c>
      <c r="L25" s="7">
        <v>0.25</v>
      </c>
      <c r="M25" s="8">
        <f t="shared" si="3"/>
        <v>1</v>
      </c>
      <c r="N25" s="6"/>
      <c r="O25" s="7"/>
      <c r="P25" s="8">
        <f t="shared" si="4"/>
        <v>0</v>
      </c>
      <c r="Q25" s="4"/>
      <c r="R25" s="6">
        <f t="shared" si="5"/>
        <v>9</v>
      </c>
      <c r="S25" s="9">
        <f t="shared" si="6"/>
        <v>0.22222222222222221</v>
      </c>
      <c r="T25" s="9">
        <f t="shared" si="7"/>
        <v>4.1474654377880185E-2</v>
      </c>
      <c r="U25" s="9">
        <f>R25 / _xlfn.XLOOKUP(A25, Jungle!A:A, Jungle!AA:AA)</f>
        <v>4.9723756906077346E-2</v>
      </c>
      <c r="V25" s="1"/>
      <c r="W25" s="1"/>
    </row>
    <row r="26" spans="1:23" x14ac:dyDescent="0.25">
      <c r="A26" s="1" t="s">
        <v>69</v>
      </c>
      <c r="B26" s="6">
        <v>5</v>
      </c>
      <c r="C26" s="7">
        <v>0.2</v>
      </c>
      <c r="D26" s="8">
        <f t="shared" si="0"/>
        <v>1</v>
      </c>
      <c r="E26" s="6">
        <v>5</v>
      </c>
      <c r="F26" s="7">
        <v>0</v>
      </c>
      <c r="G26" s="8">
        <f t="shared" si="1"/>
        <v>0</v>
      </c>
      <c r="H26" s="6"/>
      <c r="I26" s="7"/>
      <c r="J26" s="8">
        <f t="shared" si="2"/>
        <v>0</v>
      </c>
      <c r="K26" s="6"/>
      <c r="L26" s="7"/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10</v>
      </c>
      <c r="S26" s="9">
        <f t="shared" si="6"/>
        <v>0.1</v>
      </c>
      <c r="T26" s="9">
        <f t="shared" si="7"/>
        <v>4.6082949308755762E-2</v>
      </c>
      <c r="U26" s="9">
        <f>R26 / _xlfn.XLOOKUP(A26, Jungle!A:A, Jungle!AA:AA)</f>
        <v>2.2271714922048998E-2</v>
      </c>
      <c r="V26" s="1"/>
      <c r="W26" s="1"/>
    </row>
    <row r="27" spans="1:23" x14ac:dyDescent="0.25">
      <c r="A27" s="1" t="s">
        <v>77</v>
      </c>
      <c r="B27" s="6"/>
      <c r="C27" s="7"/>
      <c r="D27" s="8">
        <f t="shared" si="0"/>
        <v>0</v>
      </c>
      <c r="E27" s="6"/>
      <c r="F27" s="7"/>
      <c r="G27" s="8">
        <f t="shared" si="1"/>
        <v>0</v>
      </c>
      <c r="H27" s="6"/>
      <c r="I27" s="7"/>
      <c r="J27" s="8">
        <f t="shared" si="2"/>
        <v>0</v>
      </c>
      <c r="K27" s="6">
        <v>4</v>
      </c>
      <c r="L27" s="7">
        <v>0</v>
      </c>
      <c r="M27" s="8">
        <f t="shared" si="3"/>
        <v>0</v>
      </c>
      <c r="N27" s="6"/>
      <c r="O27" s="7"/>
      <c r="P27" s="8">
        <f t="shared" si="4"/>
        <v>0</v>
      </c>
      <c r="Q27" s="1"/>
      <c r="R27" s="6">
        <f t="shared" si="5"/>
        <v>4</v>
      </c>
      <c r="S27" s="9">
        <f t="shared" si="6"/>
        <v>0</v>
      </c>
      <c r="T27" s="9">
        <f t="shared" si="7"/>
        <v>1.8433179723502304E-2</v>
      </c>
      <c r="U27" s="9">
        <f>R27 / _xlfn.XLOOKUP(A27, Jungle!A:A, Jungle!AA:AA)</f>
        <v>2.9197080291970802E-2</v>
      </c>
      <c r="V27" s="1"/>
      <c r="W27" s="1"/>
    </row>
    <row r="28" spans="1:23" x14ac:dyDescent="0.25">
      <c r="A28" s="1" t="s">
        <v>82</v>
      </c>
      <c r="B28" s="6"/>
      <c r="C28" s="7"/>
      <c r="D28" s="8">
        <f t="shared" si="0"/>
        <v>0</v>
      </c>
      <c r="E28" s="6">
        <v>1</v>
      </c>
      <c r="F28" s="7">
        <v>0</v>
      </c>
      <c r="G28" s="8">
        <f t="shared" si="1"/>
        <v>0</v>
      </c>
      <c r="H28" s="6"/>
      <c r="I28" s="7"/>
      <c r="J28" s="8">
        <f t="shared" si="2"/>
        <v>0</v>
      </c>
      <c r="K28" s="6"/>
      <c r="L28" s="7"/>
      <c r="M28" s="8">
        <f t="shared" si="3"/>
        <v>0</v>
      </c>
      <c r="N28" s="6"/>
      <c r="O28" s="7"/>
      <c r="P28" s="8">
        <f t="shared" si="4"/>
        <v>0</v>
      </c>
      <c r="Q28" s="1"/>
      <c r="R28" s="6">
        <f t="shared" si="5"/>
        <v>1</v>
      </c>
      <c r="S28" s="9">
        <f t="shared" si="6"/>
        <v>0</v>
      </c>
      <c r="T28" s="9">
        <f t="shared" si="7"/>
        <v>4.608294930875576E-3</v>
      </c>
      <c r="U28" s="9">
        <f>R28 / _xlfn.XLOOKUP(A28, Jungle!A:A, Jungle!AA:AA)</f>
        <v>1.5873015873015872E-2</v>
      </c>
      <c r="V28" s="1"/>
      <c r="W28" s="1"/>
    </row>
    <row r="29" spans="1:23" x14ac:dyDescent="0.25">
      <c r="A29" s="1" t="s">
        <v>83</v>
      </c>
      <c r="B29" s="6"/>
      <c r="C29" s="7"/>
      <c r="D29" s="8">
        <f t="shared" si="0"/>
        <v>0</v>
      </c>
      <c r="E29" s="6"/>
      <c r="F29" s="7"/>
      <c r="G29" s="8">
        <f t="shared" si="1"/>
        <v>0</v>
      </c>
      <c r="H29" s="6"/>
      <c r="I29" s="7"/>
      <c r="J29" s="8">
        <f t="shared" si="2"/>
        <v>0</v>
      </c>
      <c r="K29" s="6">
        <v>1</v>
      </c>
      <c r="L29" s="7">
        <v>0</v>
      </c>
      <c r="M29" s="8">
        <f t="shared" si="3"/>
        <v>0</v>
      </c>
      <c r="N29" s="6"/>
      <c r="O29" s="7"/>
      <c r="P29" s="8">
        <f t="shared" si="4"/>
        <v>0</v>
      </c>
      <c r="Q29" s="1"/>
      <c r="R29" s="6">
        <f t="shared" si="5"/>
        <v>1</v>
      </c>
      <c r="S29" s="9">
        <f t="shared" si="6"/>
        <v>0</v>
      </c>
      <c r="T29" s="9">
        <f t="shared" si="7"/>
        <v>4.608294930875576E-3</v>
      </c>
      <c r="U29" s="9">
        <f>R29 / _xlfn.XLOOKUP(A29, Jungle!A:A, Jungle!AA:AA)</f>
        <v>1.2195121951219513E-2</v>
      </c>
      <c r="V29" s="1"/>
      <c r="W29" s="1"/>
    </row>
    <row r="30" spans="1:23" x14ac:dyDescent="0.25">
      <c r="A30" s="1" t="s">
        <v>95</v>
      </c>
      <c r="B30" s="6"/>
      <c r="C30" s="7"/>
      <c r="D30" s="8">
        <f t="shared" si="0"/>
        <v>0</v>
      </c>
      <c r="E30" s="6"/>
      <c r="F30" s="7"/>
      <c r="G30" s="8">
        <f t="shared" si="1"/>
        <v>0</v>
      </c>
      <c r="H30" s="6"/>
      <c r="I30" s="7"/>
      <c r="J30" s="8">
        <f t="shared" si="2"/>
        <v>0</v>
      </c>
      <c r="K30" s="6">
        <v>1</v>
      </c>
      <c r="L30" s="7">
        <v>0</v>
      </c>
      <c r="M30" s="8">
        <f t="shared" si="3"/>
        <v>0</v>
      </c>
      <c r="N30" s="6"/>
      <c r="O30" s="7"/>
      <c r="P30" s="8">
        <f t="shared" si="4"/>
        <v>0</v>
      </c>
      <c r="Q30" s="1"/>
      <c r="R30" s="6">
        <f t="shared" si="5"/>
        <v>1</v>
      </c>
      <c r="S30" s="9">
        <f t="shared" si="6"/>
        <v>0</v>
      </c>
      <c r="T30" s="9">
        <f t="shared" si="7"/>
        <v>4.608294930875576E-3</v>
      </c>
      <c r="U30" s="9">
        <f>R30 / _xlfn.XLOOKUP(A30, Jungle!A:A, Jungle!AA:AA)</f>
        <v>5.9880239520958087E-3</v>
      </c>
      <c r="V30" s="1"/>
      <c r="W30" s="1"/>
    </row>
    <row r="31" spans="1:23" x14ac:dyDescent="0.25">
      <c r="A31" s="1" t="s">
        <v>40</v>
      </c>
      <c r="B31" s="6">
        <v>1</v>
      </c>
      <c r="C31" s="7">
        <v>0</v>
      </c>
      <c r="D31" s="8">
        <f t="shared" si="0"/>
        <v>0</v>
      </c>
      <c r="E31" s="6"/>
      <c r="F31" s="7"/>
      <c r="G31" s="8">
        <f t="shared" si="1"/>
        <v>0</v>
      </c>
      <c r="H31" s="6"/>
      <c r="I31" s="7"/>
      <c r="J31" s="8">
        <f t="shared" si="2"/>
        <v>0</v>
      </c>
      <c r="K31" s="6"/>
      <c r="L31" s="7"/>
      <c r="M31" s="8">
        <f t="shared" si="3"/>
        <v>0</v>
      </c>
      <c r="N31" s="6"/>
      <c r="O31" s="7"/>
      <c r="P31" s="8">
        <f t="shared" si="4"/>
        <v>0</v>
      </c>
      <c r="Q31" s="1"/>
      <c r="R31" s="6">
        <f t="shared" si="5"/>
        <v>1</v>
      </c>
      <c r="S31" s="9">
        <f t="shared" si="6"/>
        <v>0</v>
      </c>
      <c r="T31" s="9">
        <f t="shared" si="7"/>
        <v>4.608294930875576E-3</v>
      </c>
      <c r="U31" s="9">
        <f>R31 / _xlfn.XLOOKUP(A31, Jungle!A:A, Jungle!AA:AA)</f>
        <v>1</v>
      </c>
      <c r="V31" s="1"/>
      <c r="W31" s="1"/>
    </row>
    <row r="32" spans="1:23" x14ac:dyDescent="0.25">
      <c r="A32" s="23" t="s">
        <v>32</v>
      </c>
      <c r="B32" s="6"/>
      <c r="C32" s="7"/>
      <c r="D32" s="8">
        <f t="shared" si="0"/>
        <v>0</v>
      </c>
      <c r="E32" s="6"/>
      <c r="F32" s="7"/>
      <c r="G32" s="8">
        <f t="shared" si="1"/>
        <v>0</v>
      </c>
      <c r="H32" s="6"/>
      <c r="I32" s="7"/>
      <c r="J32" s="8">
        <f t="shared" si="2"/>
        <v>0</v>
      </c>
      <c r="K32" s="6">
        <v>1</v>
      </c>
      <c r="L32" s="7">
        <v>0</v>
      </c>
      <c r="M32" s="8">
        <f t="shared" si="3"/>
        <v>0</v>
      </c>
      <c r="N32" s="6"/>
      <c r="O32" s="7"/>
      <c r="P32" s="8">
        <f t="shared" si="4"/>
        <v>0</v>
      </c>
      <c r="Q32" s="1"/>
      <c r="R32" s="6">
        <f t="shared" si="5"/>
        <v>1</v>
      </c>
      <c r="S32" s="9">
        <f t="shared" si="6"/>
        <v>0</v>
      </c>
      <c r="T32" s="9">
        <f t="shared" si="7"/>
        <v>4.608294930875576E-3</v>
      </c>
      <c r="U32" s="9">
        <f>R32 / _xlfn.XLOOKUP(A32, Jungle!A:A, Jungle!AA:AA)</f>
        <v>0.125</v>
      </c>
      <c r="V32" s="1"/>
      <c r="W32" s="1"/>
    </row>
    <row r="33" spans="14:23" x14ac:dyDescent="0.25">
      <c r="N33" s="6"/>
      <c r="O33" s="7"/>
      <c r="P33" s="8">
        <f t="shared" ref="P33" si="8">N33*O33</f>
        <v>0</v>
      </c>
      <c r="Q33" s="1"/>
      <c r="R33" s="6">
        <f t="shared" ref="R33" si="9">B33+E33+H33+K33+N33</f>
        <v>0</v>
      </c>
      <c r="S33" s="9" t="e">
        <f t="shared" ref="S33" si="10">(D33+G33+J33+M33+P33)/R33</f>
        <v>#DIV/0!</v>
      </c>
      <c r="T33" s="9">
        <f t="shared" ref="T33" si="11">R33/$V$3</f>
        <v>0</v>
      </c>
      <c r="U33" s="9" t="e">
        <f>R33 / _xlfn.XLOOKUP(A33, Jungle!A:A, Jungle!AA:AA)</f>
        <v>#DIV/0!</v>
      </c>
      <c r="V33" s="1"/>
      <c r="W33" s="1"/>
    </row>
    <row r="34" spans="14:23" x14ac:dyDescent="0.25">
      <c r="N34" s="6"/>
      <c r="O34" s="7"/>
      <c r="P34" s="8">
        <f t="shared" ref="P34:P55" si="12">N34*O34</f>
        <v>0</v>
      </c>
      <c r="Q34" s="1"/>
      <c r="R34" s="6">
        <f t="shared" ref="R34:R55" si="13">B34+E34+H34+K34+N34</f>
        <v>0</v>
      </c>
      <c r="S34" s="9" t="e">
        <f t="shared" ref="S34:S55" si="14">(D34+G34+J34+M34+P34)/R34</f>
        <v>#DIV/0!</v>
      </c>
      <c r="T34" s="9">
        <f t="shared" ref="T34:T55" si="15">R34/$V$3</f>
        <v>0</v>
      </c>
      <c r="U34" s="9" t="e">
        <f>R34 / _xlfn.XLOOKUP(A34, Jungle!A:A, Jungle!AA:AA)</f>
        <v>#DIV/0!</v>
      </c>
      <c r="V34" s="1"/>
      <c r="W34" s="1"/>
    </row>
    <row r="35" spans="14:23" x14ac:dyDescent="0.25">
      <c r="N35" s="6"/>
      <c r="O35" s="7"/>
      <c r="P35" s="8">
        <f t="shared" si="12"/>
        <v>0</v>
      </c>
      <c r="Q35" s="1"/>
      <c r="R35" s="6">
        <f t="shared" si="13"/>
        <v>0</v>
      </c>
      <c r="S35" s="9" t="e">
        <f t="shared" si="14"/>
        <v>#DIV/0!</v>
      </c>
      <c r="T35" s="9">
        <f t="shared" si="15"/>
        <v>0</v>
      </c>
      <c r="U35" s="9" t="e">
        <f>R35 / _xlfn.XLOOKUP(A35, Jungle!A:A, Jungle!AA:AA)</f>
        <v>#DIV/0!</v>
      </c>
      <c r="V35" s="1"/>
      <c r="W35" s="1"/>
    </row>
    <row r="36" spans="14:23" x14ac:dyDescent="0.25">
      <c r="N36" s="6"/>
      <c r="O36" s="7"/>
      <c r="P36" s="8">
        <f t="shared" si="12"/>
        <v>0</v>
      </c>
      <c r="Q36" s="1"/>
      <c r="R36" s="6">
        <f t="shared" si="13"/>
        <v>0</v>
      </c>
      <c r="S36" s="9" t="e">
        <f t="shared" si="14"/>
        <v>#DIV/0!</v>
      </c>
      <c r="T36" s="9">
        <f t="shared" si="15"/>
        <v>0</v>
      </c>
      <c r="U36" s="9" t="e">
        <f>R36 / _xlfn.XLOOKUP(A36, Jungle!A:A, Jungle!AA:AA)</f>
        <v>#DIV/0!</v>
      </c>
      <c r="V36" s="1"/>
      <c r="W36" s="1"/>
    </row>
    <row r="37" spans="14:23" x14ac:dyDescent="0.25">
      <c r="N37" s="6"/>
      <c r="O37" s="7"/>
      <c r="P37" s="8">
        <f t="shared" si="12"/>
        <v>0</v>
      </c>
      <c r="Q37" s="1"/>
      <c r="R37" s="6">
        <f t="shared" si="13"/>
        <v>0</v>
      </c>
      <c r="S37" s="9" t="e">
        <f t="shared" si="14"/>
        <v>#DIV/0!</v>
      </c>
      <c r="T37" s="9">
        <f t="shared" si="15"/>
        <v>0</v>
      </c>
      <c r="U37" s="9" t="e">
        <f>R37 / _xlfn.XLOOKUP(A37, Jungle!A:A, Jungle!AA:AA)</f>
        <v>#DIV/0!</v>
      </c>
      <c r="V37" s="1"/>
      <c r="W37" s="1"/>
    </row>
    <row r="38" spans="14:23" x14ac:dyDescent="0.25">
      <c r="N38" s="6"/>
      <c r="O38" s="7"/>
      <c r="P38" s="8">
        <f t="shared" si="12"/>
        <v>0</v>
      </c>
      <c r="Q38" s="1"/>
      <c r="R38" s="6">
        <f t="shared" si="13"/>
        <v>0</v>
      </c>
      <c r="S38" s="9" t="e">
        <f t="shared" si="14"/>
        <v>#DIV/0!</v>
      </c>
      <c r="T38" s="9">
        <f t="shared" si="15"/>
        <v>0</v>
      </c>
      <c r="U38" s="9" t="e">
        <f>R38 / _xlfn.XLOOKUP(A38, Jungle!A:A, Jungle!AA:AA)</f>
        <v>#DIV/0!</v>
      </c>
      <c r="V38" s="1"/>
      <c r="W38" s="1"/>
    </row>
    <row r="39" spans="14:23" x14ac:dyDescent="0.25">
      <c r="N39" s="6"/>
      <c r="O39" s="7"/>
      <c r="P39" s="8">
        <f t="shared" si="12"/>
        <v>0</v>
      </c>
      <c r="Q39" s="1"/>
      <c r="R39" s="6">
        <f t="shared" si="13"/>
        <v>0</v>
      </c>
      <c r="S39" s="9" t="e">
        <f t="shared" si="14"/>
        <v>#DIV/0!</v>
      </c>
      <c r="T39" s="9">
        <f t="shared" si="15"/>
        <v>0</v>
      </c>
      <c r="U39" s="9" t="e">
        <f>R39 / _xlfn.XLOOKUP(A39, Jungle!A:A, Jungle!AA:AA)</f>
        <v>#DIV/0!</v>
      </c>
    </row>
    <row r="40" spans="14:23" x14ac:dyDescent="0.25">
      <c r="N40" s="6"/>
      <c r="O40" s="7"/>
      <c r="P40" s="8">
        <f t="shared" si="12"/>
        <v>0</v>
      </c>
      <c r="Q40" s="1"/>
      <c r="R40" s="6">
        <f t="shared" si="13"/>
        <v>0</v>
      </c>
      <c r="S40" s="9" t="e">
        <f t="shared" si="14"/>
        <v>#DIV/0!</v>
      </c>
      <c r="T40" s="9">
        <f t="shared" si="15"/>
        <v>0</v>
      </c>
      <c r="U40" s="9" t="e">
        <f>R40 / _xlfn.XLOOKUP(A40, Jungle!A:A, Jungle!AA:AA)</f>
        <v>#DIV/0!</v>
      </c>
    </row>
    <row r="41" spans="14:23" x14ac:dyDescent="0.25">
      <c r="N41" s="6"/>
      <c r="O41" s="7"/>
      <c r="P41" s="8">
        <f t="shared" si="12"/>
        <v>0</v>
      </c>
      <c r="Q41" s="1"/>
      <c r="R41" s="6">
        <f t="shared" si="13"/>
        <v>0</v>
      </c>
      <c r="S41" s="9" t="e">
        <f t="shared" si="14"/>
        <v>#DIV/0!</v>
      </c>
      <c r="T41" s="9">
        <f t="shared" si="15"/>
        <v>0</v>
      </c>
      <c r="U41" s="9" t="e">
        <f>R41 / _xlfn.XLOOKUP(A41, Jungle!A:A, Jungle!AA:AA)</f>
        <v>#DIV/0!</v>
      </c>
    </row>
    <row r="42" spans="14:23" x14ac:dyDescent="0.25">
      <c r="N42" s="6"/>
      <c r="O42" s="7"/>
      <c r="P42" s="8">
        <f t="shared" si="12"/>
        <v>0</v>
      </c>
      <c r="Q42" s="1"/>
      <c r="R42" s="6">
        <f t="shared" si="13"/>
        <v>0</v>
      </c>
      <c r="S42" s="9" t="e">
        <f t="shared" si="14"/>
        <v>#DIV/0!</v>
      </c>
      <c r="T42" s="9">
        <f t="shared" si="15"/>
        <v>0</v>
      </c>
      <c r="U42" s="9" t="e">
        <f>R42 / _xlfn.XLOOKUP(A42, Jungle!A:A, Jungle!AA:AA)</f>
        <v>#DIV/0!</v>
      </c>
    </row>
    <row r="43" spans="14:23" x14ac:dyDescent="0.25">
      <c r="N43" s="6"/>
      <c r="O43" s="7"/>
      <c r="P43" s="8">
        <f t="shared" si="12"/>
        <v>0</v>
      </c>
      <c r="Q43" s="1"/>
      <c r="R43" s="6">
        <f t="shared" si="13"/>
        <v>0</v>
      </c>
      <c r="S43" s="9" t="e">
        <f t="shared" si="14"/>
        <v>#DIV/0!</v>
      </c>
      <c r="T43" s="9">
        <f t="shared" si="15"/>
        <v>0</v>
      </c>
      <c r="U43" s="9" t="e">
        <f>R43 / _xlfn.XLOOKUP(A43, Jungle!A:A, Jungle!AA:AA)</f>
        <v>#DIV/0!</v>
      </c>
    </row>
    <row r="44" spans="14:23" x14ac:dyDescent="0.25">
      <c r="N44" s="6"/>
      <c r="O44" s="7"/>
      <c r="P44" s="8">
        <f t="shared" si="12"/>
        <v>0</v>
      </c>
      <c r="Q44" s="1"/>
      <c r="R44" s="6">
        <f t="shared" si="13"/>
        <v>0</v>
      </c>
      <c r="S44" s="9" t="e">
        <f t="shared" si="14"/>
        <v>#DIV/0!</v>
      </c>
      <c r="T44" s="9">
        <f t="shared" si="15"/>
        <v>0</v>
      </c>
      <c r="U44" s="9" t="e">
        <f>R44 / _xlfn.XLOOKUP(A44, Jungle!A:A, Jungle!AA:AA)</f>
        <v>#DIV/0!</v>
      </c>
    </row>
    <row r="45" spans="14:23" x14ac:dyDescent="0.25">
      <c r="N45" s="6"/>
      <c r="O45" s="7"/>
      <c r="P45" s="8">
        <f t="shared" si="12"/>
        <v>0</v>
      </c>
      <c r="Q45" s="1"/>
      <c r="R45" s="6">
        <f t="shared" si="13"/>
        <v>0</v>
      </c>
      <c r="S45" s="9" t="e">
        <f t="shared" si="14"/>
        <v>#DIV/0!</v>
      </c>
      <c r="T45" s="9">
        <f t="shared" si="15"/>
        <v>0</v>
      </c>
      <c r="U45" s="9" t="e">
        <f>R45 / _xlfn.XLOOKUP(A45, Jungle!A:A, Jungle!AA:AA)</f>
        <v>#DIV/0!</v>
      </c>
    </row>
    <row r="46" spans="14:23" x14ac:dyDescent="0.25">
      <c r="N46" s="6"/>
      <c r="O46" s="7"/>
      <c r="P46" s="8">
        <f t="shared" si="12"/>
        <v>0</v>
      </c>
      <c r="Q46" s="1"/>
      <c r="R46" s="6">
        <f t="shared" si="13"/>
        <v>0</v>
      </c>
      <c r="S46" s="9" t="e">
        <f t="shared" si="14"/>
        <v>#DIV/0!</v>
      </c>
      <c r="T46" s="9">
        <f t="shared" si="15"/>
        <v>0</v>
      </c>
      <c r="U46" s="9" t="e">
        <f>R46 / _xlfn.XLOOKUP(A46, Jungle!A:A, Jungle!AA:AA)</f>
        <v>#DIV/0!</v>
      </c>
    </row>
    <row r="47" spans="14:23" x14ac:dyDescent="0.25">
      <c r="N47" s="6"/>
      <c r="O47" s="7"/>
      <c r="P47" s="8">
        <f t="shared" si="12"/>
        <v>0</v>
      </c>
      <c r="Q47" s="1"/>
      <c r="R47" s="6">
        <f t="shared" si="13"/>
        <v>0</v>
      </c>
      <c r="S47" s="9" t="e">
        <f t="shared" si="14"/>
        <v>#DIV/0!</v>
      </c>
      <c r="T47" s="9">
        <f t="shared" si="15"/>
        <v>0</v>
      </c>
      <c r="U47" s="9" t="e">
        <f>R47 / _xlfn.XLOOKUP(A47, Jungle!A:A, Jungle!AA:AA)</f>
        <v>#DIV/0!</v>
      </c>
    </row>
    <row r="48" spans="14:23" x14ac:dyDescent="0.25">
      <c r="N48" s="6"/>
      <c r="O48" s="7"/>
      <c r="P48" s="8">
        <f t="shared" si="12"/>
        <v>0</v>
      </c>
      <c r="Q48" s="1"/>
      <c r="R48" s="6">
        <f t="shared" si="13"/>
        <v>0</v>
      </c>
      <c r="S48" s="9" t="e">
        <f t="shared" si="14"/>
        <v>#DIV/0!</v>
      </c>
      <c r="T48" s="9">
        <f t="shared" si="15"/>
        <v>0</v>
      </c>
      <c r="U48" s="9" t="e">
        <f>R48 / _xlfn.XLOOKUP(A48, Jungle!A:A, Jungle!AA:AA)</f>
        <v>#DIV/0!</v>
      </c>
    </row>
    <row r="49" spans="14:21" x14ac:dyDescent="0.25">
      <c r="N49" s="6"/>
      <c r="O49" s="7"/>
      <c r="P49" s="8">
        <f t="shared" si="12"/>
        <v>0</v>
      </c>
      <c r="Q49" s="1"/>
      <c r="R49" s="6">
        <f t="shared" si="13"/>
        <v>0</v>
      </c>
      <c r="S49" s="9" t="e">
        <f t="shared" si="14"/>
        <v>#DIV/0!</v>
      </c>
      <c r="T49" s="9">
        <f t="shared" si="15"/>
        <v>0</v>
      </c>
      <c r="U49" s="9" t="e">
        <f>R49 / _xlfn.XLOOKUP(A49, Jungle!A:A, Jungle!AA:AA)</f>
        <v>#DIV/0!</v>
      </c>
    </row>
    <row r="50" spans="14:21" x14ac:dyDescent="0.25">
      <c r="N50" s="6"/>
      <c r="O50" s="7"/>
      <c r="P50" s="8">
        <f t="shared" si="12"/>
        <v>0</v>
      </c>
      <c r="Q50" s="1"/>
      <c r="R50" s="6">
        <f t="shared" si="13"/>
        <v>0</v>
      </c>
      <c r="S50" s="9" t="e">
        <f t="shared" si="14"/>
        <v>#DIV/0!</v>
      </c>
      <c r="T50" s="9">
        <f t="shared" si="15"/>
        <v>0</v>
      </c>
      <c r="U50" s="9" t="e">
        <f>R50 / _xlfn.XLOOKUP(A50, Jungle!A:A, Jungle!AA:AA)</f>
        <v>#DIV/0!</v>
      </c>
    </row>
    <row r="51" spans="14:21" x14ac:dyDescent="0.25">
      <c r="N51" s="6"/>
      <c r="O51" s="7"/>
      <c r="P51" s="8">
        <f t="shared" si="12"/>
        <v>0</v>
      </c>
      <c r="Q51" s="1"/>
      <c r="R51" s="6">
        <f t="shared" si="13"/>
        <v>0</v>
      </c>
      <c r="S51" s="9" t="e">
        <f t="shared" si="14"/>
        <v>#DIV/0!</v>
      </c>
      <c r="T51" s="9">
        <f t="shared" si="15"/>
        <v>0</v>
      </c>
      <c r="U51" s="9" t="e">
        <f>R51 / _xlfn.XLOOKUP(A51, Jungle!A:A, Jungle!AA:AA)</f>
        <v>#DIV/0!</v>
      </c>
    </row>
    <row r="52" spans="14:21" x14ac:dyDescent="0.25">
      <c r="N52" s="6"/>
      <c r="O52" s="7"/>
      <c r="P52" s="8">
        <f t="shared" si="12"/>
        <v>0</v>
      </c>
      <c r="Q52" s="1"/>
      <c r="R52" s="6">
        <f t="shared" si="13"/>
        <v>0</v>
      </c>
      <c r="S52" s="9" t="e">
        <f t="shared" si="14"/>
        <v>#DIV/0!</v>
      </c>
      <c r="T52" s="9">
        <f t="shared" si="15"/>
        <v>0</v>
      </c>
      <c r="U52" s="9" t="e">
        <f>R52 / _xlfn.XLOOKUP(A52, Jungle!A:A, Jungle!AA:AA)</f>
        <v>#DIV/0!</v>
      </c>
    </row>
    <row r="53" spans="14:21" x14ac:dyDescent="0.25">
      <c r="N53" s="6"/>
      <c r="O53" s="7"/>
      <c r="P53" s="8">
        <f t="shared" si="12"/>
        <v>0</v>
      </c>
      <c r="Q53" s="1"/>
      <c r="R53" s="6">
        <f t="shared" si="13"/>
        <v>0</v>
      </c>
      <c r="S53" s="9" t="e">
        <f t="shared" si="14"/>
        <v>#DIV/0!</v>
      </c>
      <c r="T53" s="9">
        <f t="shared" si="15"/>
        <v>0</v>
      </c>
      <c r="U53" s="9" t="e">
        <f>R53 / _xlfn.XLOOKUP(A53, Jungle!A:A, Jungle!AA:AA)</f>
        <v>#DIV/0!</v>
      </c>
    </row>
    <row r="54" spans="14:21" x14ac:dyDescent="0.25">
      <c r="N54" s="6"/>
      <c r="O54" s="7"/>
      <c r="P54" s="8">
        <f t="shared" si="12"/>
        <v>0</v>
      </c>
      <c r="Q54" s="1"/>
      <c r="R54" s="6">
        <f t="shared" si="13"/>
        <v>0</v>
      </c>
      <c r="S54" s="9" t="e">
        <f t="shared" si="14"/>
        <v>#DIV/0!</v>
      </c>
      <c r="T54" s="9">
        <f t="shared" si="15"/>
        <v>0</v>
      </c>
      <c r="U54" s="9" t="e">
        <f>R54 / _xlfn.XLOOKUP(A54, Jungle!A:A, Jungle!AA:AA)</f>
        <v>#DIV/0!</v>
      </c>
    </row>
    <row r="55" spans="14:21" x14ac:dyDescent="0.25">
      <c r="N55" s="6"/>
      <c r="O55" s="7"/>
      <c r="P55" s="8">
        <f t="shared" si="12"/>
        <v>0</v>
      </c>
      <c r="Q55" s="1"/>
      <c r="R55" s="6">
        <f t="shared" si="13"/>
        <v>0</v>
      </c>
      <c r="S55" s="9" t="e">
        <f t="shared" si="14"/>
        <v>#DIV/0!</v>
      </c>
      <c r="T55" s="9">
        <f t="shared" si="15"/>
        <v>0</v>
      </c>
      <c r="U55" s="9" t="e">
        <f>R55 / _xlfn.XLOOKUP(A55, Jungle!A:A, Jungle!AA:AA)</f>
        <v>#DIV/0!</v>
      </c>
    </row>
  </sheetData>
  <sortState xmlns:xlrd2="http://schemas.microsoft.com/office/spreadsheetml/2017/richdata2" ref="A3:U32">
    <sortCondition descending="1" ref="S3:S32"/>
  </sortState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584A-02B0-4165-B5C8-A01DB3401816}">
  <sheetPr>
    <tabColor theme="6" tint="0.59999389629810485"/>
  </sheetPr>
  <dimension ref="A1:W44"/>
  <sheetViews>
    <sheetView topLeftCell="A2" workbookViewId="0">
      <selection activeCell="U3" sqref="U3:U38"/>
    </sheetView>
  </sheetViews>
  <sheetFormatPr baseColWidth="10" defaultRowHeight="15" x14ac:dyDescent="0.25"/>
  <sheetData>
    <row r="1" spans="1:23" ht="15.75" x14ac:dyDescent="0.25">
      <c r="A1" s="2" t="s">
        <v>97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84</v>
      </c>
      <c r="B3" s="6"/>
      <c r="C3" s="7"/>
      <c r="D3" s="8">
        <f t="shared" ref="D3:D38" si="0">B3*C3</f>
        <v>0</v>
      </c>
      <c r="E3" s="6"/>
      <c r="F3" s="7"/>
      <c r="G3" s="8">
        <f t="shared" ref="G3:G38" si="1">E3*F3</f>
        <v>0</v>
      </c>
      <c r="H3" s="6"/>
      <c r="I3" s="7"/>
      <c r="J3" s="8">
        <f t="shared" ref="J3:J38" si="2">H3*I3</f>
        <v>0</v>
      </c>
      <c r="K3" s="6"/>
      <c r="L3" s="7"/>
      <c r="M3" s="8">
        <f t="shared" ref="M3:M38" si="3">K3*L3</f>
        <v>0</v>
      </c>
      <c r="N3" s="6"/>
      <c r="O3" s="7"/>
      <c r="P3" s="8">
        <f t="shared" ref="P3:P38" si="4">N3*O3</f>
        <v>0</v>
      </c>
      <c r="Q3" s="1"/>
      <c r="R3" s="6">
        <f t="shared" ref="R3:R38" si="5">B3+E3+H3+K3+N3</f>
        <v>0</v>
      </c>
      <c r="S3" s="9" t="e">
        <f t="shared" ref="S3:S38" si="6">(D3+G3+J3+M3+P3)/R3</f>
        <v>#DIV/0!</v>
      </c>
      <c r="T3" s="9">
        <f t="shared" ref="T3:T38" si="7">R3/$V$3</f>
        <v>0</v>
      </c>
      <c r="U3" s="9">
        <f>R3 / _xlfn.XLOOKUP(A3, Jungle!A:A, Jungle!AA:AA)</f>
        <v>0</v>
      </c>
      <c r="V3" s="11">
        <f>SUM(R3:R58)</f>
        <v>444</v>
      </c>
      <c r="W3" s="12">
        <f>(SUM(D3:D88)+SUM(G3:G88)+SUM(J3:J88)+SUM(M3:M88)+SUM(P3:P88)) / V3</f>
        <v>0.53829954954954951</v>
      </c>
    </row>
    <row r="4" spans="1:23" x14ac:dyDescent="0.25">
      <c r="A4" s="1" t="s">
        <v>81</v>
      </c>
      <c r="B4" s="6"/>
      <c r="C4" s="7"/>
      <c r="D4" s="8">
        <f t="shared" si="0"/>
        <v>0</v>
      </c>
      <c r="E4" s="6">
        <v>2</v>
      </c>
      <c r="F4" s="7">
        <v>1</v>
      </c>
      <c r="G4" s="8">
        <f t="shared" si="1"/>
        <v>2</v>
      </c>
      <c r="H4" s="6"/>
      <c r="I4" s="7"/>
      <c r="J4" s="8">
        <f t="shared" si="2"/>
        <v>0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2</v>
      </c>
      <c r="S4" s="9">
        <f t="shared" si="6"/>
        <v>1</v>
      </c>
      <c r="T4" s="9">
        <f t="shared" si="7"/>
        <v>4.5045045045045045E-3</v>
      </c>
      <c r="U4" s="9">
        <f>R4 / _xlfn.XLOOKUP(A4, Jungle!A:A, Jungle!AA:AA)</f>
        <v>5.5555555555555552E-2</v>
      </c>
      <c r="V4" s="1"/>
      <c r="W4" s="1"/>
    </row>
    <row r="5" spans="1:23" x14ac:dyDescent="0.25">
      <c r="A5" s="1" t="s">
        <v>75</v>
      </c>
      <c r="B5" s="6">
        <v>2</v>
      </c>
      <c r="C5" s="7">
        <v>1</v>
      </c>
      <c r="D5" s="8">
        <f t="shared" si="0"/>
        <v>2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2</v>
      </c>
      <c r="S5" s="9">
        <f t="shared" si="6"/>
        <v>1</v>
      </c>
      <c r="T5" s="9">
        <f t="shared" si="7"/>
        <v>4.5045045045045045E-3</v>
      </c>
      <c r="U5" s="9">
        <f>R5 / _xlfn.XLOOKUP(A5, Jungle!A:A, Jungle!AA:AA)</f>
        <v>3.2786885245901641E-2</v>
      </c>
      <c r="V5" s="1"/>
      <c r="W5" s="1"/>
    </row>
    <row r="6" spans="1:23" x14ac:dyDescent="0.25">
      <c r="A6" s="25" t="s">
        <v>260</v>
      </c>
      <c r="B6" s="6"/>
      <c r="C6" s="7"/>
      <c r="D6" s="8">
        <f t="shared" si="0"/>
        <v>0</v>
      </c>
      <c r="E6" s="6"/>
      <c r="F6" s="7"/>
      <c r="G6" s="8">
        <f t="shared" si="1"/>
        <v>0</v>
      </c>
      <c r="H6" s="6"/>
      <c r="I6" s="7"/>
      <c r="J6" s="8">
        <f t="shared" si="2"/>
        <v>0</v>
      </c>
      <c r="K6" s="6">
        <v>2</v>
      </c>
      <c r="L6" s="7">
        <v>1</v>
      </c>
      <c r="M6" s="8">
        <f t="shared" si="3"/>
        <v>2</v>
      </c>
      <c r="N6" s="6"/>
      <c r="O6" s="7"/>
      <c r="P6" s="8">
        <f t="shared" si="4"/>
        <v>0</v>
      </c>
      <c r="Q6" s="1"/>
      <c r="R6" s="6">
        <f t="shared" si="5"/>
        <v>2</v>
      </c>
      <c r="S6" s="9">
        <f t="shared" si="6"/>
        <v>1</v>
      </c>
      <c r="T6" s="9">
        <f t="shared" si="7"/>
        <v>4.5045045045045045E-3</v>
      </c>
      <c r="U6" s="9">
        <f>R6 / _xlfn.XLOOKUP(A6, Jungle!A:A, Jungle!AA:AA)</f>
        <v>0.125</v>
      </c>
      <c r="V6" s="1"/>
      <c r="W6" s="1"/>
    </row>
    <row r="7" spans="1:23" x14ac:dyDescent="0.25">
      <c r="A7" s="1" t="s">
        <v>93</v>
      </c>
      <c r="B7" s="6"/>
      <c r="C7" s="7"/>
      <c r="D7" s="8">
        <f t="shared" si="0"/>
        <v>0</v>
      </c>
      <c r="E7" s="6"/>
      <c r="F7" s="7"/>
      <c r="G7" s="8">
        <f t="shared" si="1"/>
        <v>0</v>
      </c>
      <c r="H7" s="6"/>
      <c r="I7" s="7"/>
      <c r="J7" s="8">
        <f t="shared" si="2"/>
        <v>0</v>
      </c>
      <c r="K7" s="6">
        <v>1</v>
      </c>
      <c r="L7" s="7">
        <v>1</v>
      </c>
      <c r="M7" s="8">
        <f t="shared" si="3"/>
        <v>1</v>
      </c>
      <c r="N7" s="6"/>
      <c r="O7" s="7"/>
      <c r="P7" s="8">
        <f t="shared" si="4"/>
        <v>0</v>
      </c>
      <c r="Q7" s="1"/>
      <c r="R7" s="6">
        <f t="shared" si="5"/>
        <v>1</v>
      </c>
      <c r="S7" s="9">
        <f t="shared" si="6"/>
        <v>1</v>
      </c>
      <c r="T7" s="9">
        <f t="shared" si="7"/>
        <v>2.2522522522522522E-3</v>
      </c>
      <c r="U7" s="9">
        <f>R7 / _xlfn.XLOOKUP(A7, Jungle!A:A, Jungle!AA:AA)</f>
        <v>0.2</v>
      </c>
      <c r="V7" s="1"/>
      <c r="W7" s="1"/>
    </row>
    <row r="8" spans="1:23" x14ac:dyDescent="0.25">
      <c r="A8" s="1" t="s">
        <v>79</v>
      </c>
      <c r="B8" s="6"/>
      <c r="C8" s="7"/>
      <c r="D8" s="8">
        <f t="shared" si="0"/>
        <v>0</v>
      </c>
      <c r="E8" s="6">
        <v>1</v>
      </c>
      <c r="F8" s="7">
        <v>1</v>
      </c>
      <c r="G8" s="8">
        <f t="shared" si="1"/>
        <v>1</v>
      </c>
      <c r="H8" s="6"/>
      <c r="I8" s="7"/>
      <c r="J8" s="8">
        <f t="shared" si="2"/>
        <v>0</v>
      </c>
      <c r="K8" s="6"/>
      <c r="L8" s="7"/>
      <c r="M8" s="8">
        <f t="shared" si="3"/>
        <v>0</v>
      </c>
      <c r="N8" s="6"/>
      <c r="O8" s="7"/>
      <c r="P8" s="8">
        <f t="shared" si="4"/>
        <v>0</v>
      </c>
      <c r="Q8" s="1"/>
      <c r="R8" s="6">
        <f t="shared" si="5"/>
        <v>1</v>
      </c>
      <c r="S8" s="9">
        <f t="shared" si="6"/>
        <v>1</v>
      </c>
      <c r="T8" s="9">
        <f t="shared" si="7"/>
        <v>2.2522522522522522E-3</v>
      </c>
      <c r="U8" s="9">
        <f>R8 / _xlfn.XLOOKUP(A8, Jungle!A:A, Jungle!AA:AA)</f>
        <v>0.02</v>
      </c>
      <c r="V8" s="1"/>
      <c r="W8" s="1"/>
    </row>
    <row r="9" spans="1:23" x14ac:dyDescent="0.25">
      <c r="A9" s="25" t="s">
        <v>215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/>
      <c r="I9" s="7"/>
      <c r="J9" s="8">
        <f t="shared" si="2"/>
        <v>0</v>
      </c>
      <c r="K9" s="6">
        <v>1</v>
      </c>
      <c r="L9" s="7">
        <v>1</v>
      </c>
      <c r="M9" s="8">
        <f t="shared" si="3"/>
        <v>1</v>
      </c>
      <c r="N9" s="6"/>
      <c r="O9" s="7"/>
      <c r="P9" s="8">
        <f t="shared" si="4"/>
        <v>0</v>
      </c>
      <c r="Q9" s="1"/>
      <c r="R9" s="6">
        <f t="shared" si="5"/>
        <v>1</v>
      </c>
      <c r="S9" s="9">
        <f t="shared" si="6"/>
        <v>1</v>
      </c>
      <c r="T9" s="9">
        <f t="shared" si="7"/>
        <v>2.2522522522522522E-3</v>
      </c>
      <c r="U9" s="9">
        <f>R9 / _xlfn.XLOOKUP(A9, Jungle!A:A, Jungle!AA:AA)</f>
        <v>7.1428571428571425E-2</v>
      </c>
      <c r="V9" s="1"/>
      <c r="W9" s="1"/>
    </row>
    <row r="10" spans="1:23" x14ac:dyDescent="0.25">
      <c r="A10" s="25" t="s">
        <v>32</v>
      </c>
      <c r="B10" s="6"/>
      <c r="C10" s="7"/>
      <c r="D10" s="8">
        <f t="shared" si="0"/>
        <v>0</v>
      </c>
      <c r="E10" s="6"/>
      <c r="F10" s="7"/>
      <c r="G10" s="8">
        <f t="shared" si="1"/>
        <v>0</v>
      </c>
      <c r="H10" s="6"/>
      <c r="I10" s="7"/>
      <c r="J10" s="8">
        <f t="shared" si="2"/>
        <v>0</v>
      </c>
      <c r="K10" s="6">
        <v>1</v>
      </c>
      <c r="L10" s="7">
        <v>1</v>
      </c>
      <c r="M10" s="8">
        <f t="shared" si="3"/>
        <v>1</v>
      </c>
      <c r="N10" s="6"/>
      <c r="O10" s="7"/>
      <c r="P10" s="8">
        <f t="shared" si="4"/>
        <v>0</v>
      </c>
      <c r="Q10" s="1"/>
      <c r="R10" s="6">
        <f t="shared" si="5"/>
        <v>1</v>
      </c>
      <c r="S10" s="9">
        <f t="shared" si="6"/>
        <v>1</v>
      </c>
      <c r="T10" s="9">
        <f t="shared" si="7"/>
        <v>2.2522522522522522E-3</v>
      </c>
      <c r="U10" s="9">
        <f>R10 / _xlfn.XLOOKUP(A10, Jungle!A:A, Jungle!AA:AA)</f>
        <v>0.125</v>
      </c>
      <c r="V10" s="1"/>
      <c r="W10" s="1"/>
    </row>
    <row r="11" spans="1:23" x14ac:dyDescent="0.25">
      <c r="A11" s="1" t="s">
        <v>72</v>
      </c>
      <c r="B11" s="6">
        <v>1</v>
      </c>
      <c r="C11" s="7">
        <v>1</v>
      </c>
      <c r="D11" s="8">
        <f t="shared" si="0"/>
        <v>1</v>
      </c>
      <c r="E11" s="6">
        <v>2</v>
      </c>
      <c r="F11" s="7">
        <v>0.5</v>
      </c>
      <c r="G11" s="8">
        <f t="shared" si="1"/>
        <v>1</v>
      </c>
      <c r="H11" s="6">
        <v>1</v>
      </c>
      <c r="I11" s="7">
        <v>1</v>
      </c>
      <c r="J11" s="8">
        <f t="shared" si="2"/>
        <v>1</v>
      </c>
      <c r="K11" s="6">
        <v>3</v>
      </c>
      <c r="L11" s="7">
        <v>0.66700000000000004</v>
      </c>
      <c r="M11" s="8">
        <f t="shared" si="3"/>
        <v>2.0010000000000003</v>
      </c>
      <c r="N11" s="6"/>
      <c r="O11" s="7"/>
      <c r="P11" s="8">
        <f t="shared" si="4"/>
        <v>0</v>
      </c>
      <c r="Q11" s="1"/>
      <c r="R11" s="6">
        <f t="shared" si="5"/>
        <v>7</v>
      </c>
      <c r="S11" s="9">
        <f t="shared" si="6"/>
        <v>0.71442857142857152</v>
      </c>
      <c r="T11" s="9">
        <f t="shared" si="7"/>
        <v>1.5765765765765764E-2</v>
      </c>
      <c r="U11" s="9">
        <f>R11 / _xlfn.XLOOKUP(A11, Jungle!A:A, Jungle!AA:AA)</f>
        <v>3.8674033149171269E-2</v>
      </c>
      <c r="V11" s="1"/>
      <c r="W11" s="1"/>
    </row>
    <row r="12" spans="1:23" x14ac:dyDescent="0.25">
      <c r="A12" s="1" t="s">
        <v>76</v>
      </c>
      <c r="B12" s="6">
        <v>1</v>
      </c>
      <c r="C12" s="7">
        <v>0</v>
      </c>
      <c r="D12" s="8">
        <f t="shared" si="0"/>
        <v>0</v>
      </c>
      <c r="E12" s="6"/>
      <c r="F12" s="7"/>
      <c r="G12" s="8">
        <f t="shared" si="1"/>
        <v>0</v>
      </c>
      <c r="H12" s="6">
        <v>11</v>
      </c>
      <c r="I12" s="7">
        <v>0.81799999999999995</v>
      </c>
      <c r="J12" s="8">
        <f t="shared" si="2"/>
        <v>8.9979999999999993</v>
      </c>
      <c r="K12" s="6">
        <v>9</v>
      </c>
      <c r="L12" s="7">
        <v>0.66700000000000004</v>
      </c>
      <c r="M12" s="8">
        <f t="shared" si="3"/>
        <v>6.0030000000000001</v>
      </c>
      <c r="N12" s="6"/>
      <c r="O12" s="7"/>
      <c r="P12" s="8">
        <f t="shared" si="4"/>
        <v>0</v>
      </c>
      <c r="Q12" s="1"/>
      <c r="R12" s="6">
        <f t="shared" si="5"/>
        <v>21</v>
      </c>
      <c r="S12" s="9">
        <f t="shared" si="6"/>
        <v>0.71433333333333326</v>
      </c>
      <c r="T12" s="9">
        <f t="shared" si="7"/>
        <v>4.72972972972973E-2</v>
      </c>
      <c r="U12" s="9">
        <f>R12 / _xlfn.XLOOKUP(A12, Jungle!A:A, Jungle!AA:AA)</f>
        <v>0.15789473684210525</v>
      </c>
      <c r="V12" s="1"/>
      <c r="W12" s="1"/>
    </row>
    <row r="13" spans="1:23" x14ac:dyDescent="0.25">
      <c r="A13" s="1" t="s">
        <v>30</v>
      </c>
      <c r="B13" s="6"/>
      <c r="C13" s="7"/>
      <c r="D13" s="8">
        <f t="shared" si="0"/>
        <v>0</v>
      </c>
      <c r="E13" s="6">
        <v>8</v>
      </c>
      <c r="F13" s="7">
        <v>0.625</v>
      </c>
      <c r="G13" s="8">
        <f t="shared" si="1"/>
        <v>5</v>
      </c>
      <c r="H13" s="6">
        <v>9</v>
      </c>
      <c r="I13" s="7">
        <v>0.77800000000000002</v>
      </c>
      <c r="J13" s="8">
        <f t="shared" si="2"/>
        <v>7.0020000000000007</v>
      </c>
      <c r="K13" s="6">
        <v>1</v>
      </c>
      <c r="L13" s="7">
        <v>0</v>
      </c>
      <c r="M13" s="8">
        <f t="shared" si="3"/>
        <v>0</v>
      </c>
      <c r="N13" s="6"/>
      <c r="O13" s="7"/>
      <c r="P13" s="8">
        <f t="shared" si="4"/>
        <v>0</v>
      </c>
      <c r="Q13" s="4"/>
      <c r="R13" s="6">
        <f t="shared" si="5"/>
        <v>18</v>
      </c>
      <c r="S13" s="9">
        <f t="shared" si="6"/>
        <v>0.6667777777777778</v>
      </c>
      <c r="T13" s="9">
        <f t="shared" si="7"/>
        <v>4.0540540540540543E-2</v>
      </c>
      <c r="U13" s="9">
        <f>R13 / _xlfn.XLOOKUP(A13, Jungle!A:A, Jungle!AA:AA)</f>
        <v>4.488778054862843E-2</v>
      </c>
      <c r="V13" s="1"/>
      <c r="W13" s="1"/>
    </row>
    <row r="14" spans="1:23" x14ac:dyDescent="0.25">
      <c r="A14" s="1" t="s">
        <v>31</v>
      </c>
      <c r="B14" s="6">
        <v>5</v>
      </c>
      <c r="C14" s="7">
        <v>0.6</v>
      </c>
      <c r="D14" s="8">
        <f t="shared" si="0"/>
        <v>3</v>
      </c>
      <c r="E14" s="6">
        <v>6</v>
      </c>
      <c r="F14" s="7">
        <v>0.83299999999999996</v>
      </c>
      <c r="G14" s="8">
        <f t="shared" si="1"/>
        <v>4.9979999999999993</v>
      </c>
      <c r="H14" s="6">
        <v>2</v>
      </c>
      <c r="I14" s="7">
        <v>0.5</v>
      </c>
      <c r="J14" s="8">
        <f t="shared" si="2"/>
        <v>1</v>
      </c>
      <c r="K14" s="6">
        <v>2</v>
      </c>
      <c r="L14" s="7">
        <v>0.5</v>
      </c>
      <c r="M14" s="8">
        <f t="shared" si="3"/>
        <v>1</v>
      </c>
      <c r="N14" s="6"/>
      <c r="O14" s="7"/>
      <c r="P14" s="8">
        <f t="shared" si="4"/>
        <v>0</v>
      </c>
      <c r="Q14" s="1"/>
      <c r="R14" s="6">
        <f t="shared" si="5"/>
        <v>15</v>
      </c>
      <c r="S14" s="9">
        <f t="shared" si="6"/>
        <v>0.66653333333333331</v>
      </c>
      <c r="T14" s="9">
        <f t="shared" si="7"/>
        <v>3.3783783783783786E-2</v>
      </c>
      <c r="U14" s="9">
        <f>R14 / _xlfn.XLOOKUP(A14, Jungle!A:A, Jungle!AA:AA)</f>
        <v>5.7251908396946563E-2</v>
      </c>
      <c r="V14" s="1"/>
      <c r="W14" s="1"/>
    </row>
    <row r="15" spans="1:23" x14ac:dyDescent="0.25">
      <c r="A15" s="1" t="s">
        <v>45</v>
      </c>
      <c r="B15" s="6">
        <v>7</v>
      </c>
      <c r="C15" s="7">
        <v>0.57099999999999995</v>
      </c>
      <c r="D15" s="8">
        <f t="shared" si="0"/>
        <v>3.9969999999999999</v>
      </c>
      <c r="E15" s="6"/>
      <c r="F15" s="7"/>
      <c r="G15" s="8">
        <f t="shared" si="1"/>
        <v>0</v>
      </c>
      <c r="H15" s="6">
        <v>1</v>
      </c>
      <c r="I15" s="7">
        <v>0</v>
      </c>
      <c r="J15" s="8">
        <f t="shared" si="2"/>
        <v>0</v>
      </c>
      <c r="K15" s="6">
        <v>11</v>
      </c>
      <c r="L15" s="7">
        <v>0.72699999999999998</v>
      </c>
      <c r="M15" s="8">
        <f t="shared" si="3"/>
        <v>7.9969999999999999</v>
      </c>
      <c r="N15" s="6"/>
      <c r="O15" s="7"/>
      <c r="P15" s="8">
        <f t="shared" si="4"/>
        <v>0</v>
      </c>
      <c r="Q15" s="13"/>
      <c r="R15" s="6">
        <f t="shared" si="5"/>
        <v>19</v>
      </c>
      <c r="S15" s="9">
        <f t="shared" si="6"/>
        <v>0.63126315789473686</v>
      </c>
      <c r="T15" s="9">
        <f t="shared" si="7"/>
        <v>4.2792792792792793E-2</v>
      </c>
      <c r="U15" s="9">
        <f>R15 / _xlfn.XLOOKUP(A15, Jungle!A:A, Jungle!AA:AA)</f>
        <v>7.8838174273858919E-2</v>
      </c>
      <c r="V15" s="1"/>
      <c r="W15" s="1"/>
    </row>
    <row r="16" spans="1:23" x14ac:dyDescent="0.25">
      <c r="A16" s="1" t="s">
        <v>69</v>
      </c>
      <c r="B16" s="6">
        <v>15</v>
      </c>
      <c r="C16" s="7">
        <v>0.6</v>
      </c>
      <c r="D16" s="8">
        <f t="shared" si="0"/>
        <v>9</v>
      </c>
      <c r="E16" s="6">
        <v>27</v>
      </c>
      <c r="F16" s="7">
        <v>0.81499999999999995</v>
      </c>
      <c r="G16" s="8">
        <f t="shared" si="1"/>
        <v>22.004999999999999</v>
      </c>
      <c r="H16" s="6">
        <v>13</v>
      </c>
      <c r="I16" s="7">
        <v>0.38500000000000001</v>
      </c>
      <c r="J16" s="8">
        <f t="shared" si="2"/>
        <v>5.0049999999999999</v>
      </c>
      <c r="K16" s="6">
        <v>7</v>
      </c>
      <c r="L16" s="7">
        <v>0.28599999999999998</v>
      </c>
      <c r="M16" s="8">
        <f t="shared" si="3"/>
        <v>2.0019999999999998</v>
      </c>
      <c r="N16" s="6"/>
      <c r="O16" s="7"/>
      <c r="P16" s="8">
        <f t="shared" si="4"/>
        <v>0</v>
      </c>
      <c r="Q16" s="1"/>
      <c r="R16" s="6">
        <f t="shared" si="5"/>
        <v>62</v>
      </c>
      <c r="S16" s="9">
        <f t="shared" si="6"/>
        <v>0.61309677419354836</v>
      </c>
      <c r="T16" s="9">
        <f t="shared" si="7"/>
        <v>0.13963963963963963</v>
      </c>
      <c r="U16" s="9">
        <f>R16 / _xlfn.XLOOKUP(A16, Jungle!A:A, Jungle!AA:AA)</f>
        <v>0.13808463251670378</v>
      </c>
      <c r="V16" s="1"/>
      <c r="W16" s="1"/>
    </row>
    <row r="17" spans="1:23" x14ac:dyDescent="0.25">
      <c r="A17" s="1" t="s">
        <v>71</v>
      </c>
      <c r="B17" s="6">
        <v>15</v>
      </c>
      <c r="C17" s="7">
        <v>0.53300000000000003</v>
      </c>
      <c r="D17" s="8">
        <f t="shared" si="0"/>
        <v>7.9950000000000001</v>
      </c>
      <c r="E17" s="6">
        <v>19</v>
      </c>
      <c r="F17" s="7">
        <v>0.47399999999999998</v>
      </c>
      <c r="G17" s="8">
        <f t="shared" si="1"/>
        <v>9.0060000000000002</v>
      </c>
      <c r="H17" s="6"/>
      <c r="I17" s="7"/>
      <c r="J17" s="8">
        <f t="shared" si="2"/>
        <v>0</v>
      </c>
      <c r="K17" s="6">
        <v>19</v>
      </c>
      <c r="L17" s="7">
        <v>0.68400000000000005</v>
      </c>
      <c r="M17" s="8">
        <f t="shared" si="3"/>
        <v>12.996</v>
      </c>
      <c r="N17" s="6"/>
      <c r="O17" s="7"/>
      <c r="P17" s="8">
        <f t="shared" si="4"/>
        <v>0</v>
      </c>
      <c r="Q17" s="1"/>
      <c r="R17" s="6">
        <f t="shared" si="5"/>
        <v>53</v>
      </c>
      <c r="S17" s="9">
        <f t="shared" si="6"/>
        <v>0.56598113207547174</v>
      </c>
      <c r="T17" s="9">
        <f t="shared" si="7"/>
        <v>0.11936936936936937</v>
      </c>
      <c r="U17" s="9">
        <f>R17 / _xlfn.XLOOKUP(A17, Jungle!A:A, Jungle!AA:AA)</f>
        <v>9.5667870036101083E-2</v>
      </c>
      <c r="V17" s="1"/>
      <c r="W17" s="1"/>
    </row>
    <row r="18" spans="1:23" x14ac:dyDescent="0.25">
      <c r="A18" s="1" t="s">
        <v>70</v>
      </c>
      <c r="B18" s="6">
        <v>9</v>
      </c>
      <c r="C18" s="7">
        <v>0.66700000000000004</v>
      </c>
      <c r="D18" s="8">
        <f t="shared" si="0"/>
        <v>6.0030000000000001</v>
      </c>
      <c r="E18" s="6">
        <v>3</v>
      </c>
      <c r="F18" s="7">
        <v>0.66700000000000004</v>
      </c>
      <c r="G18" s="8">
        <f t="shared" si="1"/>
        <v>2.0010000000000003</v>
      </c>
      <c r="H18" s="6"/>
      <c r="I18" s="7"/>
      <c r="J18" s="8">
        <f t="shared" si="2"/>
        <v>0</v>
      </c>
      <c r="K18" s="6">
        <v>21</v>
      </c>
      <c r="L18" s="7">
        <v>0.47599999999999998</v>
      </c>
      <c r="M18" s="8">
        <f t="shared" si="3"/>
        <v>9.9959999999999987</v>
      </c>
      <c r="N18" s="6"/>
      <c r="O18" s="7"/>
      <c r="P18" s="8">
        <f t="shared" si="4"/>
        <v>0</v>
      </c>
      <c r="Q18" s="1"/>
      <c r="R18" s="6">
        <f t="shared" si="5"/>
        <v>33</v>
      </c>
      <c r="S18" s="9">
        <f t="shared" si="6"/>
        <v>0.54545454545454541</v>
      </c>
      <c r="T18" s="9">
        <f t="shared" si="7"/>
        <v>7.4324324324324328E-2</v>
      </c>
      <c r="U18" s="9">
        <f>R18 / _xlfn.XLOOKUP(A18, Jungle!A:A, Jungle!AA:AA)</f>
        <v>6.6398390342052319E-2</v>
      </c>
      <c r="V18" s="1"/>
      <c r="W18" s="1"/>
    </row>
    <row r="19" spans="1:23" x14ac:dyDescent="0.25">
      <c r="A19" s="1" t="s">
        <v>80</v>
      </c>
      <c r="B19" s="6"/>
      <c r="C19" s="7"/>
      <c r="D19" s="8">
        <f t="shared" si="0"/>
        <v>0</v>
      </c>
      <c r="E19" s="6">
        <v>7</v>
      </c>
      <c r="F19" s="7">
        <v>0.71399999999999997</v>
      </c>
      <c r="G19" s="8">
        <f t="shared" si="1"/>
        <v>4.9979999999999993</v>
      </c>
      <c r="H19" s="6">
        <v>4</v>
      </c>
      <c r="I19" s="7">
        <v>0.25</v>
      </c>
      <c r="J19" s="8">
        <f t="shared" si="2"/>
        <v>1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4"/>
      <c r="R19" s="6">
        <f t="shared" si="5"/>
        <v>11</v>
      </c>
      <c r="S19" s="9">
        <f t="shared" si="6"/>
        <v>0.54527272727272724</v>
      </c>
      <c r="T19" s="9">
        <f t="shared" si="7"/>
        <v>2.4774774774774775E-2</v>
      </c>
      <c r="U19" s="9">
        <f>R19 / _xlfn.XLOOKUP(A19, Jungle!A:A, Jungle!AA:AA)</f>
        <v>0.11956521739130435</v>
      </c>
      <c r="V19" s="1"/>
      <c r="W19" s="1"/>
    </row>
    <row r="20" spans="1:23" x14ac:dyDescent="0.25">
      <c r="A20" s="1" t="s">
        <v>57</v>
      </c>
      <c r="B20" s="6">
        <v>7</v>
      </c>
      <c r="C20" s="7">
        <v>0.28599999999999998</v>
      </c>
      <c r="D20" s="8">
        <f t="shared" si="0"/>
        <v>2.0019999999999998</v>
      </c>
      <c r="E20" s="6">
        <v>1</v>
      </c>
      <c r="F20" s="7">
        <v>0</v>
      </c>
      <c r="G20" s="8">
        <f t="shared" si="1"/>
        <v>0</v>
      </c>
      <c r="H20" s="6">
        <v>10</v>
      </c>
      <c r="I20" s="7">
        <v>0.7</v>
      </c>
      <c r="J20" s="8">
        <f t="shared" si="2"/>
        <v>7</v>
      </c>
      <c r="K20" s="6"/>
      <c r="L20" s="7"/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18</v>
      </c>
      <c r="S20" s="9">
        <f t="shared" si="6"/>
        <v>0.50011111111111106</v>
      </c>
      <c r="T20" s="9">
        <f t="shared" si="7"/>
        <v>4.0540540540540543E-2</v>
      </c>
      <c r="U20" s="9">
        <f>R20 / _xlfn.XLOOKUP(A20, Jungle!A:A, Jungle!AA:AA)</f>
        <v>4.0449438202247189E-2</v>
      </c>
      <c r="V20" s="1"/>
      <c r="W20" s="1"/>
    </row>
    <row r="21" spans="1:23" x14ac:dyDescent="0.25">
      <c r="A21" s="1" t="s">
        <v>26</v>
      </c>
      <c r="B21" s="6">
        <v>6</v>
      </c>
      <c r="C21" s="7">
        <v>0.33300000000000002</v>
      </c>
      <c r="D21" s="8">
        <f t="shared" si="0"/>
        <v>1.9980000000000002</v>
      </c>
      <c r="E21" s="6">
        <v>30</v>
      </c>
      <c r="F21" s="7">
        <v>0.7</v>
      </c>
      <c r="G21" s="8">
        <f t="shared" si="1"/>
        <v>21</v>
      </c>
      <c r="H21" s="6">
        <v>12</v>
      </c>
      <c r="I21" s="7">
        <v>0.16700000000000001</v>
      </c>
      <c r="J21" s="8">
        <f t="shared" si="2"/>
        <v>2.004</v>
      </c>
      <c r="K21" s="6">
        <v>4</v>
      </c>
      <c r="L21" s="7">
        <v>0.25</v>
      </c>
      <c r="M21" s="8">
        <f t="shared" si="3"/>
        <v>1</v>
      </c>
      <c r="N21" s="6"/>
      <c r="O21" s="7"/>
      <c r="P21" s="8">
        <f t="shared" si="4"/>
        <v>0</v>
      </c>
      <c r="Q21" s="4"/>
      <c r="R21" s="6">
        <f t="shared" si="5"/>
        <v>52</v>
      </c>
      <c r="S21" s="9">
        <f t="shared" si="6"/>
        <v>0.50003846153846154</v>
      </c>
      <c r="T21" s="9">
        <f t="shared" si="7"/>
        <v>0.11711711711711711</v>
      </c>
      <c r="U21" s="9">
        <f>R21 / _xlfn.XLOOKUP(A21, Jungle!A:A, Jungle!AA:AA)</f>
        <v>8.1889763779527558E-2</v>
      </c>
      <c r="V21" s="1"/>
      <c r="W21" s="1"/>
    </row>
    <row r="22" spans="1:23" x14ac:dyDescent="0.25">
      <c r="A22" s="1" t="s">
        <v>78</v>
      </c>
      <c r="B22" s="6"/>
      <c r="C22" s="7"/>
      <c r="D22" s="8">
        <f t="shared" si="0"/>
        <v>0</v>
      </c>
      <c r="E22" s="6"/>
      <c r="F22" s="7"/>
      <c r="G22" s="8">
        <f t="shared" si="1"/>
        <v>0</v>
      </c>
      <c r="H22" s="6">
        <v>2</v>
      </c>
      <c r="I22" s="7">
        <v>0.5</v>
      </c>
      <c r="J22" s="8">
        <f t="shared" si="2"/>
        <v>1</v>
      </c>
      <c r="K22" s="6"/>
      <c r="L22" s="7"/>
      <c r="M22" s="8">
        <f t="shared" si="3"/>
        <v>0</v>
      </c>
      <c r="N22" s="6"/>
      <c r="O22" s="7"/>
      <c r="P22" s="8">
        <f t="shared" si="4"/>
        <v>0</v>
      </c>
      <c r="Q22" s="4"/>
      <c r="R22" s="6">
        <f t="shared" si="5"/>
        <v>2</v>
      </c>
      <c r="S22" s="9">
        <f t="shared" si="6"/>
        <v>0.5</v>
      </c>
      <c r="T22" s="9">
        <f t="shared" si="7"/>
        <v>4.5045045045045045E-3</v>
      </c>
      <c r="U22" s="9">
        <f>R22 / _xlfn.XLOOKUP(A22, Jungle!A:A, Jungle!AA:AA)</f>
        <v>0.22222222222222221</v>
      </c>
      <c r="V22" s="1"/>
      <c r="W22" s="1"/>
    </row>
    <row r="23" spans="1:23" x14ac:dyDescent="0.25">
      <c r="A23" s="1" t="s">
        <v>67</v>
      </c>
      <c r="B23" s="6">
        <v>8</v>
      </c>
      <c r="C23" s="7">
        <v>0.5</v>
      </c>
      <c r="D23" s="8">
        <f t="shared" si="0"/>
        <v>4</v>
      </c>
      <c r="E23" s="6"/>
      <c r="F23" s="7"/>
      <c r="G23" s="8">
        <f t="shared" si="1"/>
        <v>0</v>
      </c>
      <c r="H23" s="6">
        <v>1</v>
      </c>
      <c r="I23" s="7">
        <v>1</v>
      </c>
      <c r="J23" s="8">
        <f t="shared" si="2"/>
        <v>1</v>
      </c>
      <c r="K23" s="6">
        <v>20</v>
      </c>
      <c r="L23" s="7">
        <v>0.45</v>
      </c>
      <c r="M23" s="8">
        <f t="shared" si="3"/>
        <v>9</v>
      </c>
      <c r="N23" s="6"/>
      <c r="O23" s="7"/>
      <c r="P23" s="8">
        <f t="shared" si="4"/>
        <v>0</v>
      </c>
      <c r="Q23" s="1"/>
      <c r="R23" s="6">
        <f t="shared" si="5"/>
        <v>29</v>
      </c>
      <c r="S23" s="9">
        <f t="shared" si="6"/>
        <v>0.48275862068965519</v>
      </c>
      <c r="T23" s="9">
        <f t="shared" si="7"/>
        <v>6.5315315315315314E-2</v>
      </c>
      <c r="U23" s="9">
        <f>R23 / _xlfn.XLOOKUP(A23, Jungle!A:A, Jungle!AA:AA)</f>
        <v>0.14795918367346939</v>
      </c>
      <c r="V23" s="1"/>
      <c r="W23" s="1"/>
    </row>
    <row r="24" spans="1:23" x14ac:dyDescent="0.25">
      <c r="A24" s="1" t="s">
        <v>73</v>
      </c>
      <c r="B24" s="6">
        <v>2</v>
      </c>
      <c r="C24" s="7">
        <v>0.5</v>
      </c>
      <c r="D24" s="8">
        <f t="shared" si="0"/>
        <v>1</v>
      </c>
      <c r="E24" s="6">
        <v>18</v>
      </c>
      <c r="F24" s="7">
        <v>0.61099999999999999</v>
      </c>
      <c r="G24" s="8">
        <f t="shared" si="1"/>
        <v>10.997999999999999</v>
      </c>
      <c r="H24" s="6">
        <v>9</v>
      </c>
      <c r="I24" s="7">
        <v>0.222</v>
      </c>
      <c r="J24" s="8">
        <f t="shared" si="2"/>
        <v>1.998</v>
      </c>
      <c r="K24" s="6">
        <v>7</v>
      </c>
      <c r="L24" s="7">
        <v>0.28599999999999998</v>
      </c>
      <c r="M24" s="8">
        <f t="shared" si="3"/>
        <v>2.0019999999999998</v>
      </c>
      <c r="N24" s="6"/>
      <c r="O24" s="7"/>
      <c r="P24" s="8">
        <f t="shared" si="4"/>
        <v>0</v>
      </c>
      <c r="Q24" s="1"/>
      <c r="R24" s="6">
        <f t="shared" si="5"/>
        <v>36</v>
      </c>
      <c r="S24" s="9">
        <f t="shared" si="6"/>
        <v>0.44438888888888883</v>
      </c>
      <c r="T24" s="9">
        <f t="shared" si="7"/>
        <v>8.1081081081081086E-2</v>
      </c>
      <c r="U24" s="9">
        <f>R24 / _xlfn.XLOOKUP(A24, Jungle!A:A, Jungle!AA:AA)</f>
        <v>6.4748201438848921E-2</v>
      </c>
      <c r="V24" s="1"/>
      <c r="W24" s="1"/>
    </row>
    <row r="25" spans="1:23" x14ac:dyDescent="0.25">
      <c r="A25" s="1" t="s">
        <v>195</v>
      </c>
      <c r="B25" s="6"/>
      <c r="C25" s="7"/>
      <c r="D25" s="8">
        <f t="shared" si="0"/>
        <v>0</v>
      </c>
      <c r="E25" s="6"/>
      <c r="F25" s="7"/>
      <c r="G25" s="8">
        <f t="shared" si="1"/>
        <v>0</v>
      </c>
      <c r="H25" s="6">
        <v>6</v>
      </c>
      <c r="I25" s="7">
        <v>0.33300000000000002</v>
      </c>
      <c r="J25" s="8">
        <f t="shared" si="2"/>
        <v>1.9980000000000002</v>
      </c>
      <c r="K25" s="6">
        <v>3</v>
      </c>
      <c r="L25" s="7">
        <v>0.66700000000000004</v>
      </c>
      <c r="M25" s="8">
        <f t="shared" si="3"/>
        <v>2.0010000000000003</v>
      </c>
      <c r="N25" s="6"/>
      <c r="O25" s="7"/>
      <c r="P25" s="8">
        <f t="shared" si="4"/>
        <v>0</v>
      </c>
      <c r="Q25" s="1"/>
      <c r="R25" s="6">
        <f t="shared" si="5"/>
        <v>9</v>
      </c>
      <c r="S25" s="9">
        <f t="shared" si="6"/>
        <v>0.44433333333333341</v>
      </c>
      <c r="T25" s="9">
        <f t="shared" si="7"/>
        <v>2.0270270270270271E-2</v>
      </c>
      <c r="U25" s="9">
        <f>R25 / _xlfn.XLOOKUP(A25, Jungle!A:A, Jungle!AA:AA)</f>
        <v>0.15</v>
      </c>
      <c r="V25" s="1"/>
      <c r="W25" s="1"/>
    </row>
    <row r="26" spans="1:23" x14ac:dyDescent="0.25">
      <c r="A26" s="1" t="s">
        <v>77</v>
      </c>
      <c r="B26" s="6"/>
      <c r="C26" s="7"/>
      <c r="D26" s="8">
        <f t="shared" si="0"/>
        <v>0</v>
      </c>
      <c r="E26" s="6"/>
      <c r="F26" s="7"/>
      <c r="G26" s="8">
        <f t="shared" si="1"/>
        <v>0</v>
      </c>
      <c r="H26" s="6"/>
      <c r="I26" s="7"/>
      <c r="J26" s="8">
        <f t="shared" si="2"/>
        <v>0</v>
      </c>
      <c r="K26" s="6">
        <v>7</v>
      </c>
      <c r="L26" s="7">
        <v>0.42899999999999999</v>
      </c>
      <c r="M26" s="8">
        <f t="shared" si="3"/>
        <v>3.0030000000000001</v>
      </c>
      <c r="N26" s="6"/>
      <c r="O26" s="7"/>
      <c r="P26" s="8">
        <f t="shared" si="4"/>
        <v>0</v>
      </c>
      <c r="Q26" s="1"/>
      <c r="R26" s="6">
        <f t="shared" si="5"/>
        <v>7</v>
      </c>
      <c r="S26" s="9">
        <f t="shared" si="6"/>
        <v>0.42899999999999999</v>
      </c>
      <c r="T26" s="9">
        <f t="shared" si="7"/>
        <v>1.5765765765765764E-2</v>
      </c>
      <c r="U26" s="9">
        <f>R26 / _xlfn.XLOOKUP(A26, Jungle!A:A, Jungle!AA:AA)</f>
        <v>5.1094890510948905E-2</v>
      </c>
      <c r="V26" s="1"/>
      <c r="W26" s="1"/>
    </row>
    <row r="27" spans="1:23" x14ac:dyDescent="0.25">
      <c r="A27" s="1" t="s">
        <v>95</v>
      </c>
      <c r="B27" s="6">
        <v>5</v>
      </c>
      <c r="C27" s="7">
        <v>0.6</v>
      </c>
      <c r="D27" s="8">
        <f t="shared" si="0"/>
        <v>3</v>
      </c>
      <c r="E27" s="6">
        <v>1</v>
      </c>
      <c r="F27" s="7">
        <v>1</v>
      </c>
      <c r="G27" s="8">
        <f t="shared" si="1"/>
        <v>1</v>
      </c>
      <c r="H27" s="6"/>
      <c r="I27" s="7"/>
      <c r="J27" s="8">
        <f t="shared" si="2"/>
        <v>0</v>
      </c>
      <c r="K27" s="6">
        <v>4</v>
      </c>
      <c r="L27" s="7">
        <v>0</v>
      </c>
      <c r="M27" s="8">
        <f t="shared" si="3"/>
        <v>0</v>
      </c>
      <c r="N27" s="6"/>
      <c r="O27" s="7"/>
      <c r="P27" s="8">
        <f t="shared" si="4"/>
        <v>0</v>
      </c>
      <c r="Q27" s="1"/>
      <c r="R27" s="6">
        <f t="shared" si="5"/>
        <v>10</v>
      </c>
      <c r="S27" s="9">
        <f t="shared" si="6"/>
        <v>0.4</v>
      </c>
      <c r="T27" s="9">
        <f t="shared" si="7"/>
        <v>2.2522522522522521E-2</v>
      </c>
      <c r="U27" s="9">
        <f>R27 / _xlfn.XLOOKUP(A27, Jungle!A:A, Jungle!AA:AA)</f>
        <v>5.9880239520958084E-2</v>
      </c>
      <c r="V27" s="1"/>
      <c r="W27" s="1"/>
    </row>
    <row r="28" spans="1:23" x14ac:dyDescent="0.25">
      <c r="A28" s="1" t="s">
        <v>83</v>
      </c>
      <c r="B28" s="6"/>
      <c r="C28" s="7"/>
      <c r="D28" s="8">
        <f t="shared" si="0"/>
        <v>0</v>
      </c>
      <c r="E28" s="6"/>
      <c r="F28" s="7"/>
      <c r="G28" s="8">
        <f t="shared" si="1"/>
        <v>0</v>
      </c>
      <c r="H28" s="6">
        <v>1</v>
      </c>
      <c r="I28" s="7">
        <v>0</v>
      </c>
      <c r="J28" s="8">
        <f t="shared" si="2"/>
        <v>0</v>
      </c>
      <c r="K28" s="6">
        <v>4</v>
      </c>
      <c r="L28" s="7">
        <v>0.5</v>
      </c>
      <c r="M28" s="8">
        <f t="shared" si="3"/>
        <v>2</v>
      </c>
      <c r="N28" s="6"/>
      <c r="O28" s="7"/>
      <c r="P28" s="8">
        <f t="shared" si="4"/>
        <v>0</v>
      </c>
      <c r="Q28" s="1"/>
      <c r="R28" s="6">
        <f t="shared" si="5"/>
        <v>5</v>
      </c>
      <c r="S28" s="9">
        <f t="shared" si="6"/>
        <v>0.4</v>
      </c>
      <c r="T28" s="9">
        <f t="shared" si="7"/>
        <v>1.1261261261261261E-2</v>
      </c>
      <c r="U28" s="9">
        <f>R28 / _xlfn.XLOOKUP(A28, Jungle!A:A, Jungle!AA:AA)</f>
        <v>6.097560975609756E-2</v>
      </c>
    </row>
    <row r="29" spans="1:23" x14ac:dyDescent="0.25">
      <c r="A29" s="1" t="s">
        <v>58</v>
      </c>
      <c r="B29" s="6">
        <v>6</v>
      </c>
      <c r="C29" s="7">
        <v>0.33300000000000002</v>
      </c>
      <c r="D29" s="8">
        <f t="shared" si="0"/>
        <v>1.9980000000000002</v>
      </c>
      <c r="E29" s="6">
        <v>2</v>
      </c>
      <c r="F29" s="7">
        <v>0.5</v>
      </c>
      <c r="G29" s="8">
        <f t="shared" si="1"/>
        <v>1</v>
      </c>
      <c r="H29" s="6">
        <v>2</v>
      </c>
      <c r="I29" s="7">
        <v>0</v>
      </c>
      <c r="J29" s="8">
        <f t="shared" si="2"/>
        <v>0</v>
      </c>
      <c r="K29" s="6"/>
      <c r="L29" s="7"/>
      <c r="M29" s="8">
        <f t="shared" si="3"/>
        <v>0</v>
      </c>
      <c r="N29" s="6"/>
      <c r="O29" s="7"/>
      <c r="P29" s="8">
        <f t="shared" si="4"/>
        <v>0</v>
      </c>
      <c r="Q29" s="1"/>
      <c r="R29" s="6">
        <f t="shared" si="5"/>
        <v>10</v>
      </c>
      <c r="S29" s="9">
        <f t="shared" si="6"/>
        <v>0.29980000000000001</v>
      </c>
      <c r="T29" s="9">
        <f t="shared" si="7"/>
        <v>2.2522522522522521E-2</v>
      </c>
      <c r="U29" s="9">
        <f>R29 / _xlfn.XLOOKUP(A29, Jungle!A:A, Jungle!AA:AA)</f>
        <v>0.21739130434782608</v>
      </c>
    </row>
    <row r="30" spans="1:23" x14ac:dyDescent="0.25">
      <c r="A30" s="1" t="s">
        <v>21</v>
      </c>
      <c r="B30" s="6"/>
      <c r="C30" s="7"/>
      <c r="D30" s="8">
        <f t="shared" si="0"/>
        <v>0</v>
      </c>
      <c r="E30" s="6">
        <v>2</v>
      </c>
      <c r="F30" s="7">
        <v>0.5</v>
      </c>
      <c r="G30" s="8">
        <f t="shared" si="1"/>
        <v>1</v>
      </c>
      <c r="H30" s="6">
        <v>2</v>
      </c>
      <c r="I30" s="7">
        <v>0</v>
      </c>
      <c r="J30" s="8">
        <f t="shared" si="2"/>
        <v>0</v>
      </c>
      <c r="K30" s="6"/>
      <c r="L30" s="7"/>
      <c r="M30" s="8">
        <f t="shared" si="3"/>
        <v>0</v>
      </c>
      <c r="N30" s="6"/>
      <c r="O30" s="7"/>
      <c r="P30" s="8">
        <f t="shared" si="4"/>
        <v>0</v>
      </c>
      <c r="Q30" s="1"/>
      <c r="R30" s="6">
        <f t="shared" si="5"/>
        <v>4</v>
      </c>
      <c r="S30" s="9">
        <f t="shared" si="6"/>
        <v>0.25</v>
      </c>
      <c r="T30" s="9">
        <f t="shared" si="7"/>
        <v>9.0090090090090089E-3</v>
      </c>
      <c r="U30" s="9">
        <f>R30 / _xlfn.XLOOKUP(A30, Jungle!A:A, Jungle!AA:AA)</f>
        <v>0.4</v>
      </c>
    </row>
    <row r="31" spans="1:23" x14ac:dyDescent="0.25">
      <c r="A31" s="1" t="s">
        <v>38</v>
      </c>
      <c r="B31" s="6">
        <v>5</v>
      </c>
      <c r="C31" s="7">
        <v>0</v>
      </c>
      <c r="D31" s="8">
        <f t="shared" si="0"/>
        <v>0</v>
      </c>
      <c r="E31" s="6"/>
      <c r="F31" s="7"/>
      <c r="G31" s="8">
        <f t="shared" si="1"/>
        <v>0</v>
      </c>
      <c r="H31" s="6"/>
      <c r="I31" s="7"/>
      <c r="J31" s="8">
        <f t="shared" si="2"/>
        <v>0</v>
      </c>
      <c r="K31" s="6"/>
      <c r="L31" s="7"/>
      <c r="M31" s="8">
        <f t="shared" si="3"/>
        <v>0</v>
      </c>
      <c r="N31" s="6"/>
      <c r="O31" s="7"/>
      <c r="P31" s="8">
        <f t="shared" si="4"/>
        <v>0</v>
      </c>
      <c r="Q31" s="1"/>
      <c r="R31" s="6">
        <f t="shared" si="5"/>
        <v>5</v>
      </c>
      <c r="S31" s="9">
        <f t="shared" si="6"/>
        <v>0</v>
      </c>
      <c r="T31" s="9">
        <f t="shared" si="7"/>
        <v>1.1261261261261261E-2</v>
      </c>
      <c r="U31" s="9">
        <f>R31 / _xlfn.XLOOKUP(A31, Jungle!A:A, Jungle!AA:AA)</f>
        <v>0.33333333333333331</v>
      </c>
    </row>
    <row r="32" spans="1:23" x14ac:dyDescent="0.25">
      <c r="A32" s="25" t="s">
        <v>211</v>
      </c>
      <c r="B32" s="6"/>
      <c r="C32" s="7"/>
      <c r="D32" s="8">
        <f t="shared" si="0"/>
        <v>0</v>
      </c>
      <c r="E32" s="6"/>
      <c r="F32" s="7"/>
      <c r="G32" s="8">
        <f t="shared" si="1"/>
        <v>0</v>
      </c>
      <c r="H32" s="6"/>
      <c r="I32" s="7"/>
      <c r="J32" s="8">
        <f t="shared" si="2"/>
        <v>0</v>
      </c>
      <c r="K32" s="6">
        <v>2</v>
      </c>
      <c r="L32" s="7">
        <v>0</v>
      </c>
      <c r="M32" s="8">
        <f t="shared" si="3"/>
        <v>0</v>
      </c>
      <c r="N32" s="6"/>
      <c r="O32" s="7"/>
      <c r="P32" s="8">
        <f t="shared" si="4"/>
        <v>0</v>
      </c>
      <c r="Q32" s="1"/>
      <c r="R32" s="6">
        <f t="shared" si="5"/>
        <v>2</v>
      </c>
      <c r="S32" s="9">
        <f t="shared" si="6"/>
        <v>0</v>
      </c>
      <c r="T32" s="9">
        <f t="shared" si="7"/>
        <v>4.5045045045045045E-3</v>
      </c>
      <c r="U32" s="9">
        <f>R32 / _xlfn.XLOOKUP(A32, Jungle!A:A, Jungle!AA:AA)</f>
        <v>2.6666666666666668E-2</v>
      </c>
    </row>
    <row r="33" spans="1:21" x14ac:dyDescent="0.25">
      <c r="A33" s="1" t="s">
        <v>92</v>
      </c>
      <c r="B33" s="6"/>
      <c r="C33" s="7"/>
      <c r="D33" s="8">
        <f t="shared" si="0"/>
        <v>0</v>
      </c>
      <c r="E33" s="6"/>
      <c r="F33" s="7"/>
      <c r="G33" s="8">
        <f t="shared" si="1"/>
        <v>0</v>
      </c>
      <c r="H33" s="6">
        <v>1</v>
      </c>
      <c r="I33" s="7">
        <v>0</v>
      </c>
      <c r="J33" s="8">
        <f t="shared" si="2"/>
        <v>0</v>
      </c>
      <c r="K33" s="6"/>
      <c r="L33" s="7"/>
      <c r="M33" s="8">
        <f t="shared" si="3"/>
        <v>0</v>
      </c>
      <c r="N33" s="6"/>
      <c r="O33" s="7"/>
      <c r="P33" s="8">
        <f t="shared" si="4"/>
        <v>0</v>
      </c>
      <c r="Q33" s="1"/>
      <c r="R33" s="6">
        <f t="shared" si="5"/>
        <v>1</v>
      </c>
      <c r="S33" s="9">
        <f t="shared" si="6"/>
        <v>0</v>
      </c>
      <c r="T33" s="9">
        <f t="shared" si="7"/>
        <v>2.2522522522522522E-3</v>
      </c>
      <c r="U33" s="9">
        <f>R33 / _xlfn.XLOOKUP(A33, Jungle!A:A, Jungle!AA:AA)</f>
        <v>0.04</v>
      </c>
    </row>
    <row r="34" spans="1:21" x14ac:dyDescent="0.25">
      <c r="A34" s="1" t="s">
        <v>74</v>
      </c>
      <c r="B34" s="6">
        <v>1</v>
      </c>
      <c r="C34" s="7">
        <v>0</v>
      </c>
      <c r="D34" s="8">
        <f t="shared" si="0"/>
        <v>0</v>
      </c>
      <c r="E34" s="6"/>
      <c r="F34" s="7"/>
      <c r="G34" s="8">
        <f t="shared" si="1"/>
        <v>0</v>
      </c>
      <c r="H34" s="6"/>
      <c r="I34" s="7"/>
      <c r="J34" s="8">
        <f t="shared" si="2"/>
        <v>0</v>
      </c>
      <c r="K34" s="6"/>
      <c r="L34" s="7"/>
      <c r="M34" s="8">
        <f t="shared" si="3"/>
        <v>0</v>
      </c>
      <c r="N34" s="6"/>
      <c r="O34" s="7"/>
      <c r="P34" s="8">
        <f t="shared" si="4"/>
        <v>0</v>
      </c>
      <c r="Q34" s="1"/>
      <c r="R34" s="6">
        <f t="shared" si="5"/>
        <v>1</v>
      </c>
      <c r="S34" s="9">
        <f t="shared" si="6"/>
        <v>0</v>
      </c>
      <c r="T34" s="9">
        <f t="shared" si="7"/>
        <v>2.2522522522522522E-3</v>
      </c>
      <c r="U34" s="9">
        <f>R34 / _xlfn.XLOOKUP(A34, Jungle!A:A, Jungle!AA:AA)</f>
        <v>3.5714285714285712E-2</v>
      </c>
    </row>
    <row r="35" spans="1:21" x14ac:dyDescent="0.25">
      <c r="A35" s="1" t="s">
        <v>82</v>
      </c>
      <c r="B35" s="6"/>
      <c r="C35" s="7"/>
      <c r="D35" s="8">
        <f t="shared" si="0"/>
        <v>0</v>
      </c>
      <c r="E35" s="6"/>
      <c r="F35" s="7"/>
      <c r="G35" s="8">
        <f t="shared" si="1"/>
        <v>0</v>
      </c>
      <c r="H35" s="6">
        <v>1</v>
      </c>
      <c r="I35" s="7">
        <v>0</v>
      </c>
      <c r="J35" s="8">
        <f t="shared" si="2"/>
        <v>0</v>
      </c>
      <c r="K35" s="6"/>
      <c r="L35" s="7"/>
      <c r="M35" s="8">
        <f t="shared" si="3"/>
        <v>0</v>
      </c>
      <c r="N35" s="6"/>
      <c r="O35" s="7"/>
      <c r="P35" s="8">
        <f t="shared" si="4"/>
        <v>0</v>
      </c>
      <c r="Q35" s="1"/>
      <c r="R35" s="6">
        <f t="shared" si="5"/>
        <v>1</v>
      </c>
      <c r="S35" s="9">
        <f t="shared" si="6"/>
        <v>0</v>
      </c>
      <c r="T35" s="9">
        <f t="shared" si="7"/>
        <v>2.2522522522522522E-3</v>
      </c>
      <c r="U35" s="9">
        <f>R35 / _xlfn.XLOOKUP(A35, Jungle!A:A, Jungle!AA:AA)</f>
        <v>1.5873015873015872E-2</v>
      </c>
    </row>
    <row r="36" spans="1:21" x14ac:dyDescent="0.25">
      <c r="A36" s="1" t="s">
        <v>16</v>
      </c>
      <c r="B36" s="6"/>
      <c r="C36" s="7"/>
      <c r="D36" s="8">
        <f t="shared" si="0"/>
        <v>0</v>
      </c>
      <c r="E36" s="6"/>
      <c r="F36" s="7"/>
      <c r="G36" s="8">
        <f t="shared" si="1"/>
        <v>0</v>
      </c>
      <c r="H36" s="6">
        <v>1</v>
      </c>
      <c r="I36" s="7">
        <v>0</v>
      </c>
      <c r="J36" s="8">
        <f t="shared" si="2"/>
        <v>0</v>
      </c>
      <c r="K36" s="6"/>
      <c r="L36" s="7"/>
      <c r="M36" s="8">
        <f t="shared" si="3"/>
        <v>0</v>
      </c>
      <c r="N36" s="6"/>
      <c r="O36" s="7"/>
      <c r="P36" s="8">
        <f t="shared" si="4"/>
        <v>0</v>
      </c>
      <c r="Q36" s="1"/>
      <c r="R36" s="6">
        <f t="shared" si="5"/>
        <v>1</v>
      </c>
      <c r="S36" s="9">
        <f t="shared" si="6"/>
        <v>0</v>
      </c>
      <c r="T36" s="9">
        <f t="shared" si="7"/>
        <v>2.2522522522522522E-3</v>
      </c>
      <c r="U36" s="9">
        <f>R36 / _xlfn.XLOOKUP(A36, Jungle!A:A, Jungle!AA:AA)</f>
        <v>4.3478260869565216E-2</v>
      </c>
    </row>
    <row r="37" spans="1:21" x14ac:dyDescent="0.25">
      <c r="A37" s="1" t="s">
        <v>88</v>
      </c>
      <c r="B37" s="6"/>
      <c r="C37" s="7"/>
      <c r="D37" s="8">
        <f t="shared" si="0"/>
        <v>0</v>
      </c>
      <c r="E37" s="6"/>
      <c r="F37" s="7"/>
      <c r="G37" s="8">
        <f t="shared" si="1"/>
        <v>0</v>
      </c>
      <c r="H37" s="6"/>
      <c r="I37" s="7"/>
      <c r="J37" s="8">
        <f t="shared" si="2"/>
        <v>0</v>
      </c>
      <c r="K37" s="6">
        <v>1</v>
      </c>
      <c r="L37" s="7">
        <v>0</v>
      </c>
      <c r="M37" s="8">
        <f t="shared" si="3"/>
        <v>0</v>
      </c>
      <c r="N37" s="6"/>
      <c r="O37" s="7"/>
      <c r="P37" s="8">
        <f t="shared" si="4"/>
        <v>0</v>
      </c>
      <c r="Q37" s="1"/>
      <c r="R37" s="6">
        <f t="shared" si="5"/>
        <v>1</v>
      </c>
      <c r="S37" s="9">
        <f t="shared" si="6"/>
        <v>0</v>
      </c>
      <c r="T37" s="9">
        <f t="shared" si="7"/>
        <v>2.2522522522522522E-3</v>
      </c>
      <c r="U37" s="9">
        <f>R37 / _xlfn.XLOOKUP(A37, Jungle!A:A, Jungle!AA:AA)</f>
        <v>0.04</v>
      </c>
    </row>
    <row r="38" spans="1:21" x14ac:dyDescent="0.25">
      <c r="A38" s="1" t="s">
        <v>100</v>
      </c>
      <c r="B38" s="6"/>
      <c r="C38" s="7"/>
      <c r="D38" s="8">
        <f t="shared" si="0"/>
        <v>0</v>
      </c>
      <c r="E38" s="6"/>
      <c r="F38" s="7"/>
      <c r="G38" s="8">
        <f t="shared" si="1"/>
        <v>0</v>
      </c>
      <c r="H38" s="6">
        <v>1</v>
      </c>
      <c r="I38" s="7">
        <v>0</v>
      </c>
      <c r="J38" s="8">
        <f t="shared" si="2"/>
        <v>0</v>
      </c>
      <c r="K38" s="6"/>
      <c r="L38" s="7"/>
      <c r="M38" s="8">
        <f t="shared" si="3"/>
        <v>0</v>
      </c>
      <c r="N38" s="6"/>
      <c r="O38" s="7"/>
      <c r="P38" s="8">
        <f t="shared" si="4"/>
        <v>0</v>
      </c>
      <c r="Q38" s="1"/>
      <c r="R38" s="6">
        <f t="shared" si="5"/>
        <v>1</v>
      </c>
      <c r="S38" s="9">
        <f t="shared" si="6"/>
        <v>0</v>
      </c>
      <c r="T38" s="9">
        <f t="shared" si="7"/>
        <v>2.2522522522522522E-3</v>
      </c>
      <c r="U38" s="9">
        <f>R38 / _xlfn.XLOOKUP(A38, Jungle!A:A, Jungle!AA:AA)</f>
        <v>0.1</v>
      </c>
    </row>
    <row r="39" spans="1:21" x14ac:dyDescent="0.25">
      <c r="N39" s="6"/>
      <c r="O39" s="7"/>
      <c r="P39" s="8">
        <f t="shared" ref="P39:P44" si="8">N39*O39</f>
        <v>0</v>
      </c>
      <c r="Q39" s="1"/>
      <c r="R39" s="6">
        <f t="shared" ref="R39:R44" si="9">B39+E39+H39+K39+N39</f>
        <v>0</v>
      </c>
      <c r="S39" s="9" t="e">
        <f t="shared" ref="S39:S44" si="10">(D39+G39+J39+M39+P39)/R39</f>
        <v>#DIV/0!</v>
      </c>
      <c r="T39" s="9">
        <f t="shared" ref="T39:T44" si="11">R39/$V$3</f>
        <v>0</v>
      </c>
      <c r="U39" s="9" t="e">
        <f>R39 / _xlfn.XLOOKUP(A39, Jungle!A:A, Jungle!AA:AA)</f>
        <v>#DIV/0!</v>
      </c>
    </row>
    <row r="40" spans="1:21" x14ac:dyDescent="0.25">
      <c r="N40" s="6"/>
      <c r="O40" s="7"/>
      <c r="P40" s="8">
        <f t="shared" si="8"/>
        <v>0</v>
      </c>
      <c r="Q40" s="1"/>
      <c r="R40" s="6">
        <f t="shared" si="9"/>
        <v>0</v>
      </c>
      <c r="S40" s="9" t="e">
        <f t="shared" si="10"/>
        <v>#DIV/0!</v>
      </c>
      <c r="T40" s="9">
        <f t="shared" si="11"/>
        <v>0</v>
      </c>
      <c r="U40" s="9" t="e">
        <f>R40 / _xlfn.XLOOKUP(A40, Jungle!A:A, Jungle!AA:AA)</f>
        <v>#DIV/0!</v>
      </c>
    </row>
    <row r="41" spans="1:21" x14ac:dyDescent="0.25">
      <c r="N41" s="6"/>
      <c r="O41" s="7"/>
      <c r="P41" s="8">
        <f t="shared" si="8"/>
        <v>0</v>
      </c>
      <c r="Q41" s="1"/>
      <c r="R41" s="6">
        <f t="shared" si="9"/>
        <v>0</v>
      </c>
      <c r="S41" s="9" t="e">
        <f t="shared" si="10"/>
        <v>#DIV/0!</v>
      </c>
      <c r="T41" s="9">
        <f t="shared" si="11"/>
        <v>0</v>
      </c>
      <c r="U41" s="9" t="e">
        <f>R41 / _xlfn.XLOOKUP(A41, Jungle!A:A, Jungle!AA:AA)</f>
        <v>#DIV/0!</v>
      </c>
    </row>
    <row r="42" spans="1:21" x14ac:dyDescent="0.25">
      <c r="N42" s="6"/>
      <c r="O42" s="7"/>
      <c r="P42" s="8">
        <f t="shared" si="8"/>
        <v>0</v>
      </c>
      <c r="Q42" s="1"/>
      <c r="R42" s="6">
        <f t="shared" si="9"/>
        <v>0</v>
      </c>
      <c r="S42" s="9" t="e">
        <f t="shared" si="10"/>
        <v>#DIV/0!</v>
      </c>
      <c r="T42" s="9">
        <f t="shared" si="11"/>
        <v>0</v>
      </c>
      <c r="U42" s="9" t="e">
        <f>R42 / _xlfn.XLOOKUP(A42, Jungle!A:A, Jungle!AA:AA)</f>
        <v>#DIV/0!</v>
      </c>
    </row>
    <row r="43" spans="1:21" x14ac:dyDescent="0.25">
      <c r="N43" s="6"/>
      <c r="O43" s="7"/>
      <c r="P43" s="8">
        <f t="shared" si="8"/>
        <v>0</v>
      </c>
      <c r="Q43" s="1"/>
      <c r="R43" s="6">
        <f t="shared" si="9"/>
        <v>0</v>
      </c>
      <c r="S43" s="9" t="e">
        <f t="shared" si="10"/>
        <v>#DIV/0!</v>
      </c>
      <c r="T43" s="9">
        <f t="shared" si="11"/>
        <v>0</v>
      </c>
      <c r="U43" s="9" t="e">
        <f>R43 / _xlfn.XLOOKUP(A43, Jungle!A:A, Jungle!AA:AA)</f>
        <v>#DIV/0!</v>
      </c>
    </row>
    <row r="44" spans="1:21" x14ac:dyDescent="0.25">
      <c r="N44" s="6"/>
      <c r="O44" s="7"/>
      <c r="P44" s="8">
        <f t="shared" si="8"/>
        <v>0</v>
      </c>
      <c r="Q44" s="1"/>
      <c r="R44" s="6">
        <f t="shared" si="9"/>
        <v>0</v>
      </c>
      <c r="S44" s="9" t="e">
        <f t="shared" si="10"/>
        <v>#DIV/0!</v>
      </c>
      <c r="T44" s="9">
        <f t="shared" si="11"/>
        <v>0</v>
      </c>
      <c r="U44" s="9" t="e">
        <f>R44 / _xlfn.XLOOKUP(A44, Jungle!A:A, Jungle!AA:AA)</f>
        <v>#DIV/0!</v>
      </c>
    </row>
  </sheetData>
  <sortState xmlns:xlrd2="http://schemas.microsoft.com/office/spreadsheetml/2017/richdata2" ref="A3:U38">
    <sortCondition descending="1" ref="S3:S38"/>
  </sortState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0698F-A03C-4D00-9498-EF4E36B2FAE4}">
  <sheetPr>
    <tabColor theme="6" tint="0.59999389629810485"/>
  </sheetPr>
  <dimension ref="A1:W31"/>
  <sheetViews>
    <sheetView workbookViewId="0">
      <selection activeCell="O33" sqref="O33"/>
    </sheetView>
  </sheetViews>
  <sheetFormatPr baseColWidth="10" defaultRowHeight="15" x14ac:dyDescent="0.25"/>
  <sheetData>
    <row r="1" spans="1:23" ht="15.75" x14ac:dyDescent="0.25">
      <c r="A1" s="2" t="s">
        <v>232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84</v>
      </c>
      <c r="B3" s="6"/>
      <c r="C3" s="7"/>
      <c r="D3" s="8">
        <f t="shared" ref="D3:D24" si="0">B3*C3</f>
        <v>0</v>
      </c>
      <c r="E3" s="6"/>
      <c r="F3" s="7"/>
      <c r="G3" s="8">
        <f t="shared" ref="G3:G24" si="1">E3*F3</f>
        <v>0</v>
      </c>
      <c r="H3" s="6"/>
      <c r="I3" s="7"/>
      <c r="J3" s="8">
        <f t="shared" ref="J3:J24" si="2">H3*I3</f>
        <v>0</v>
      </c>
      <c r="K3" s="6"/>
      <c r="L3" s="7"/>
      <c r="M3" s="8">
        <f t="shared" ref="M3:M24" si="3">K3*L3</f>
        <v>0</v>
      </c>
      <c r="N3" s="6"/>
      <c r="O3" s="7"/>
      <c r="P3" s="8">
        <f t="shared" ref="P3:P24" si="4">N3*O3</f>
        <v>0</v>
      </c>
      <c r="Q3" s="1"/>
      <c r="R3" s="6">
        <f t="shared" ref="R3:R24" si="5">B3+E3+H3+K3+N3</f>
        <v>0</v>
      </c>
      <c r="S3" s="9" t="e">
        <f t="shared" ref="S3:S24" si="6">(D3+G3+J3+M3+P3)/R3</f>
        <v>#DIV/0!</v>
      </c>
      <c r="T3" s="9">
        <f t="shared" ref="T3:T24" si="7">R3/$V$3</f>
        <v>0</v>
      </c>
      <c r="U3" s="9">
        <f>R3 / _xlfn.XLOOKUP(A3, Jungle!A:A, Jungle!AA:AA)</f>
        <v>0</v>
      </c>
      <c r="V3" s="11">
        <f>SUM(R3:R45)</f>
        <v>157</v>
      </c>
      <c r="W3" s="12">
        <f>(SUM(D3:D75)+SUM(G3:G75)+SUM(J3:J75)+SUM(M3:M75)+SUM(P3:P75)) / V3</f>
        <v>0.35022292993630572</v>
      </c>
    </row>
    <row r="4" spans="1:23" x14ac:dyDescent="0.25">
      <c r="A4" s="1" t="s">
        <v>21</v>
      </c>
      <c r="B4" s="6"/>
      <c r="C4" s="7"/>
      <c r="D4" s="8">
        <f t="shared" si="0"/>
        <v>0</v>
      </c>
      <c r="E4" s="6"/>
      <c r="F4" s="7"/>
      <c r="G4" s="8">
        <f t="shared" si="1"/>
        <v>0</v>
      </c>
      <c r="H4" s="6"/>
      <c r="I4" s="7"/>
      <c r="J4" s="8">
        <f t="shared" si="2"/>
        <v>0</v>
      </c>
      <c r="K4" s="6">
        <v>1</v>
      </c>
      <c r="L4" s="7">
        <v>1</v>
      </c>
      <c r="M4" s="8">
        <f t="shared" si="3"/>
        <v>1</v>
      </c>
      <c r="N4" s="6"/>
      <c r="O4" s="7"/>
      <c r="P4" s="8">
        <f t="shared" si="4"/>
        <v>0</v>
      </c>
      <c r="Q4" s="1"/>
      <c r="R4" s="6">
        <f t="shared" si="5"/>
        <v>1</v>
      </c>
      <c r="S4" s="9">
        <f t="shared" si="6"/>
        <v>1</v>
      </c>
      <c r="T4" s="9">
        <f t="shared" si="7"/>
        <v>6.369426751592357E-3</v>
      </c>
      <c r="U4" s="9">
        <f>R4 / _xlfn.XLOOKUP(A4, Jungle!A:A, Jungle!AA:AA)</f>
        <v>0.1</v>
      </c>
      <c r="V4" s="1"/>
      <c r="W4" s="1"/>
    </row>
    <row r="5" spans="1:23" x14ac:dyDescent="0.25">
      <c r="A5" s="1" t="s">
        <v>83</v>
      </c>
      <c r="B5" s="6"/>
      <c r="C5" s="7"/>
      <c r="D5" s="8">
        <f t="shared" si="0"/>
        <v>0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>
        <v>4</v>
      </c>
      <c r="L5" s="7">
        <v>0.75</v>
      </c>
      <c r="M5" s="8">
        <f t="shared" si="3"/>
        <v>3</v>
      </c>
      <c r="N5" s="6"/>
      <c r="O5" s="7"/>
      <c r="P5" s="8">
        <f t="shared" si="4"/>
        <v>0</v>
      </c>
      <c r="Q5" s="1"/>
      <c r="R5" s="6">
        <f t="shared" si="5"/>
        <v>4</v>
      </c>
      <c r="S5" s="9">
        <f t="shared" si="6"/>
        <v>0.75</v>
      </c>
      <c r="T5" s="9">
        <f t="shared" si="7"/>
        <v>2.5477707006369428E-2</v>
      </c>
      <c r="U5" s="9">
        <f>R5 / _xlfn.XLOOKUP(A5, Jungle!A:A, Jungle!AA:AA)</f>
        <v>4.878048780487805E-2</v>
      </c>
      <c r="V5" s="1"/>
      <c r="W5" s="1"/>
    </row>
    <row r="6" spans="1:23" x14ac:dyDescent="0.25">
      <c r="A6" s="1" t="s">
        <v>31</v>
      </c>
      <c r="B6" s="6"/>
      <c r="C6" s="7"/>
      <c r="D6" s="8">
        <f t="shared" si="0"/>
        <v>0</v>
      </c>
      <c r="E6" s="6"/>
      <c r="F6" s="7"/>
      <c r="G6" s="8">
        <f t="shared" si="1"/>
        <v>0</v>
      </c>
      <c r="H6" s="6">
        <v>3</v>
      </c>
      <c r="I6" s="7">
        <v>0.33300000000000002</v>
      </c>
      <c r="J6" s="8">
        <f t="shared" si="2"/>
        <v>0.99900000000000011</v>
      </c>
      <c r="K6" s="6">
        <v>10</v>
      </c>
      <c r="L6" s="7">
        <v>0.7</v>
      </c>
      <c r="M6" s="8">
        <f t="shared" si="3"/>
        <v>7</v>
      </c>
      <c r="N6" s="6"/>
      <c r="O6" s="7"/>
      <c r="P6" s="8">
        <f t="shared" si="4"/>
        <v>0</v>
      </c>
      <c r="Q6" s="1"/>
      <c r="R6" s="6">
        <f t="shared" si="5"/>
        <v>13</v>
      </c>
      <c r="S6" s="9">
        <f t="shared" si="6"/>
        <v>0.61530769230769233</v>
      </c>
      <c r="T6" s="9">
        <f t="shared" si="7"/>
        <v>8.2802547770700632E-2</v>
      </c>
      <c r="U6" s="9">
        <f>R6 / _xlfn.XLOOKUP(A6, Jungle!A:A, Jungle!AA:AA)</f>
        <v>4.9618320610687022E-2</v>
      </c>
      <c r="V6" s="1"/>
      <c r="W6" s="1"/>
    </row>
    <row r="7" spans="1:23" x14ac:dyDescent="0.25">
      <c r="A7" s="1" t="s">
        <v>77</v>
      </c>
      <c r="B7" s="6"/>
      <c r="C7" s="7"/>
      <c r="D7" s="8">
        <f t="shared" si="0"/>
        <v>0</v>
      </c>
      <c r="E7" s="6"/>
      <c r="F7" s="7"/>
      <c r="G7" s="8">
        <f t="shared" si="1"/>
        <v>0</v>
      </c>
      <c r="H7" s="6"/>
      <c r="I7" s="7"/>
      <c r="J7" s="8">
        <f t="shared" si="2"/>
        <v>0</v>
      </c>
      <c r="K7" s="6">
        <v>8</v>
      </c>
      <c r="L7" s="7">
        <v>0.5</v>
      </c>
      <c r="M7" s="8">
        <f t="shared" si="3"/>
        <v>4</v>
      </c>
      <c r="N7" s="6"/>
      <c r="O7" s="7"/>
      <c r="P7" s="8">
        <f t="shared" si="4"/>
        <v>0</v>
      </c>
      <c r="Q7" s="1"/>
      <c r="R7" s="6">
        <f t="shared" si="5"/>
        <v>8</v>
      </c>
      <c r="S7" s="9">
        <f t="shared" si="6"/>
        <v>0.5</v>
      </c>
      <c r="T7" s="9">
        <f t="shared" si="7"/>
        <v>5.0955414012738856E-2</v>
      </c>
      <c r="U7" s="9">
        <f>R7 / _xlfn.XLOOKUP(A7, Jungle!A:A, Jungle!AA:AA)</f>
        <v>5.8394160583941604E-2</v>
      </c>
      <c r="V7" s="1"/>
      <c r="W7" s="1"/>
    </row>
    <row r="8" spans="1:23" x14ac:dyDescent="0.25">
      <c r="A8" s="1" t="s">
        <v>69</v>
      </c>
      <c r="B8" s="6">
        <v>1</v>
      </c>
      <c r="C8" s="7">
        <v>0</v>
      </c>
      <c r="D8" s="8">
        <f t="shared" si="0"/>
        <v>0</v>
      </c>
      <c r="E8" s="6"/>
      <c r="F8" s="7"/>
      <c r="G8" s="8">
        <f t="shared" si="1"/>
        <v>0</v>
      </c>
      <c r="H8" s="6">
        <v>2</v>
      </c>
      <c r="I8" s="7">
        <v>1</v>
      </c>
      <c r="J8" s="8">
        <f t="shared" si="2"/>
        <v>2</v>
      </c>
      <c r="K8" s="6">
        <v>5</v>
      </c>
      <c r="L8" s="7">
        <v>0.4</v>
      </c>
      <c r="M8" s="8">
        <f t="shared" si="3"/>
        <v>2</v>
      </c>
      <c r="N8" s="6"/>
      <c r="O8" s="7"/>
      <c r="P8" s="8">
        <f t="shared" si="4"/>
        <v>0</v>
      </c>
      <c r="Q8" s="1"/>
      <c r="R8" s="6">
        <f t="shared" si="5"/>
        <v>8</v>
      </c>
      <c r="S8" s="9">
        <f t="shared" si="6"/>
        <v>0.5</v>
      </c>
      <c r="T8" s="9">
        <f t="shared" si="7"/>
        <v>5.0955414012738856E-2</v>
      </c>
      <c r="U8" s="9">
        <f>R8 / _xlfn.XLOOKUP(A8, Jungle!A:A, Jungle!AA:AA)</f>
        <v>1.7817371937639197E-2</v>
      </c>
      <c r="V8" s="1"/>
      <c r="W8" s="1"/>
    </row>
    <row r="9" spans="1:23" x14ac:dyDescent="0.25">
      <c r="A9" s="1" t="s">
        <v>26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>
        <v>7</v>
      </c>
      <c r="I9" s="7">
        <v>0.57099999999999995</v>
      </c>
      <c r="J9" s="8">
        <f t="shared" si="2"/>
        <v>3.9969999999999999</v>
      </c>
      <c r="K9" s="6">
        <v>21</v>
      </c>
      <c r="L9" s="7">
        <v>0.47599999999999998</v>
      </c>
      <c r="M9" s="8">
        <f t="shared" si="3"/>
        <v>9.9959999999999987</v>
      </c>
      <c r="N9" s="6"/>
      <c r="O9" s="7"/>
      <c r="P9" s="8">
        <f t="shared" si="4"/>
        <v>0</v>
      </c>
      <c r="Q9" s="4"/>
      <c r="R9" s="6">
        <f t="shared" si="5"/>
        <v>28</v>
      </c>
      <c r="S9" s="9">
        <f t="shared" si="6"/>
        <v>0.49974999999999997</v>
      </c>
      <c r="T9" s="9">
        <f t="shared" si="7"/>
        <v>0.17834394904458598</v>
      </c>
      <c r="U9" s="9">
        <f>R9 / _xlfn.XLOOKUP(A9, Jungle!A:A, Jungle!AA:AA)</f>
        <v>4.4094488188976377E-2</v>
      </c>
      <c r="V9" s="1"/>
      <c r="W9" s="1"/>
    </row>
    <row r="10" spans="1:23" x14ac:dyDescent="0.25">
      <c r="A10" s="1" t="s">
        <v>73</v>
      </c>
      <c r="B10" s="6"/>
      <c r="C10" s="7"/>
      <c r="D10" s="8">
        <f t="shared" si="0"/>
        <v>0</v>
      </c>
      <c r="E10" s="6"/>
      <c r="F10" s="7"/>
      <c r="G10" s="8">
        <f t="shared" si="1"/>
        <v>0</v>
      </c>
      <c r="H10" s="6">
        <v>1</v>
      </c>
      <c r="I10" s="7">
        <v>0</v>
      </c>
      <c r="J10" s="8">
        <f t="shared" si="2"/>
        <v>0</v>
      </c>
      <c r="K10" s="6">
        <v>9</v>
      </c>
      <c r="L10" s="7">
        <v>0.44400000000000001</v>
      </c>
      <c r="M10" s="8">
        <f t="shared" si="3"/>
        <v>3.996</v>
      </c>
      <c r="N10" s="6"/>
      <c r="O10" s="7"/>
      <c r="P10" s="8">
        <f t="shared" si="4"/>
        <v>0</v>
      </c>
      <c r="Q10" s="1"/>
      <c r="R10" s="6">
        <f t="shared" si="5"/>
        <v>10</v>
      </c>
      <c r="S10" s="9">
        <f t="shared" si="6"/>
        <v>0.39960000000000001</v>
      </c>
      <c r="T10" s="9">
        <f t="shared" si="7"/>
        <v>6.3694267515923567E-2</v>
      </c>
      <c r="U10" s="9">
        <f>R10 / _xlfn.XLOOKUP(A10, Jungle!A:A, Jungle!AA:AA)</f>
        <v>1.7985611510791366E-2</v>
      </c>
      <c r="V10" s="1"/>
      <c r="W10" s="1"/>
    </row>
    <row r="11" spans="1:23" x14ac:dyDescent="0.25">
      <c r="A11" s="1" t="s">
        <v>72</v>
      </c>
      <c r="B11" s="6"/>
      <c r="C11" s="7"/>
      <c r="D11" s="8">
        <f t="shared" si="0"/>
        <v>0</v>
      </c>
      <c r="E11" s="6"/>
      <c r="F11" s="7"/>
      <c r="G11" s="8">
        <f t="shared" si="1"/>
        <v>0</v>
      </c>
      <c r="H11" s="6"/>
      <c r="I11" s="7"/>
      <c r="J11" s="8">
        <f t="shared" si="2"/>
        <v>0</v>
      </c>
      <c r="K11" s="6">
        <v>9</v>
      </c>
      <c r="L11" s="7">
        <v>0.33300000000000002</v>
      </c>
      <c r="M11" s="8">
        <f t="shared" si="3"/>
        <v>2.9970000000000003</v>
      </c>
      <c r="N11" s="6"/>
      <c r="O11" s="7"/>
      <c r="P11" s="8">
        <f t="shared" si="4"/>
        <v>0</v>
      </c>
      <c r="Q11" s="1"/>
      <c r="R11" s="6">
        <f t="shared" si="5"/>
        <v>9</v>
      </c>
      <c r="S11" s="9">
        <f t="shared" si="6"/>
        <v>0.33300000000000002</v>
      </c>
      <c r="T11" s="9">
        <f t="shared" si="7"/>
        <v>5.7324840764331211E-2</v>
      </c>
      <c r="U11" s="9">
        <f>R11 / _xlfn.XLOOKUP(A11, Jungle!A:A, Jungle!AA:AA)</f>
        <v>4.9723756906077346E-2</v>
      </c>
      <c r="V11" s="1"/>
      <c r="W11" s="1"/>
    </row>
    <row r="12" spans="1:23" x14ac:dyDescent="0.25">
      <c r="A12" s="25" t="s">
        <v>211</v>
      </c>
      <c r="B12" s="6"/>
      <c r="C12" s="7"/>
      <c r="D12" s="8">
        <f t="shared" si="0"/>
        <v>0</v>
      </c>
      <c r="E12" s="6"/>
      <c r="F12" s="7"/>
      <c r="G12" s="8">
        <f t="shared" si="1"/>
        <v>0</v>
      </c>
      <c r="H12" s="6"/>
      <c r="I12" s="7"/>
      <c r="J12" s="8">
        <f t="shared" si="2"/>
        <v>0</v>
      </c>
      <c r="K12" s="6">
        <v>3</v>
      </c>
      <c r="L12" s="7">
        <v>0.33300000000000002</v>
      </c>
      <c r="M12" s="8">
        <f t="shared" si="3"/>
        <v>0.99900000000000011</v>
      </c>
      <c r="N12" s="6"/>
      <c r="O12" s="7"/>
      <c r="P12" s="8">
        <f t="shared" si="4"/>
        <v>0</v>
      </c>
      <c r="Q12" s="1"/>
      <c r="R12" s="6">
        <f t="shared" si="5"/>
        <v>3</v>
      </c>
      <c r="S12" s="9">
        <f t="shared" si="6"/>
        <v>0.33300000000000002</v>
      </c>
      <c r="T12" s="9">
        <f t="shared" si="7"/>
        <v>1.9108280254777069E-2</v>
      </c>
      <c r="U12" s="9">
        <f>R12 / _xlfn.XLOOKUP(A12, Jungle!A:A, Jungle!AA:AA)</f>
        <v>0.04</v>
      </c>
      <c r="V12" s="1"/>
      <c r="W12" s="1"/>
    </row>
    <row r="13" spans="1:23" x14ac:dyDescent="0.25">
      <c r="A13" s="1" t="s">
        <v>76</v>
      </c>
      <c r="B13" s="6"/>
      <c r="C13" s="7"/>
      <c r="D13" s="8">
        <f t="shared" si="0"/>
        <v>0</v>
      </c>
      <c r="E13" s="6"/>
      <c r="F13" s="7"/>
      <c r="G13" s="8">
        <f t="shared" si="1"/>
        <v>0</v>
      </c>
      <c r="H13" s="6"/>
      <c r="I13" s="7"/>
      <c r="J13" s="8">
        <f t="shared" si="2"/>
        <v>0</v>
      </c>
      <c r="K13" s="6">
        <v>3</v>
      </c>
      <c r="L13" s="7">
        <v>0.33300000000000002</v>
      </c>
      <c r="M13" s="8">
        <f t="shared" si="3"/>
        <v>0.99900000000000011</v>
      </c>
      <c r="N13" s="6"/>
      <c r="O13" s="7"/>
      <c r="P13" s="8">
        <f t="shared" si="4"/>
        <v>0</v>
      </c>
      <c r="Q13" s="1"/>
      <c r="R13" s="6">
        <f t="shared" si="5"/>
        <v>3</v>
      </c>
      <c r="S13" s="9">
        <f t="shared" si="6"/>
        <v>0.33300000000000002</v>
      </c>
      <c r="T13" s="9">
        <f t="shared" si="7"/>
        <v>1.9108280254777069E-2</v>
      </c>
      <c r="U13" s="9">
        <f>R13 / _xlfn.XLOOKUP(A13, Jungle!A:A, Jungle!AA:AA)</f>
        <v>2.2556390977443608E-2</v>
      </c>
      <c r="V13" s="1"/>
      <c r="W13" s="1"/>
    </row>
    <row r="14" spans="1:23" x14ac:dyDescent="0.25">
      <c r="A14" s="1" t="s">
        <v>30</v>
      </c>
      <c r="B14" s="6"/>
      <c r="C14" s="7"/>
      <c r="D14" s="8">
        <f t="shared" si="0"/>
        <v>0</v>
      </c>
      <c r="E14" s="6"/>
      <c r="F14" s="7"/>
      <c r="G14" s="8">
        <f t="shared" si="1"/>
        <v>0</v>
      </c>
      <c r="H14" s="6">
        <v>3</v>
      </c>
      <c r="I14" s="7">
        <v>0.33300000000000002</v>
      </c>
      <c r="J14" s="8">
        <f t="shared" si="2"/>
        <v>0.99900000000000011</v>
      </c>
      <c r="K14" s="6">
        <v>7</v>
      </c>
      <c r="L14" s="7">
        <v>0.28599999999999998</v>
      </c>
      <c r="M14" s="8">
        <f t="shared" si="3"/>
        <v>2.0019999999999998</v>
      </c>
      <c r="N14" s="6"/>
      <c r="O14" s="7"/>
      <c r="P14" s="8">
        <f t="shared" si="4"/>
        <v>0</v>
      </c>
      <c r="Q14" s="4"/>
      <c r="R14" s="6">
        <f t="shared" si="5"/>
        <v>10</v>
      </c>
      <c r="S14" s="9">
        <f t="shared" si="6"/>
        <v>0.30009999999999998</v>
      </c>
      <c r="T14" s="9">
        <f t="shared" si="7"/>
        <v>6.3694267515923567E-2</v>
      </c>
      <c r="U14" s="9">
        <f>R14 / _xlfn.XLOOKUP(A14, Jungle!A:A, Jungle!AA:AA)</f>
        <v>2.4937655860349128E-2</v>
      </c>
      <c r="V14" s="1"/>
      <c r="W14" s="1"/>
    </row>
    <row r="15" spans="1:23" x14ac:dyDescent="0.25">
      <c r="A15" s="1" t="s">
        <v>70</v>
      </c>
      <c r="B15" s="6"/>
      <c r="C15" s="7"/>
      <c r="D15" s="8">
        <f t="shared" si="0"/>
        <v>0</v>
      </c>
      <c r="E15" s="6"/>
      <c r="F15" s="7"/>
      <c r="G15" s="8">
        <f t="shared" si="1"/>
        <v>0</v>
      </c>
      <c r="H15" s="6">
        <v>6</v>
      </c>
      <c r="I15" s="32">
        <v>0</v>
      </c>
      <c r="J15" s="8">
        <f t="shared" si="2"/>
        <v>0</v>
      </c>
      <c r="K15" s="6">
        <v>15</v>
      </c>
      <c r="L15" s="7">
        <v>0.4</v>
      </c>
      <c r="M15" s="8">
        <f t="shared" si="3"/>
        <v>6</v>
      </c>
      <c r="N15" s="6"/>
      <c r="O15" s="7"/>
      <c r="P15" s="8">
        <f t="shared" si="4"/>
        <v>0</v>
      </c>
      <c r="Q15" s="1"/>
      <c r="R15" s="6">
        <f t="shared" si="5"/>
        <v>21</v>
      </c>
      <c r="S15" s="9">
        <f t="shared" si="6"/>
        <v>0.2857142857142857</v>
      </c>
      <c r="T15" s="9">
        <f t="shared" si="7"/>
        <v>0.13375796178343949</v>
      </c>
      <c r="U15" s="9">
        <f>R15 / _xlfn.XLOOKUP(A15, Jungle!A:A, Jungle!AA:AA)</f>
        <v>4.2253521126760563E-2</v>
      </c>
    </row>
    <row r="16" spans="1:23" x14ac:dyDescent="0.25">
      <c r="A16" s="1" t="s">
        <v>95</v>
      </c>
      <c r="B16" s="6"/>
      <c r="C16" s="7"/>
      <c r="D16" s="8">
        <f t="shared" si="0"/>
        <v>0</v>
      </c>
      <c r="E16" s="6"/>
      <c r="F16" s="7"/>
      <c r="G16" s="8">
        <f t="shared" si="1"/>
        <v>0</v>
      </c>
      <c r="H16" s="6"/>
      <c r="I16" s="7"/>
      <c r="J16" s="8">
        <f t="shared" si="2"/>
        <v>0</v>
      </c>
      <c r="K16" s="6">
        <v>5</v>
      </c>
      <c r="L16" s="7">
        <v>0.2</v>
      </c>
      <c r="M16" s="8">
        <f t="shared" si="3"/>
        <v>1</v>
      </c>
      <c r="N16" s="6"/>
      <c r="O16" s="7"/>
      <c r="P16" s="8">
        <f t="shared" si="4"/>
        <v>0</v>
      </c>
      <c r="Q16" s="13"/>
      <c r="R16" s="6">
        <f t="shared" si="5"/>
        <v>5</v>
      </c>
      <c r="S16" s="9">
        <f t="shared" si="6"/>
        <v>0.2</v>
      </c>
      <c r="T16" s="9">
        <f t="shared" si="7"/>
        <v>3.1847133757961783E-2</v>
      </c>
      <c r="U16" s="9">
        <f>R16 / _xlfn.XLOOKUP(A16, Jungle!A:A, Jungle!AA:AA)</f>
        <v>2.9940119760479042E-2</v>
      </c>
    </row>
    <row r="17" spans="1:21" x14ac:dyDescent="0.25">
      <c r="A17" s="1" t="s">
        <v>71</v>
      </c>
      <c r="B17" s="6"/>
      <c r="C17" s="7"/>
      <c r="D17" s="8">
        <f t="shared" si="0"/>
        <v>0</v>
      </c>
      <c r="E17" s="6"/>
      <c r="F17" s="7"/>
      <c r="G17" s="8">
        <f t="shared" si="1"/>
        <v>0</v>
      </c>
      <c r="H17" s="6"/>
      <c r="I17" s="7"/>
      <c r="J17" s="8">
        <f t="shared" si="2"/>
        <v>0</v>
      </c>
      <c r="K17" s="6">
        <v>11</v>
      </c>
      <c r="L17" s="7">
        <v>9.0999999999999998E-2</v>
      </c>
      <c r="M17" s="8">
        <f t="shared" si="3"/>
        <v>1.0009999999999999</v>
      </c>
      <c r="N17" s="6"/>
      <c r="O17" s="7"/>
      <c r="P17" s="8">
        <f t="shared" si="4"/>
        <v>0</v>
      </c>
      <c r="Q17" s="1"/>
      <c r="R17" s="6">
        <f t="shared" si="5"/>
        <v>11</v>
      </c>
      <c r="S17" s="9">
        <f t="shared" si="6"/>
        <v>9.0999999999999984E-2</v>
      </c>
      <c r="T17" s="9">
        <f t="shared" si="7"/>
        <v>7.0063694267515922E-2</v>
      </c>
      <c r="U17" s="9">
        <f>R17 / _xlfn.XLOOKUP(A17, Jungle!A:A, Jungle!AA:AA)</f>
        <v>1.9855595667870037E-2</v>
      </c>
    </row>
    <row r="18" spans="1:21" x14ac:dyDescent="0.25">
      <c r="A18" s="1" t="s">
        <v>57</v>
      </c>
      <c r="B18" s="6">
        <v>2</v>
      </c>
      <c r="C18" s="7">
        <v>0.5</v>
      </c>
      <c r="D18" s="8">
        <f t="shared" si="0"/>
        <v>1</v>
      </c>
      <c r="E18" s="6"/>
      <c r="F18" s="7"/>
      <c r="G18" s="8">
        <f t="shared" si="1"/>
        <v>0</v>
      </c>
      <c r="H18" s="6">
        <v>8</v>
      </c>
      <c r="I18" s="7">
        <v>0</v>
      </c>
      <c r="J18" s="8">
        <f t="shared" si="2"/>
        <v>0</v>
      </c>
      <c r="K18" s="6">
        <v>1</v>
      </c>
      <c r="L18" s="7">
        <v>0</v>
      </c>
      <c r="M18" s="8">
        <f t="shared" si="3"/>
        <v>0</v>
      </c>
      <c r="N18" s="6"/>
      <c r="O18" s="7"/>
      <c r="P18" s="8">
        <f t="shared" si="4"/>
        <v>0</v>
      </c>
      <c r="Q18" s="1"/>
      <c r="R18" s="6">
        <f t="shared" si="5"/>
        <v>11</v>
      </c>
      <c r="S18" s="9">
        <f t="shared" si="6"/>
        <v>9.0909090909090912E-2</v>
      </c>
      <c r="T18" s="9">
        <f t="shared" si="7"/>
        <v>7.0063694267515922E-2</v>
      </c>
      <c r="U18" s="9">
        <f>R18 / _xlfn.XLOOKUP(A18, Jungle!A:A, Jungle!AA:AA)</f>
        <v>2.4719101123595506E-2</v>
      </c>
    </row>
    <row r="19" spans="1:21" x14ac:dyDescent="0.25">
      <c r="A19" s="1" t="s">
        <v>28</v>
      </c>
      <c r="B19" s="6"/>
      <c r="C19" s="7"/>
      <c r="D19" s="8">
        <f t="shared" si="0"/>
        <v>0</v>
      </c>
      <c r="E19" s="6"/>
      <c r="F19" s="7"/>
      <c r="G19" s="8">
        <f t="shared" si="1"/>
        <v>0</v>
      </c>
      <c r="H19" s="6">
        <v>1</v>
      </c>
      <c r="I19" s="7">
        <v>0</v>
      </c>
      <c r="J19" s="8">
        <f t="shared" si="2"/>
        <v>0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1"/>
      <c r="R19" s="6">
        <f t="shared" si="5"/>
        <v>1</v>
      </c>
      <c r="S19" s="9">
        <f t="shared" si="6"/>
        <v>0</v>
      </c>
      <c r="T19" s="9">
        <f t="shared" si="7"/>
        <v>6.369426751592357E-3</v>
      </c>
      <c r="U19" s="9">
        <f>R19 / _xlfn.XLOOKUP(A19, Jungle!A:A, Jungle!AA:AA)</f>
        <v>1.4285714285714285E-2</v>
      </c>
    </row>
    <row r="20" spans="1:21" x14ac:dyDescent="0.25">
      <c r="A20" s="1" t="s">
        <v>45</v>
      </c>
      <c r="B20" s="6"/>
      <c r="C20" s="7"/>
      <c r="D20" s="8">
        <f t="shared" si="0"/>
        <v>0</v>
      </c>
      <c r="E20" s="6"/>
      <c r="F20" s="7"/>
      <c r="G20" s="8">
        <f t="shared" si="1"/>
        <v>0</v>
      </c>
      <c r="H20" s="6">
        <v>1</v>
      </c>
      <c r="I20" s="7">
        <v>0</v>
      </c>
      <c r="J20" s="8">
        <f t="shared" si="2"/>
        <v>0</v>
      </c>
      <c r="K20" s="6">
        <v>1</v>
      </c>
      <c r="L20" s="7">
        <v>0</v>
      </c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2</v>
      </c>
      <c r="S20" s="9">
        <f t="shared" si="6"/>
        <v>0</v>
      </c>
      <c r="T20" s="9">
        <f t="shared" si="7"/>
        <v>1.2738853503184714E-2</v>
      </c>
      <c r="U20" s="9">
        <f>R20 / _xlfn.XLOOKUP(A20, Jungle!A:A, Jungle!AA:AA)</f>
        <v>8.2987551867219917E-3</v>
      </c>
    </row>
    <row r="21" spans="1:21" x14ac:dyDescent="0.25">
      <c r="A21" s="1" t="s">
        <v>80</v>
      </c>
      <c r="B21" s="6"/>
      <c r="C21" s="7"/>
      <c r="D21" s="8">
        <f t="shared" si="0"/>
        <v>0</v>
      </c>
      <c r="E21" s="6"/>
      <c r="F21" s="7"/>
      <c r="G21" s="8">
        <f t="shared" si="1"/>
        <v>0</v>
      </c>
      <c r="H21" s="6">
        <v>2</v>
      </c>
      <c r="I21" s="7">
        <v>0</v>
      </c>
      <c r="J21" s="8">
        <f t="shared" si="2"/>
        <v>0</v>
      </c>
      <c r="K21" s="6"/>
      <c r="L21" s="7"/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2</v>
      </c>
      <c r="S21" s="9">
        <f t="shared" si="6"/>
        <v>0</v>
      </c>
      <c r="T21" s="9">
        <f t="shared" si="7"/>
        <v>1.2738853503184714E-2</v>
      </c>
      <c r="U21" s="9">
        <f>R21 / _xlfn.XLOOKUP(A21, Jungle!A:A, Jungle!AA:AA)</f>
        <v>2.1739130434782608E-2</v>
      </c>
    </row>
    <row r="22" spans="1:21" x14ac:dyDescent="0.25">
      <c r="A22" s="1" t="s">
        <v>67</v>
      </c>
      <c r="B22" s="6"/>
      <c r="C22" s="7"/>
      <c r="D22" s="8">
        <f t="shared" si="0"/>
        <v>0</v>
      </c>
      <c r="E22" s="6"/>
      <c r="F22" s="7"/>
      <c r="G22" s="8">
        <f t="shared" si="1"/>
        <v>0</v>
      </c>
      <c r="H22" s="6"/>
      <c r="I22" s="7"/>
      <c r="J22" s="8">
        <f t="shared" si="2"/>
        <v>0</v>
      </c>
      <c r="K22" s="6">
        <v>4</v>
      </c>
      <c r="L22" s="7">
        <v>0</v>
      </c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4</v>
      </c>
      <c r="S22" s="9">
        <f t="shared" si="6"/>
        <v>0</v>
      </c>
      <c r="T22" s="9">
        <f t="shared" si="7"/>
        <v>2.5477707006369428E-2</v>
      </c>
      <c r="U22" s="9">
        <f>R22 / _xlfn.XLOOKUP(A22, Jungle!A:A, Jungle!AA:AA)</f>
        <v>2.0408163265306121E-2</v>
      </c>
    </row>
    <row r="23" spans="1:21" x14ac:dyDescent="0.25">
      <c r="A23" s="1" t="s">
        <v>58</v>
      </c>
      <c r="B23" s="6"/>
      <c r="C23" s="7"/>
      <c r="D23" s="8">
        <f t="shared" si="0"/>
        <v>0</v>
      </c>
      <c r="E23" s="6"/>
      <c r="F23" s="7"/>
      <c r="G23" s="8">
        <f t="shared" si="1"/>
        <v>0</v>
      </c>
      <c r="H23" s="6">
        <v>1</v>
      </c>
      <c r="I23" s="7">
        <v>0</v>
      </c>
      <c r="J23" s="8">
        <f t="shared" si="2"/>
        <v>0</v>
      </c>
      <c r="K23" s="6"/>
      <c r="L23" s="7"/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1</v>
      </c>
      <c r="S23" s="9">
        <f t="shared" si="6"/>
        <v>0</v>
      </c>
      <c r="T23" s="9">
        <f t="shared" si="7"/>
        <v>6.369426751592357E-3</v>
      </c>
      <c r="U23" s="9">
        <f>R23 / _xlfn.XLOOKUP(A23, Jungle!A:A, Jungle!AA:AA)</f>
        <v>2.1739130434782608E-2</v>
      </c>
    </row>
    <row r="24" spans="1:21" x14ac:dyDescent="0.25">
      <c r="A24" s="25" t="s">
        <v>10</v>
      </c>
      <c r="B24" s="6"/>
      <c r="C24" s="7"/>
      <c r="D24" s="8">
        <f t="shared" si="0"/>
        <v>0</v>
      </c>
      <c r="E24" s="6"/>
      <c r="F24" s="7"/>
      <c r="G24" s="8">
        <f t="shared" si="1"/>
        <v>0</v>
      </c>
      <c r="H24" s="6">
        <v>2</v>
      </c>
      <c r="I24" s="7">
        <v>0</v>
      </c>
      <c r="J24" s="8">
        <f t="shared" si="2"/>
        <v>0</v>
      </c>
      <c r="K24" s="6"/>
      <c r="L24" s="7"/>
      <c r="M24" s="8">
        <f t="shared" si="3"/>
        <v>0</v>
      </c>
      <c r="N24" s="6"/>
      <c r="O24" s="7"/>
      <c r="P24" s="8">
        <f t="shared" si="4"/>
        <v>0</v>
      </c>
      <c r="Q24" s="1"/>
      <c r="R24" s="6">
        <f t="shared" si="5"/>
        <v>2</v>
      </c>
      <c r="S24" s="9">
        <f t="shared" si="6"/>
        <v>0</v>
      </c>
      <c r="T24" s="9">
        <f t="shared" si="7"/>
        <v>1.2738853503184714E-2</v>
      </c>
      <c r="U24" s="9">
        <f>R24 / _xlfn.XLOOKUP(A24, Jungle!A:A, Jungle!AA:AA)</f>
        <v>0.25</v>
      </c>
    </row>
    <row r="25" spans="1:21" x14ac:dyDescent="0.25">
      <c r="N25" s="6"/>
      <c r="O25" s="7"/>
      <c r="P25" s="8">
        <f t="shared" ref="P25:P31" si="8">N25*O25</f>
        <v>0</v>
      </c>
      <c r="Q25" s="1"/>
      <c r="R25" s="6">
        <f t="shared" ref="R25:R31" si="9">B25+E25+H25+K25+N25</f>
        <v>0</v>
      </c>
      <c r="S25" s="9" t="e">
        <f t="shared" ref="S25:S31" si="10">(D25+G25+J25+M25+P25)/R25</f>
        <v>#DIV/0!</v>
      </c>
      <c r="T25" s="9">
        <f t="shared" ref="T25:T31" si="11">R25/$V$3</f>
        <v>0</v>
      </c>
      <c r="U25" s="9" t="e">
        <f>R25 / _xlfn.XLOOKUP(A25, Jungle!A:A, Jungle!AA:AA)</f>
        <v>#DIV/0!</v>
      </c>
    </row>
    <row r="26" spans="1:21" x14ac:dyDescent="0.25">
      <c r="N26" s="6"/>
      <c r="O26" s="7"/>
      <c r="P26" s="8">
        <f t="shared" si="8"/>
        <v>0</v>
      </c>
      <c r="Q26" s="1"/>
      <c r="R26" s="6">
        <f t="shared" si="9"/>
        <v>0</v>
      </c>
      <c r="S26" s="9" t="e">
        <f t="shared" si="10"/>
        <v>#DIV/0!</v>
      </c>
      <c r="T26" s="9">
        <f t="shared" si="11"/>
        <v>0</v>
      </c>
      <c r="U26" s="9" t="e">
        <f>R26 / _xlfn.XLOOKUP(A26, Jungle!A:A, Jungle!AA:AA)</f>
        <v>#DIV/0!</v>
      </c>
    </row>
    <row r="27" spans="1:21" x14ac:dyDescent="0.25">
      <c r="N27" s="6"/>
      <c r="O27" s="7"/>
      <c r="P27" s="8">
        <f t="shared" si="8"/>
        <v>0</v>
      </c>
      <c r="Q27" s="1"/>
      <c r="R27" s="6">
        <f t="shared" si="9"/>
        <v>0</v>
      </c>
      <c r="S27" s="9" t="e">
        <f t="shared" si="10"/>
        <v>#DIV/0!</v>
      </c>
      <c r="T27" s="9">
        <f t="shared" si="11"/>
        <v>0</v>
      </c>
      <c r="U27" s="9" t="e">
        <f>R27 / _xlfn.XLOOKUP(A27, Jungle!A:A, Jungle!AA:AA)</f>
        <v>#DIV/0!</v>
      </c>
    </row>
    <row r="28" spans="1:21" x14ac:dyDescent="0.25">
      <c r="N28" s="6"/>
      <c r="O28" s="7"/>
      <c r="P28" s="8">
        <f t="shared" si="8"/>
        <v>0</v>
      </c>
      <c r="Q28" s="1"/>
      <c r="R28" s="6">
        <f t="shared" si="9"/>
        <v>0</v>
      </c>
      <c r="S28" s="9" t="e">
        <f t="shared" si="10"/>
        <v>#DIV/0!</v>
      </c>
      <c r="T28" s="9">
        <f t="shared" si="11"/>
        <v>0</v>
      </c>
      <c r="U28" s="9" t="e">
        <f>R28 / _xlfn.XLOOKUP(A28, Jungle!A:A, Jungle!AA:AA)</f>
        <v>#DIV/0!</v>
      </c>
    </row>
    <row r="29" spans="1:21" x14ac:dyDescent="0.25">
      <c r="N29" s="6"/>
      <c r="O29" s="7"/>
      <c r="P29" s="8">
        <f t="shared" si="8"/>
        <v>0</v>
      </c>
      <c r="Q29" s="1"/>
      <c r="R29" s="6">
        <f t="shared" si="9"/>
        <v>0</v>
      </c>
      <c r="S29" s="9" t="e">
        <f t="shared" si="10"/>
        <v>#DIV/0!</v>
      </c>
      <c r="T29" s="9">
        <f t="shared" si="11"/>
        <v>0</v>
      </c>
      <c r="U29" s="9" t="e">
        <f>R29 / _xlfn.XLOOKUP(A29, Jungle!A:A, Jungle!AA:AA)</f>
        <v>#DIV/0!</v>
      </c>
    </row>
    <row r="30" spans="1:21" x14ac:dyDescent="0.25">
      <c r="N30" s="6"/>
      <c r="O30" s="7"/>
      <c r="P30" s="8">
        <f t="shared" si="8"/>
        <v>0</v>
      </c>
      <c r="Q30" s="1"/>
      <c r="R30" s="6">
        <f t="shared" si="9"/>
        <v>0</v>
      </c>
      <c r="S30" s="9" t="e">
        <f t="shared" si="10"/>
        <v>#DIV/0!</v>
      </c>
      <c r="T30" s="9">
        <f t="shared" si="11"/>
        <v>0</v>
      </c>
      <c r="U30" s="9" t="e">
        <f>R30 / _xlfn.XLOOKUP(A30, Jungle!A:A, Jungle!AA:AA)</f>
        <v>#DIV/0!</v>
      </c>
    </row>
    <row r="31" spans="1:21" x14ac:dyDescent="0.25">
      <c r="N31" s="6"/>
      <c r="O31" s="7"/>
      <c r="P31" s="8">
        <f t="shared" si="8"/>
        <v>0</v>
      </c>
      <c r="Q31" s="1"/>
      <c r="R31" s="6">
        <f t="shared" si="9"/>
        <v>0</v>
      </c>
      <c r="S31" s="9" t="e">
        <f t="shared" si="10"/>
        <v>#DIV/0!</v>
      </c>
      <c r="T31" s="9">
        <f t="shared" si="11"/>
        <v>0</v>
      </c>
      <c r="U31" s="9" t="e">
        <f>R31 / _xlfn.XLOOKUP(A31, Jungle!A:A, Jungle!AA:AA)</f>
        <v>#DIV/0!</v>
      </c>
    </row>
  </sheetData>
  <sortState xmlns:xlrd2="http://schemas.microsoft.com/office/spreadsheetml/2017/richdata2" ref="A3:U24">
    <sortCondition descending="1" ref="S3:S24"/>
  </sortState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9D629-990F-4760-A2CC-DB638CA163BE}">
  <sheetPr>
    <tabColor theme="6" tint="0.59999389629810485"/>
  </sheetPr>
  <dimension ref="A1:W35"/>
  <sheetViews>
    <sheetView workbookViewId="0">
      <selection activeCell="U3" sqref="U3:U27"/>
    </sheetView>
  </sheetViews>
  <sheetFormatPr baseColWidth="10" defaultRowHeight="15" x14ac:dyDescent="0.25"/>
  <sheetData>
    <row r="1" spans="1:23" ht="15.75" x14ac:dyDescent="0.25">
      <c r="A1" s="2" t="s">
        <v>101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84</v>
      </c>
      <c r="B3" s="6"/>
      <c r="C3" s="7"/>
      <c r="D3" s="8">
        <f t="shared" ref="D3:D27" si="0">B3*C3</f>
        <v>0</v>
      </c>
      <c r="E3" s="6"/>
      <c r="F3" s="7"/>
      <c r="G3" s="8">
        <f t="shared" ref="G3:G27" si="1">E3*F3</f>
        <v>0</v>
      </c>
      <c r="H3" s="6"/>
      <c r="I3" s="7"/>
      <c r="J3" s="8">
        <f t="shared" ref="J3:J27" si="2">H3*I3</f>
        <v>0</v>
      </c>
      <c r="K3" s="6"/>
      <c r="L3" s="7"/>
      <c r="M3" s="8">
        <f t="shared" ref="M3:M27" si="3">K3*L3</f>
        <v>0</v>
      </c>
      <c r="N3" s="6"/>
      <c r="O3" s="7"/>
      <c r="P3" s="8">
        <f t="shared" ref="P3:P27" si="4">N3*O3</f>
        <v>0</v>
      </c>
      <c r="Q3" s="1"/>
      <c r="R3" s="6">
        <f t="shared" ref="R3:R27" si="5">B3+E3+H3+K3+N3</f>
        <v>0</v>
      </c>
      <c r="S3" s="9" t="e">
        <f t="shared" ref="S3:S27" si="6">(D3+G3+J3+M3+P3)/R3</f>
        <v>#DIV/0!</v>
      </c>
      <c r="T3" s="9">
        <f t="shared" ref="T3:T27" si="7">R3/$V$3</f>
        <v>0</v>
      </c>
      <c r="U3" s="9">
        <f>R3 / _xlfn.XLOOKUP(A3, Jungle!A:A, Jungle!AA:AA)</f>
        <v>0</v>
      </c>
      <c r="V3" s="11">
        <f>SUM(R3:R49)</f>
        <v>256</v>
      </c>
      <c r="W3" s="12">
        <f>(SUM(D3:D79)+SUM(G3:G79)+SUM(J3:J79)+SUM(M3:M79)+SUM(P3:P79)) / V3</f>
        <v>0.53901953125000002</v>
      </c>
    </row>
    <row r="4" spans="1:23" x14ac:dyDescent="0.25">
      <c r="A4" s="1" t="s">
        <v>58</v>
      </c>
      <c r="B4" s="6"/>
      <c r="C4" s="7"/>
      <c r="D4" s="8">
        <f t="shared" si="0"/>
        <v>0</v>
      </c>
      <c r="E4" s="6"/>
      <c r="F4" s="7"/>
      <c r="G4" s="8">
        <f t="shared" si="1"/>
        <v>0</v>
      </c>
      <c r="H4" s="6">
        <v>1</v>
      </c>
      <c r="I4" s="7">
        <v>1</v>
      </c>
      <c r="J4" s="8">
        <f t="shared" si="2"/>
        <v>1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1</v>
      </c>
      <c r="S4" s="9">
        <f t="shared" si="6"/>
        <v>1</v>
      </c>
      <c r="T4" s="9">
        <f t="shared" si="7"/>
        <v>3.90625E-3</v>
      </c>
      <c r="U4" s="9">
        <f>R4 / _xlfn.XLOOKUP(A4, Jungle!A:A, Jungle!AA:AA)</f>
        <v>2.1739130434782608E-2</v>
      </c>
      <c r="V4" s="1"/>
      <c r="W4" s="1"/>
    </row>
    <row r="5" spans="1:23" x14ac:dyDescent="0.25">
      <c r="A5" s="1" t="s">
        <v>45</v>
      </c>
      <c r="B5" s="6"/>
      <c r="C5" s="7"/>
      <c r="D5" s="8">
        <f t="shared" si="0"/>
        <v>0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>
        <v>8</v>
      </c>
      <c r="L5" s="7">
        <v>0.875</v>
      </c>
      <c r="M5" s="8">
        <f t="shared" si="3"/>
        <v>7</v>
      </c>
      <c r="N5" s="6"/>
      <c r="O5" s="7"/>
      <c r="P5" s="8">
        <f t="shared" si="4"/>
        <v>0</v>
      </c>
      <c r="Q5" s="1"/>
      <c r="R5" s="6">
        <f t="shared" si="5"/>
        <v>8</v>
      </c>
      <c r="S5" s="9">
        <f t="shared" si="6"/>
        <v>0.875</v>
      </c>
      <c r="T5" s="9">
        <f t="shared" si="7"/>
        <v>3.125E-2</v>
      </c>
      <c r="U5" s="9">
        <f>R5 / _xlfn.XLOOKUP(A5, Jungle!A:A, Jungle!AA:AA)</f>
        <v>3.3195020746887967E-2</v>
      </c>
      <c r="V5" s="1"/>
      <c r="W5" s="1"/>
    </row>
    <row r="6" spans="1:23" x14ac:dyDescent="0.25">
      <c r="A6" s="1" t="s">
        <v>31</v>
      </c>
      <c r="B6" s="6"/>
      <c r="C6" s="7"/>
      <c r="D6" s="8">
        <f t="shared" si="0"/>
        <v>0</v>
      </c>
      <c r="E6" s="6"/>
      <c r="F6" s="7"/>
      <c r="G6" s="8">
        <f t="shared" si="1"/>
        <v>0</v>
      </c>
      <c r="H6" s="6">
        <v>4</v>
      </c>
      <c r="I6" s="7">
        <v>0.75</v>
      </c>
      <c r="J6" s="8">
        <f t="shared" si="2"/>
        <v>3</v>
      </c>
      <c r="K6" s="6">
        <v>3</v>
      </c>
      <c r="L6" s="7">
        <v>1</v>
      </c>
      <c r="M6" s="8">
        <f t="shared" si="3"/>
        <v>3</v>
      </c>
      <c r="N6" s="6"/>
      <c r="O6" s="7"/>
      <c r="P6" s="8">
        <f t="shared" si="4"/>
        <v>0</v>
      </c>
      <c r="Q6" s="1"/>
      <c r="R6" s="6">
        <f t="shared" si="5"/>
        <v>7</v>
      </c>
      <c r="S6" s="9">
        <f t="shared" si="6"/>
        <v>0.8571428571428571</v>
      </c>
      <c r="T6" s="9">
        <f t="shared" si="7"/>
        <v>2.734375E-2</v>
      </c>
      <c r="U6" s="9">
        <f>R6 / _xlfn.XLOOKUP(A6, Jungle!A:A, Jungle!AA:AA)</f>
        <v>2.6717557251908396E-2</v>
      </c>
      <c r="V6" s="1"/>
      <c r="W6" s="1"/>
    </row>
    <row r="7" spans="1:23" x14ac:dyDescent="0.25">
      <c r="A7" s="1" t="s">
        <v>80</v>
      </c>
      <c r="B7" s="6"/>
      <c r="C7" s="7"/>
      <c r="D7" s="8">
        <f t="shared" si="0"/>
        <v>0</v>
      </c>
      <c r="E7" s="6"/>
      <c r="F7" s="7"/>
      <c r="G7" s="8">
        <f t="shared" si="1"/>
        <v>0</v>
      </c>
      <c r="H7" s="6">
        <v>10</v>
      </c>
      <c r="I7" s="7">
        <v>0.8</v>
      </c>
      <c r="J7" s="8">
        <f t="shared" si="2"/>
        <v>8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10</v>
      </c>
      <c r="S7" s="9">
        <f t="shared" si="6"/>
        <v>0.8</v>
      </c>
      <c r="T7" s="9">
        <f t="shared" si="7"/>
        <v>3.90625E-2</v>
      </c>
      <c r="U7" s="9">
        <f>R7 / _xlfn.XLOOKUP(A7, Jungle!A:A, Jungle!AA:AA)</f>
        <v>0.10869565217391304</v>
      </c>
      <c r="V7" s="1"/>
      <c r="W7" s="1"/>
    </row>
    <row r="8" spans="1:23" x14ac:dyDescent="0.25">
      <c r="A8" s="1" t="s">
        <v>82</v>
      </c>
      <c r="B8" s="6"/>
      <c r="C8" s="7"/>
      <c r="D8" s="8">
        <f t="shared" si="0"/>
        <v>0</v>
      </c>
      <c r="E8" s="6"/>
      <c r="F8" s="7"/>
      <c r="G8" s="8">
        <f t="shared" si="1"/>
        <v>0</v>
      </c>
      <c r="H8" s="6">
        <v>4</v>
      </c>
      <c r="I8" s="7">
        <v>0.75</v>
      </c>
      <c r="J8" s="8">
        <f t="shared" si="2"/>
        <v>3</v>
      </c>
      <c r="K8" s="6">
        <v>3</v>
      </c>
      <c r="L8" s="7">
        <v>0.66700000000000004</v>
      </c>
      <c r="M8" s="8">
        <f t="shared" si="3"/>
        <v>2.0010000000000003</v>
      </c>
      <c r="N8" s="6"/>
      <c r="O8" s="7"/>
      <c r="P8" s="8">
        <f t="shared" si="4"/>
        <v>0</v>
      </c>
      <c r="Q8" s="1"/>
      <c r="R8" s="6">
        <f t="shared" si="5"/>
        <v>7</v>
      </c>
      <c r="S8" s="9">
        <f t="shared" si="6"/>
        <v>0.71442857142857152</v>
      </c>
      <c r="T8" s="9">
        <f t="shared" si="7"/>
        <v>2.734375E-2</v>
      </c>
      <c r="U8" s="9">
        <f>R8 / _xlfn.XLOOKUP(A8, Jungle!A:A, Jungle!AA:AA)</f>
        <v>0.1111111111111111</v>
      </c>
      <c r="V8" s="1"/>
      <c r="W8" s="1"/>
    </row>
    <row r="9" spans="1:23" x14ac:dyDescent="0.25">
      <c r="A9" s="1" t="s">
        <v>67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/>
      <c r="I9" s="7"/>
      <c r="J9" s="8">
        <f t="shared" si="2"/>
        <v>0</v>
      </c>
      <c r="K9" s="6">
        <v>10</v>
      </c>
      <c r="L9" s="7">
        <v>0.7</v>
      </c>
      <c r="M9" s="8">
        <f t="shared" si="3"/>
        <v>7</v>
      </c>
      <c r="N9" s="6"/>
      <c r="O9" s="7"/>
      <c r="P9" s="8">
        <f t="shared" si="4"/>
        <v>0</v>
      </c>
      <c r="Q9" s="1"/>
      <c r="R9" s="6">
        <f t="shared" si="5"/>
        <v>10</v>
      </c>
      <c r="S9" s="9">
        <f t="shared" si="6"/>
        <v>0.7</v>
      </c>
      <c r="T9" s="9">
        <f t="shared" si="7"/>
        <v>3.90625E-2</v>
      </c>
      <c r="U9" s="9">
        <f>R9 / _xlfn.XLOOKUP(A9, Jungle!A:A, Jungle!AA:AA)</f>
        <v>5.1020408163265307E-2</v>
      </c>
      <c r="V9" s="1"/>
      <c r="W9" s="1"/>
    </row>
    <row r="10" spans="1:23" x14ac:dyDescent="0.25">
      <c r="A10" s="1" t="s">
        <v>83</v>
      </c>
      <c r="B10" s="6"/>
      <c r="C10" s="7"/>
      <c r="D10" s="8">
        <f t="shared" si="0"/>
        <v>0</v>
      </c>
      <c r="E10" s="6"/>
      <c r="F10" s="7"/>
      <c r="G10" s="8">
        <f t="shared" si="1"/>
        <v>0</v>
      </c>
      <c r="H10" s="6">
        <v>6</v>
      </c>
      <c r="I10" s="7">
        <v>0.66700000000000004</v>
      </c>
      <c r="J10" s="8">
        <f t="shared" si="2"/>
        <v>4.0020000000000007</v>
      </c>
      <c r="K10" s="6">
        <v>6</v>
      </c>
      <c r="L10" s="7">
        <v>0.66700000000000004</v>
      </c>
      <c r="M10" s="8">
        <f t="shared" si="3"/>
        <v>4.0020000000000007</v>
      </c>
      <c r="N10" s="6"/>
      <c r="O10" s="7"/>
      <c r="P10" s="8">
        <f t="shared" si="4"/>
        <v>0</v>
      </c>
      <c r="Q10" s="1"/>
      <c r="R10" s="6">
        <f t="shared" si="5"/>
        <v>12</v>
      </c>
      <c r="S10" s="9">
        <f t="shared" si="6"/>
        <v>0.66700000000000015</v>
      </c>
      <c r="T10" s="9">
        <f t="shared" si="7"/>
        <v>4.6875E-2</v>
      </c>
      <c r="U10" s="9">
        <f>R10 / _xlfn.XLOOKUP(A10, Jungle!A:A, Jungle!AA:AA)</f>
        <v>0.14634146341463414</v>
      </c>
      <c r="V10" s="1"/>
      <c r="W10" s="1"/>
    </row>
    <row r="11" spans="1:23" x14ac:dyDescent="0.25">
      <c r="A11" s="25" t="s">
        <v>230</v>
      </c>
      <c r="B11" s="6"/>
      <c r="C11" s="7"/>
      <c r="D11" s="8">
        <f t="shared" si="0"/>
        <v>0</v>
      </c>
      <c r="E11" s="6"/>
      <c r="F11" s="7"/>
      <c r="G11" s="8">
        <f t="shared" si="1"/>
        <v>0</v>
      </c>
      <c r="H11" s="6"/>
      <c r="I11" s="7"/>
      <c r="J11" s="8">
        <f t="shared" si="2"/>
        <v>0</v>
      </c>
      <c r="K11" s="6">
        <v>3</v>
      </c>
      <c r="L11" s="7">
        <v>0.66700000000000004</v>
      </c>
      <c r="M11" s="8">
        <f t="shared" si="3"/>
        <v>2.0010000000000003</v>
      </c>
      <c r="N11" s="6"/>
      <c r="O11" s="7"/>
      <c r="P11" s="8">
        <f t="shared" si="4"/>
        <v>0</v>
      </c>
      <c r="Q11" s="1"/>
      <c r="R11" s="6">
        <f t="shared" si="5"/>
        <v>3</v>
      </c>
      <c r="S11" s="9">
        <f t="shared" si="6"/>
        <v>0.66700000000000015</v>
      </c>
      <c r="T11" s="9">
        <f t="shared" si="7"/>
        <v>1.171875E-2</v>
      </c>
      <c r="U11" s="9">
        <f>R11 / _xlfn.XLOOKUP(A11, Jungle!A:A, Jungle!AA:AA)</f>
        <v>7.6923076923076927E-2</v>
      </c>
      <c r="V11" s="1"/>
      <c r="W11" s="1"/>
    </row>
    <row r="12" spans="1:23" x14ac:dyDescent="0.25">
      <c r="A12" s="1" t="s">
        <v>30</v>
      </c>
      <c r="B12" s="6"/>
      <c r="C12" s="7"/>
      <c r="D12" s="8">
        <f t="shared" si="0"/>
        <v>0</v>
      </c>
      <c r="E12" s="6"/>
      <c r="F12" s="7"/>
      <c r="G12" s="8">
        <f t="shared" si="1"/>
        <v>0</v>
      </c>
      <c r="H12" s="6">
        <v>21</v>
      </c>
      <c r="I12" s="7">
        <v>0.57099999999999995</v>
      </c>
      <c r="J12" s="8">
        <f t="shared" si="2"/>
        <v>11.991</v>
      </c>
      <c r="K12" s="6">
        <v>1</v>
      </c>
      <c r="L12" s="7">
        <v>1</v>
      </c>
      <c r="M12" s="8">
        <f t="shared" si="3"/>
        <v>1</v>
      </c>
      <c r="N12" s="6"/>
      <c r="O12" s="7"/>
      <c r="P12" s="8">
        <f t="shared" si="4"/>
        <v>0</v>
      </c>
      <c r="Q12" s="4"/>
      <c r="R12" s="6">
        <f t="shared" si="5"/>
        <v>22</v>
      </c>
      <c r="S12" s="9">
        <f t="shared" si="6"/>
        <v>0.59050000000000002</v>
      </c>
      <c r="T12" s="9">
        <f t="shared" si="7"/>
        <v>8.59375E-2</v>
      </c>
      <c r="U12" s="9">
        <f>R12 / _xlfn.XLOOKUP(A12, Jungle!A:A, Jungle!AA:AA)</f>
        <v>5.4862842892768077E-2</v>
      </c>
      <c r="V12" s="1"/>
      <c r="W12" s="1"/>
    </row>
    <row r="13" spans="1:23" x14ac:dyDescent="0.25">
      <c r="A13" s="1" t="s">
        <v>69</v>
      </c>
      <c r="B13" s="6"/>
      <c r="C13" s="7"/>
      <c r="D13" s="8">
        <f t="shared" si="0"/>
        <v>0</v>
      </c>
      <c r="E13" s="6"/>
      <c r="F13" s="7"/>
      <c r="G13" s="8">
        <f t="shared" si="1"/>
        <v>0</v>
      </c>
      <c r="H13" s="6">
        <v>6</v>
      </c>
      <c r="I13" s="7">
        <v>0.33300000000000002</v>
      </c>
      <c r="J13" s="8">
        <f t="shared" si="2"/>
        <v>1.9980000000000002</v>
      </c>
      <c r="K13" s="6">
        <v>6</v>
      </c>
      <c r="L13" s="7">
        <v>0.83299999999999996</v>
      </c>
      <c r="M13" s="8">
        <f t="shared" si="3"/>
        <v>4.9979999999999993</v>
      </c>
      <c r="N13" s="6"/>
      <c r="O13" s="7"/>
      <c r="P13" s="8">
        <f t="shared" si="4"/>
        <v>0</v>
      </c>
      <c r="Q13" s="1"/>
      <c r="R13" s="6">
        <f t="shared" si="5"/>
        <v>12</v>
      </c>
      <c r="S13" s="9">
        <f t="shared" si="6"/>
        <v>0.58299999999999996</v>
      </c>
      <c r="T13" s="9">
        <f t="shared" si="7"/>
        <v>4.6875E-2</v>
      </c>
      <c r="U13" s="9">
        <f>R13 / _xlfn.XLOOKUP(A13, Jungle!A:A, Jungle!AA:AA)</f>
        <v>2.6726057906458798E-2</v>
      </c>
      <c r="V13" s="1"/>
      <c r="W13" s="1"/>
    </row>
    <row r="14" spans="1:23" x14ac:dyDescent="0.25">
      <c r="A14" s="1" t="s">
        <v>76</v>
      </c>
      <c r="B14" s="6"/>
      <c r="C14" s="7"/>
      <c r="D14" s="8">
        <f t="shared" si="0"/>
        <v>0</v>
      </c>
      <c r="E14" s="6"/>
      <c r="F14" s="7"/>
      <c r="G14" s="8">
        <f t="shared" si="1"/>
        <v>0</v>
      </c>
      <c r="H14" s="6">
        <v>3</v>
      </c>
      <c r="I14" s="7">
        <v>0.33300000000000002</v>
      </c>
      <c r="J14" s="8">
        <f t="shared" si="2"/>
        <v>0.99900000000000011</v>
      </c>
      <c r="K14" s="6">
        <v>4</v>
      </c>
      <c r="L14" s="7">
        <v>0.75</v>
      </c>
      <c r="M14" s="8">
        <f t="shared" si="3"/>
        <v>3</v>
      </c>
      <c r="N14" s="6"/>
      <c r="O14" s="7"/>
      <c r="P14" s="8">
        <f t="shared" si="4"/>
        <v>0</v>
      </c>
      <c r="Q14" s="1"/>
      <c r="R14" s="6">
        <f t="shared" si="5"/>
        <v>7</v>
      </c>
      <c r="S14" s="9">
        <f t="shared" si="6"/>
        <v>0.57128571428571429</v>
      </c>
      <c r="T14" s="9">
        <f t="shared" si="7"/>
        <v>2.734375E-2</v>
      </c>
      <c r="U14" s="9">
        <f>R14 / _xlfn.XLOOKUP(A14, Jungle!A:A, Jungle!AA:AA)</f>
        <v>5.2631578947368418E-2</v>
      </c>
      <c r="V14" s="1"/>
      <c r="W14" s="1"/>
    </row>
    <row r="15" spans="1:23" x14ac:dyDescent="0.25">
      <c r="A15" s="1" t="s">
        <v>77</v>
      </c>
      <c r="B15" s="6"/>
      <c r="C15" s="7"/>
      <c r="D15" s="8">
        <f t="shared" si="0"/>
        <v>0</v>
      </c>
      <c r="E15" s="6"/>
      <c r="F15" s="7"/>
      <c r="G15" s="8">
        <f t="shared" si="1"/>
        <v>0</v>
      </c>
      <c r="H15" s="6"/>
      <c r="I15" s="7"/>
      <c r="J15" s="8">
        <f t="shared" si="2"/>
        <v>0</v>
      </c>
      <c r="K15" s="6">
        <v>9</v>
      </c>
      <c r="L15" s="7">
        <v>0.55600000000000005</v>
      </c>
      <c r="M15" s="8">
        <f t="shared" si="3"/>
        <v>5.0040000000000004</v>
      </c>
      <c r="N15" s="6"/>
      <c r="O15" s="7"/>
      <c r="P15" s="8">
        <f t="shared" si="4"/>
        <v>0</v>
      </c>
      <c r="Q15" s="1"/>
      <c r="R15" s="6">
        <f t="shared" si="5"/>
        <v>9</v>
      </c>
      <c r="S15" s="9">
        <f t="shared" si="6"/>
        <v>0.55600000000000005</v>
      </c>
      <c r="T15" s="9">
        <f t="shared" si="7"/>
        <v>3.515625E-2</v>
      </c>
      <c r="U15" s="9">
        <f>R15 / _xlfn.XLOOKUP(A15, Jungle!A:A, Jungle!AA:AA)</f>
        <v>6.569343065693431E-2</v>
      </c>
      <c r="V15" s="1"/>
      <c r="W15" s="1"/>
    </row>
    <row r="16" spans="1:23" x14ac:dyDescent="0.25">
      <c r="A16" s="1" t="s">
        <v>70</v>
      </c>
      <c r="B16" s="6"/>
      <c r="C16" s="7"/>
      <c r="D16" s="8">
        <f t="shared" si="0"/>
        <v>0</v>
      </c>
      <c r="E16" s="6"/>
      <c r="F16" s="7"/>
      <c r="G16" s="8">
        <f t="shared" si="1"/>
        <v>0</v>
      </c>
      <c r="H16" s="6">
        <v>2</v>
      </c>
      <c r="I16" s="7">
        <v>0</v>
      </c>
      <c r="J16" s="8">
        <f t="shared" si="2"/>
        <v>0</v>
      </c>
      <c r="K16" s="6">
        <v>13</v>
      </c>
      <c r="L16" s="7">
        <v>0.61499999999999999</v>
      </c>
      <c r="M16" s="8">
        <f t="shared" si="3"/>
        <v>7.9950000000000001</v>
      </c>
      <c r="N16" s="6"/>
      <c r="O16" s="7"/>
      <c r="P16" s="8">
        <f t="shared" si="4"/>
        <v>0</v>
      </c>
      <c r="Q16" s="1"/>
      <c r="R16" s="6">
        <f t="shared" si="5"/>
        <v>15</v>
      </c>
      <c r="S16" s="9">
        <f t="shared" si="6"/>
        <v>0.53300000000000003</v>
      </c>
      <c r="T16" s="9">
        <f t="shared" si="7"/>
        <v>5.859375E-2</v>
      </c>
      <c r="U16" s="9">
        <f>R16 / _xlfn.XLOOKUP(A16, Jungle!A:A, Jungle!AA:AA)</f>
        <v>3.0181086519114688E-2</v>
      </c>
      <c r="V16" s="1"/>
      <c r="W16" s="1"/>
    </row>
    <row r="17" spans="1:23" x14ac:dyDescent="0.25">
      <c r="A17" s="1" t="s">
        <v>73</v>
      </c>
      <c r="B17" s="6"/>
      <c r="C17" s="7"/>
      <c r="D17" s="8">
        <f t="shared" si="0"/>
        <v>0</v>
      </c>
      <c r="E17" s="6"/>
      <c r="F17" s="7"/>
      <c r="G17" s="8">
        <f t="shared" si="1"/>
        <v>0</v>
      </c>
      <c r="H17" s="6">
        <v>27</v>
      </c>
      <c r="I17" s="7">
        <v>0.55600000000000005</v>
      </c>
      <c r="J17" s="8">
        <f t="shared" si="2"/>
        <v>15.012</v>
      </c>
      <c r="K17" s="6">
        <v>7</v>
      </c>
      <c r="L17" s="7">
        <v>0.42799999999999999</v>
      </c>
      <c r="M17" s="8">
        <f t="shared" si="3"/>
        <v>2.996</v>
      </c>
      <c r="N17" s="6"/>
      <c r="O17" s="7"/>
      <c r="P17" s="8">
        <f t="shared" si="4"/>
        <v>0</v>
      </c>
      <c r="Q17" s="1"/>
      <c r="R17" s="6">
        <f t="shared" si="5"/>
        <v>34</v>
      </c>
      <c r="S17" s="9">
        <f t="shared" si="6"/>
        <v>0.52964705882352936</v>
      </c>
      <c r="T17" s="9">
        <f t="shared" si="7"/>
        <v>0.1328125</v>
      </c>
      <c r="U17" s="9">
        <f>R17 / _xlfn.XLOOKUP(A17, Jungle!A:A, Jungle!AA:AA)</f>
        <v>6.1151079136690649E-2</v>
      </c>
      <c r="V17" s="1"/>
      <c r="W17" s="1"/>
    </row>
    <row r="18" spans="1:23" x14ac:dyDescent="0.25">
      <c r="A18" s="1" t="s">
        <v>57</v>
      </c>
      <c r="B18" s="6"/>
      <c r="C18" s="7"/>
      <c r="D18" s="8">
        <f t="shared" si="0"/>
        <v>0</v>
      </c>
      <c r="E18" s="6"/>
      <c r="F18" s="7"/>
      <c r="G18" s="8">
        <f t="shared" si="1"/>
        <v>0</v>
      </c>
      <c r="H18" s="6">
        <v>14</v>
      </c>
      <c r="I18" s="7">
        <v>0.57099999999999995</v>
      </c>
      <c r="J18" s="8">
        <f t="shared" si="2"/>
        <v>7.9939999999999998</v>
      </c>
      <c r="K18" s="6">
        <v>5</v>
      </c>
      <c r="L18" s="7">
        <v>0.4</v>
      </c>
      <c r="M18" s="8">
        <f t="shared" si="3"/>
        <v>2</v>
      </c>
      <c r="N18" s="6"/>
      <c r="O18" s="7"/>
      <c r="P18" s="8">
        <f t="shared" si="4"/>
        <v>0</v>
      </c>
      <c r="Q18" s="1"/>
      <c r="R18" s="6">
        <f t="shared" si="5"/>
        <v>19</v>
      </c>
      <c r="S18" s="9">
        <f t="shared" si="6"/>
        <v>0.52600000000000002</v>
      </c>
      <c r="T18" s="9">
        <f t="shared" si="7"/>
        <v>7.421875E-2</v>
      </c>
      <c r="U18" s="9">
        <f>R18 / _xlfn.XLOOKUP(A18, Jungle!A:A, Jungle!AA:AA)</f>
        <v>4.2696629213483148E-2</v>
      </c>
      <c r="V18" s="1"/>
      <c r="W18" s="1"/>
    </row>
    <row r="19" spans="1:23" x14ac:dyDescent="0.25">
      <c r="A19" s="1" t="s">
        <v>95</v>
      </c>
      <c r="B19" s="6"/>
      <c r="C19" s="7"/>
      <c r="D19" s="8">
        <f t="shared" si="0"/>
        <v>0</v>
      </c>
      <c r="E19" s="6"/>
      <c r="F19" s="7"/>
      <c r="G19" s="8">
        <f t="shared" si="1"/>
        <v>0</v>
      </c>
      <c r="H19" s="6">
        <v>2</v>
      </c>
      <c r="I19" s="7">
        <v>0.5</v>
      </c>
      <c r="J19" s="8">
        <f t="shared" si="2"/>
        <v>1</v>
      </c>
      <c r="K19" s="6">
        <v>10</v>
      </c>
      <c r="L19" s="7">
        <v>0.5</v>
      </c>
      <c r="M19" s="8">
        <f t="shared" si="3"/>
        <v>5</v>
      </c>
      <c r="N19" s="6"/>
      <c r="O19" s="7"/>
      <c r="P19" s="8">
        <f t="shared" si="4"/>
        <v>0</v>
      </c>
      <c r="Q19" s="13"/>
      <c r="R19" s="6">
        <f t="shared" si="5"/>
        <v>12</v>
      </c>
      <c r="S19" s="9">
        <f t="shared" si="6"/>
        <v>0.5</v>
      </c>
      <c r="T19" s="9">
        <f t="shared" si="7"/>
        <v>4.6875E-2</v>
      </c>
      <c r="U19" s="9">
        <f>R19 / _xlfn.XLOOKUP(A19, Jungle!A:A, Jungle!AA:AA)</f>
        <v>7.1856287425149698E-2</v>
      </c>
    </row>
    <row r="20" spans="1:23" x14ac:dyDescent="0.25">
      <c r="A20" s="25" t="s">
        <v>211</v>
      </c>
      <c r="B20" s="6"/>
      <c r="C20" s="7"/>
      <c r="D20" s="8">
        <f t="shared" si="0"/>
        <v>0</v>
      </c>
      <c r="E20" s="6"/>
      <c r="F20" s="7"/>
      <c r="G20" s="8">
        <f t="shared" si="1"/>
        <v>0</v>
      </c>
      <c r="H20" s="6"/>
      <c r="I20" s="7"/>
      <c r="J20" s="8">
        <f t="shared" si="2"/>
        <v>0</v>
      </c>
      <c r="K20" s="6">
        <v>10</v>
      </c>
      <c r="L20" s="7">
        <v>0.5</v>
      </c>
      <c r="M20" s="8">
        <f t="shared" si="3"/>
        <v>5</v>
      </c>
      <c r="N20" s="6"/>
      <c r="O20" s="7"/>
      <c r="P20" s="8">
        <f t="shared" si="4"/>
        <v>0</v>
      </c>
      <c r="Q20" s="1"/>
      <c r="R20" s="6">
        <f t="shared" si="5"/>
        <v>10</v>
      </c>
      <c r="S20" s="9">
        <f t="shared" si="6"/>
        <v>0.5</v>
      </c>
      <c r="T20" s="9">
        <f t="shared" si="7"/>
        <v>3.90625E-2</v>
      </c>
      <c r="U20" s="9">
        <f>R20 / _xlfn.XLOOKUP(A20, Jungle!A:A, Jungle!AA:AA)</f>
        <v>0.13333333333333333</v>
      </c>
    </row>
    <row r="21" spans="1:23" x14ac:dyDescent="0.25">
      <c r="A21" s="25" t="s">
        <v>215</v>
      </c>
      <c r="B21" s="6"/>
      <c r="C21" s="7"/>
      <c r="D21" s="8">
        <f t="shared" si="0"/>
        <v>0</v>
      </c>
      <c r="E21" s="6"/>
      <c r="F21" s="7"/>
      <c r="G21" s="8">
        <f t="shared" si="1"/>
        <v>0</v>
      </c>
      <c r="H21" s="6"/>
      <c r="I21" s="7"/>
      <c r="J21" s="8">
        <f t="shared" si="2"/>
        <v>0</v>
      </c>
      <c r="K21" s="6">
        <v>4</v>
      </c>
      <c r="L21" s="7">
        <v>0.5</v>
      </c>
      <c r="M21" s="8">
        <f t="shared" si="3"/>
        <v>2</v>
      </c>
      <c r="N21" s="6"/>
      <c r="O21" s="7"/>
      <c r="P21" s="8">
        <f t="shared" si="4"/>
        <v>0</v>
      </c>
      <c r="Q21" s="1"/>
      <c r="R21" s="6">
        <f t="shared" si="5"/>
        <v>4</v>
      </c>
      <c r="S21" s="9">
        <f t="shared" si="6"/>
        <v>0.5</v>
      </c>
      <c r="T21" s="9">
        <f t="shared" si="7"/>
        <v>1.5625E-2</v>
      </c>
      <c r="U21" s="9">
        <f>R21 / _xlfn.XLOOKUP(A21, Jungle!A:A, Jungle!AA:AA)</f>
        <v>0.2857142857142857</v>
      </c>
    </row>
    <row r="22" spans="1:23" x14ac:dyDescent="0.25">
      <c r="A22" s="1" t="s">
        <v>16</v>
      </c>
      <c r="B22" s="6"/>
      <c r="C22" s="7"/>
      <c r="D22" s="8">
        <f t="shared" si="0"/>
        <v>0</v>
      </c>
      <c r="E22" s="6"/>
      <c r="F22" s="7"/>
      <c r="G22" s="8">
        <f t="shared" si="1"/>
        <v>0</v>
      </c>
      <c r="H22" s="6">
        <v>2</v>
      </c>
      <c r="I22" s="7">
        <v>0.5</v>
      </c>
      <c r="J22" s="8">
        <f t="shared" si="2"/>
        <v>1</v>
      </c>
      <c r="K22" s="6"/>
      <c r="L22" s="7"/>
      <c r="M22" s="8">
        <f t="shared" si="3"/>
        <v>0</v>
      </c>
      <c r="N22" s="6"/>
      <c r="O22" s="7"/>
      <c r="P22" s="8">
        <f t="shared" si="4"/>
        <v>0</v>
      </c>
      <c r="Q22" s="4"/>
      <c r="R22" s="6">
        <f t="shared" si="5"/>
        <v>2</v>
      </c>
      <c r="S22" s="9">
        <f t="shared" si="6"/>
        <v>0.5</v>
      </c>
      <c r="T22" s="9">
        <f t="shared" si="7"/>
        <v>7.8125E-3</v>
      </c>
      <c r="U22" s="9">
        <f>R22 / _xlfn.XLOOKUP(A22, Jungle!A:A, Jungle!AA:AA)</f>
        <v>8.6956521739130432E-2</v>
      </c>
    </row>
    <row r="23" spans="1:23" x14ac:dyDescent="0.25">
      <c r="A23" s="1" t="s">
        <v>71</v>
      </c>
      <c r="B23" s="6"/>
      <c r="C23" s="7"/>
      <c r="D23" s="8">
        <f t="shared" si="0"/>
        <v>0</v>
      </c>
      <c r="E23" s="6"/>
      <c r="F23" s="7"/>
      <c r="G23" s="8">
        <f t="shared" si="1"/>
        <v>0</v>
      </c>
      <c r="H23" s="6">
        <v>1</v>
      </c>
      <c r="I23" s="7">
        <v>1</v>
      </c>
      <c r="J23" s="8">
        <f t="shared" si="2"/>
        <v>1</v>
      </c>
      <c r="K23" s="6">
        <v>15</v>
      </c>
      <c r="L23" s="7">
        <v>0.33300000000000002</v>
      </c>
      <c r="M23" s="8">
        <f t="shared" si="3"/>
        <v>4.9950000000000001</v>
      </c>
      <c r="N23" s="6"/>
      <c r="O23" s="7"/>
      <c r="P23" s="8">
        <f t="shared" si="4"/>
        <v>0</v>
      </c>
      <c r="Q23" s="1"/>
      <c r="R23" s="6">
        <f t="shared" si="5"/>
        <v>16</v>
      </c>
      <c r="S23" s="9">
        <f t="shared" si="6"/>
        <v>0.37468750000000001</v>
      </c>
      <c r="T23" s="9">
        <f t="shared" si="7"/>
        <v>6.25E-2</v>
      </c>
      <c r="U23" s="9">
        <f>R23 / _xlfn.XLOOKUP(A23, Jungle!A:A, Jungle!AA:AA)</f>
        <v>2.8880866425992781E-2</v>
      </c>
    </row>
    <row r="24" spans="1:23" x14ac:dyDescent="0.25">
      <c r="A24" s="1" t="s">
        <v>26</v>
      </c>
      <c r="B24" s="6"/>
      <c r="C24" s="7"/>
      <c r="D24" s="8">
        <f t="shared" si="0"/>
        <v>0</v>
      </c>
      <c r="E24" s="6"/>
      <c r="F24" s="7"/>
      <c r="G24" s="8">
        <f t="shared" si="1"/>
        <v>0</v>
      </c>
      <c r="H24" s="6">
        <v>19</v>
      </c>
      <c r="I24" s="7">
        <v>0.26300000000000001</v>
      </c>
      <c r="J24" s="8">
        <f t="shared" si="2"/>
        <v>4.9969999999999999</v>
      </c>
      <c r="K24" s="6">
        <v>11</v>
      </c>
      <c r="L24" s="7">
        <v>0.36399999999999999</v>
      </c>
      <c r="M24" s="8">
        <f t="shared" si="3"/>
        <v>4.0039999999999996</v>
      </c>
      <c r="N24" s="6"/>
      <c r="O24" s="7"/>
      <c r="P24" s="8">
        <f t="shared" si="4"/>
        <v>0</v>
      </c>
      <c r="Q24" s="4"/>
      <c r="R24" s="6">
        <f t="shared" si="5"/>
        <v>30</v>
      </c>
      <c r="S24" s="9">
        <f t="shared" si="6"/>
        <v>0.30003333333333332</v>
      </c>
      <c r="T24" s="9">
        <f t="shared" si="7"/>
        <v>0.1171875</v>
      </c>
      <c r="U24" s="9">
        <f>R24 / _xlfn.XLOOKUP(A24, Jungle!A:A, Jungle!AA:AA)</f>
        <v>4.7244094488188976E-2</v>
      </c>
    </row>
    <row r="25" spans="1:23" x14ac:dyDescent="0.25">
      <c r="A25" s="1" t="s">
        <v>72</v>
      </c>
      <c r="B25" s="6"/>
      <c r="C25" s="7"/>
      <c r="D25" s="8">
        <f t="shared" si="0"/>
        <v>0</v>
      </c>
      <c r="E25" s="6"/>
      <c r="F25" s="7"/>
      <c r="G25" s="8">
        <f t="shared" si="1"/>
        <v>0</v>
      </c>
      <c r="H25" s="6">
        <v>2</v>
      </c>
      <c r="I25" s="7">
        <v>0</v>
      </c>
      <c r="J25" s="8">
        <f t="shared" si="2"/>
        <v>0</v>
      </c>
      <c r="K25" s="6">
        <v>2</v>
      </c>
      <c r="L25" s="7">
        <v>0</v>
      </c>
      <c r="M25" s="8">
        <f t="shared" si="3"/>
        <v>0</v>
      </c>
      <c r="N25" s="6"/>
      <c r="O25" s="7"/>
      <c r="P25" s="8">
        <f t="shared" si="4"/>
        <v>0</v>
      </c>
      <c r="Q25" s="1"/>
      <c r="R25" s="6">
        <f t="shared" si="5"/>
        <v>4</v>
      </c>
      <c r="S25" s="9">
        <f t="shared" si="6"/>
        <v>0</v>
      </c>
      <c r="T25" s="9">
        <f t="shared" si="7"/>
        <v>1.5625E-2</v>
      </c>
      <c r="U25" s="9">
        <f>R25 / _xlfn.XLOOKUP(A25, Jungle!A:A, Jungle!AA:AA)</f>
        <v>2.2099447513812154E-2</v>
      </c>
    </row>
    <row r="26" spans="1:23" x14ac:dyDescent="0.25">
      <c r="A26" s="1" t="s">
        <v>88</v>
      </c>
      <c r="B26" s="6"/>
      <c r="C26" s="7"/>
      <c r="D26" s="8">
        <f t="shared" si="0"/>
        <v>0</v>
      </c>
      <c r="E26" s="6"/>
      <c r="F26" s="7"/>
      <c r="G26" s="8">
        <f t="shared" si="1"/>
        <v>0</v>
      </c>
      <c r="H26" s="6"/>
      <c r="I26" s="7"/>
      <c r="J26" s="8">
        <f t="shared" si="2"/>
        <v>0</v>
      </c>
      <c r="K26" s="6">
        <v>1</v>
      </c>
      <c r="L26" s="7">
        <v>0</v>
      </c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1</v>
      </c>
      <c r="S26" s="9">
        <f t="shared" si="6"/>
        <v>0</v>
      </c>
      <c r="T26" s="9">
        <f t="shared" si="7"/>
        <v>3.90625E-3</v>
      </c>
      <c r="U26" s="9">
        <f>R26 / _xlfn.XLOOKUP(A26, Jungle!A:A, Jungle!AA:AA)</f>
        <v>0.04</v>
      </c>
    </row>
    <row r="27" spans="1:23" x14ac:dyDescent="0.25">
      <c r="A27" s="1" t="s">
        <v>195</v>
      </c>
      <c r="B27" s="6"/>
      <c r="C27" s="7"/>
      <c r="D27" s="8">
        <f t="shared" si="0"/>
        <v>0</v>
      </c>
      <c r="E27" s="6"/>
      <c r="F27" s="7"/>
      <c r="G27" s="8">
        <f t="shared" si="1"/>
        <v>0</v>
      </c>
      <c r="H27" s="6">
        <v>1</v>
      </c>
      <c r="I27" s="7">
        <v>0</v>
      </c>
      <c r="J27" s="8">
        <f t="shared" si="2"/>
        <v>0</v>
      </c>
      <c r="K27" s="6"/>
      <c r="L27" s="7"/>
      <c r="M27" s="8">
        <f t="shared" si="3"/>
        <v>0</v>
      </c>
      <c r="N27" s="6"/>
      <c r="O27" s="7"/>
      <c r="P27" s="8">
        <f t="shared" si="4"/>
        <v>0</v>
      </c>
      <c r="Q27" s="1"/>
      <c r="R27" s="6">
        <f t="shared" si="5"/>
        <v>1</v>
      </c>
      <c r="S27" s="9">
        <f t="shared" si="6"/>
        <v>0</v>
      </c>
      <c r="T27" s="9">
        <f t="shared" si="7"/>
        <v>3.90625E-3</v>
      </c>
      <c r="U27" s="9">
        <f>R27 / _xlfn.XLOOKUP(A27, Jungle!A:A, Jungle!AA:AA)</f>
        <v>1.6666666666666666E-2</v>
      </c>
    </row>
    <row r="28" spans="1:23" x14ac:dyDescent="0.25">
      <c r="B28" s="6"/>
      <c r="C28" s="7"/>
      <c r="D28" s="8">
        <f t="shared" ref="D28" si="8">B28*C28</f>
        <v>0</v>
      </c>
      <c r="E28" s="6"/>
      <c r="F28" s="7"/>
      <c r="G28" s="8">
        <f t="shared" ref="G28" si="9">E28*F28</f>
        <v>0</v>
      </c>
      <c r="H28" s="6"/>
      <c r="I28" s="7"/>
      <c r="J28" s="8">
        <f t="shared" ref="J28" si="10">H28*I28</f>
        <v>0</v>
      </c>
      <c r="K28" s="6"/>
      <c r="L28" s="7"/>
      <c r="M28" s="8">
        <f t="shared" ref="M28" si="11">K28*L28</f>
        <v>0</v>
      </c>
      <c r="N28" s="6"/>
      <c r="O28" s="7"/>
      <c r="P28" s="8">
        <f t="shared" ref="P28:P35" si="12">N28*O28</f>
        <v>0</v>
      </c>
      <c r="Q28" s="1"/>
      <c r="R28" s="6">
        <f t="shared" ref="R28:R35" si="13">B28+E28+H28+K28+N28</f>
        <v>0</v>
      </c>
      <c r="S28" s="9" t="e">
        <f t="shared" ref="S28:S35" si="14">(D28+G28+J28+M28+P28)/R28</f>
        <v>#DIV/0!</v>
      </c>
      <c r="T28" s="9">
        <f t="shared" ref="T28:T35" si="15">R28/$V$3</f>
        <v>0</v>
      </c>
      <c r="U28" s="9" t="e">
        <f>R28 / _xlfn.XLOOKUP(A28, Jungle!A:A, Jungle!AA:AA)</f>
        <v>#DIV/0!</v>
      </c>
    </row>
    <row r="29" spans="1:23" x14ac:dyDescent="0.25">
      <c r="N29" s="6"/>
      <c r="O29" s="7"/>
      <c r="P29" s="8">
        <f t="shared" si="12"/>
        <v>0</v>
      </c>
      <c r="Q29" s="1"/>
      <c r="R29" s="6">
        <f t="shared" si="13"/>
        <v>0</v>
      </c>
      <c r="S29" s="9" t="e">
        <f t="shared" si="14"/>
        <v>#DIV/0!</v>
      </c>
      <c r="T29" s="9">
        <f t="shared" si="15"/>
        <v>0</v>
      </c>
      <c r="U29" s="9" t="e">
        <f>R29 / _xlfn.XLOOKUP(A29, Jungle!A:A, Jungle!AA:AA)</f>
        <v>#DIV/0!</v>
      </c>
    </row>
    <row r="30" spans="1:23" x14ac:dyDescent="0.25">
      <c r="N30" s="6"/>
      <c r="O30" s="7"/>
      <c r="P30" s="8">
        <f t="shared" si="12"/>
        <v>0</v>
      </c>
      <c r="Q30" s="1"/>
      <c r="R30" s="6">
        <f t="shared" si="13"/>
        <v>0</v>
      </c>
      <c r="S30" s="9" t="e">
        <f t="shared" si="14"/>
        <v>#DIV/0!</v>
      </c>
      <c r="T30" s="9">
        <f t="shared" si="15"/>
        <v>0</v>
      </c>
      <c r="U30" s="9" t="e">
        <f>R30 / _xlfn.XLOOKUP(A30, Jungle!A:A, Jungle!AA:AA)</f>
        <v>#DIV/0!</v>
      </c>
    </row>
    <row r="31" spans="1:23" x14ac:dyDescent="0.25">
      <c r="N31" s="6"/>
      <c r="O31" s="7"/>
      <c r="P31" s="8">
        <f t="shared" si="12"/>
        <v>0</v>
      </c>
      <c r="Q31" s="1"/>
      <c r="R31" s="6">
        <f t="shared" si="13"/>
        <v>0</v>
      </c>
      <c r="S31" s="9" t="e">
        <f t="shared" si="14"/>
        <v>#DIV/0!</v>
      </c>
      <c r="T31" s="9">
        <f t="shared" si="15"/>
        <v>0</v>
      </c>
      <c r="U31" s="9" t="e">
        <f>R31 / _xlfn.XLOOKUP(A31, Jungle!A:A, Jungle!AA:AA)</f>
        <v>#DIV/0!</v>
      </c>
    </row>
    <row r="32" spans="1:23" x14ac:dyDescent="0.25">
      <c r="N32" s="6"/>
      <c r="O32" s="7"/>
      <c r="P32" s="8">
        <f t="shared" si="12"/>
        <v>0</v>
      </c>
      <c r="Q32" s="1"/>
      <c r="R32" s="6">
        <f t="shared" si="13"/>
        <v>0</v>
      </c>
      <c r="S32" s="9" t="e">
        <f t="shared" si="14"/>
        <v>#DIV/0!</v>
      </c>
      <c r="T32" s="9">
        <f t="shared" si="15"/>
        <v>0</v>
      </c>
      <c r="U32" s="9" t="e">
        <f>R32 / _xlfn.XLOOKUP(A32, Jungle!A:A, Jungle!AA:AA)</f>
        <v>#DIV/0!</v>
      </c>
    </row>
    <row r="33" spans="14:21" x14ac:dyDescent="0.25">
      <c r="N33" s="6"/>
      <c r="O33" s="7"/>
      <c r="P33" s="8">
        <f t="shared" si="12"/>
        <v>0</v>
      </c>
      <c r="Q33" s="1"/>
      <c r="R33" s="6">
        <f t="shared" si="13"/>
        <v>0</v>
      </c>
      <c r="S33" s="9" t="e">
        <f t="shared" si="14"/>
        <v>#DIV/0!</v>
      </c>
      <c r="T33" s="9">
        <f t="shared" si="15"/>
        <v>0</v>
      </c>
      <c r="U33" s="9" t="e">
        <f>R33 / _xlfn.XLOOKUP(A33, Jungle!A:A, Jungle!AA:AA)</f>
        <v>#DIV/0!</v>
      </c>
    </row>
    <row r="34" spans="14:21" x14ac:dyDescent="0.25">
      <c r="N34" s="6"/>
      <c r="O34" s="7"/>
      <c r="P34" s="8">
        <f t="shared" si="12"/>
        <v>0</v>
      </c>
      <c r="Q34" s="1"/>
      <c r="R34" s="6">
        <f t="shared" si="13"/>
        <v>0</v>
      </c>
      <c r="S34" s="9" t="e">
        <f t="shared" si="14"/>
        <v>#DIV/0!</v>
      </c>
      <c r="T34" s="9">
        <f t="shared" si="15"/>
        <v>0</v>
      </c>
      <c r="U34" s="9" t="e">
        <f>R34 / _xlfn.XLOOKUP(A34, Jungle!A:A, Jungle!AA:AA)</f>
        <v>#DIV/0!</v>
      </c>
    </row>
    <row r="35" spans="14:21" x14ac:dyDescent="0.25">
      <c r="N35" s="6"/>
      <c r="O35" s="7"/>
      <c r="P35" s="8">
        <f t="shared" si="12"/>
        <v>0</v>
      </c>
      <c r="Q35" s="1"/>
      <c r="R35" s="6">
        <f t="shared" si="13"/>
        <v>0</v>
      </c>
      <c r="S35" s="9" t="e">
        <f t="shared" si="14"/>
        <v>#DIV/0!</v>
      </c>
      <c r="T35" s="9">
        <f t="shared" si="15"/>
        <v>0</v>
      </c>
      <c r="U35" s="9" t="e">
        <f>R35 / _xlfn.XLOOKUP(A35, Jungle!A:A, Jungle!AA:AA)</f>
        <v>#DIV/0!</v>
      </c>
    </row>
  </sheetData>
  <sortState xmlns:xlrd2="http://schemas.microsoft.com/office/spreadsheetml/2017/richdata2" ref="A3:U27">
    <sortCondition descending="1" ref="S3:S27"/>
  </sortState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CBFF1-B892-413F-B81A-A6FB20E591B4}">
  <sheetPr>
    <tabColor theme="6" tint="0.59999389629810485"/>
  </sheetPr>
  <dimension ref="A1:W57"/>
  <sheetViews>
    <sheetView topLeftCell="A12" workbookViewId="0">
      <selection activeCell="U3" sqref="U3:U39"/>
    </sheetView>
  </sheetViews>
  <sheetFormatPr baseColWidth="10" defaultRowHeight="15" x14ac:dyDescent="0.25"/>
  <sheetData>
    <row r="1" spans="1:23" ht="15.75" x14ac:dyDescent="0.25">
      <c r="A1" s="2" t="s">
        <v>68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81</v>
      </c>
      <c r="B3" s="6"/>
      <c r="C3" s="7"/>
      <c r="D3" s="8">
        <f t="shared" ref="D3:D39" si="0">B3*C3</f>
        <v>0</v>
      </c>
      <c r="E3" s="6">
        <v>4</v>
      </c>
      <c r="F3" s="7">
        <v>1</v>
      </c>
      <c r="G3" s="8">
        <f t="shared" ref="G3:G39" si="1">E3*F3</f>
        <v>4</v>
      </c>
      <c r="H3" s="6"/>
      <c r="I3" s="7"/>
      <c r="J3" s="8">
        <f t="shared" ref="J3:J39" si="2">H3*I3</f>
        <v>0</v>
      </c>
      <c r="K3" s="6"/>
      <c r="L3" s="7"/>
      <c r="M3" s="8">
        <f t="shared" ref="M3:M39" si="3">K3*L3</f>
        <v>0</v>
      </c>
      <c r="N3" s="6"/>
      <c r="O3" s="7"/>
      <c r="P3" s="8">
        <f t="shared" ref="P3:P39" si="4">N3*O3</f>
        <v>0</v>
      </c>
      <c r="Q3" s="1"/>
      <c r="R3" s="6">
        <f t="shared" ref="R3:R39" si="5">B3+E3+H3+K3+N3</f>
        <v>4</v>
      </c>
      <c r="S3" s="9">
        <f t="shared" ref="S3:S39" si="6">(D3+G3+J3+M3+P3)/R3</f>
        <v>1</v>
      </c>
      <c r="T3" s="9">
        <f t="shared" ref="T3:T39" si="7">R3/$V$3</f>
        <v>6.4308681672025723E-3</v>
      </c>
      <c r="U3" s="9">
        <f>R3 / _xlfn.XLOOKUP(A3, Jungle!A:A, Jungle!AA:AA)</f>
        <v>0.1111111111111111</v>
      </c>
      <c r="V3" s="11">
        <f>SUM(R3:R70)</f>
        <v>622</v>
      </c>
      <c r="W3" s="12">
        <f>(SUM(D3:D100)+SUM(G3:G100)+SUM(J3:J100)+SUM(M3:M100)+SUM(P3:P100)) / V3</f>
        <v>0.65757073954983924</v>
      </c>
    </row>
    <row r="4" spans="1:23" x14ac:dyDescent="0.25">
      <c r="A4" s="1" t="s">
        <v>23</v>
      </c>
      <c r="B4" s="6"/>
      <c r="C4" s="7"/>
      <c r="D4" s="8">
        <f t="shared" si="0"/>
        <v>0</v>
      </c>
      <c r="E4" s="6">
        <v>1</v>
      </c>
      <c r="F4" s="7">
        <v>1</v>
      </c>
      <c r="G4" s="8">
        <f t="shared" si="1"/>
        <v>1</v>
      </c>
      <c r="H4" s="6"/>
      <c r="I4" s="7"/>
      <c r="J4" s="8">
        <f t="shared" si="2"/>
        <v>0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4"/>
      <c r="R4" s="6">
        <f t="shared" si="5"/>
        <v>1</v>
      </c>
      <c r="S4" s="9">
        <f t="shared" si="6"/>
        <v>1</v>
      </c>
      <c r="T4" s="9">
        <f t="shared" si="7"/>
        <v>1.6077170418006431E-3</v>
      </c>
      <c r="U4" s="9">
        <f>R4 / _xlfn.XLOOKUP(A4, Jungle!A:A, Jungle!AA:AA)</f>
        <v>0.33333333333333331</v>
      </c>
      <c r="V4" s="6"/>
      <c r="W4" s="9"/>
    </row>
    <row r="5" spans="1:23" x14ac:dyDescent="0.25">
      <c r="A5" s="1" t="s">
        <v>17</v>
      </c>
      <c r="B5" s="6"/>
      <c r="C5" s="7"/>
      <c r="D5" s="8">
        <f t="shared" si="0"/>
        <v>0</v>
      </c>
      <c r="E5" s="6">
        <v>1</v>
      </c>
      <c r="F5" s="7">
        <v>1</v>
      </c>
      <c r="G5" s="8">
        <f t="shared" si="1"/>
        <v>1</v>
      </c>
      <c r="H5" s="6"/>
      <c r="I5" s="7"/>
      <c r="J5" s="8">
        <f t="shared" si="2"/>
        <v>0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1</v>
      </c>
      <c r="S5" s="9">
        <f t="shared" si="6"/>
        <v>1</v>
      </c>
      <c r="T5" s="9">
        <f t="shared" si="7"/>
        <v>1.6077170418006431E-3</v>
      </c>
      <c r="U5" s="9">
        <f>R5 / _xlfn.XLOOKUP(A5, Jungle!A:A, Jungle!AA:AA)</f>
        <v>0.33333333333333331</v>
      </c>
      <c r="W5" s="1"/>
    </row>
    <row r="6" spans="1:23" x14ac:dyDescent="0.25">
      <c r="A6" s="25" t="s">
        <v>260</v>
      </c>
      <c r="B6" s="6"/>
      <c r="C6" s="7"/>
      <c r="D6" s="8">
        <f t="shared" si="0"/>
        <v>0</v>
      </c>
      <c r="E6" s="6"/>
      <c r="F6" s="7"/>
      <c r="G6" s="8">
        <f t="shared" si="1"/>
        <v>0</v>
      </c>
      <c r="H6" s="6"/>
      <c r="I6" s="7"/>
      <c r="J6" s="8">
        <f t="shared" si="2"/>
        <v>0</v>
      </c>
      <c r="K6" s="6">
        <v>1</v>
      </c>
      <c r="L6" s="7">
        <v>1</v>
      </c>
      <c r="M6" s="8">
        <f t="shared" si="3"/>
        <v>1</v>
      </c>
      <c r="N6" s="6"/>
      <c r="O6" s="7"/>
      <c r="P6" s="8">
        <f t="shared" si="4"/>
        <v>0</v>
      </c>
      <c r="Q6" s="1"/>
      <c r="R6" s="6">
        <f t="shared" si="5"/>
        <v>1</v>
      </c>
      <c r="S6" s="9">
        <f t="shared" si="6"/>
        <v>1</v>
      </c>
      <c r="T6" s="9">
        <f t="shared" si="7"/>
        <v>1.6077170418006431E-3</v>
      </c>
      <c r="U6" s="9">
        <f>R6 / _xlfn.XLOOKUP(A6, Jungle!A:A, Jungle!AA:AA)</f>
        <v>6.25E-2</v>
      </c>
      <c r="W6" s="1"/>
    </row>
    <row r="7" spans="1:23" x14ac:dyDescent="0.25">
      <c r="A7" s="25" t="s">
        <v>96</v>
      </c>
      <c r="B7" s="6"/>
      <c r="C7" s="7"/>
      <c r="D7" s="8">
        <f t="shared" si="0"/>
        <v>0</v>
      </c>
      <c r="E7" s="6"/>
      <c r="F7" s="7"/>
      <c r="G7" s="8">
        <f t="shared" si="1"/>
        <v>0</v>
      </c>
      <c r="H7" s="6"/>
      <c r="I7" s="7"/>
      <c r="J7" s="8">
        <f t="shared" si="2"/>
        <v>0</v>
      </c>
      <c r="K7" s="6">
        <v>1</v>
      </c>
      <c r="L7" s="7">
        <v>1</v>
      </c>
      <c r="M7" s="8">
        <f t="shared" si="3"/>
        <v>1</v>
      </c>
      <c r="N7" s="6"/>
      <c r="O7" s="7"/>
      <c r="P7" s="8">
        <f t="shared" si="4"/>
        <v>0</v>
      </c>
      <c r="Q7" s="1"/>
      <c r="R7" s="6">
        <f t="shared" si="5"/>
        <v>1</v>
      </c>
      <c r="S7" s="9">
        <f t="shared" si="6"/>
        <v>1</v>
      </c>
      <c r="T7" s="9">
        <f t="shared" si="7"/>
        <v>1.6077170418006431E-3</v>
      </c>
      <c r="U7" s="9">
        <f>R7 / _xlfn.XLOOKUP(A7, Jungle!A:A, Jungle!AA:AA)</f>
        <v>0.33333333333333331</v>
      </c>
      <c r="V7" s="1"/>
      <c r="W7" s="1"/>
    </row>
    <row r="8" spans="1:23" x14ac:dyDescent="0.25">
      <c r="A8" s="1" t="s">
        <v>72</v>
      </c>
      <c r="B8" s="6">
        <v>7</v>
      </c>
      <c r="C8" s="7">
        <v>0.71399999999999997</v>
      </c>
      <c r="D8" s="8">
        <f t="shared" si="0"/>
        <v>4.9979999999999993</v>
      </c>
      <c r="E8" s="6">
        <v>7</v>
      </c>
      <c r="F8" s="7">
        <v>0.85699999999999998</v>
      </c>
      <c r="G8" s="8">
        <f t="shared" si="1"/>
        <v>5.9989999999999997</v>
      </c>
      <c r="H8" s="6">
        <v>7</v>
      </c>
      <c r="I8" s="7">
        <v>1</v>
      </c>
      <c r="J8" s="8">
        <f t="shared" si="2"/>
        <v>7</v>
      </c>
      <c r="K8" s="6">
        <v>17</v>
      </c>
      <c r="L8" s="7">
        <v>0.82399999999999995</v>
      </c>
      <c r="M8" s="8">
        <f t="shared" si="3"/>
        <v>14.007999999999999</v>
      </c>
      <c r="N8" s="6"/>
      <c r="O8" s="7"/>
      <c r="P8" s="8">
        <f t="shared" si="4"/>
        <v>0</v>
      </c>
      <c r="Q8" s="1"/>
      <c r="R8" s="6">
        <f t="shared" si="5"/>
        <v>38</v>
      </c>
      <c r="S8" s="9">
        <f t="shared" si="6"/>
        <v>0.84223684210526306</v>
      </c>
      <c r="T8" s="9">
        <f t="shared" si="7"/>
        <v>6.1093247588424437E-2</v>
      </c>
      <c r="U8" s="9">
        <f>R8 / _xlfn.XLOOKUP(A8, Jungle!A:A, Jungle!AA:AA)</f>
        <v>0.20994475138121546</v>
      </c>
      <c r="V8" s="1"/>
      <c r="W8" s="1"/>
    </row>
    <row r="9" spans="1:23" x14ac:dyDescent="0.25">
      <c r="A9" s="1" t="s">
        <v>28</v>
      </c>
      <c r="B9" s="6">
        <v>6</v>
      </c>
      <c r="C9" s="7">
        <v>0.83299999999999996</v>
      </c>
      <c r="D9" s="8">
        <f t="shared" si="0"/>
        <v>4.9979999999999993</v>
      </c>
      <c r="E9" s="6"/>
      <c r="F9" s="7"/>
      <c r="G9" s="8">
        <f t="shared" si="1"/>
        <v>0</v>
      </c>
      <c r="H9" s="6"/>
      <c r="I9" s="7"/>
      <c r="J9" s="8">
        <f t="shared" si="2"/>
        <v>0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1"/>
      <c r="R9" s="6">
        <f t="shared" si="5"/>
        <v>6</v>
      </c>
      <c r="S9" s="9">
        <f t="shared" si="6"/>
        <v>0.83299999999999985</v>
      </c>
      <c r="T9" s="9">
        <f t="shared" si="7"/>
        <v>9.6463022508038593E-3</v>
      </c>
      <c r="U9" s="9">
        <f>R9 / _xlfn.XLOOKUP(A9, Jungle!A:A, Jungle!AA:AA)</f>
        <v>8.5714285714285715E-2</v>
      </c>
      <c r="V9" s="1"/>
      <c r="W9" s="1"/>
    </row>
    <row r="10" spans="1:23" x14ac:dyDescent="0.25">
      <c r="A10" s="1" t="s">
        <v>80</v>
      </c>
      <c r="B10" s="6"/>
      <c r="C10" s="7"/>
      <c r="D10" s="8">
        <f t="shared" si="0"/>
        <v>0</v>
      </c>
      <c r="E10" s="6">
        <v>7</v>
      </c>
      <c r="F10" s="7">
        <v>0.85699999999999998</v>
      </c>
      <c r="G10" s="8">
        <f t="shared" si="1"/>
        <v>5.9989999999999997</v>
      </c>
      <c r="H10" s="6">
        <v>9</v>
      </c>
      <c r="I10" s="7">
        <v>0.77800000000000002</v>
      </c>
      <c r="J10" s="8">
        <f t="shared" si="2"/>
        <v>7.0020000000000007</v>
      </c>
      <c r="K10" s="6"/>
      <c r="L10" s="7"/>
      <c r="M10" s="8">
        <f t="shared" si="3"/>
        <v>0</v>
      </c>
      <c r="N10" s="6"/>
      <c r="O10" s="7"/>
      <c r="P10" s="8">
        <f t="shared" si="4"/>
        <v>0</v>
      </c>
      <c r="Q10" s="1"/>
      <c r="R10" s="6">
        <f t="shared" si="5"/>
        <v>16</v>
      </c>
      <c r="S10" s="9">
        <f t="shared" si="6"/>
        <v>0.81256250000000008</v>
      </c>
      <c r="T10" s="9">
        <f t="shared" si="7"/>
        <v>2.5723472668810289E-2</v>
      </c>
      <c r="U10" s="9">
        <f>R10 / _xlfn.XLOOKUP(A10, Jungle!A:A, Jungle!AA:AA)</f>
        <v>0.17391304347826086</v>
      </c>
      <c r="V10" s="1"/>
      <c r="W10" s="1"/>
    </row>
    <row r="11" spans="1:23" x14ac:dyDescent="0.25">
      <c r="A11" s="1" t="s">
        <v>67</v>
      </c>
      <c r="B11" s="6">
        <v>2</v>
      </c>
      <c r="C11" s="7">
        <v>0.5</v>
      </c>
      <c r="D11" s="8">
        <f t="shared" si="0"/>
        <v>1</v>
      </c>
      <c r="E11" s="6"/>
      <c r="F11" s="7"/>
      <c r="G11" s="8">
        <f t="shared" si="1"/>
        <v>0</v>
      </c>
      <c r="H11" s="6"/>
      <c r="I11" s="7"/>
      <c r="J11" s="8">
        <f t="shared" si="2"/>
        <v>0</v>
      </c>
      <c r="K11" s="6">
        <v>7</v>
      </c>
      <c r="L11" s="7">
        <v>0.85699999999999998</v>
      </c>
      <c r="M11" s="8">
        <f t="shared" si="3"/>
        <v>5.9989999999999997</v>
      </c>
      <c r="N11" s="6"/>
      <c r="O11" s="7"/>
      <c r="P11" s="8">
        <f t="shared" si="4"/>
        <v>0</v>
      </c>
      <c r="Q11" s="1"/>
      <c r="R11" s="6">
        <f t="shared" si="5"/>
        <v>9</v>
      </c>
      <c r="S11" s="9">
        <f t="shared" si="6"/>
        <v>0.77766666666666662</v>
      </c>
      <c r="T11" s="9">
        <f t="shared" si="7"/>
        <v>1.4469453376205787E-2</v>
      </c>
      <c r="U11" s="9">
        <f>R11 / _xlfn.XLOOKUP(A11, Jungle!A:A, Jungle!AA:AA)</f>
        <v>4.5918367346938778E-2</v>
      </c>
      <c r="V11" s="1"/>
      <c r="W11" s="1"/>
    </row>
    <row r="12" spans="1:23" x14ac:dyDescent="0.25">
      <c r="A12" s="1" t="s">
        <v>70</v>
      </c>
      <c r="B12" s="6">
        <v>18</v>
      </c>
      <c r="C12" s="7">
        <v>0.77800000000000002</v>
      </c>
      <c r="D12" s="8">
        <f t="shared" si="0"/>
        <v>14.004000000000001</v>
      </c>
      <c r="E12" s="6">
        <v>1</v>
      </c>
      <c r="F12" s="7">
        <v>1</v>
      </c>
      <c r="G12" s="8">
        <f t="shared" si="1"/>
        <v>1</v>
      </c>
      <c r="H12" s="6">
        <v>14</v>
      </c>
      <c r="I12" s="7">
        <v>0.78600000000000003</v>
      </c>
      <c r="J12" s="8">
        <f t="shared" si="2"/>
        <v>11.004000000000001</v>
      </c>
      <c r="K12" s="6">
        <v>29</v>
      </c>
      <c r="L12" s="7">
        <v>0.75900000000000001</v>
      </c>
      <c r="M12" s="8">
        <f t="shared" si="3"/>
        <v>22.010999999999999</v>
      </c>
      <c r="N12" s="6"/>
      <c r="O12" s="7"/>
      <c r="P12" s="8">
        <f t="shared" si="4"/>
        <v>0</v>
      </c>
      <c r="Q12" s="4"/>
      <c r="R12" s="6">
        <f t="shared" si="5"/>
        <v>62</v>
      </c>
      <c r="S12" s="9">
        <f t="shared" si="6"/>
        <v>0.77450000000000008</v>
      </c>
      <c r="T12" s="9">
        <f t="shared" si="7"/>
        <v>9.9678456591639875E-2</v>
      </c>
      <c r="U12" s="9">
        <f>R12 / _xlfn.XLOOKUP(A12, Jungle!A:A, Jungle!AA:AA)</f>
        <v>0.12474849094567404</v>
      </c>
      <c r="V12" s="1"/>
      <c r="W12" s="1"/>
    </row>
    <row r="13" spans="1:23" x14ac:dyDescent="0.25">
      <c r="A13" s="1" t="s">
        <v>75</v>
      </c>
      <c r="B13" s="6">
        <v>4</v>
      </c>
      <c r="C13" s="7">
        <v>0.75</v>
      </c>
      <c r="D13" s="8">
        <f t="shared" si="0"/>
        <v>3</v>
      </c>
      <c r="E13" s="6"/>
      <c r="F13" s="7"/>
      <c r="G13" s="8">
        <f t="shared" si="1"/>
        <v>0</v>
      </c>
      <c r="H13" s="6"/>
      <c r="I13" s="7"/>
      <c r="J13" s="8">
        <f t="shared" si="2"/>
        <v>0</v>
      </c>
      <c r="K13" s="6"/>
      <c r="L13" s="7"/>
      <c r="M13" s="8">
        <f t="shared" si="3"/>
        <v>0</v>
      </c>
      <c r="N13" s="6"/>
      <c r="O13" s="7"/>
      <c r="P13" s="8">
        <f t="shared" si="4"/>
        <v>0</v>
      </c>
      <c r="Q13" s="1"/>
      <c r="R13" s="6">
        <f t="shared" si="5"/>
        <v>4</v>
      </c>
      <c r="S13" s="9">
        <f t="shared" si="6"/>
        <v>0.75</v>
      </c>
      <c r="T13" s="9">
        <f t="shared" si="7"/>
        <v>6.4308681672025723E-3</v>
      </c>
      <c r="U13" s="9">
        <f>R13 / _xlfn.XLOOKUP(A13, Jungle!A:A, Jungle!AA:AA)</f>
        <v>6.5573770491803282E-2</v>
      </c>
      <c r="V13" s="1"/>
      <c r="W13" s="1"/>
    </row>
    <row r="14" spans="1:23" x14ac:dyDescent="0.25">
      <c r="A14" s="1" t="s">
        <v>57</v>
      </c>
      <c r="B14" s="6">
        <v>35</v>
      </c>
      <c r="C14" s="7">
        <v>0.88600000000000001</v>
      </c>
      <c r="D14" s="8">
        <f t="shared" si="0"/>
        <v>31.01</v>
      </c>
      <c r="E14" s="6">
        <v>14</v>
      </c>
      <c r="F14" s="7">
        <v>0.64300000000000002</v>
      </c>
      <c r="G14" s="8">
        <f t="shared" si="1"/>
        <v>9.0020000000000007</v>
      </c>
      <c r="H14" s="6">
        <v>12</v>
      </c>
      <c r="I14" s="7">
        <v>0.33300000000000002</v>
      </c>
      <c r="J14" s="8">
        <f t="shared" si="2"/>
        <v>3.9960000000000004</v>
      </c>
      <c r="K14" s="6">
        <v>7</v>
      </c>
      <c r="L14" s="7">
        <v>0.71399999999999997</v>
      </c>
      <c r="M14" s="8">
        <f t="shared" si="3"/>
        <v>4.9979999999999993</v>
      </c>
      <c r="N14" s="6"/>
      <c r="O14" s="7"/>
      <c r="P14" s="8">
        <f t="shared" si="4"/>
        <v>0</v>
      </c>
      <c r="Q14" s="1"/>
      <c r="R14" s="6">
        <f t="shared" si="5"/>
        <v>68</v>
      </c>
      <c r="S14" s="9">
        <f t="shared" si="6"/>
        <v>0.72067647058823525</v>
      </c>
      <c r="T14" s="9">
        <f t="shared" si="7"/>
        <v>0.10932475884244373</v>
      </c>
      <c r="U14" s="9">
        <f>R14 / _xlfn.XLOOKUP(A14, Jungle!A:A, Jungle!AA:AA)</f>
        <v>0.15280898876404495</v>
      </c>
      <c r="V14" s="1"/>
      <c r="W14" s="1"/>
    </row>
    <row r="15" spans="1:23" x14ac:dyDescent="0.25">
      <c r="A15" s="1" t="s">
        <v>69</v>
      </c>
      <c r="B15" s="6">
        <v>24</v>
      </c>
      <c r="C15" s="7">
        <v>0.83299999999999996</v>
      </c>
      <c r="D15" s="8">
        <f t="shared" si="0"/>
        <v>19.991999999999997</v>
      </c>
      <c r="E15" s="6">
        <v>10</v>
      </c>
      <c r="F15" s="7">
        <v>0.5</v>
      </c>
      <c r="G15" s="8">
        <f t="shared" si="1"/>
        <v>5</v>
      </c>
      <c r="H15" s="6">
        <v>16</v>
      </c>
      <c r="I15" s="7">
        <v>0.75</v>
      </c>
      <c r="J15" s="8">
        <f t="shared" si="2"/>
        <v>12</v>
      </c>
      <c r="K15" s="6">
        <v>5</v>
      </c>
      <c r="L15" s="7">
        <v>0.4</v>
      </c>
      <c r="M15" s="8">
        <f t="shared" si="3"/>
        <v>2</v>
      </c>
      <c r="N15" s="6"/>
      <c r="O15" s="7"/>
      <c r="P15" s="8">
        <f t="shared" si="4"/>
        <v>0</v>
      </c>
      <c r="Q15" s="1"/>
      <c r="R15" s="6">
        <f t="shared" si="5"/>
        <v>55</v>
      </c>
      <c r="S15" s="9">
        <f t="shared" si="6"/>
        <v>0.70894545454545455</v>
      </c>
      <c r="T15" s="9">
        <f t="shared" si="7"/>
        <v>8.8424437299035374E-2</v>
      </c>
      <c r="U15" s="9">
        <f>R15 / _xlfn.XLOOKUP(A15, Jungle!A:A, Jungle!AA:AA)</f>
        <v>0.12249443207126949</v>
      </c>
      <c r="V15" s="1"/>
      <c r="W15" s="1"/>
    </row>
    <row r="16" spans="1:23" x14ac:dyDescent="0.25">
      <c r="A16" s="1" t="s">
        <v>31</v>
      </c>
      <c r="B16" s="6">
        <v>6</v>
      </c>
      <c r="C16" s="7">
        <v>0.66700000000000004</v>
      </c>
      <c r="D16" s="8">
        <f t="shared" si="0"/>
        <v>4.0020000000000007</v>
      </c>
      <c r="E16" s="6">
        <v>9</v>
      </c>
      <c r="F16" s="7">
        <v>0.66700000000000004</v>
      </c>
      <c r="G16" s="8">
        <f t="shared" si="1"/>
        <v>6.0030000000000001</v>
      </c>
      <c r="H16" s="6">
        <v>14</v>
      </c>
      <c r="I16" s="7">
        <v>0.78600000000000003</v>
      </c>
      <c r="J16" s="8">
        <f t="shared" si="2"/>
        <v>11.004000000000001</v>
      </c>
      <c r="K16" s="6">
        <v>1</v>
      </c>
      <c r="L16" s="7">
        <v>0</v>
      </c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30</v>
      </c>
      <c r="S16" s="9">
        <f t="shared" si="6"/>
        <v>0.70030000000000003</v>
      </c>
      <c r="T16" s="9">
        <f t="shared" si="7"/>
        <v>4.8231511254019289E-2</v>
      </c>
      <c r="U16" s="9">
        <f>R16 / _xlfn.XLOOKUP(A16, Jungle!A:A, Jungle!AA:AA)</f>
        <v>0.11450381679389313</v>
      </c>
      <c r="V16" s="1"/>
      <c r="W16" s="1"/>
    </row>
    <row r="17" spans="1:23" x14ac:dyDescent="0.25">
      <c r="A17" s="1" t="s">
        <v>74</v>
      </c>
      <c r="B17" s="6">
        <v>5</v>
      </c>
      <c r="C17" s="7">
        <v>0.6</v>
      </c>
      <c r="D17" s="8">
        <f t="shared" si="0"/>
        <v>3</v>
      </c>
      <c r="E17" s="6"/>
      <c r="F17" s="7"/>
      <c r="G17" s="8">
        <f t="shared" si="1"/>
        <v>0</v>
      </c>
      <c r="H17" s="6">
        <v>1</v>
      </c>
      <c r="I17" s="7">
        <v>1</v>
      </c>
      <c r="J17" s="8">
        <f t="shared" si="2"/>
        <v>1</v>
      </c>
      <c r="K17" s="6"/>
      <c r="L17" s="7"/>
      <c r="M17" s="8">
        <f t="shared" si="3"/>
        <v>0</v>
      </c>
      <c r="N17" s="6"/>
      <c r="O17" s="7"/>
      <c r="P17" s="8">
        <f t="shared" si="4"/>
        <v>0</v>
      </c>
      <c r="Q17" s="1"/>
      <c r="R17" s="6">
        <f t="shared" si="5"/>
        <v>6</v>
      </c>
      <c r="S17" s="9">
        <f t="shared" si="6"/>
        <v>0.66666666666666663</v>
      </c>
      <c r="T17" s="9">
        <f t="shared" si="7"/>
        <v>9.6463022508038593E-3</v>
      </c>
      <c r="U17" s="9">
        <f>R17 / _xlfn.XLOOKUP(A17, Jungle!A:A, Jungle!AA:AA)</f>
        <v>0.21428571428571427</v>
      </c>
      <c r="V17" s="1"/>
      <c r="W17" s="1"/>
    </row>
    <row r="18" spans="1:23" x14ac:dyDescent="0.25">
      <c r="A18" s="1" t="s">
        <v>77</v>
      </c>
      <c r="B18" s="6">
        <v>1</v>
      </c>
      <c r="C18" s="7">
        <v>0</v>
      </c>
      <c r="D18" s="8">
        <f t="shared" si="0"/>
        <v>0</v>
      </c>
      <c r="E18" s="6"/>
      <c r="F18" s="7"/>
      <c r="G18" s="8">
        <f t="shared" si="1"/>
        <v>0</v>
      </c>
      <c r="H18" s="6"/>
      <c r="I18" s="7"/>
      <c r="J18" s="8">
        <f t="shared" si="2"/>
        <v>0</v>
      </c>
      <c r="K18" s="6">
        <v>16</v>
      </c>
      <c r="L18" s="7">
        <v>0.68700000000000006</v>
      </c>
      <c r="M18" s="8">
        <f t="shared" si="3"/>
        <v>10.992000000000001</v>
      </c>
      <c r="N18" s="6"/>
      <c r="O18" s="7"/>
      <c r="P18" s="8">
        <f t="shared" si="4"/>
        <v>0</v>
      </c>
      <c r="Q18" s="1"/>
      <c r="R18" s="6">
        <f t="shared" si="5"/>
        <v>17</v>
      </c>
      <c r="S18" s="9">
        <f t="shared" si="6"/>
        <v>0.64658823529411769</v>
      </c>
      <c r="T18" s="9">
        <f t="shared" si="7"/>
        <v>2.7331189710610933E-2</v>
      </c>
      <c r="U18" s="9">
        <f>R18 / _xlfn.XLOOKUP(A18, Jungle!A:A, Jungle!AA:AA)</f>
        <v>0.12408759124087591</v>
      </c>
      <c r="V18" s="1"/>
      <c r="W18" s="1"/>
    </row>
    <row r="19" spans="1:23" x14ac:dyDescent="0.25">
      <c r="A19" s="1" t="s">
        <v>26</v>
      </c>
      <c r="B19" s="6">
        <v>5</v>
      </c>
      <c r="C19" s="7">
        <v>0.8</v>
      </c>
      <c r="D19" s="8">
        <f t="shared" si="0"/>
        <v>4</v>
      </c>
      <c r="E19" s="6">
        <v>26</v>
      </c>
      <c r="F19" s="7">
        <v>0.69199999999999995</v>
      </c>
      <c r="G19" s="8">
        <f t="shared" si="1"/>
        <v>17.991999999999997</v>
      </c>
      <c r="H19" s="6">
        <v>27</v>
      </c>
      <c r="I19" s="7">
        <v>0.63</v>
      </c>
      <c r="J19" s="8">
        <f t="shared" si="2"/>
        <v>17.010000000000002</v>
      </c>
      <c r="K19" s="6">
        <v>9</v>
      </c>
      <c r="L19" s="7">
        <v>0.33300000000000002</v>
      </c>
      <c r="M19" s="8">
        <f t="shared" si="3"/>
        <v>2.9970000000000003</v>
      </c>
      <c r="N19" s="6"/>
      <c r="O19" s="7"/>
      <c r="P19" s="8">
        <f t="shared" si="4"/>
        <v>0</v>
      </c>
      <c r="Q19" s="4"/>
      <c r="R19" s="6">
        <f t="shared" si="5"/>
        <v>67</v>
      </c>
      <c r="S19" s="9">
        <f t="shared" si="6"/>
        <v>0.62685074626865667</v>
      </c>
      <c r="T19" s="9">
        <f t="shared" si="7"/>
        <v>0.10771704180064309</v>
      </c>
      <c r="U19" s="9">
        <f>R19 / _xlfn.XLOOKUP(A19, Jungle!A:A, Jungle!AA:AA)</f>
        <v>0.10551181102362205</v>
      </c>
      <c r="V19" s="1"/>
      <c r="W19" s="1"/>
    </row>
    <row r="20" spans="1:23" x14ac:dyDescent="0.25">
      <c r="A20" s="1" t="s">
        <v>79</v>
      </c>
      <c r="B20" s="6"/>
      <c r="C20" s="7"/>
      <c r="D20" s="8">
        <f t="shared" si="0"/>
        <v>0</v>
      </c>
      <c r="E20" s="6">
        <v>8</v>
      </c>
      <c r="F20" s="7">
        <v>0.625</v>
      </c>
      <c r="G20" s="8">
        <f t="shared" si="1"/>
        <v>5</v>
      </c>
      <c r="H20" s="6"/>
      <c r="I20" s="7"/>
      <c r="J20" s="8">
        <f t="shared" si="2"/>
        <v>0</v>
      </c>
      <c r="K20" s="6"/>
      <c r="L20" s="7"/>
      <c r="M20" s="8">
        <f t="shared" si="3"/>
        <v>0</v>
      </c>
      <c r="N20" s="6"/>
      <c r="O20" s="7"/>
      <c r="P20" s="8">
        <f t="shared" si="4"/>
        <v>0</v>
      </c>
      <c r="Q20" s="13"/>
      <c r="R20" s="6">
        <f t="shared" si="5"/>
        <v>8</v>
      </c>
      <c r="S20" s="9">
        <f t="shared" si="6"/>
        <v>0.625</v>
      </c>
      <c r="T20" s="9">
        <f t="shared" si="7"/>
        <v>1.2861736334405145E-2</v>
      </c>
      <c r="U20" s="9">
        <f>R20 / _xlfn.XLOOKUP(A20, Jungle!A:A, Jungle!AA:AA)</f>
        <v>0.16</v>
      </c>
      <c r="V20" s="1"/>
      <c r="W20" s="1"/>
    </row>
    <row r="21" spans="1:23" x14ac:dyDescent="0.25">
      <c r="A21" s="1" t="s">
        <v>45</v>
      </c>
      <c r="B21" s="6">
        <v>4</v>
      </c>
      <c r="C21" s="7">
        <v>0.5</v>
      </c>
      <c r="D21" s="8">
        <f t="shared" si="0"/>
        <v>2</v>
      </c>
      <c r="E21" s="6">
        <v>5</v>
      </c>
      <c r="F21" s="7">
        <v>0.8</v>
      </c>
      <c r="G21" s="8">
        <f t="shared" si="1"/>
        <v>4</v>
      </c>
      <c r="H21" s="6">
        <v>6</v>
      </c>
      <c r="I21" s="7">
        <v>0.66700000000000004</v>
      </c>
      <c r="J21" s="8">
        <f t="shared" si="2"/>
        <v>4.0020000000000007</v>
      </c>
      <c r="K21" s="6">
        <v>17</v>
      </c>
      <c r="L21" s="7">
        <v>0.58799999999999997</v>
      </c>
      <c r="M21" s="8">
        <f t="shared" si="3"/>
        <v>9.9959999999999987</v>
      </c>
      <c r="N21" s="6"/>
      <c r="O21" s="7"/>
      <c r="P21" s="8">
        <f t="shared" si="4"/>
        <v>0</v>
      </c>
      <c r="Q21" s="1"/>
      <c r="R21" s="6">
        <f t="shared" si="5"/>
        <v>32</v>
      </c>
      <c r="S21" s="9">
        <f t="shared" si="6"/>
        <v>0.62493749999999992</v>
      </c>
      <c r="T21" s="9">
        <f t="shared" si="7"/>
        <v>5.1446945337620578E-2</v>
      </c>
      <c r="U21" s="9">
        <f>R21 / _xlfn.XLOOKUP(A21, Jungle!A:A, Jungle!AA:AA)</f>
        <v>0.13278008298755187</v>
      </c>
      <c r="V21" s="1"/>
      <c r="W21" s="1"/>
    </row>
    <row r="22" spans="1:23" x14ac:dyDescent="0.25">
      <c r="A22" s="1" t="s">
        <v>71</v>
      </c>
      <c r="B22" s="6">
        <v>17</v>
      </c>
      <c r="C22" s="7">
        <v>0.58799999999999997</v>
      </c>
      <c r="D22" s="8">
        <f t="shared" si="0"/>
        <v>9.9959999999999987</v>
      </c>
      <c r="E22" s="6">
        <v>12</v>
      </c>
      <c r="F22" s="7">
        <v>0.66700000000000004</v>
      </c>
      <c r="G22" s="8">
        <f t="shared" si="1"/>
        <v>8.0040000000000013</v>
      </c>
      <c r="H22" s="6">
        <v>2</v>
      </c>
      <c r="I22" s="7">
        <v>0</v>
      </c>
      <c r="J22" s="8">
        <f t="shared" si="2"/>
        <v>0</v>
      </c>
      <c r="K22" s="6">
        <v>14</v>
      </c>
      <c r="L22" s="7">
        <v>0.71399999999999997</v>
      </c>
      <c r="M22" s="8">
        <f t="shared" si="3"/>
        <v>9.9959999999999987</v>
      </c>
      <c r="N22" s="6"/>
      <c r="O22" s="7"/>
      <c r="P22" s="8">
        <f t="shared" si="4"/>
        <v>0</v>
      </c>
      <c r="Q22" s="1"/>
      <c r="R22" s="6">
        <f t="shared" si="5"/>
        <v>45</v>
      </c>
      <c r="S22" s="9">
        <f t="shared" si="6"/>
        <v>0.62213333333333332</v>
      </c>
      <c r="T22" s="9">
        <f t="shared" si="7"/>
        <v>7.2347266881028938E-2</v>
      </c>
      <c r="U22" s="9">
        <f>R22 / _xlfn.XLOOKUP(A22, Jungle!A:A, Jungle!AA:AA)</f>
        <v>8.1227436823104696E-2</v>
      </c>
      <c r="V22" s="1"/>
      <c r="W22" s="1"/>
    </row>
    <row r="23" spans="1:23" x14ac:dyDescent="0.25">
      <c r="A23" s="1" t="s">
        <v>83</v>
      </c>
      <c r="B23" s="6"/>
      <c r="C23" s="7"/>
      <c r="D23" s="8">
        <f t="shared" si="0"/>
        <v>0</v>
      </c>
      <c r="E23" s="6">
        <v>1</v>
      </c>
      <c r="F23" s="7">
        <v>0</v>
      </c>
      <c r="G23" s="8">
        <f t="shared" si="1"/>
        <v>0</v>
      </c>
      <c r="H23" s="6">
        <v>8</v>
      </c>
      <c r="I23" s="7">
        <v>0.625</v>
      </c>
      <c r="J23" s="8">
        <f t="shared" si="2"/>
        <v>5</v>
      </c>
      <c r="K23" s="6">
        <v>4</v>
      </c>
      <c r="L23" s="7">
        <v>0.75</v>
      </c>
      <c r="M23" s="8">
        <f t="shared" si="3"/>
        <v>3</v>
      </c>
      <c r="N23" s="6"/>
      <c r="O23" s="7"/>
      <c r="P23" s="8">
        <f t="shared" si="4"/>
        <v>0</v>
      </c>
      <c r="Q23" s="1"/>
      <c r="R23" s="6">
        <f t="shared" si="5"/>
        <v>13</v>
      </c>
      <c r="S23" s="9">
        <f t="shared" si="6"/>
        <v>0.61538461538461542</v>
      </c>
      <c r="T23" s="9">
        <f t="shared" si="7"/>
        <v>2.0900321543408359E-2</v>
      </c>
      <c r="U23" s="9">
        <f>R23 / _xlfn.XLOOKUP(A23, Jungle!A:A, Jungle!AA:AA)</f>
        <v>0.15853658536585366</v>
      </c>
      <c r="V23" s="1"/>
      <c r="W23" s="1"/>
    </row>
    <row r="24" spans="1:23" x14ac:dyDescent="0.25">
      <c r="A24" s="1" t="s">
        <v>73</v>
      </c>
      <c r="B24" s="6">
        <v>6</v>
      </c>
      <c r="C24" s="7">
        <v>0.5</v>
      </c>
      <c r="D24" s="8">
        <f t="shared" si="0"/>
        <v>3</v>
      </c>
      <c r="E24" s="6">
        <v>19</v>
      </c>
      <c r="F24" s="7">
        <v>0.63200000000000001</v>
      </c>
      <c r="G24" s="8">
        <f t="shared" si="1"/>
        <v>12.008000000000001</v>
      </c>
      <c r="H24" s="6">
        <v>21</v>
      </c>
      <c r="I24" s="7">
        <v>0.71399999999999997</v>
      </c>
      <c r="J24" s="8">
        <f t="shared" si="2"/>
        <v>14.994</v>
      </c>
      <c r="K24" s="6">
        <v>9</v>
      </c>
      <c r="L24" s="7">
        <v>0.33300000000000002</v>
      </c>
      <c r="M24" s="8">
        <f t="shared" si="3"/>
        <v>2.9970000000000003</v>
      </c>
      <c r="N24" s="6"/>
      <c r="O24" s="7"/>
      <c r="P24" s="8">
        <f t="shared" si="4"/>
        <v>0</v>
      </c>
      <c r="Q24" s="1"/>
      <c r="R24" s="6">
        <f t="shared" si="5"/>
        <v>55</v>
      </c>
      <c r="S24" s="9">
        <f t="shared" si="6"/>
        <v>0.59998181818181817</v>
      </c>
      <c r="T24" s="9">
        <f t="shared" si="7"/>
        <v>8.8424437299035374E-2</v>
      </c>
      <c r="U24" s="9">
        <f>R24 / _xlfn.XLOOKUP(A24, Jungle!A:A, Jungle!AA:AA)</f>
        <v>9.8920863309352514E-2</v>
      </c>
      <c r="V24" s="1"/>
      <c r="W24" s="1"/>
    </row>
    <row r="25" spans="1:23" x14ac:dyDescent="0.25">
      <c r="A25" s="1" t="s">
        <v>95</v>
      </c>
      <c r="B25" s="6"/>
      <c r="C25" s="7"/>
      <c r="D25" s="8">
        <f t="shared" si="0"/>
        <v>0</v>
      </c>
      <c r="E25" s="6"/>
      <c r="F25" s="7"/>
      <c r="G25" s="8">
        <f t="shared" si="1"/>
        <v>0</v>
      </c>
      <c r="H25" s="6">
        <v>4</v>
      </c>
      <c r="I25" s="7">
        <v>0.75</v>
      </c>
      <c r="J25" s="8">
        <f t="shared" si="2"/>
        <v>3</v>
      </c>
      <c r="K25" s="6">
        <v>13</v>
      </c>
      <c r="L25" s="7">
        <v>0.53800000000000003</v>
      </c>
      <c r="M25" s="8">
        <f t="shared" si="3"/>
        <v>6.9940000000000007</v>
      </c>
      <c r="N25" s="6"/>
      <c r="O25" s="7"/>
      <c r="P25" s="8">
        <f t="shared" si="4"/>
        <v>0</v>
      </c>
      <c r="Q25" s="1"/>
      <c r="R25" s="6">
        <f t="shared" si="5"/>
        <v>17</v>
      </c>
      <c r="S25" s="9">
        <f t="shared" si="6"/>
        <v>0.58788235294117641</v>
      </c>
      <c r="T25" s="9">
        <f t="shared" si="7"/>
        <v>2.7331189710610933E-2</v>
      </c>
      <c r="U25" s="9">
        <f>R25 / _xlfn.XLOOKUP(A25, Jungle!A:A, Jungle!AA:AA)</f>
        <v>0.10179640718562874</v>
      </c>
      <c r="V25" s="1"/>
      <c r="W25" s="1"/>
    </row>
    <row r="26" spans="1:23" x14ac:dyDescent="0.25">
      <c r="A26" s="1" t="s">
        <v>76</v>
      </c>
      <c r="B26" s="6">
        <v>2</v>
      </c>
      <c r="C26" s="7">
        <v>0.5</v>
      </c>
      <c r="D26" s="8">
        <f t="shared" si="0"/>
        <v>1</v>
      </c>
      <c r="E26" s="6">
        <v>1</v>
      </c>
      <c r="F26" s="7">
        <v>1</v>
      </c>
      <c r="G26" s="8">
        <f t="shared" si="1"/>
        <v>1</v>
      </c>
      <c r="H26" s="6">
        <v>9</v>
      </c>
      <c r="I26" s="7">
        <v>0.55500000000000005</v>
      </c>
      <c r="J26" s="8">
        <f t="shared" si="2"/>
        <v>4.9950000000000001</v>
      </c>
      <c r="K26" s="6">
        <v>1</v>
      </c>
      <c r="L26" s="7">
        <v>0</v>
      </c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13</v>
      </c>
      <c r="S26" s="9">
        <f t="shared" si="6"/>
        <v>0.53807692307692312</v>
      </c>
      <c r="T26" s="9">
        <f t="shared" si="7"/>
        <v>2.0900321543408359E-2</v>
      </c>
      <c r="U26" s="9">
        <f>R26 / _xlfn.XLOOKUP(A26, Jungle!A:A, Jungle!AA:AA)</f>
        <v>9.7744360902255634E-2</v>
      </c>
      <c r="V26" s="1"/>
      <c r="W26" s="1"/>
    </row>
    <row r="27" spans="1:23" x14ac:dyDescent="0.25">
      <c r="A27" s="25" t="s">
        <v>32</v>
      </c>
      <c r="B27" s="6"/>
      <c r="C27" s="7"/>
      <c r="D27" s="8">
        <f t="shared" si="0"/>
        <v>0</v>
      </c>
      <c r="E27" s="6"/>
      <c r="F27" s="7"/>
      <c r="G27" s="8">
        <f t="shared" si="1"/>
        <v>0</v>
      </c>
      <c r="H27" s="6"/>
      <c r="I27" s="7"/>
      <c r="J27" s="8">
        <f t="shared" si="2"/>
        <v>0</v>
      </c>
      <c r="K27" s="6">
        <v>2</v>
      </c>
      <c r="L27" s="7">
        <v>0.5</v>
      </c>
      <c r="M27" s="8">
        <f t="shared" si="3"/>
        <v>1</v>
      </c>
      <c r="N27" s="6"/>
      <c r="O27" s="7"/>
      <c r="P27" s="8">
        <f t="shared" si="4"/>
        <v>0</v>
      </c>
      <c r="Q27" s="1"/>
      <c r="R27" s="6">
        <f t="shared" si="5"/>
        <v>2</v>
      </c>
      <c r="S27" s="9">
        <f t="shared" si="6"/>
        <v>0.5</v>
      </c>
      <c r="T27" s="9">
        <f t="shared" si="7"/>
        <v>3.2154340836012861E-3</v>
      </c>
      <c r="U27" s="9">
        <f>R27 / _xlfn.XLOOKUP(A27, Jungle!A:A, Jungle!AA:AA)</f>
        <v>0.25</v>
      </c>
      <c r="V27" s="1"/>
      <c r="W27" s="1"/>
    </row>
    <row r="28" spans="1:23" x14ac:dyDescent="0.25">
      <c r="A28" s="25" t="s">
        <v>88</v>
      </c>
      <c r="B28" s="6"/>
      <c r="C28" s="7"/>
      <c r="D28" s="8">
        <f t="shared" si="0"/>
        <v>0</v>
      </c>
      <c r="E28" s="6"/>
      <c r="F28" s="7"/>
      <c r="G28" s="8">
        <f t="shared" si="1"/>
        <v>0</v>
      </c>
      <c r="H28" s="6"/>
      <c r="I28" s="7"/>
      <c r="J28" s="8">
        <f t="shared" si="2"/>
        <v>0</v>
      </c>
      <c r="K28" s="6">
        <v>2</v>
      </c>
      <c r="L28" s="7">
        <v>0.5</v>
      </c>
      <c r="M28" s="8">
        <f t="shared" si="3"/>
        <v>1</v>
      </c>
      <c r="N28" s="6"/>
      <c r="O28" s="7"/>
      <c r="P28" s="8">
        <f t="shared" si="4"/>
        <v>0</v>
      </c>
      <c r="Q28" s="1"/>
      <c r="R28" s="6">
        <f t="shared" si="5"/>
        <v>2</v>
      </c>
      <c r="S28" s="9">
        <f t="shared" si="6"/>
        <v>0.5</v>
      </c>
      <c r="T28" s="9">
        <f t="shared" si="7"/>
        <v>3.2154340836012861E-3</v>
      </c>
      <c r="U28" s="9">
        <f>R28 / _xlfn.XLOOKUP(A28, Jungle!A:A, Jungle!AA:AA)</f>
        <v>0.08</v>
      </c>
      <c r="V28" s="1"/>
      <c r="W28" s="1"/>
    </row>
    <row r="29" spans="1:23" x14ac:dyDescent="0.25">
      <c r="A29" s="25" t="s">
        <v>215</v>
      </c>
      <c r="B29" s="6"/>
      <c r="C29" s="7"/>
      <c r="D29" s="8">
        <f t="shared" si="0"/>
        <v>0</v>
      </c>
      <c r="E29" s="6"/>
      <c r="F29" s="7"/>
      <c r="G29" s="8">
        <f t="shared" si="1"/>
        <v>0</v>
      </c>
      <c r="H29" s="6"/>
      <c r="I29" s="7"/>
      <c r="J29" s="8">
        <f t="shared" si="2"/>
        <v>0</v>
      </c>
      <c r="K29" s="6">
        <v>2</v>
      </c>
      <c r="L29" s="7">
        <v>0.5</v>
      </c>
      <c r="M29" s="8">
        <f t="shared" si="3"/>
        <v>1</v>
      </c>
      <c r="N29" s="6"/>
      <c r="O29" s="7"/>
      <c r="P29" s="8">
        <f t="shared" si="4"/>
        <v>0</v>
      </c>
      <c r="Q29" s="1"/>
      <c r="R29" s="6">
        <f t="shared" si="5"/>
        <v>2</v>
      </c>
      <c r="S29" s="9">
        <f t="shared" si="6"/>
        <v>0.5</v>
      </c>
      <c r="T29" s="9">
        <f t="shared" si="7"/>
        <v>3.2154340836012861E-3</v>
      </c>
      <c r="U29" s="9">
        <f>R29 / _xlfn.XLOOKUP(A29, Jungle!A:A, Jungle!AA:AA)</f>
        <v>0.14285714285714285</v>
      </c>
      <c r="V29" s="1"/>
      <c r="W29" s="1"/>
    </row>
    <row r="30" spans="1:23" x14ac:dyDescent="0.25">
      <c r="A30" s="1" t="s">
        <v>30</v>
      </c>
      <c r="B30" s="6"/>
      <c r="C30" s="7"/>
      <c r="D30" s="8">
        <f t="shared" si="0"/>
        <v>0</v>
      </c>
      <c r="E30" s="6">
        <v>21</v>
      </c>
      <c r="F30" s="7">
        <v>0.42899999999999999</v>
      </c>
      <c r="G30" s="8">
        <f t="shared" si="1"/>
        <v>9.0090000000000003</v>
      </c>
      <c r="H30" s="6">
        <v>4</v>
      </c>
      <c r="I30" s="7">
        <v>0.25</v>
      </c>
      <c r="J30" s="8">
        <f t="shared" si="2"/>
        <v>1</v>
      </c>
      <c r="K30" s="6"/>
      <c r="L30" s="7"/>
      <c r="M30" s="8">
        <f t="shared" si="3"/>
        <v>0</v>
      </c>
      <c r="N30" s="6"/>
      <c r="O30" s="7"/>
      <c r="P30" s="8">
        <f t="shared" si="4"/>
        <v>0</v>
      </c>
      <c r="Q30" s="4"/>
      <c r="R30" s="6">
        <f t="shared" si="5"/>
        <v>25</v>
      </c>
      <c r="S30" s="9">
        <f t="shared" si="6"/>
        <v>0.40035999999999999</v>
      </c>
      <c r="T30" s="9">
        <f t="shared" si="7"/>
        <v>4.0192926045016078E-2</v>
      </c>
      <c r="U30" s="9">
        <f>R30 / _xlfn.XLOOKUP(A30, Jungle!A:A, Jungle!AA:AA)</f>
        <v>6.2344139650872821E-2</v>
      </c>
      <c r="V30" s="1"/>
      <c r="W30" s="1"/>
    </row>
    <row r="31" spans="1:23" x14ac:dyDescent="0.25">
      <c r="A31" s="25" t="s">
        <v>211</v>
      </c>
      <c r="B31" s="6"/>
      <c r="C31" s="7"/>
      <c r="D31" s="8">
        <f t="shared" si="0"/>
        <v>0</v>
      </c>
      <c r="E31" s="6"/>
      <c r="F31" s="7"/>
      <c r="G31" s="8">
        <f t="shared" si="1"/>
        <v>0</v>
      </c>
      <c r="H31" s="6"/>
      <c r="I31" s="7"/>
      <c r="J31" s="8">
        <f t="shared" si="2"/>
        <v>0</v>
      </c>
      <c r="K31" s="6">
        <v>3</v>
      </c>
      <c r="L31" s="7">
        <v>0.33300000000000002</v>
      </c>
      <c r="M31" s="8">
        <f t="shared" si="3"/>
        <v>0.99900000000000011</v>
      </c>
      <c r="N31" s="6"/>
      <c r="O31" s="7"/>
      <c r="P31" s="8">
        <f t="shared" si="4"/>
        <v>0</v>
      </c>
      <c r="Q31" s="1"/>
      <c r="R31" s="6">
        <f t="shared" si="5"/>
        <v>3</v>
      </c>
      <c r="S31" s="9">
        <f t="shared" si="6"/>
        <v>0.33300000000000002</v>
      </c>
      <c r="T31" s="9">
        <f t="shared" si="7"/>
        <v>4.8231511254019296E-3</v>
      </c>
      <c r="U31" s="9">
        <f>R31 / _xlfn.XLOOKUP(A31, Jungle!A:A, Jungle!AA:AA)</f>
        <v>0.04</v>
      </c>
      <c r="V31" s="1"/>
      <c r="W31" s="1"/>
    </row>
    <row r="32" spans="1:23" x14ac:dyDescent="0.25">
      <c r="A32" s="1" t="s">
        <v>82</v>
      </c>
      <c r="B32" s="6"/>
      <c r="C32" s="7"/>
      <c r="D32" s="8">
        <f t="shared" si="0"/>
        <v>0</v>
      </c>
      <c r="E32" s="6">
        <v>1</v>
      </c>
      <c r="F32" s="7">
        <v>0</v>
      </c>
      <c r="G32" s="8">
        <f t="shared" si="1"/>
        <v>0</v>
      </c>
      <c r="H32" s="6">
        <v>3</v>
      </c>
      <c r="I32" s="7">
        <v>0.33300000000000002</v>
      </c>
      <c r="J32" s="8">
        <f t="shared" si="2"/>
        <v>0.99900000000000011</v>
      </c>
      <c r="K32" s="6"/>
      <c r="L32" s="7"/>
      <c r="M32" s="8">
        <f t="shared" si="3"/>
        <v>0</v>
      </c>
      <c r="N32" s="6"/>
      <c r="O32" s="7"/>
      <c r="P32" s="8">
        <f t="shared" si="4"/>
        <v>0</v>
      </c>
      <c r="Q32" s="1"/>
      <c r="R32" s="6">
        <f t="shared" si="5"/>
        <v>4</v>
      </c>
      <c r="S32" s="9">
        <f t="shared" si="6"/>
        <v>0.24975000000000003</v>
      </c>
      <c r="T32" s="9">
        <f t="shared" si="7"/>
        <v>6.4308681672025723E-3</v>
      </c>
      <c r="U32" s="9">
        <f>R32 / _xlfn.XLOOKUP(A32, Jungle!A:A, Jungle!AA:AA)</f>
        <v>6.3492063492063489E-2</v>
      </c>
      <c r="V32" s="1"/>
      <c r="W32" s="1"/>
    </row>
    <row r="33" spans="1:23" x14ac:dyDescent="0.25">
      <c r="A33" s="25" t="s">
        <v>230</v>
      </c>
      <c r="B33" s="6">
        <v>1</v>
      </c>
      <c r="C33" s="7">
        <v>1</v>
      </c>
      <c r="D33" s="8">
        <f t="shared" si="0"/>
        <v>1</v>
      </c>
      <c r="E33" s="6">
        <v>3</v>
      </c>
      <c r="F33" s="7">
        <v>0</v>
      </c>
      <c r="G33" s="8">
        <f t="shared" si="1"/>
        <v>0</v>
      </c>
      <c r="H33" s="6">
        <v>1</v>
      </c>
      <c r="I33" s="7">
        <v>0</v>
      </c>
      <c r="J33" s="8">
        <f t="shared" si="2"/>
        <v>0</v>
      </c>
      <c r="K33" s="6">
        <v>1</v>
      </c>
      <c r="L33" s="7">
        <v>0</v>
      </c>
      <c r="M33" s="8">
        <f t="shared" si="3"/>
        <v>0</v>
      </c>
      <c r="N33" s="6"/>
      <c r="O33" s="7"/>
      <c r="P33" s="8">
        <f t="shared" si="4"/>
        <v>0</v>
      </c>
      <c r="Q33" s="1"/>
      <c r="R33" s="6">
        <f t="shared" si="5"/>
        <v>6</v>
      </c>
      <c r="S33" s="9">
        <f t="shared" si="6"/>
        <v>0.16666666666666666</v>
      </c>
      <c r="T33" s="9">
        <f t="shared" si="7"/>
        <v>9.6463022508038593E-3</v>
      </c>
      <c r="U33" s="9">
        <f>R33 / _xlfn.XLOOKUP(A33, Jungle!A:A, Jungle!AA:AA)</f>
        <v>0.15384615384615385</v>
      </c>
      <c r="V33" s="1"/>
      <c r="W33" s="1"/>
    </row>
    <row r="34" spans="1:23" x14ac:dyDescent="0.25">
      <c r="A34" s="1" t="s">
        <v>195</v>
      </c>
      <c r="B34" s="6"/>
      <c r="C34" s="7"/>
      <c r="D34" s="8">
        <f t="shared" si="0"/>
        <v>0</v>
      </c>
      <c r="E34" s="6"/>
      <c r="F34" s="7"/>
      <c r="G34" s="8">
        <f t="shared" si="1"/>
        <v>0</v>
      </c>
      <c r="H34" s="6">
        <v>2</v>
      </c>
      <c r="I34" s="7">
        <v>0</v>
      </c>
      <c r="J34" s="8">
        <f t="shared" si="2"/>
        <v>0</v>
      </c>
      <c r="K34" s="6">
        <v>1</v>
      </c>
      <c r="L34" s="7">
        <v>0</v>
      </c>
      <c r="M34" s="8">
        <f t="shared" si="3"/>
        <v>0</v>
      </c>
      <c r="N34" s="6"/>
      <c r="O34" s="7"/>
      <c r="P34" s="8">
        <f t="shared" si="4"/>
        <v>0</v>
      </c>
      <c r="Q34" s="1"/>
      <c r="R34" s="6">
        <f t="shared" si="5"/>
        <v>3</v>
      </c>
      <c r="S34" s="9">
        <f t="shared" si="6"/>
        <v>0</v>
      </c>
      <c r="T34" s="9">
        <f t="shared" si="7"/>
        <v>4.8231511254019296E-3</v>
      </c>
      <c r="U34" s="9">
        <f>R34 / _xlfn.XLOOKUP(A34, Jungle!A:A, Jungle!AA:AA)</f>
        <v>0.05</v>
      </c>
      <c r="V34" s="1"/>
      <c r="W34" s="1"/>
    </row>
    <row r="35" spans="1:23" x14ac:dyDescent="0.25">
      <c r="A35" s="1" t="s">
        <v>16</v>
      </c>
      <c r="B35" s="6"/>
      <c r="C35" s="7"/>
      <c r="D35" s="8">
        <f t="shared" si="0"/>
        <v>0</v>
      </c>
      <c r="E35" s="6">
        <v>1</v>
      </c>
      <c r="F35" s="7">
        <v>0</v>
      </c>
      <c r="G35" s="8">
        <f t="shared" si="1"/>
        <v>0</v>
      </c>
      <c r="H35" s="6">
        <v>1</v>
      </c>
      <c r="I35" s="7">
        <v>0</v>
      </c>
      <c r="J35" s="8">
        <f t="shared" si="2"/>
        <v>0</v>
      </c>
      <c r="K35" s="6"/>
      <c r="L35" s="7"/>
      <c r="M35" s="8">
        <f t="shared" si="3"/>
        <v>0</v>
      </c>
      <c r="N35" s="6"/>
      <c r="O35" s="7"/>
      <c r="P35" s="8">
        <f t="shared" si="4"/>
        <v>0</v>
      </c>
      <c r="Q35" s="1"/>
      <c r="R35" s="6">
        <f t="shared" si="5"/>
        <v>2</v>
      </c>
      <c r="S35" s="9">
        <f t="shared" si="6"/>
        <v>0</v>
      </c>
      <c r="T35" s="9">
        <f t="shared" si="7"/>
        <v>3.2154340836012861E-3</v>
      </c>
      <c r="U35" s="9">
        <f>R35 / _xlfn.XLOOKUP(A35, Jungle!A:A, Jungle!AA:AA)</f>
        <v>8.6956521739130432E-2</v>
      </c>
      <c r="V35" s="1"/>
      <c r="W35" s="1"/>
    </row>
    <row r="36" spans="1:23" x14ac:dyDescent="0.25">
      <c r="A36" s="1" t="s">
        <v>84</v>
      </c>
      <c r="B36" s="6"/>
      <c r="C36" s="7"/>
      <c r="D36" s="8">
        <f t="shared" si="0"/>
        <v>0</v>
      </c>
      <c r="E36" s="6"/>
      <c r="F36" s="7"/>
      <c r="G36" s="8">
        <f t="shared" si="1"/>
        <v>0</v>
      </c>
      <c r="H36" s="6">
        <v>1</v>
      </c>
      <c r="I36" s="7">
        <v>0</v>
      </c>
      <c r="J36" s="8">
        <f t="shared" si="2"/>
        <v>0</v>
      </c>
      <c r="K36" s="6"/>
      <c r="L36" s="7"/>
      <c r="M36" s="8">
        <f t="shared" si="3"/>
        <v>0</v>
      </c>
      <c r="N36" s="6"/>
      <c r="O36" s="7"/>
      <c r="P36" s="8">
        <f t="shared" si="4"/>
        <v>0</v>
      </c>
      <c r="Q36" s="1"/>
      <c r="R36" s="6">
        <f t="shared" si="5"/>
        <v>1</v>
      </c>
      <c r="S36" s="9">
        <f t="shared" si="6"/>
        <v>0</v>
      </c>
      <c r="T36" s="9">
        <f t="shared" si="7"/>
        <v>1.6077170418006431E-3</v>
      </c>
      <c r="U36" s="9">
        <f>R36 / _xlfn.XLOOKUP(A36, Jungle!A:A, Jungle!AA:AA)</f>
        <v>4.3478260869565216E-2</v>
      </c>
      <c r="V36" s="1"/>
      <c r="W36" s="1"/>
    </row>
    <row r="37" spans="1:23" x14ac:dyDescent="0.25">
      <c r="A37" s="1" t="s">
        <v>92</v>
      </c>
      <c r="B37" s="6"/>
      <c r="C37" s="7"/>
      <c r="D37" s="8">
        <f t="shared" si="0"/>
        <v>0</v>
      </c>
      <c r="E37" s="6"/>
      <c r="F37" s="7"/>
      <c r="G37" s="8">
        <f t="shared" si="1"/>
        <v>0</v>
      </c>
      <c r="H37" s="6">
        <v>1</v>
      </c>
      <c r="I37" s="7">
        <v>0</v>
      </c>
      <c r="J37" s="8">
        <f t="shared" si="2"/>
        <v>0</v>
      </c>
      <c r="K37" s="6"/>
      <c r="L37" s="7"/>
      <c r="M37" s="8">
        <f t="shared" si="3"/>
        <v>0</v>
      </c>
      <c r="N37" s="6"/>
      <c r="O37" s="7"/>
      <c r="P37" s="8">
        <f t="shared" si="4"/>
        <v>0</v>
      </c>
      <c r="Q37" s="1"/>
      <c r="R37" s="6">
        <f t="shared" si="5"/>
        <v>1</v>
      </c>
      <c r="S37" s="9">
        <f t="shared" si="6"/>
        <v>0</v>
      </c>
      <c r="T37" s="9">
        <f t="shared" si="7"/>
        <v>1.6077170418006431E-3</v>
      </c>
      <c r="U37" s="9">
        <f>R37 / _xlfn.XLOOKUP(A37, Jungle!A:A, Jungle!AA:AA)</f>
        <v>0.04</v>
      </c>
      <c r="V37" s="1"/>
      <c r="W37" s="1"/>
    </row>
    <row r="38" spans="1:23" x14ac:dyDescent="0.25">
      <c r="A38" s="1" t="s">
        <v>78</v>
      </c>
      <c r="B38" s="6">
        <v>1</v>
      </c>
      <c r="C38" s="7">
        <v>0</v>
      </c>
      <c r="D38" s="8">
        <f t="shared" si="0"/>
        <v>0</v>
      </c>
      <c r="E38" s="6"/>
      <c r="F38" s="7"/>
      <c r="G38" s="8">
        <f t="shared" si="1"/>
        <v>0</v>
      </c>
      <c r="H38" s="6"/>
      <c r="I38" s="7"/>
      <c r="J38" s="8">
        <f t="shared" si="2"/>
        <v>0</v>
      </c>
      <c r="K38" s="6"/>
      <c r="L38" s="7"/>
      <c r="M38" s="8">
        <f t="shared" si="3"/>
        <v>0</v>
      </c>
      <c r="N38" s="6"/>
      <c r="O38" s="7"/>
      <c r="P38" s="8">
        <f t="shared" si="4"/>
        <v>0</v>
      </c>
      <c r="Q38" s="1"/>
      <c r="R38" s="6">
        <f t="shared" si="5"/>
        <v>1</v>
      </c>
      <c r="S38" s="9">
        <f t="shared" si="6"/>
        <v>0</v>
      </c>
      <c r="T38" s="9">
        <f t="shared" si="7"/>
        <v>1.6077170418006431E-3</v>
      </c>
      <c r="U38" s="9">
        <f>R38 / _xlfn.XLOOKUP(A38, Jungle!A:A, Jungle!AA:AA)</f>
        <v>0.1111111111111111</v>
      </c>
      <c r="V38" s="1"/>
      <c r="W38" s="1"/>
    </row>
    <row r="39" spans="1:23" x14ac:dyDescent="0.25">
      <c r="A39" s="1" t="s">
        <v>87</v>
      </c>
      <c r="B39" s="6"/>
      <c r="C39" s="7"/>
      <c r="D39" s="8">
        <f t="shared" si="0"/>
        <v>0</v>
      </c>
      <c r="E39" s="6"/>
      <c r="F39" s="7"/>
      <c r="G39" s="8">
        <f t="shared" si="1"/>
        <v>0</v>
      </c>
      <c r="H39" s="6">
        <v>1</v>
      </c>
      <c r="I39" s="7">
        <v>0</v>
      </c>
      <c r="J39" s="8">
        <f t="shared" si="2"/>
        <v>0</v>
      </c>
      <c r="K39" s="6"/>
      <c r="L39" s="7"/>
      <c r="M39" s="8">
        <f t="shared" si="3"/>
        <v>0</v>
      </c>
      <c r="N39" s="6"/>
      <c r="O39" s="7"/>
      <c r="P39" s="8">
        <f t="shared" si="4"/>
        <v>0</v>
      </c>
      <c r="Q39" s="1"/>
      <c r="R39" s="6">
        <f t="shared" si="5"/>
        <v>1</v>
      </c>
      <c r="S39" s="9">
        <f t="shared" si="6"/>
        <v>0</v>
      </c>
      <c r="T39" s="9">
        <f t="shared" si="7"/>
        <v>1.6077170418006431E-3</v>
      </c>
      <c r="U39" s="9">
        <f>R39 / _xlfn.XLOOKUP(A39, Jungle!A:A, Jungle!AA:AA)</f>
        <v>4.5454545454545456E-2</v>
      </c>
      <c r="V39" s="1"/>
      <c r="W39" s="1"/>
    </row>
    <row r="40" spans="1:23" x14ac:dyDescent="0.25">
      <c r="A40" s="1"/>
      <c r="B40" s="6"/>
      <c r="C40" s="7"/>
      <c r="D40" s="8">
        <f t="shared" ref="D40:D56" si="8">B40*C40</f>
        <v>0</v>
      </c>
      <c r="E40" s="6"/>
      <c r="F40" s="7"/>
      <c r="G40" s="8">
        <f t="shared" ref="G40:G56" si="9">E40*F40</f>
        <v>0</v>
      </c>
      <c r="H40" s="6"/>
      <c r="I40" s="7"/>
      <c r="J40" s="8">
        <f t="shared" ref="J40:J56" si="10">H40*I40</f>
        <v>0</v>
      </c>
      <c r="K40" s="6"/>
      <c r="L40" s="7"/>
      <c r="M40" s="8">
        <f t="shared" ref="M40:M56" si="11">K40*L40</f>
        <v>0</v>
      </c>
      <c r="N40" s="6"/>
      <c r="O40" s="7"/>
      <c r="P40" s="8">
        <f t="shared" ref="P40:P56" si="12">N40*O40</f>
        <v>0</v>
      </c>
      <c r="Q40" s="1"/>
      <c r="R40" s="6">
        <f t="shared" ref="R40:R56" si="13">B40+E40+H40+K40+N40</f>
        <v>0</v>
      </c>
      <c r="S40" s="9" t="e">
        <f t="shared" ref="S40:S56" si="14">(D40+G40+J40+M40+P40)/R40</f>
        <v>#DIV/0!</v>
      </c>
      <c r="T40" s="9">
        <f t="shared" ref="T40:T56" si="15">R40/$V$3</f>
        <v>0</v>
      </c>
      <c r="U40" s="9" t="e">
        <f>R40 / _xlfn.XLOOKUP(A40, Jungle!A:A, Jungle!AA:AA)</f>
        <v>#DIV/0!</v>
      </c>
    </row>
    <row r="41" spans="1:23" x14ac:dyDescent="0.25">
      <c r="A41" s="1"/>
      <c r="B41" s="6"/>
      <c r="C41" s="7"/>
      <c r="D41" s="8">
        <f t="shared" si="8"/>
        <v>0</v>
      </c>
      <c r="E41" s="6"/>
      <c r="F41" s="7"/>
      <c r="G41" s="8">
        <f t="shared" si="9"/>
        <v>0</v>
      </c>
      <c r="H41" s="6"/>
      <c r="I41" s="7"/>
      <c r="J41" s="8">
        <f t="shared" si="10"/>
        <v>0</v>
      </c>
      <c r="K41" s="6"/>
      <c r="L41" s="7"/>
      <c r="M41" s="8">
        <f t="shared" si="11"/>
        <v>0</v>
      </c>
      <c r="N41" s="6"/>
      <c r="O41" s="7"/>
      <c r="P41" s="8">
        <f t="shared" si="12"/>
        <v>0</v>
      </c>
      <c r="Q41" s="1"/>
      <c r="R41" s="6">
        <f t="shared" si="13"/>
        <v>0</v>
      </c>
      <c r="S41" s="9" t="e">
        <f t="shared" si="14"/>
        <v>#DIV/0!</v>
      </c>
      <c r="T41" s="9">
        <f t="shared" si="15"/>
        <v>0</v>
      </c>
      <c r="U41" s="9" t="e">
        <f>R41 / _xlfn.XLOOKUP(A41, Jungle!A:A, Jungle!AA:AA)</f>
        <v>#DIV/0!</v>
      </c>
    </row>
    <row r="42" spans="1:23" x14ac:dyDescent="0.25">
      <c r="A42" s="1"/>
      <c r="B42" s="6"/>
      <c r="C42" s="7"/>
      <c r="D42" s="8">
        <f t="shared" si="8"/>
        <v>0</v>
      </c>
      <c r="E42" s="6"/>
      <c r="F42" s="7"/>
      <c r="G42" s="8">
        <f t="shared" si="9"/>
        <v>0</v>
      </c>
      <c r="H42" s="6"/>
      <c r="I42" s="7"/>
      <c r="J42" s="8">
        <f t="shared" si="10"/>
        <v>0</v>
      </c>
      <c r="K42" s="6"/>
      <c r="L42" s="7"/>
      <c r="M42" s="8">
        <f t="shared" si="11"/>
        <v>0</v>
      </c>
      <c r="N42" s="6"/>
      <c r="O42" s="7"/>
      <c r="P42" s="8">
        <f t="shared" si="12"/>
        <v>0</v>
      </c>
      <c r="Q42" s="1"/>
      <c r="R42" s="6">
        <f t="shared" si="13"/>
        <v>0</v>
      </c>
      <c r="S42" s="9" t="e">
        <f t="shared" si="14"/>
        <v>#DIV/0!</v>
      </c>
      <c r="T42" s="9">
        <f t="shared" si="15"/>
        <v>0</v>
      </c>
      <c r="U42" s="9" t="e">
        <f>R42 / _xlfn.XLOOKUP(A42, Jungle!A:A, Jungle!AA:AA)</f>
        <v>#DIV/0!</v>
      </c>
    </row>
    <row r="43" spans="1:23" x14ac:dyDescent="0.25">
      <c r="A43" s="1"/>
      <c r="B43" s="6"/>
      <c r="C43" s="7"/>
      <c r="D43" s="8">
        <f t="shared" si="8"/>
        <v>0</v>
      </c>
      <c r="E43" s="6"/>
      <c r="F43" s="7"/>
      <c r="G43" s="8">
        <f t="shared" si="9"/>
        <v>0</v>
      </c>
      <c r="H43" s="6"/>
      <c r="I43" s="7"/>
      <c r="J43" s="8">
        <f t="shared" si="10"/>
        <v>0</v>
      </c>
      <c r="K43" s="6"/>
      <c r="L43" s="7"/>
      <c r="M43" s="8">
        <f t="shared" si="11"/>
        <v>0</v>
      </c>
      <c r="N43" s="6"/>
      <c r="O43" s="7"/>
      <c r="P43" s="8">
        <f t="shared" si="12"/>
        <v>0</v>
      </c>
      <c r="Q43" s="1"/>
      <c r="R43" s="6">
        <f t="shared" si="13"/>
        <v>0</v>
      </c>
      <c r="S43" s="9" t="e">
        <f t="shared" si="14"/>
        <v>#DIV/0!</v>
      </c>
      <c r="T43" s="9">
        <f t="shared" si="15"/>
        <v>0</v>
      </c>
      <c r="U43" s="9" t="e">
        <f>R43 / _xlfn.XLOOKUP(A43, Jungle!A:A, Jungle!AA:AA)</f>
        <v>#DIV/0!</v>
      </c>
    </row>
    <row r="44" spans="1:23" x14ac:dyDescent="0.25">
      <c r="A44" s="1"/>
      <c r="B44" s="6"/>
      <c r="C44" s="7"/>
      <c r="D44" s="8">
        <f t="shared" si="8"/>
        <v>0</v>
      </c>
      <c r="E44" s="6"/>
      <c r="F44" s="7"/>
      <c r="G44" s="8">
        <f t="shared" si="9"/>
        <v>0</v>
      </c>
      <c r="H44" s="6"/>
      <c r="I44" s="7"/>
      <c r="J44" s="8">
        <f t="shared" si="10"/>
        <v>0</v>
      </c>
      <c r="K44" s="6"/>
      <c r="L44" s="7"/>
      <c r="M44" s="8">
        <f t="shared" si="11"/>
        <v>0</v>
      </c>
      <c r="N44" s="6"/>
      <c r="O44" s="7"/>
      <c r="P44" s="8">
        <f t="shared" si="12"/>
        <v>0</v>
      </c>
      <c r="Q44" s="1"/>
      <c r="R44" s="6">
        <f t="shared" si="13"/>
        <v>0</v>
      </c>
      <c r="S44" s="9" t="e">
        <f t="shared" si="14"/>
        <v>#DIV/0!</v>
      </c>
      <c r="T44" s="9">
        <f t="shared" si="15"/>
        <v>0</v>
      </c>
      <c r="U44" s="9" t="e">
        <f>R44 / _xlfn.XLOOKUP(A44, Jungle!A:A, Jungle!AA:AA)</f>
        <v>#DIV/0!</v>
      </c>
    </row>
    <row r="45" spans="1:23" x14ac:dyDescent="0.25">
      <c r="A45" s="1"/>
      <c r="B45" s="6"/>
      <c r="C45" s="7"/>
      <c r="D45" s="8">
        <f t="shared" si="8"/>
        <v>0</v>
      </c>
      <c r="E45" s="6"/>
      <c r="F45" s="7"/>
      <c r="G45" s="8">
        <f t="shared" si="9"/>
        <v>0</v>
      </c>
      <c r="H45" s="6"/>
      <c r="I45" s="7"/>
      <c r="J45" s="8">
        <f t="shared" si="10"/>
        <v>0</v>
      </c>
      <c r="K45" s="6"/>
      <c r="L45" s="7"/>
      <c r="M45" s="8">
        <f t="shared" si="11"/>
        <v>0</v>
      </c>
      <c r="N45" s="6"/>
      <c r="O45" s="7"/>
      <c r="P45" s="8">
        <f t="shared" si="12"/>
        <v>0</v>
      </c>
      <c r="Q45" s="1"/>
      <c r="R45" s="6">
        <f t="shared" si="13"/>
        <v>0</v>
      </c>
      <c r="S45" s="9" t="e">
        <f t="shared" si="14"/>
        <v>#DIV/0!</v>
      </c>
      <c r="T45" s="9">
        <f t="shared" si="15"/>
        <v>0</v>
      </c>
      <c r="U45" s="9" t="e">
        <f>R45 / _xlfn.XLOOKUP(A45, Jungle!A:A, Jungle!AA:AA)</f>
        <v>#DIV/0!</v>
      </c>
    </row>
    <row r="46" spans="1:23" x14ac:dyDescent="0.25">
      <c r="A46" s="1"/>
      <c r="B46" s="6"/>
      <c r="C46" s="7"/>
      <c r="D46" s="8">
        <f t="shared" si="8"/>
        <v>0</v>
      </c>
      <c r="E46" s="6"/>
      <c r="F46" s="7"/>
      <c r="G46" s="8">
        <f t="shared" si="9"/>
        <v>0</v>
      </c>
      <c r="H46" s="6"/>
      <c r="I46" s="7"/>
      <c r="J46" s="8">
        <f t="shared" si="10"/>
        <v>0</v>
      </c>
      <c r="K46" s="6"/>
      <c r="L46" s="7"/>
      <c r="M46" s="8">
        <f t="shared" si="11"/>
        <v>0</v>
      </c>
      <c r="N46" s="6"/>
      <c r="O46" s="7"/>
      <c r="P46" s="8">
        <f t="shared" si="12"/>
        <v>0</v>
      </c>
      <c r="Q46" s="1"/>
      <c r="R46" s="6">
        <f t="shared" si="13"/>
        <v>0</v>
      </c>
      <c r="S46" s="9" t="e">
        <f t="shared" si="14"/>
        <v>#DIV/0!</v>
      </c>
      <c r="T46" s="9">
        <f t="shared" si="15"/>
        <v>0</v>
      </c>
      <c r="U46" s="9" t="e">
        <f>R46 / _xlfn.XLOOKUP(A46, Jungle!A:A, Jungle!AA:AA)</f>
        <v>#DIV/0!</v>
      </c>
    </row>
    <row r="47" spans="1:23" x14ac:dyDescent="0.25">
      <c r="A47" s="1"/>
      <c r="B47" s="6"/>
      <c r="C47" s="7"/>
      <c r="D47" s="8">
        <f t="shared" si="8"/>
        <v>0</v>
      </c>
      <c r="E47" s="6"/>
      <c r="F47" s="7"/>
      <c r="G47" s="8">
        <f t="shared" si="9"/>
        <v>0</v>
      </c>
      <c r="H47" s="6"/>
      <c r="I47" s="7"/>
      <c r="J47" s="8">
        <f t="shared" si="10"/>
        <v>0</v>
      </c>
      <c r="K47" s="6"/>
      <c r="L47" s="7"/>
      <c r="M47" s="8">
        <f t="shared" si="11"/>
        <v>0</v>
      </c>
      <c r="N47" s="6"/>
      <c r="O47" s="7"/>
      <c r="P47" s="8">
        <f t="shared" si="12"/>
        <v>0</v>
      </c>
      <c r="Q47" s="1"/>
      <c r="R47" s="6">
        <f t="shared" si="13"/>
        <v>0</v>
      </c>
      <c r="S47" s="9" t="e">
        <f t="shared" si="14"/>
        <v>#DIV/0!</v>
      </c>
      <c r="T47" s="9">
        <f t="shared" si="15"/>
        <v>0</v>
      </c>
      <c r="U47" s="9" t="e">
        <f>R47 / _xlfn.XLOOKUP(A47, Jungle!A:A, Jungle!AA:AA)</f>
        <v>#DIV/0!</v>
      </c>
    </row>
    <row r="48" spans="1:23" x14ac:dyDescent="0.25">
      <c r="A48" s="1"/>
      <c r="B48" s="6"/>
      <c r="C48" s="7"/>
      <c r="D48" s="8">
        <f t="shared" si="8"/>
        <v>0</v>
      </c>
      <c r="E48" s="6"/>
      <c r="F48" s="7"/>
      <c r="G48" s="8">
        <f t="shared" si="9"/>
        <v>0</v>
      </c>
      <c r="H48" s="6"/>
      <c r="I48" s="7"/>
      <c r="J48" s="8">
        <f t="shared" si="10"/>
        <v>0</v>
      </c>
      <c r="K48" s="6"/>
      <c r="L48" s="7"/>
      <c r="M48" s="8">
        <f t="shared" si="11"/>
        <v>0</v>
      </c>
      <c r="N48" s="6"/>
      <c r="O48" s="7"/>
      <c r="P48" s="8">
        <f t="shared" si="12"/>
        <v>0</v>
      </c>
      <c r="Q48" s="1"/>
      <c r="R48" s="6">
        <f t="shared" si="13"/>
        <v>0</v>
      </c>
      <c r="S48" s="9" t="e">
        <f t="shared" si="14"/>
        <v>#DIV/0!</v>
      </c>
      <c r="T48" s="9">
        <f t="shared" si="15"/>
        <v>0</v>
      </c>
      <c r="U48" s="9" t="e">
        <f>R48 / _xlfn.XLOOKUP(A48, Jungle!A:A, Jungle!AA:AA)</f>
        <v>#DIV/0!</v>
      </c>
    </row>
    <row r="49" spans="1:21" x14ac:dyDescent="0.25">
      <c r="A49" s="1"/>
      <c r="B49" s="6"/>
      <c r="C49" s="7"/>
      <c r="D49" s="8">
        <f t="shared" si="8"/>
        <v>0</v>
      </c>
      <c r="E49" s="6"/>
      <c r="F49" s="7"/>
      <c r="G49" s="8">
        <f t="shared" si="9"/>
        <v>0</v>
      </c>
      <c r="H49" s="6"/>
      <c r="I49" s="7"/>
      <c r="J49" s="8">
        <f t="shared" si="10"/>
        <v>0</v>
      </c>
      <c r="K49" s="6"/>
      <c r="L49" s="7"/>
      <c r="M49" s="8">
        <f t="shared" si="11"/>
        <v>0</v>
      </c>
      <c r="N49" s="6"/>
      <c r="O49" s="7"/>
      <c r="P49" s="8">
        <f t="shared" si="12"/>
        <v>0</v>
      </c>
      <c r="Q49" s="1"/>
      <c r="R49" s="6">
        <f t="shared" si="13"/>
        <v>0</v>
      </c>
      <c r="S49" s="9" t="e">
        <f t="shared" si="14"/>
        <v>#DIV/0!</v>
      </c>
      <c r="T49" s="9">
        <f t="shared" si="15"/>
        <v>0</v>
      </c>
      <c r="U49" s="9" t="e">
        <f>R49 / _xlfn.XLOOKUP(A49, Jungle!A:A, Jungle!AA:AA)</f>
        <v>#DIV/0!</v>
      </c>
    </row>
    <row r="50" spans="1:21" x14ac:dyDescent="0.25">
      <c r="A50" s="1"/>
      <c r="B50" s="6"/>
      <c r="C50" s="7"/>
      <c r="D50" s="8">
        <f t="shared" si="8"/>
        <v>0</v>
      </c>
      <c r="E50" s="6"/>
      <c r="F50" s="7"/>
      <c r="G50" s="8">
        <f t="shared" si="9"/>
        <v>0</v>
      </c>
      <c r="H50" s="6"/>
      <c r="I50" s="7"/>
      <c r="J50" s="8">
        <f t="shared" si="10"/>
        <v>0</v>
      </c>
      <c r="K50" s="6"/>
      <c r="L50" s="7"/>
      <c r="M50" s="8">
        <f t="shared" si="11"/>
        <v>0</v>
      </c>
      <c r="N50" s="6"/>
      <c r="O50" s="7"/>
      <c r="P50" s="8">
        <f t="shared" si="12"/>
        <v>0</v>
      </c>
      <c r="Q50" s="1"/>
      <c r="R50" s="6">
        <f t="shared" si="13"/>
        <v>0</v>
      </c>
      <c r="S50" s="9" t="e">
        <f t="shared" si="14"/>
        <v>#DIV/0!</v>
      </c>
      <c r="T50" s="9">
        <f t="shared" si="15"/>
        <v>0</v>
      </c>
      <c r="U50" s="9" t="e">
        <f>R50 / _xlfn.XLOOKUP(A50, Jungle!A:A, Jungle!AA:AA)</f>
        <v>#DIV/0!</v>
      </c>
    </row>
    <row r="51" spans="1:21" x14ac:dyDescent="0.25">
      <c r="A51" s="1"/>
      <c r="B51" s="6"/>
      <c r="C51" s="7"/>
      <c r="D51" s="8">
        <f t="shared" si="8"/>
        <v>0</v>
      </c>
      <c r="E51" s="6"/>
      <c r="F51" s="7"/>
      <c r="G51" s="8">
        <f t="shared" si="9"/>
        <v>0</v>
      </c>
      <c r="H51" s="6"/>
      <c r="I51" s="7"/>
      <c r="J51" s="8">
        <f t="shared" si="10"/>
        <v>0</v>
      </c>
      <c r="K51" s="6"/>
      <c r="L51" s="7"/>
      <c r="M51" s="8">
        <f t="shared" si="11"/>
        <v>0</v>
      </c>
      <c r="N51" s="6"/>
      <c r="O51" s="7"/>
      <c r="P51" s="8">
        <f t="shared" si="12"/>
        <v>0</v>
      </c>
      <c r="Q51" s="1"/>
      <c r="R51" s="6">
        <f t="shared" si="13"/>
        <v>0</v>
      </c>
      <c r="S51" s="9" t="e">
        <f t="shared" si="14"/>
        <v>#DIV/0!</v>
      </c>
      <c r="T51" s="9">
        <f t="shared" si="15"/>
        <v>0</v>
      </c>
      <c r="U51" s="9" t="e">
        <f>R51 / _xlfn.XLOOKUP(A51, Jungle!A:A, Jungle!AA:AA)</f>
        <v>#DIV/0!</v>
      </c>
    </row>
    <row r="52" spans="1:21" x14ac:dyDescent="0.25">
      <c r="A52" s="1"/>
      <c r="B52" s="6"/>
      <c r="C52" s="7"/>
      <c r="D52" s="8">
        <f t="shared" si="8"/>
        <v>0</v>
      </c>
      <c r="E52" s="6"/>
      <c r="F52" s="7"/>
      <c r="G52" s="8">
        <f t="shared" si="9"/>
        <v>0</v>
      </c>
      <c r="H52" s="6"/>
      <c r="I52" s="7"/>
      <c r="J52" s="8">
        <f t="shared" si="10"/>
        <v>0</v>
      </c>
      <c r="K52" s="6"/>
      <c r="L52" s="7"/>
      <c r="M52" s="8">
        <f t="shared" si="11"/>
        <v>0</v>
      </c>
      <c r="N52" s="6"/>
      <c r="O52" s="7"/>
      <c r="P52" s="8">
        <f t="shared" si="12"/>
        <v>0</v>
      </c>
      <c r="Q52" s="1"/>
      <c r="R52" s="6">
        <f t="shared" si="13"/>
        <v>0</v>
      </c>
      <c r="S52" s="9" t="e">
        <f t="shared" si="14"/>
        <v>#DIV/0!</v>
      </c>
      <c r="T52" s="9">
        <f t="shared" si="15"/>
        <v>0</v>
      </c>
      <c r="U52" s="9" t="e">
        <f>R52 / _xlfn.XLOOKUP(A52, Jungle!A:A, Jungle!AA:AA)</f>
        <v>#DIV/0!</v>
      </c>
    </row>
    <row r="53" spans="1:21" x14ac:dyDescent="0.25">
      <c r="A53" s="1"/>
      <c r="B53" s="6"/>
      <c r="C53" s="7"/>
      <c r="D53" s="8">
        <f t="shared" si="8"/>
        <v>0</v>
      </c>
      <c r="E53" s="6"/>
      <c r="F53" s="7"/>
      <c r="G53" s="8">
        <f t="shared" si="9"/>
        <v>0</v>
      </c>
      <c r="H53" s="6"/>
      <c r="I53" s="7"/>
      <c r="J53" s="8">
        <f t="shared" si="10"/>
        <v>0</v>
      </c>
      <c r="K53" s="6"/>
      <c r="L53" s="7"/>
      <c r="M53" s="8">
        <f t="shared" si="11"/>
        <v>0</v>
      </c>
      <c r="N53" s="6"/>
      <c r="O53" s="7"/>
      <c r="P53" s="8">
        <f t="shared" si="12"/>
        <v>0</v>
      </c>
      <c r="Q53" s="1"/>
      <c r="R53" s="6">
        <f t="shared" si="13"/>
        <v>0</v>
      </c>
      <c r="S53" s="9" t="e">
        <f t="shared" si="14"/>
        <v>#DIV/0!</v>
      </c>
      <c r="T53" s="9">
        <f t="shared" si="15"/>
        <v>0</v>
      </c>
      <c r="U53" s="9" t="e">
        <f>R53 / _xlfn.XLOOKUP(A53, Jungle!A:A, Jungle!AA:AA)</f>
        <v>#DIV/0!</v>
      </c>
    </row>
    <row r="54" spans="1:21" x14ac:dyDescent="0.25">
      <c r="A54" s="1"/>
      <c r="B54" s="6"/>
      <c r="C54" s="7"/>
      <c r="D54" s="8">
        <f t="shared" si="8"/>
        <v>0</v>
      </c>
      <c r="E54" s="6"/>
      <c r="F54" s="7"/>
      <c r="G54" s="8">
        <f t="shared" si="9"/>
        <v>0</v>
      </c>
      <c r="H54" s="6"/>
      <c r="I54" s="7"/>
      <c r="J54" s="8">
        <f t="shared" si="10"/>
        <v>0</v>
      </c>
      <c r="K54" s="6"/>
      <c r="L54" s="7"/>
      <c r="M54" s="8">
        <f t="shared" si="11"/>
        <v>0</v>
      </c>
      <c r="N54" s="6"/>
      <c r="O54" s="7"/>
      <c r="P54" s="8">
        <f t="shared" si="12"/>
        <v>0</v>
      </c>
      <c r="Q54" s="1"/>
      <c r="R54" s="6">
        <f t="shared" si="13"/>
        <v>0</v>
      </c>
      <c r="S54" s="9" t="e">
        <f t="shared" si="14"/>
        <v>#DIV/0!</v>
      </c>
      <c r="T54" s="9">
        <f t="shared" si="15"/>
        <v>0</v>
      </c>
      <c r="U54" s="9" t="e">
        <f>R54 / _xlfn.XLOOKUP(A54, Jungle!A:A, Jungle!AA:AA)</f>
        <v>#DIV/0!</v>
      </c>
    </row>
    <row r="55" spans="1:21" x14ac:dyDescent="0.25">
      <c r="A55" s="1"/>
      <c r="B55" s="6"/>
      <c r="C55" s="7"/>
      <c r="D55" s="8">
        <f t="shared" si="8"/>
        <v>0</v>
      </c>
      <c r="E55" s="6"/>
      <c r="F55" s="7"/>
      <c r="G55" s="8">
        <f t="shared" si="9"/>
        <v>0</v>
      </c>
      <c r="H55" s="6"/>
      <c r="I55" s="7"/>
      <c r="J55" s="8">
        <f t="shared" si="10"/>
        <v>0</v>
      </c>
      <c r="K55" s="6"/>
      <c r="L55" s="7"/>
      <c r="M55" s="8">
        <f t="shared" si="11"/>
        <v>0</v>
      </c>
      <c r="N55" s="6"/>
      <c r="O55" s="7"/>
      <c r="P55" s="8">
        <f t="shared" si="12"/>
        <v>0</v>
      </c>
      <c r="Q55" s="1"/>
      <c r="R55" s="6">
        <f t="shared" si="13"/>
        <v>0</v>
      </c>
      <c r="S55" s="9" t="e">
        <f t="shared" si="14"/>
        <v>#DIV/0!</v>
      </c>
      <c r="T55" s="9">
        <f t="shared" si="15"/>
        <v>0</v>
      </c>
      <c r="U55" s="9" t="e">
        <f>R55 / _xlfn.XLOOKUP(A55, Jungle!A:A, Jungle!AA:AA)</f>
        <v>#DIV/0!</v>
      </c>
    </row>
    <row r="56" spans="1:21" x14ac:dyDescent="0.25">
      <c r="A56" s="1"/>
      <c r="B56" s="6"/>
      <c r="C56" s="7"/>
      <c r="D56" s="8">
        <f t="shared" si="8"/>
        <v>0</v>
      </c>
      <c r="E56" s="6"/>
      <c r="F56" s="7"/>
      <c r="G56" s="8">
        <f t="shared" si="9"/>
        <v>0</v>
      </c>
      <c r="H56" s="6"/>
      <c r="I56" s="7"/>
      <c r="J56" s="8">
        <f t="shared" si="10"/>
        <v>0</v>
      </c>
      <c r="K56" s="6"/>
      <c r="L56" s="7"/>
      <c r="M56" s="8">
        <f t="shared" si="11"/>
        <v>0</v>
      </c>
      <c r="N56" s="6"/>
      <c r="O56" s="7"/>
      <c r="P56" s="8">
        <f t="shared" si="12"/>
        <v>0</v>
      </c>
      <c r="Q56" s="1"/>
      <c r="R56" s="6">
        <f t="shared" si="13"/>
        <v>0</v>
      </c>
      <c r="S56" s="9" t="e">
        <f t="shared" si="14"/>
        <v>#DIV/0!</v>
      </c>
      <c r="T56" s="9">
        <f t="shared" si="15"/>
        <v>0</v>
      </c>
      <c r="U56" s="9" t="e">
        <f>R56 / _xlfn.XLOOKUP(A56, Jungle!A:A, Jungle!AA:AA)</f>
        <v>#DIV/0!</v>
      </c>
    </row>
    <row r="57" spans="1:21" x14ac:dyDescent="0.25">
      <c r="A57" s="1"/>
      <c r="B57" s="6"/>
      <c r="C57" s="7"/>
      <c r="D57" s="31"/>
      <c r="E57" s="6"/>
      <c r="F57" s="7"/>
      <c r="G57" s="31"/>
      <c r="H57" s="6"/>
      <c r="I57" s="7"/>
      <c r="J57" s="31"/>
      <c r="K57" s="6"/>
      <c r="L57" s="7"/>
      <c r="M57" s="31"/>
      <c r="N57" s="1"/>
      <c r="O57" s="1"/>
      <c r="P57" s="1"/>
      <c r="Q57" s="1"/>
      <c r="R57" s="6"/>
      <c r="S57" s="9"/>
      <c r="T57" s="10"/>
    </row>
  </sheetData>
  <sortState xmlns:xlrd2="http://schemas.microsoft.com/office/spreadsheetml/2017/richdata2" ref="A3:U39">
    <sortCondition descending="1" ref="S3:S39"/>
  </sortState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553C-F6FA-42B3-A312-DD81545C0F98}">
  <sheetPr>
    <tabColor theme="6" tint="0.59999389629810485"/>
  </sheetPr>
  <dimension ref="A1:W56"/>
  <sheetViews>
    <sheetView topLeftCell="A3" workbookViewId="0">
      <selection activeCell="U3" sqref="U3:U39"/>
    </sheetView>
  </sheetViews>
  <sheetFormatPr baseColWidth="10" defaultRowHeight="15" x14ac:dyDescent="0.25"/>
  <sheetData>
    <row r="1" spans="1:23" ht="15.75" x14ac:dyDescent="0.25">
      <c r="A1" s="2" t="s">
        <v>94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75</v>
      </c>
      <c r="B3" s="6">
        <v>6</v>
      </c>
      <c r="C3" s="7">
        <v>1</v>
      </c>
      <c r="D3" s="8">
        <f t="shared" ref="D3:D39" si="0">B3*C3</f>
        <v>6</v>
      </c>
      <c r="E3" s="6"/>
      <c r="F3" s="7"/>
      <c r="G3" s="8">
        <f t="shared" ref="G3:G39" si="1">E3*F3</f>
        <v>0</v>
      </c>
      <c r="H3" s="6"/>
      <c r="I3" s="7"/>
      <c r="J3" s="8">
        <f t="shared" ref="J3:J39" si="2">H3*I3</f>
        <v>0</v>
      </c>
      <c r="K3" s="6"/>
      <c r="L3" s="7"/>
      <c r="M3" s="8">
        <f t="shared" ref="M3:M39" si="3">K3*L3</f>
        <v>0</v>
      </c>
      <c r="N3" s="6"/>
      <c r="O3" s="7"/>
      <c r="P3" s="8">
        <f t="shared" ref="P3:P39" si="4">N3*O3</f>
        <v>0</v>
      </c>
      <c r="Q3" s="1"/>
      <c r="R3" s="6">
        <f t="shared" ref="R3:R39" si="5">B3+E3+H3+K3+N3</f>
        <v>6</v>
      </c>
      <c r="S3" s="9">
        <f t="shared" ref="S3:S39" si="6">(D3+G3+J3+M3+P3)/R3</f>
        <v>1</v>
      </c>
      <c r="T3" s="9">
        <f t="shared" ref="T3:T39" si="7">R3/$V$3</f>
        <v>1.1741682974559686E-2</v>
      </c>
      <c r="U3" s="9">
        <f>R3 / _xlfn.XLOOKUP(A3, Jungle!A:A, Jungle!AA:AA)</f>
        <v>9.8360655737704916E-2</v>
      </c>
      <c r="V3" s="11">
        <f>SUM(R3:R61)</f>
        <v>511</v>
      </c>
      <c r="W3" s="12">
        <f>(SUM(D3:D100)+SUM(G3:G100)+SUM(J3:J100)+SUM(M3:M100)+SUM(P3:P100)) / V3</f>
        <v>0.69667514677103715</v>
      </c>
    </row>
    <row r="4" spans="1:23" x14ac:dyDescent="0.25">
      <c r="A4" s="1" t="s">
        <v>78</v>
      </c>
      <c r="B4" s="6">
        <v>2</v>
      </c>
      <c r="C4" s="7">
        <v>1</v>
      </c>
      <c r="D4" s="8">
        <f t="shared" si="0"/>
        <v>2</v>
      </c>
      <c r="E4" s="6"/>
      <c r="F4" s="7"/>
      <c r="G4" s="8">
        <f t="shared" si="1"/>
        <v>0</v>
      </c>
      <c r="H4" s="6">
        <v>1</v>
      </c>
      <c r="I4" s="7">
        <v>1</v>
      </c>
      <c r="J4" s="8">
        <f t="shared" si="2"/>
        <v>1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3</v>
      </c>
      <c r="S4" s="9">
        <f t="shared" si="6"/>
        <v>1</v>
      </c>
      <c r="T4" s="9">
        <f t="shared" si="7"/>
        <v>5.8708414872798431E-3</v>
      </c>
      <c r="U4" s="9">
        <f>R4 / _xlfn.XLOOKUP(A4, Jungle!A:A, Jungle!AA:AA)</f>
        <v>0.33333333333333331</v>
      </c>
      <c r="V4" s="6"/>
      <c r="W4" s="9"/>
    </row>
    <row r="5" spans="1:23" x14ac:dyDescent="0.25">
      <c r="A5" s="1" t="s">
        <v>38</v>
      </c>
      <c r="B5" s="6">
        <v>2</v>
      </c>
      <c r="C5" s="7">
        <v>1</v>
      </c>
      <c r="D5" s="8">
        <f t="shared" si="0"/>
        <v>2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2</v>
      </c>
      <c r="S5" s="9">
        <f t="shared" si="6"/>
        <v>1</v>
      </c>
      <c r="T5" s="9">
        <f t="shared" si="7"/>
        <v>3.9138943248532287E-3</v>
      </c>
      <c r="U5" s="9">
        <f>R5 / _xlfn.XLOOKUP(A5, Jungle!A:A, Jungle!AA:AA)</f>
        <v>0.13333333333333333</v>
      </c>
      <c r="W5" s="1"/>
    </row>
    <row r="6" spans="1:23" x14ac:dyDescent="0.25">
      <c r="A6" s="25" t="s">
        <v>177</v>
      </c>
      <c r="B6" s="6"/>
      <c r="C6" s="7"/>
      <c r="D6" s="8">
        <f t="shared" si="0"/>
        <v>0</v>
      </c>
      <c r="E6" s="6"/>
      <c r="F6" s="7"/>
      <c r="G6" s="8">
        <f t="shared" si="1"/>
        <v>0</v>
      </c>
      <c r="H6" s="6"/>
      <c r="I6" s="7"/>
      <c r="J6" s="8">
        <f t="shared" si="2"/>
        <v>0</v>
      </c>
      <c r="K6" s="6">
        <v>1</v>
      </c>
      <c r="L6" s="7">
        <v>1</v>
      </c>
      <c r="M6" s="8">
        <f t="shared" si="3"/>
        <v>1</v>
      </c>
      <c r="N6" s="6"/>
      <c r="O6" s="7"/>
      <c r="P6" s="8">
        <f t="shared" si="4"/>
        <v>0</v>
      </c>
      <c r="Q6" s="1"/>
      <c r="R6" s="6">
        <f t="shared" si="5"/>
        <v>1</v>
      </c>
      <c r="S6" s="9">
        <f t="shared" si="6"/>
        <v>1</v>
      </c>
      <c r="T6" s="9">
        <f t="shared" si="7"/>
        <v>1.9569471624266144E-3</v>
      </c>
      <c r="U6" s="9">
        <f>R6 / _xlfn.XLOOKUP(A6, Jungle!A:A, Jungle!AA:AA)</f>
        <v>0.25</v>
      </c>
      <c r="W6" s="1"/>
    </row>
    <row r="7" spans="1:23" x14ac:dyDescent="0.25">
      <c r="A7" s="1" t="s">
        <v>93</v>
      </c>
      <c r="B7" s="6"/>
      <c r="C7" s="7"/>
      <c r="D7" s="8">
        <f t="shared" si="0"/>
        <v>0</v>
      </c>
      <c r="E7" s="6"/>
      <c r="F7" s="7"/>
      <c r="G7" s="8">
        <f t="shared" si="1"/>
        <v>0</v>
      </c>
      <c r="H7" s="6">
        <v>1</v>
      </c>
      <c r="I7" s="7">
        <v>1</v>
      </c>
      <c r="J7" s="8">
        <f t="shared" si="2"/>
        <v>1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1</v>
      </c>
      <c r="S7" s="9">
        <f t="shared" si="6"/>
        <v>1</v>
      </c>
      <c r="T7" s="9">
        <f t="shared" si="7"/>
        <v>1.9569471624266144E-3</v>
      </c>
      <c r="U7" s="9">
        <f>R7 / _xlfn.XLOOKUP(A7, Jungle!A:A, Jungle!AA:AA)</f>
        <v>0.2</v>
      </c>
      <c r="V7" s="1"/>
      <c r="W7" s="1"/>
    </row>
    <row r="8" spans="1:23" x14ac:dyDescent="0.25">
      <c r="A8" s="1" t="s">
        <v>16</v>
      </c>
      <c r="B8" s="6"/>
      <c r="C8" s="7"/>
      <c r="D8" s="8">
        <f t="shared" si="0"/>
        <v>0</v>
      </c>
      <c r="E8" s="6"/>
      <c r="F8" s="7"/>
      <c r="G8" s="8">
        <f t="shared" si="1"/>
        <v>0</v>
      </c>
      <c r="H8" s="6"/>
      <c r="I8" s="7"/>
      <c r="J8" s="8">
        <f t="shared" si="2"/>
        <v>0</v>
      </c>
      <c r="K8" s="6">
        <v>1</v>
      </c>
      <c r="L8" s="7">
        <v>1</v>
      </c>
      <c r="M8" s="8">
        <f t="shared" si="3"/>
        <v>1</v>
      </c>
      <c r="N8" s="6"/>
      <c r="O8" s="7"/>
      <c r="P8" s="8">
        <f t="shared" si="4"/>
        <v>0</v>
      </c>
      <c r="Q8" s="1"/>
      <c r="R8" s="6">
        <f t="shared" si="5"/>
        <v>1</v>
      </c>
      <c r="S8" s="9">
        <f t="shared" si="6"/>
        <v>1</v>
      </c>
      <c r="T8" s="9">
        <f t="shared" si="7"/>
        <v>1.9569471624266144E-3</v>
      </c>
      <c r="U8" s="9">
        <f>R8 / _xlfn.XLOOKUP(A8, Jungle!A:A, Jungle!AA:AA)</f>
        <v>4.3478260869565216E-2</v>
      </c>
      <c r="V8" s="1"/>
      <c r="W8" s="1"/>
    </row>
    <row r="9" spans="1:23" x14ac:dyDescent="0.25">
      <c r="A9" s="1" t="s">
        <v>96</v>
      </c>
      <c r="B9" s="6">
        <v>1</v>
      </c>
      <c r="C9" s="7">
        <v>1</v>
      </c>
      <c r="D9" s="8">
        <f t="shared" si="0"/>
        <v>1</v>
      </c>
      <c r="E9" s="6"/>
      <c r="F9" s="7"/>
      <c r="G9" s="8">
        <f t="shared" si="1"/>
        <v>0</v>
      </c>
      <c r="H9" s="6"/>
      <c r="I9" s="7"/>
      <c r="J9" s="8">
        <f t="shared" si="2"/>
        <v>0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1"/>
      <c r="R9" s="6">
        <f t="shared" si="5"/>
        <v>1</v>
      </c>
      <c r="S9" s="9">
        <f t="shared" si="6"/>
        <v>1</v>
      </c>
      <c r="T9" s="9">
        <f t="shared" si="7"/>
        <v>1.9569471624266144E-3</v>
      </c>
      <c r="U9" s="9">
        <f>R9 / _xlfn.XLOOKUP(A9, Jungle!A:A, Jungle!AA:AA)</f>
        <v>0.33333333333333331</v>
      </c>
      <c r="V9" s="1"/>
      <c r="W9" s="1"/>
    </row>
    <row r="10" spans="1:23" x14ac:dyDescent="0.25">
      <c r="A10" s="1" t="s">
        <v>79</v>
      </c>
      <c r="B10" s="6"/>
      <c r="C10" s="7"/>
      <c r="D10" s="8">
        <f t="shared" si="0"/>
        <v>0</v>
      </c>
      <c r="E10" s="6">
        <v>10</v>
      </c>
      <c r="F10" s="7">
        <v>1</v>
      </c>
      <c r="G10" s="8">
        <f t="shared" si="1"/>
        <v>10</v>
      </c>
      <c r="H10" s="6">
        <v>2</v>
      </c>
      <c r="I10" s="7">
        <v>0.5</v>
      </c>
      <c r="J10" s="8">
        <f t="shared" si="2"/>
        <v>1</v>
      </c>
      <c r="K10" s="6"/>
      <c r="L10" s="7"/>
      <c r="M10" s="8">
        <f t="shared" si="3"/>
        <v>0</v>
      </c>
      <c r="N10" s="6"/>
      <c r="O10" s="7"/>
      <c r="P10" s="8">
        <f t="shared" si="4"/>
        <v>0</v>
      </c>
      <c r="Q10" s="1"/>
      <c r="R10" s="6">
        <f t="shared" si="5"/>
        <v>12</v>
      </c>
      <c r="S10" s="9">
        <f t="shared" si="6"/>
        <v>0.91666666666666663</v>
      </c>
      <c r="T10" s="9">
        <f t="shared" si="7"/>
        <v>2.3483365949119372E-2</v>
      </c>
      <c r="U10" s="9">
        <f>R10 / _xlfn.XLOOKUP(A10, Jungle!A:A, Jungle!AA:AA)</f>
        <v>0.24</v>
      </c>
      <c r="V10" s="1"/>
      <c r="W10" s="1"/>
    </row>
    <row r="11" spans="1:23" x14ac:dyDescent="0.25">
      <c r="A11" s="1" t="s">
        <v>81</v>
      </c>
      <c r="B11" s="6"/>
      <c r="C11" s="7"/>
      <c r="D11" s="8">
        <f t="shared" si="0"/>
        <v>0</v>
      </c>
      <c r="E11" s="6">
        <v>6</v>
      </c>
      <c r="F11" s="7">
        <v>0.83299999999999996</v>
      </c>
      <c r="G11" s="8">
        <f t="shared" si="1"/>
        <v>4.9979999999999993</v>
      </c>
      <c r="H11" s="6"/>
      <c r="I11" s="7"/>
      <c r="J11" s="8">
        <f t="shared" si="2"/>
        <v>0</v>
      </c>
      <c r="K11" s="6"/>
      <c r="L11" s="7"/>
      <c r="M11" s="8">
        <f t="shared" si="3"/>
        <v>0</v>
      </c>
      <c r="N11" s="6"/>
      <c r="O11" s="7"/>
      <c r="P11" s="8">
        <f t="shared" si="4"/>
        <v>0</v>
      </c>
      <c r="Q11" s="1"/>
      <c r="R11" s="6">
        <f t="shared" si="5"/>
        <v>6</v>
      </c>
      <c r="S11" s="9">
        <f t="shared" si="6"/>
        <v>0.83299999999999985</v>
      </c>
      <c r="T11" s="9">
        <f t="shared" si="7"/>
        <v>1.1741682974559686E-2</v>
      </c>
      <c r="U11" s="9">
        <f>R11 / _xlfn.XLOOKUP(A11, Jungle!A:A, Jungle!AA:AA)</f>
        <v>0.16666666666666666</v>
      </c>
      <c r="V11" s="1"/>
      <c r="W11" s="1"/>
    </row>
    <row r="12" spans="1:23" x14ac:dyDescent="0.25">
      <c r="A12" s="1" t="s">
        <v>30</v>
      </c>
      <c r="B12" s="6">
        <v>1</v>
      </c>
      <c r="C12" s="7">
        <v>1</v>
      </c>
      <c r="D12" s="8">
        <f t="shared" si="0"/>
        <v>1</v>
      </c>
      <c r="E12" s="6">
        <v>25</v>
      </c>
      <c r="F12" s="7">
        <v>0.8</v>
      </c>
      <c r="G12" s="8">
        <f t="shared" si="1"/>
        <v>20</v>
      </c>
      <c r="H12" s="6">
        <v>19</v>
      </c>
      <c r="I12" s="7">
        <v>0.94699999999999995</v>
      </c>
      <c r="J12" s="8">
        <f t="shared" si="2"/>
        <v>17.992999999999999</v>
      </c>
      <c r="K12" s="6">
        <v>11</v>
      </c>
      <c r="L12" s="7">
        <v>0.63600000000000001</v>
      </c>
      <c r="M12" s="8">
        <f t="shared" si="3"/>
        <v>6.9960000000000004</v>
      </c>
      <c r="N12" s="6"/>
      <c r="O12" s="7"/>
      <c r="P12" s="8">
        <f t="shared" si="4"/>
        <v>0</v>
      </c>
      <c r="Q12" s="4"/>
      <c r="R12" s="6">
        <f t="shared" si="5"/>
        <v>56</v>
      </c>
      <c r="S12" s="9">
        <f t="shared" si="6"/>
        <v>0.82123214285714285</v>
      </c>
      <c r="T12" s="9">
        <f t="shared" si="7"/>
        <v>0.1095890410958904</v>
      </c>
      <c r="U12" s="9">
        <f>R12 / _xlfn.XLOOKUP(A12, Jungle!A:A, Jungle!AA:AA)</f>
        <v>0.1396508728179551</v>
      </c>
      <c r="V12" s="1"/>
      <c r="W12" s="1"/>
    </row>
    <row r="13" spans="1:23" x14ac:dyDescent="0.25">
      <c r="A13" s="1" t="s">
        <v>77</v>
      </c>
      <c r="B13" s="6"/>
      <c r="C13" s="7"/>
      <c r="D13" s="8">
        <f t="shared" si="0"/>
        <v>0</v>
      </c>
      <c r="E13" s="6"/>
      <c r="F13" s="7"/>
      <c r="G13" s="8">
        <f t="shared" si="1"/>
        <v>0</v>
      </c>
      <c r="H13" s="6"/>
      <c r="I13" s="7"/>
      <c r="J13" s="8">
        <f t="shared" si="2"/>
        <v>0</v>
      </c>
      <c r="K13" s="6">
        <v>5</v>
      </c>
      <c r="L13" s="7">
        <v>0.8</v>
      </c>
      <c r="M13" s="8">
        <f t="shared" si="3"/>
        <v>4</v>
      </c>
      <c r="N13" s="6"/>
      <c r="O13" s="7"/>
      <c r="P13" s="8">
        <f t="shared" si="4"/>
        <v>0</v>
      </c>
      <c r="Q13" s="1"/>
      <c r="R13" s="6">
        <f t="shared" si="5"/>
        <v>5</v>
      </c>
      <c r="S13" s="9">
        <f t="shared" si="6"/>
        <v>0.8</v>
      </c>
      <c r="T13" s="9">
        <f t="shared" si="7"/>
        <v>9.7847358121330719E-3</v>
      </c>
      <c r="U13" s="9">
        <f>R13 / _xlfn.XLOOKUP(A13, Jungle!A:A, Jungle!AA:AA)</f>
        <v>3.6496350364963501E-2</v>
      </c>
      <c r="V13" s="1"/>
      <c r="W13" s="1"/>
    </row>
    <row r="14" spans="1:23" x14ac:dyDescent="0.25">
      <c r="A14" s="1" t="s">
        <v>31</v>
      </c>
      <c r="B14" s="6">
        <v>18</v>
      </c>
      <c r="C14" s="7">
        <v>0.83299999999999996</v>
      </c>
      <c r="D14" s="8">
        <f t="shared" si="0"/>
        <v>14.994</v>
      </c>
      <c r="E14" s="6">
        <v>6</v>
      </c>
      <c r="F14" s="7">
        <v>0.66700000000000004</v>
      </c>
      <c r="G14" s="8">
        <f t="shared" si="1"/>
        <v>4.0020000000000007</v>
      </c>
      <c r="H14" s="6">
        <v>15</v>
      </c>
      <c r="I14" s="7">
        <v>0.66700000000000004</v>
      </c>
      <c r="J14" s="8">
        <f t="shared" si="2"/>
        <v>10.005000000000001</v>
      </c>
      <c r="K14" s="6">
        <v>8</v>
      </c>
      <c r="L14" s="7">
        <v>0.75</v>
      </c>
      <c r="M14" s="8">
        <f t="shared" si="3"/>
        <v>6</v>
      </c>
      <c r="N14" s="6"/>
      <c r="O14" s="7"/>
      <c r="P14" s="8">
        <f t="shared" si="4"/>
        <v>0</v>
      </c>
      <c r="Q14" s="1"/>
      <c r="R14" s="6">
        <f t="shared" si="5"/>
        <v>47</v>
      </c>
      <c r="S14" s="9">
        <f t="shared" si="6"/>
        <v>0.74470212765957455</v>
      </c>
      <c r="T14" s="9">
        <f t="shared" si="7"/>
        <v>9.1976516634050876E-2</v>
      </c>
      <c r="U14" s="9">
        <f>R14 / _xlfn.XLOOKUP(A14, Jungle!A:A, Jungle!AA:AA)</f>
        <v>0.17938931297709923</v>
      </c>
      <c r="V14" s="1"/>
      <c r="W14" s="1"/>
    </row>
    <row r="15" spans="1:23" x14ac:dyDescent="0.25">
      <c r="A15" s="1" t="s">
        <v>73</v>
      </c>
      <c r="B15" s="6">
        <v>4</v>
      </c>
      <c r="C15" s="7">
        <v>1</v>
      </c>
      <c r="D15" s="8">
        <f t="shared" si="0"/>
        <v>4</v>
      </c>
      <c r="E15" s="6">
        <v>28</v>
      </c>
      <c r="F15" s="7">
        <v>0.78600000000000003</v>
      </c>
      <c r="G15" s="8">
        <f t="shared" si="1"/>
        <v>22.008000000000003</v>
      </c>
      <c r="H15" s="6">
        <v>21</v>
      </c>
      <c r="I15" s="7">
        <v>0.61899999999999999</v>
      </c>
      <c r="J15" s="8">
        <f t="shared" si="2"/>
        <v>12.999000000000001</v>
      </c>
      <c r="K15" s="6">
        <v>14</v>
      </c>
      <c r="L15" s="7">
        <v>0.71399999999999997</v>
      </c>
      <c r="M15" s="8">
        <f t="shared" si="3"/>
        <v>9.9959999999999987</v>
      </c>
      <c r="N15" s="6"/>
      <c r="O15" s="7"/>
      <c r="P15" s="8">
        <f t="shared" si="4"/>
        <v>0</v>
      </c>
      <c r="Q15" s="1"/>
      <c r="R15" s="6">
        <f t="shared" si="5"/>
        <v>67</v>
      </c>
      <c r="S15" s="9">
        <f t="shared" si="6"/>
        <v>0.73138805970149257</v>
      </c>
      <c r="T15" s="9">
        <f t="shared" si="7"/>
        <v>0.13111545988258316</v>
      </c>
      <c r="U15" s="9">
        <f>R15 / _xlfn.XLOOKUP(A15, Jungle!A:A, Jungle!AA:AA)</f>
        <v>0.12050359712230216</v>
      </c>
      <c r="V15" s="1"/>
      <c r="W15" s="1"/>
    </row>
    <row r="16" spans="1:23" x14ac:dyDescent="0.25">
      <c r="A16" s="1" t="s">
        <v>26</v>
      </c>
      <c r="B16" s="6">
        <v>7</v>
      </c>
      <c r="C16" s="7">
        <v>0.71399999999999997</v>
      </c>
      <c r="D16" s="8">
        <f t="shared" si="0"/>
        <v>4.9979999999999993</v>
      </c>
      <c r="E16" s="6">
        <v>14</v>
      </c>
      <c r="F16" s="7">
        <v>0.71399999999999997</v>
      </c>
      <c r="G16" s="8">
        <f t="shared" si="1"/>
        <v>9.9959999999999987</v>
      </c>
      <c r="H16" s="6">
        <v>29</v>
      </c>
      <c r="I16" s="7">
        <v>0.75900000000000001</v>
      </c>
      <c r="J16" s="8">
        <f t="shared" si="2"/>
        <v>22.010999999999999</v>
      </c>
      <c r="K16" s="6">
        <v>19</v>
      </c>
      <c r="L16" s="7">
        <v>0.68400000000000005</v>
      </c>
      <c r="M16" s="8">
        <f t="shared" si="3"/>
        <v>12.996</v>
      </c>
      <c r="N16" s="6"/>
      <c r="O16" s="7"/>
      <c r="P16" s="8">
        <f t="shared" si="4"/>
        <v>0</v>
      </c>
      <c r="Q16" s="1"/>
      <c r="R16" s="6">
        <f t="shared" si="5"/>
        <v>69</v>
      </c>
      <c r="S16" s="9">
        <f t="shared" si="6"/>
        <v>0.72465217391304348</v>
      </c>
      <c r="T16" s="9">
        <f t="shared" si="7"/>
        <v>0.13502935420743639</v>
      </c>
      <c r="U16" s="9">
        <f>R16 / _xlfn.XLOOKUP(A16, Jungle!A:A, Jungle!AA:AA)</f>
        <v>0.10866141732283464</v>
      </c>
      <c r="V16" s="1"/>
      <c r="W16" s="1"/>
    </row>
    <row r="17" spans="1:23" x14ac:dyDescent="0.25">
      <c r="A17" s="1" t="s">
        <v>45</v>
      </c>
      <c r="B17" s="6">
        <v>7</v>
      </c>
      <c r="C17" s="7">
        <v>0.71399999999999997</v>
      </c>
      <c r="D17" s="8">
        <f t="shared" si="0"/>
        <v>4.9979999999999993</v>
      </c>
      <c r="E17" s="6"/>
      <c r="F17" s="7"/>
      <c r="G17" s="8">
        <f t="shared" si="1"/>
        <v>0</v>
      </c>
      <c r="H17" s="6"/>
      <c r="I17" s="7"/>
      <c r="J17" s="8">
        <f t="shared" si="2"/>
        <v>0</v>
      </c>
      <c r="K17" s="6">
        <v>10</v>
      </c>
      <c r="L17" s="7">
        <v>0.7</v>
      </c>
      <c r="M17" s="8">
        <f t="shared" si="3"/>
        <v>7</v>
      </c>
      <c r="N17" s="6"/>
      <c r="O17" s="7"/>
      <c r="P17" s="8">
        <f t="shared" si="4"/>
        <v>0</v>
      </c>
      <c r="Q17" s="1"/>
      <c r="R17" s="6">
        <f t="shared" si="5"/>
        <v>17</v>
      </c>
      <c r="S17" s="9">
        <f t="shared" si="6"/>
        <v>0.70576470588235285</v>
      </c>
      <c r="T17" s="9">
        <f t="shared" si="7"/>
        <v>3.3268101761252444E-2</v>
      </c>
      <c r="U17" s="9">
        <f>R17 / _xlfn.XLOOKUP(A17, Jungle!A:A, Jungle!AA:AA)</f>
        <v>7.0539419087136929E-2</v>
      </c>
      <c r="V17" s="1"/>
      <c r="W17" s="1"/>
    </row>
    <row r="18" spans="1:23" x14ac:dyDescent="0.25">
      <c r="A18" s="1" t="s">
        <v>71</v>
      </c>
      <c r="B18" s="6">
        <v>13</v>
      </c>
      <c r="C18" s="7">
        <v>0.84599999999999997</v>
      </c>
      <c r="D18" s="8">
        <f t="shared" si="0"/>
        <v>10.997999999999999</v>
      </c>
      <c r="E18" s="6">
        <v>25</v>
      </c>
      <c r="F18" s="7">
        <v>0.6</v>
      </c>
      <c r="G18" s="8">
        <f t="shared" si="1"/>
        <v>15</v>
      </c>
      <c r="H18" s="6">
        <v>1</v>
      </c>
      <c r="I18" s="7">
        <v>1</v>
      </c>
      <c r="J18" s="8">
        <f t="shared" si="2"/>
        <v>1</v>
      </c>
      <c r="K18" s="6">
        <v>15</v>
      </c>
      <c r="L18" s="7">
        <v>0.73299999999999998</v>
      </c>
      <c r="M18" s="8">
        <f t="shared" si="3"/>
        <v>10.994999999999999</v>
      </c>
      <c r="N18" s="6"/>
      <c r="O18" s="7"/>
      <c r="P18" s="8">
        <f t="shared" si="4"/>
        <v>0</v>
      </c>
      <c r="Q18" s="4"/>
      <c r="R18" s="6">
        <f t="shared" si="5"/>
        <v>54</v>
      </c>
      <c r="S18" s="9">
        <f t="shared" si="6"/>
        <v>0.70357407407407402</v>
      </c>
      <c r="T18" s="9">
        <f t="shared" si="7"/>
        <v>0.10567514677103718</v>
      </c>
      <c r="U18" s="9">
        <f>R18 / _xlfn.XLOOKUP(A18, Jungle!A:A, Jungle!AA:AA)</f>
        <v>9.7472924187725629E-2</v>
      </c>
      <c r="V18" s="1"/>
      <c r="W18" s="1"/>
    </row>
    <row r="19" spans="1:23" x14ac:dyDescent="0.25">
      <c r="A19" s="1" t="s">
        <v>69</v>
      </c>
      <c r="B19" s="6">
        <v>11</v>
      </c>
      <c r="C19" s="7">
        <v>0.81799999999999995</v>
      </c>
      <c r="D19" s="8">
        <f t="shared" si="0"/>
        <v>8.9979999999999993</v>
      </c>
      <c r="E19" s="6">
        <v>3</v>
      </c>
      <c r="F19" s="7">
        <v>0.33300000000000002</v>
      </c>
      <c r="G19" s="8">
        <f t="shared" si="1"/>
        <v>0.99900000000000011</v>
      </c>
      <c r="H19" s="6">
        <v>1</v>
      </c>
      <c r="I19" s="7">
        <v>1</v>
      </c>
      <c r="J19" s="8">
        <f t="shared" si="2"/>
        <v>1</v>
      </c>
      <c r="K19" s="6">
        <v>1</v>
      </c>
      <c r="L19" s="7">
        <v>0</v>
      </c>
      <c r="M19" s="8">
        <f t="shared" si="3"/>
        <v>0</v>
      </c>
      <c r="N19" s="6"/>
      <c r="O19" s="7"/>
      <c r="P19" s="8">
        <f t="shared" si="4"/>
        <v>0</v>
      </c>
      <c r="Q19" s="1"/>
      <c r="R19" s="6">
        <f t="shared" si="5"/>
        <v>16</v>
      </c>
      <c r="S19" s="9">
        <f t="shared" si="6"/>
        <v>0.68731249999999999</v>
      </c>
      <c r="T19" s="9">
        <f t="shared" si="7"/>
        <v>3.131115459882583E-2</v>
      </c>
      <c r="U19" s="9">
        <f>R19 / _xlfn.XLOOKUP(A19, Jungle!A:A, Jungle!AA:AA)</f>
        <v>3.5634743875278395E-2</v>
      </c>
      <c r="V19" s="1"/>
      <c r="W19" s="1"/>
    </row>
    <row r="20" spans="1:23" x14ac:dyDescent="0.25">
      <c r="A20" s="1" t="s">
        <v>28</v>
      </c>
      <c r="B20" s="6">
        <v>3</v>
      </c>
      <c r="C20" s="7">
        <v>0.66700000000000004</v>
      </c>
      <c r="D20" s="8">
        <f t="shared" si="0"/>
        <v>2.0010000000000003</v>
      </c>
      <c r="E20" s="6"/>
      <c r="F20" s="7"/>
      <c r="G20" s="8">
        <f t="shared" si="1"/>
        <v>0</v>
      </c>
      <c r="H20" s="6"/>
      <c r="I20" s="7"/>
      <c r="J20" s="8">
        <f t="shared" si="2"/>
        <v>0</v>
      </c>
      <c r="K20" s="6"/>
      <c r="L20" s="7"/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3</v>
      </c>
      <c r="S20" s="9">
        <f t="shared" si="6"/>
        <v>0.66700000000000015</v>
      </c>
      <c r="T20" s="9">
        <f t="shared" si="7"/>
        <v>5.8708414872798431E-3</v>
      </c>
      <c r="U20" s="9">
        <f>R20 / _xlfn.XLOOKUP(A20, Jungle!A:A, Jungle!AA:AA)</f>
        <v>4.2857142857142858E-2</v>
      </c>
      <c r="V20" s="1"/>
      <c r="W20" s="1"/>
    </row>
    <row r="21" spans="1:23" x14ac:dyDescent="0.25">
      <c r="A21" s="25" t="s">
        <v>230</v>
      </c>
      <c r="B21" s="6"/>
      <c r="C21" s="7"/>
      <c r="D21" s="8">
        <f t="shared" si="0"/>
        <v>0</v>
      </c>
      <c r="E21" s="6">
        <v>3</v>
      </c>
      <c r="F21" s="7">
        <v>0.66700000000000004</v>
      </c>
      <c r="G21" s="8">
        <f t="shared" si="1"/>
        <v>2.0010000000000003</v>
      </c>
      <c r="H21" s="6"/>
      <c r="I21" s="7"/>
      <c r="J21" s="8">
        <f t="shared" si="2"/>
        <v>0</v>
      </c>
      <c r="K21" s="6"/>
      <c r="L21" s="7"/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3</v>
      </c>
      <c r="S21" s="9">
        <f t="shared" si="6"/>
        <v>0.66700000000000015</v>
      </c>
      <c r="T21" s="9">
        <f t="shared" si="7"/>
        <v>5.8708414872798431E-3</v>
      </c>
      <c r="U21" s="9">
        <f>R21 / _xlfn.XLOOKUP(A21, Jungle!A:A, Jungle!AA:AA)</f>
        <v>7.6923076923076927E-2</v>
      </c>
      <c r="V21" s="1"/>
      <c r="W21" s="1"/>
    </row>
    <row r="22" spans="1:23" x14ac:dyDescent="0.25">
      <c r="A22" s="1" t="s">
        <v>70</v>
      </c>
      <c r="B22" s="6">
        <v>2</v>
      </c>
      <c r="C22" s="7">
        <v>0.5</v>
      </c>
      <c r="D22" s="8">
        <f t="shared" si="0"/>
        <v>1</v>
      </c>
      <c r="E22" s="6"/>
      <c r="F22" s="7"/>
      <c r="G22" s="8">
        <f t="shared" si="1"/>
        <v>0</v>
      </c>
      <c r="H22" s="6">
        <v>4</v>
      </c>
      <c r="I22" s="7">
        <v>0.75</v>
      </c>
      <c r="J22" s="8">
        <f t="shared" si="2"/>
        <v>3</v>
      </c>
      <c r="K22" s="6">
        <v>27</v>
      </c>
      <c r="L22" s="7">
        <v>0.66700000000000004</v>
      </c>
      <c r="M22" s="8">
        <f t="shared" si="3"/>
        <v>18.009</v>
      </c>
      <c r="N22" s="6"/>
      <c r="O22" s="7"/>
      <c r="P22" s="8">
        <f t="shared" si="4"/>
        <v>0</v>
      </c>
      <c r="Q22" s="1"/>
      <c r="R22" s="6">
        <f t="shared" si="5"/>
        <v>33</v>
      </c>
      <c r="S22" s="9">
        <f t="shared" si="6"/>
        <v>0.66693939393939394</v>
      </c>
      <c r="T22" s="9">
        <f t="shared" si="7"/>
        <v>6.4579256360078274E-2</v>
      </c>
      <c r="U22" s="9">
        <f>R22 / _xlfn.XLOOKUP(A22, Jungle!A:A, Jungle!AA:AA)</f>
        <v>6.6398390342052319E-2</v>
      </c>
      <c r="V22" s="1"/>
      <c r="W22" s="1"/>
    </row>
    <row r="23" spans="1:23" x14ac:dyDescent="0.25">
      <c r="A23" s="1" t="s">
        <v>82</v>
      </c>
      <c r="B23" s="6"/>
      <c r="C23" s="7"/>
      <c r="D23" s="8">
        <f t="shared" si="0"/>
        <v>0</v>
      </c>
      <c r="E23" s="6">
        <v>3</v>
      </c>
      <c r="F23" s="7">
        <v>0.66700000000000004</v>
      </c>
      <c r="G23" s="8">
        <f t="shared" si="1"/>
        <v>2.0010000000000003</v>
      </c>
      <c r="H23" s="6">
        <v>5</v>
      </c>
      <c r="I23" s="7">
        <v>0.6</v>
      </c>
      <c r="J23" s="8">
        <f t="shared" si="2"/>
        <v>3</v>
      </c>
      <c r="K23" s="6">
        <v>1</v>
      </c>
      <c r="L23" s="7">
        <v>1</v>
      </c>
      <c r="M23" s="8">
        <f t="shared" si="3"/>
        <v>1</v>
      </c>
      <c r="N23" s="6"/>
      <c r="O23" s="7"/>
      <c r="P23" s="8">
        <f t="shared" si="4"/>
        <v>0</v>
      </c>
      <c r="Q23" s="4"/>
      <c r="R23" s="6">
        <f t="shared" si="5"/>
        <v>9</v>
      </c>
      <c r="S23" s="9">
        <f t="shared" si="6"/>
        <v>0.6667777777777778</v>
      </c>
      <c r="T23" s="9">
        <f t="shared" si="7"/>
        <v>1.7612524461839529E-2</v>
      </c>
      <c r="U23" s="9">
        <f>R23 / _xlfn.XLOOKUP(A23, Jungle!A:A, Jungle!AA:AA)</f>
        <v>0.14285714285714285</v>
      </c>
      <c r="V23" s="1"/>
      <c r="W23" s="1"/>
    </row>
    <row r="24" spans="1:23" x14ac:dyDescent="0.25">
      <c r="A24" s="1" t="s">
        <v>74</v>
      </c>
      <c r="B24" s="6">
        <v>2</v>
      </c>
      <c r="C24" s="7">
        <v>1</v>
      </c>
      <c r="D24" s="8">
        <f t="shared" si="0"/>
        <v>2</v>
      </c>
      <c r="E24" s="6"/>
      <c r="F24" s="7"/>
      <c r="G24" s="8">
        <f t="shared" si="1"/>
        <v>0</v>
      </c>
      <c r="H24" s="6"/>
      <c r="I24" s="7"/>
      <c r="J24" s="8">
        <f t="shared" si="2"/>
        <v>0</v>
      </c>
      <c r="K24" s="6">
        <v>1</v>
      </c>
      <c r="L24" s="7">
        <v>0</v>
      </c>
      <c r="M24" s="8">
        <f t="shared" si="3"/>
        <v>0</v>
      </c>
      <c r="N24" s="6"/>
      <c r="O24" s="7"/>
      <c r="P24" s="8">
        <f t="shared" si="4"/>
        <v>0</v>
      </c>
      <c r="Q24" s="4"/>
      <c r="R24" s="6">
        <f t="shared" si="5"/>
        <v>3</v>
      </c>
      <c r="S24" s="9">
        <f t="shared" si="6"/>
        <v>0.66666666666666663</v>
      </c>
      <c r="T24" s="9">
        <f t="shared" si="7"/>
        <v>5.8708414872798431E-3</v>
      </c>
      <c r="U24" s="9">
        <f>R24 / _xlfn.XLOOKUP(A24, Jungle!A:A, Jungle!AA:AA)</f>
        <v>0.10714285714285714</v>
      </c>
      <c r="V24" s="1"/>
      <c r="W24" s="1"/>
    </row>
    <row r="25" spans="1:23" x14ac:dyDescent="0.25">
      <c r="A25" s="1" t="s">
        <v>67</v>
      </c>
      <c r="B25" s="6">
        <v>6</v>
      </c>
      <c r="C25" s="7">
        <v>0.66700000000000004</v>
      </c>
      <c r="D25" s="8">
        <f t="shared" si="0"/>
        <v>4.0020000000000007</v>
      </c>
      <c r="E25" s="6"/>
      <c r="F25" s="7"/>
      <c r="G25" s="8">
        <f t="shared" si="1"/>
        <v>0</v>
      </c>
      <c r="H25" s="6"/>
      <c r="I25" s="7"/>
      <c r="J25" s="8">
        <f t="shared" si="2"/>
        <v>0</v>
      </c>
      <c r="K25" s="6">
        <v>4</v>
      </c>
      <c r="L25" s="7">
        <v>0.5</v>
      </c>
      <c r="M25" s="8">
        <f t="shared" si="3"/>
        <v>2</v>
      </c>
      <c r="N25" s="6"/>
      <c r="O25" s="7"/>
      <c r="P25" s="8">
        <f t="shared" si="4"/>
        <v>0</v>
      </c>
      <c r="Q25" s="13"/>
      <c r="R25" s="6">
        <f t="shared" si="5"/>
        <v>10</v>
      </c>
      <c r="S25" s="9">
        <f t="shared" si="6"/>
        <v>0.60020000000000007</v>
      </c>
      <c r="T25" s="9">
        <f t="shared" si="7"/>
        <v>1.9569471624266144E-2</v>
      </c>
      <c r="U25" s="9">
        <f>R25 / _xlfn.XLOOKUP(A25, Jungle!A:A, Jungle!AA:AA)</f>
        <v>5.1020408163265307E-2</v>
      </c>
      <c r="V25" s="1"/>
      <c r="W25" s="1"/>
    </row>
    <row r="26" spans="1:23" x14ac:dyDescent="0.25">
      <c r="A26" s="1" t="s">
        <v>95</v>
      </c>
      <c r="B26" s="6">
        <v>4</v>
      </c>
      <c r="C26" s="7">
        <v>0.75</v>
      </c>
      <c r="D26" s="8">
        <f t="shared" si="0"/>
        <v>3</v>
      </c>
      <c r="E26" s="6">
        <v>1</v>
      </c>
      <c r="F26" s="7">
        <v>0</v>
      </c>
      <c r="G26" s="8">
        <f t="shared" si="1"/>
        <v>0</v>
      </c>
      <c r="H26" s="6">
        <v>2</v>
      </c>
      <c r="I26" s="7">
        <v>0.5</v>
      </c>
      <c r="J26" s="8">
        <f t="shared" si="2"/>
        <v>1</v>
      </c>
      <c r="K26" s="6">
        <v>8</v>
      </c>
      <c r="L26" s="7">
        <v>0.625</v>
      </c>
      <c r="M26" s="8">
        <f t="shared" si="3"/>
        <v>5</v>
      </c>
      <c r="N26" s="6"/>
      <c r="O26" s="7"/>
      <c r="P26" s="8">
        <f t="shared" si="4"/>
        <v>0</v>
      </c>
      <c r="Q26" s="1"/>
      <c r="R26" s="6">
        <f t="shared" si="5"/>
        <v>15</v>
      </c>
      <c r="S26" s="9">
        <f t="shared" si="6"/>
        <v>0.6</v>
      </c>
      <c r="T26" s="9">
        <f t="shared" si="7"/>
        <v>2.9354207436399216E-2</v>
      </c>
      <c r="U26" s="9">
        <f>R26 / _xlfn.XLOOKUP(A26, Jungle!A:A, Jungle!AA:AA)</f>
        <v>8.9820359281437126E-2</v>
      </c>
      <c r="V26" s="1"/>
      <c r="W26" s="1"/>
    </row>
    <row r="27" spans="1:23" x14ac:dyDescent="0.25">
      <c r="A27" s="1" t="s">
        <v>57</v>
      </c>
      <c r="B27" s="6">
        <v>13</v>
      </c>
      <c r="C27" s="7">
        <v>0.46200000000000002</v>
      </c>
      <c r="D27" s="8">
        <f t="shared" si="0"/>
        <v>6.0060000000000002</v>
      </c>
      <c r="E27" s="6">
        <v>3</v>
      </c>
      <c r="F27" s="7">
        <v>0.66700000000000004</v>
      </c>
      <c r="G27" s="8">
        <f t="shared" si="1"/>
        <v>2.0010000000000003</v>
      </c>
      <c r="H27" s="6">
        <v>3</v>
      </c>
      <c r="I27" s="7">
        <v>0.66700000000000004</v>
      </c>
      <c r="J27" s="8">
        <f t="shared" si="2"/>
        <v>2.0010000000000003</v>
      </c>
      <c r="K27" s="6">
        <v>1</v>
      </c>
      <c r="L27" s="7">
        <v>1</v>
      </c>
      <c r="M27" s="8">
        <f t="shared" si="3"/>
        <v>1</v>
      </c>
      <c r="N27" s="6"/>
      <c r="O27" s="7"/>
      <c r="P27" s="8">
        <f t="shared" si="4"/>
        <v>0</v>
      </c>
      <c r="Q27" s="1"/>
      <c r="R27" s="6">
        <f t="shared" si="5"/>
        <v>20</v>
      </c>
      <c r="S27" s="9">
        <f t="shared" si="6"/>
        <v>0.55040000000000011</v>
      </c>
      <c r="T27" s="9">
        <f t="shared" si="7"/>
        <v>3.9138943248532287E-2</v>
      </c>
      <c r="U27" s="9">
        <f>R27 / _xlfn.XLOOKUP(A27, Jungle!A:A, Jungle!AA:AA)</f>
        <v>4.49438202247191E-2</v>
      </c>
      <c r="V27" s="1"/>
      <c r="W27" s="1"/>
    </row>
    <row r="28" spans="1:23" x14ac:dyDescent="0.25">
      <c r="A28" s="1" t="s">
        <v>76</v>
      </c>
      <c r="B28" s="6">
        <v>1</v>
      </c>
      <c r="C28" s="7">
        <v>1</v>
      </c>
      <c r="D28" s="8">
        <f t="shared" si="0"/>
        <v>1</v>
      </c>
      <c r="E28" s="6">
        <v>1</v>
      </c>
      <c r="F28" s="7">
        <v>0</v>
      </c>
      <c r="G28" s="8">
        <f t="shared" si="1"/>
        <v>0</v>
      </c>
      <c r="H28" s="6">
        <v>3</v>
      </c>
      <c r="I28" s="7">
        <v>0</v>
      </c>
      <c r="J28" s="8">
        <f t="shared" si="2"/>
        <v>0</v>
      </c>
      <c r="K28" s="6">
        <v>10</v>
      </c>
      <c r="L28" s="7">
        <v>0.7</v>
      </c>
      <c r="M28" s="8">
        <f t="shared" si="3"/>
        <v>7</v>
      </c>
      <c r="N28" s="6"/>
      <c r="O28" s="7"/>
      <c r="P28" s="8">
        <f t="shared" si="4"/>
        <v>0</v>
      </c>
      <c r="Q28" s="1"/>
      <c r="R28" s="6">
        <f t="shared" si="5"/>
        <v>15</v>
      </c>
      <c r="S28" s="9">
        <f t="shared" si="6"/>
        <v>0.53333333333333333</v>
      </c>
      <c r="T28" s="9">
        <f t="shared" si="7"/>
        <v>2.9354207436399216E-2</v>
      </c>
      <c r="U28" s="9">
        <f>R28 / _xlfn.XLOOKUP(A28, Jungle!A:A, Jungle!AA:AA)</f>
        <v>0.11278195488721804</v>
      </c>
      <c r="V28" s="1"/>
      <c r="W28" s="1"/>
    </row>
    <row r="29" spans="1:23" x14ac:dyDescent="0.25">
      <c r="A29" s="1" t="s">
        <v>80</v>
      </c>
      <c r="B29" s="6"/>
      <c r="C29" s="7"/>
      <c r="D29" s="8">
        <f t="shared" si="0"/>
        <v>0</v>
      </c>
      <c r="E29" s="6">
        <v>3</v>
      </c>
      <c r="F29" s="7">
        <v>0.66700000000000004</v>
      </c>
      <c r="G29" s="8">
        <f t="shared" si="1"/>
        <v>2.0010000000000003</v>
      </c>
      <c r="H29" s="6">
        <v>3</v>
      </c>
      <c r="I29" s="7">
        <v>0.33300000000000002</v>
      </c>
      <c r="J29" s="8">
        <f t="shared" si="2"/>
        <v>0.99900000000000011</v>
      </c>
      <c r="K29" s="6"/>
      <c r="L29" s="7"/>
      <c r="M29" s="8">
        <f t="shared" si="3"/>
        <v>0</v>
      </c>
      <c r="N29" s="6"/>
      <c r="O29" s="7"/>
      <c r="P29" s="8">
        <f t="shared" si="4"/>
        <v>0</v>
      </c>
      <c r="Q29" s="1"/>
      <c r="R29" s="6">
        <f t="shared" si="5"/>
        <v>6</v>
      </c>
      <c r="S29" s="9">
        <f t="shared" si="6"/>
        <v>0.50000000000000011</v>
      </c>
      <c r="T29" s="9">
        <f t="shared" si="7"/>
        <v>1.1741682974559686E-2</v>
      </c>
      <c r="U29" s="9">
        <f>R29 / _xlfn.XLOOKUP(A29, Jungle!A:A, Jungle!AA:AA)</f>
        <v>6.5217391304347824E-2</v>
      </c>
      <c r="V29" s="1"/>
      <c r="W29" s="1"/>
    </row>
    <row r="30" spans="1:23" x14ac:dyDescent="0.25">
      <c r="A30" s="1" t="s">
        <v>100</v>
      </c>
      <c r="B30" s="6"/>
      <c r="C30" s="7"/>
      <c r="D30" s="8">
        <f t="shared" si="0"/>
        <v>0</v>
      </c>
      <c r="E30" s="6"/>
      <c r="F30" s="7"/>
      <c r="G30" s="8">
        <f t="shared" si="1"/>
        <v>0</v>
      </c>
      <c r="H30" s="6">
        <v>2</v>
      </c>
      <c r="I30" s="7">
        <v>0.5</v>
      </c>
      <c r="J30" s="8">
        <f t="shared" si="2"/>
        <v>1</v>
      </c>
      <c r="K30" s="6"/>
      <c r="L30" s="7"/>
      <c r="M30" s="8">
        <f t="shared" si="3"/>
        <v>0</v>
      </c>
      <c r="N30" s="6"/>
      <c r="O30" s="7"/>
      <c r="P30" s="8">
        <f t="shared" si="4"/>
        <v>0</v>
      </c>
      <c r="Q30" s="1"/>
      <c r="R30" s="6">
        <f t="shared" si="5"/>
        <v>2</v>
      </c>
      <c r="S30" s="9">
        <f t="shared" si="6"/>
        <v>0.5</v>
      </c>
      <c r="T30" s="9">
        <f t="shared" si="7"/>
        <v>3.9138943248532287E-3</v>
      </c>
      <c r="U30" s="9">
        <f>R30 / _xlfn.XLOOKUP(A30, Jungle!A:A, Jungle!AA:AA)</f>
        <v>0.2</v>
      </c>
      <c r="V30" s="1"/>
      <c r="W30" s="1"/>
    </row>
    <row r="31" spans="1:23" x14ac:dyDescent="0.25">
      <c r="A31" s="1" t="s">
        <v>21</v>
      </c>
      <c r="B31" s="6"/>
      <c r="C31" s="7"/>
      <c r="D31" s="8">
        <f t="shared" si="0"/>
        <v>0</v>
      </c>
      <c r="E31" s="6"/>
      <c r="F31" s="7"/>
      <c r="G31" s="8">
        <f t="shared" si="1"/>
        <v>0</v>
      </c>
      <c r="H31" s="6">
        <v>2</v>
      </c>
      <c r="I31" s="7">
        <v>0.5</v>
      </c>
      <c r="J31" s="8">
        <f t="shared" si="2"/>
        <v>1</v>
      </c>
      <c r="K31" s="6"/>
      <c r="L31" s="7"/>
      <c r="M31" s="8">
        <f t="shared" si="3"/>
        <v>0</v>
      </c>
      <c r="N31" s="6"/>
      <c r="O31" s="7"/>
      <c r="P31" s="8">
        <f t="shared" si="4"/>
        <v>0</v>
      </c>
      <c r="Q31" s="1"/>
      <c r="R31" s="6">
        <f t="shared" si="5"/>
        <v>2</v>
      </c>
      <c r="S31" s="9">
        <f t="shared" si="6"/>
        <v>0.5</v>
      </c>
      <c r="T31" s="9">
        <f t="shared" si="7"/>
        <v>3.9138943248532287E-3</v>
      </c>
      <c r="U31" s="9">
        <f>R31 / _xlfn.XLOOKUP(A31, Jungle!A:A, Jungle!AA:AA)</f>
        <v>0.2</v>
      </c>
      <c r="V31" s="1"/>
      <c r="W31" s="1"/>
    </row>
    <row r="32" spans="1:23" x14ac:dyDescent="0.25">
      <c r="A32" s="1" t="s">
        <v>195</v>
      </c>
      <c r="B32" s="6"/>
      <c r="C32" s="7"/>
      <c r="D32" s="8">
        <f t="shared" si="0"/>
        <v>0</v>
      </c>
      <c r="E32" s="6"/>
      <c r="F32" s="7"/>
      <c r="G32" s="8">
        <f t="shared" si="1"/>
        <v>0</v>
      </c>
      <c r="H32" s="6">
        <v>6</v>
      </c>
      <c r="I32" s="7">
        <v>0.66700000000000004</v>
      </c>
      <c r="J32" s="8">
        <f t="shared" si="2"/>
        <v>4.0020000000000007</v>
      </c>
      <c r="K32" s="6">
        <v>5</v>
      </c>
      <c r="L32" s="7">
        <v>0</v>
      </c>
      <c r="M32" s="8">
        <f t="shared" si="3"/>
        <v>0</v>
      </c>
      <c r="N32" s="6"/>
      <c r="O32" s="7"/>
      <c r="P32" s="8">
        <f t="shared" si="4"/>
        <v>0</v>
      </c>
      <c r="Q32" s="1"/>
      <c r="R32" s="6">
        <f t="shared" si="5"/>
        <v>11</v>
      </c>
      <c r="S32" s="9">
        <f t="shared" si="6"/>
        <v>0.36381818181818187</v>
      </c>
      <c r="T32" s="9">
        <f t="shared" si="7"/>
        <v>2.1526418786692758E-2</v>
      </c>
      <c r="U32" s="9">
        <f>R32 / _xlfn.XLOOKUP(A32, Jungle!A:A, Jungle!AA:AA)</f>
        <v>0.18333333333333332</v>
      </c>
      <c r="V32" s="1"/>
      <c r="W32" s="1"/>
    </row>
    <row r="33" spans="1:23" x14ac:dyDescent="0.25">
      <c r="A33" s="25" t="s">
        <v>211</v>
      </c>
      <c r="B33" s="6"/>
      <c r="C33" s="7"/>
      <c r="D33" s="8">
        <f t="shared" si="0"/>
        <v>0</v>
      </c>
      <c r="E33" s="6"/>
      <c r="F33" s="7"/>
      <c r="G33" s="8">
        <f t="shared" si="1"/>
        <v>0</v>
      </c>
      <c r="H33" s="6"/>
      <c r="I33" s="7"/>
      <c r="J33" s="8">
        <f t="shared" si="2"/>
        <v>0</v>
      </c>
      <c r="K33" s="6">
        <v>3</v>
      </c>
      <c r="L33" s="7">
        <v>0.33300000000000002</v>
      </c>
      <c r="M33" s="8">
        <f t="shared" si="3"/>
        <v>0.99900000000000011</v>
      </c>
      <c r="N33" s="6"/>
      <c r="O33" s="7"/>
      <c r="P33" s="8">
        <f t="shared" si="4"/>
        <v>0</v>
      </c>
      <c r="Q33" s="1"/>
      <c r="R33" s="6">
        <f t="shared" si="5"/>
        <v>3</v>
      </c>
      <c r="S33" s="9">
        <f t="shared" si="6"/>
        <v>0.33300000000000002</v>
      </c>
      <c r="T33" s="9">
        <f t="shared" si="7"/>
        <v>5.8708414872798431E-3</v>
      </c>
      <c r="U33" s="9">
        <f>R33 / _xlfn.XLOOKUP(A33, Jungle!A:A, Jungle!AA:AA)</f>
        <v>0.04</v>
      </c>
      <c r="V33" s="1"/>
      <c r="W33" s="1"/>
    </row>
    <row r="34" spans="1:23" x14ac:dyDescent="0.25">
      <c r="A34" s="1" t="s">
        <v>58</v>
      </c>
      <c r="B34" s="6">
        <v>3</v>
      </c>
      <c r="C34" s="7">
        <v>0.33300000000000002</v>
      </c>
      <c r="D34" s="8">
        <f t="shared" si="0"/>
        <v>0.99900000000000011</v>
      </c>
      <c r="E34" s="6"/>
      <c r="F34" s="7"/>
      <c r="G34" s="8">
        <f t="shared" si="1"/>
        <v>0</v>
      </c>
      <c r="H34" s="6"/>
      <c r="I34" s="7"/>
      <c r="J34" s="8">
        <f t="shared" si="2"/>
        <v>0</v>
      </c>
      <c r="K34" s="6"/>
      <c r="L34" s="7"/>
      <c r="M34" s="8">
        <f t="shared" si="3"/>
        <v>0</v>
      </c>
      <c r="N34" s="6"/>
      <c r="O34" s="7"/>
      <c r="P34" s="8">
        <f t="shared" si="4"/>
        <v>0</v>
      </c>
      <c r="Q34" s="1"/>
      <c r="R34" s="6">
        <f t="shared" si="5"/>
        <v>3</v>
      </c>
      <c r="S34" s="9">
        <f t="shared" si="6"/>
        <v>0.33300000000000002</v>
      </c>
      <c r="T34" s="9">
        <f t="shared" si="7"/>
        <v>5.8708414872798431E-3</v>
      </c>
      <c r="U34" s="9">
        <f>R34 / _xlfn.XLOOKUP(A34, Jungle!A:A, Jungle!AA:AA)</f>
        <v>6.5217391304347824E-2</v>
      </c>
      <c r="V34" s="1"/>
      <c r="W34" s="1"/>
    </row>
    <row r="35" spans="1:23" x14ac:dyDescent="0.25">
      <c r="A35" s="1" t="s">
        <v>72</v>
      </c>
      <c r="B35" s="6">
        <v>1</v>
      </c>
      <c r="C35" s="7">
        <v>0</v>
      </c>
      <c r="D35" s="8">
        <f t="shared" si="0"/>
        <v>0</v>
      </c>
      <c r="E35" s="6"/>
      <c r="F35" s="7"/>
      <c r="G35" s="8">
        <f t="shared" si="1"/>
        <v>0</v>
      </c>
      <c r="H35" s="6">
        <v>3</v>
      </c>
      <c r="I35" s="7">
        <v>0.33300000000000002</v>
      </c>
      <c r="J35" s="8">
        <f t="shared" si="2"/>
        <v>0.99900000000000011</v>
      </c>
      <c r="K35" s="6">
        <v>1</v>
      </c>
      <c r="L35" s="7">
        <v>0</v>
      </c>
      <c r="M35" s="8">
        <f t="shared" si="3"/>
        <v>0</v>
      </c>
      <c r="N35" s="6"/>
      <c r="O35" s="7"/>
      <c r="P35" s="8">
        <f t="shared" si="4"/>
        <v>0</v>
      </c>
      <c r="Q35" s="1"/>
      <c r="R35" s="6">
        <f t="shared" si="5"/>
        <v>5</v>
      </c>
      <c r="S35" s="9">
        <f t="shared" si="6"/>
        <v>0.19980000000000003</v>
      </c>
      <c r="T35" s="9">
        <f t="shared" si="7"/>
        <v>9.7847358121330719E-3</v>
      </c>
      <c r="U35" s="9">
        <f>R35 / _xlfn.XLOOKUP(A35, Jungle!A:A, Jungle!AA:AA)</f>
        <v>2.7624309392265192E-2</v>
      </c>
      <c r="V35" s="1"/>
      <c r="W35" s="1"/>
    </row>
    <row r="36" spans="1:23" x14ac:dyDescent="0.25">
      <c r="A36" s="1" t="s">
        <v>83</v>
      </c>
      <c r="B36" s="6"/>
      <c r="C36" s="7"/>
      <c r="D36" s="8">
        <f t="shared" si="0"/>
        <v>0</v>
      </c>
      <c r="E36" s="6"/>
      <c r="F36" s="7"/>
      <c r="G36" s="8">
        <f t="shared" si="1"/>
        <v>0</v>
      </c>
      <c r="H36" s="6"/>
      <c r="I36" s="7"/>
      <c r="J36" s="8">
        <f t="shared" si="2"/>
        <v>0</v>
      </c>
      <c r="K36" s="6">
        <v>1</v>
      </c>
      <c r="L36" s="7">
        <v>0</v>
      </c>
      <c r="M36" s="8">
        <f t="shared" si="3"/>
        <v>0</v>
      </c>
      <c r="N36" s="6"/>
      <c r="O36" s="7"/>
      <c r="P36" s="8">
        <f t="shared" si="4"/>
        <v>0</v>
      </c>
      <c r="Q36" s="1"/>
      <c r="R36" s="6">
        <f t="shared" si="5"/>
        <v>1</v>
      </c>
      <c r="S36" s="9">
        <f t="shared" si="6"/>
        <v>0</v>
      </c>
      <c r="T36" s="9">
        <f t="shared" si="7"/>
        <v>1.9569471624266144E-3</v>
      </c>
      <c r="U36" s="9">
        <f>R36 / _xlfn.XLOOKUP(A36, Jungle!A:A, Jungle!AA:AA)</f>
        <v>1.2195121951219513E-2</v>
      </c>
    </row>
    <row r="37" spans="1:23" x14ac:dyDescent="0.25">
      <c r="A37" s="1" t="s">
        <v>90</v>
      </c>
      <c r="B37" s="6"/>
      <c r="C37" s="7"/>
      <c r="D37" s="8">
        <f t="shared" si="0"/>
        <v>0</v>
      </c>
      <c r="E37" s="6"/>
      <c r="F37" s="7"/>
      <c r="G37" s="8">
        <f t="shared" si="1"/>
        <v>0</v>
      </c>
      <c r="H37" s="6">
        <v>1</v>
      </c>
      <c r="I37" s="7">
        <v>0</v>
      </c>
      <c r="J37" s="8">
        <f t="shared" si="2"/>
        <v>0</v>
      </c>
      <c r="K37" s="6"/>
      <c r="L37" s="7"/>
      <c r="M37" s="8">
        <f t="shared" si="3"/>
        <v>0</v>
      </c>
      <c r="N37" s="6"/>
      <c r="O37" s="7"/>
      <c r="P37" s="8">
        <f t="shared" si="4"/>
        <v>0</v>
      </c>
      <c r="Q37" s="1"/>
      <c r="R37" s="6">
        <f t="shared" si="5"/>
        <v>1</v>
      </c>
      <c r="S37" s="9">
        <f t="shared" si="6"/>
        <v>0</v>
      </c>
      <c r="T37" s="9">
        <f t="shared" si="7"/>
        <v>1.9569471624266144E-3</v>
      </c>
      <c r="U37" s="9">
        <f>R37 / _xlfn.XLOOKUP(A37, Jungle!A:A, Jungle!AA:AA)</f>
        <v>0.1111111111111111</v>
      </c>
    </row>
    <row r="38" spans="1:23" x14ac:dyDescent="0.25">
      <c r="A38" s="1" t="s">
        <v>50</v>
      </c>
      <c r="B38" s="6"/>
      <c r="C38" s="7"/>
      <c r="D38" s="8">
        <f t="shared" si="0"/>
        <v>0</v>
      </c>
      <c r="E38" s="6">
        <v>1</v>
      </c>
      <c r="F38" s="7">
        <v>0</v>
      </c>
      <c r="G38" s="8">
        <f t="shared" si="1"/>
        <v>0</v>
      </c>
      <c r="H38" s="6"/>
      <c r="I38" s="7"/>
      <c r="J38" s="8">
        <f t="shared" si="2"/>
        <v>0</v>
      </c>
      <c r="K38" s="6"/>
      <c r="L38" s="7"/>
      <c r="M38" s="8">
        <f t="shared" si="3"/>
        <v>0</v>
      </c>
      <c r="N38" s="6"/>
      <c r="O38" s="7"/>
      <c r="P38" s="8">
        <f t="shared" si="4"/>
        <v>0</v>
      </c>
      <c r="Q38" s="1"/>
      <c r="R38" s="6">
        <f t="shared" si="5"/>
        <v>1</v>
      </c>
      <c r="S38" s="9">
        <f t="shared" si="6"/>
        <v>0</v>
      </c>
      <c r="T38" s="9">
        <f t="shared" si="7"/>
        <v>1.9569471624266144E-3</v>
      </c>
      <c r="U38" s="9">
        <f>R38 / _xlfn.XLOOKUP(A38, Jungle!A:A, Jungle!AA:AA)</f>
        <v>0.125</v>
      </c>
    </row>
    <row r="39" spans="1:23" x14ac:dyDescent="0.25">
      <c r="A39" s="1" t="s">
        <v>23</v>
      </c>
      <c r="B39" s="6"/>
      <c r="C39" s="7"/>
      <c r="D39" s="8">
        <f t="shared" si="0"/>
        <v>0</v>
      </c>
      <c r="E39" s="6">
        <v>1</v>
      </c>
      <c r="F39" s="7">
        <v>0</v>
      </c>
      <c r="G39" s="8">
        <f t="shared" si="1"/>
        <v>0</v>
      </c>
      <c r="H39" s="6"/>
      <c r="I39" s="7"/>
      <c r="J39" s="8">
        <f t="shared" si="2"/>
        <v>0</v>
      </c>
      <c r="K39" s="6"/>
      <c r="L39" s="7"/>
      <c r="M39" s="8">
        <f t="shared" si="3"/>
        <v>0</v>
      </c>
      <c r="N39" s="6"/>
      <c r="O39" s="7"/>
      <c r="P39" s="8">
        <f t="shared" si="4"/>
        <v>0</v>
      </c>
      <c r="Q39" s="1"/>
      <c r="R39" s="6">
        <f t="shared" si="5"/>
        <v>1</v>
      </c>
      <c r="S39" s="9">
        <f t="shared" si="6"/>
        <v>0</v>
      </c>
      <c r="T39" s="9">
        <f t="shared" si="7"/>
        <v>1.9569471624266144E-3</v>
      </c>
      <c r="U39" s="9">
        <f>R39 / _xlfn.XLOOKUP(A39, Jungle!A:A, Jungle!AA:AA)</f>
        <v>0.33333333333333331</v>
      </c>
    </row>
    <row r="40" spans="1:23" x14ac:dyDescent="0.25">
      <c r="N40" s="6"/>
      <c r="O40" s="7"/>
      <c r="P40" s="8">
        <f t="shared" ref="P40:P47" si="8">N40*O40</f>
        <v>0</v>
      </c>
      <c r="Q40" s="1"/>
      <c r="R40" s="6">
        <f t="shared" ref="R40:R47" si="9">B40+E40+H40+K40+N40</f>
        <v>0</v>
      </c>
      <c r="S40" s="9" t="e">
        <f t="shared" ref="S40:S47" si="10">(D40+G40+J40+M40+P40)/R40</f>
        <v>#DIV/0!</v>
      </c>
      <c r="T40" s="9">
        <f t="shared" ref="T40:T47" si="11">R40/$V$3</f>
        <v>0</v>
      </c>
      <c r="U40" s="9" t="e">
        <f>R40 / _xlfn.XLOOKUP(A40, Jungle!A:A, Jungle!AA:AA)</f>
        <v>#DIV/0!</v>
      </c>
    </row>
    <row r="41" spans="1:23" x14ac:dyDescent="0.25">
      <c r="N41" s="6"/>
      <c r="O41" s="7"/>
      <c r="P41" s="8">
        <f t="shared" si="8"/>
        <v>0</v>
      </c>
      <c r="Q41" s="1"/>
      <c r="R41" s="6">
        <f t="shared" si="9"/>
        <v>0</v>
      </c>
      <c r="S41" s="9" t="e">
        <f t="shared" si="10"/>
        <v>#DIV/0!</v>
      </c>
      <c r="T41" s="9">
        <f t="shared" si="11"/>
        <v>0</v>
      </c>
      <c r="U41" s="9" t="e">
        <f>R41 / _xlfn.XLOOKUP(A41, Jungle!A:A, Jungle!AA:AA)</f>
        <v>#DIV/0!</v>
      </c>
    </row>
    <row r="42" spans="1:23" x14ac:dyDescent="0.25">
      <c r="N42" s="6"/>
      <c r="O42" s="7"/>
      <c r="P42" s="8">
        <f t="shared" si="8"/>
        <v>0</v>
      </c>
      <c r="Q42" s="1"/>
      <c r="R42" s="6">
        <f t="shared" si="9"/>
        <v>0</v>
      </c>
      <c r="S42" s="9" t="e">
        <f t="shared" si="10"/>
        <v>#DIV/0!</v>
      </c>
      <c r="T42" s="9">
        <f t="shared" si="11"/>
        <v>0</v>
      </c>
      <c r="U42" s="9" t="e">
        <f>R42 / _xlfn.XLOOKUP(A42, Jungle!A:A, Jungle!AA:AA)</f>
        <v>#DIV/0!</v>
      </c>
    </row>
    <row r="43" spans="1:23" x14ac:dyDescent="0.25">
      <c r="N43" s="6"/>
      <c r="O43" s="7"/>
      <c r="P43" s="8">
        <f t="shared" si="8"/>
        <v>0</v>
      </c>
      <c r="Q43" s="1"/>
      <c r="R43" s="6">
        <f t="shared" si="9"/>
        <v>0</v>
      </c>
      <c r="S43" s="9" t="e">
        <f t="shared" si="10"/>
        <v>#DIV/0!</v>
      </c>
      <c r="T43" s="9">
        <f t="shared" si="11"/>
        <v>0</v>
      </c>
      <c r="U43" s="9" t="e">
        <f>R43 / _xlfn.XLOOKUP(A43, Jungle!A:A, Jungle!AA:AA)</f>
        <v>#DIV/0!</v>
      </c>
    </row>
    <row r="44" spans="1:23" x14ac:dyDescent="0.25">
      <c r="N44" s="6"/>
      <c r="O44" s="7"/>
      <c r="P44" s="8">
        <f t="shared" si="8"/>
        <v>0</v>
      </c>
      <c r="Q44" s="1"/>
      <c r="R44" s="6">
        <f t="shared" si="9"/>
        <v>0</v>
      </c>
      <c r="S44" s="9" t="e">
        <f t="shared" si="10"/>
        <v>#DIV/0!</v>
      </c>
      <c r="T44" s="9">
        <f t="shared" si="11"/>
        <v>0</v>
      </c>
      <c r="U44" s="9" t="e">
        <f>R44 / _xlfn.XLOOKUP(A44, Jungle!A:A, Jungle!AA:AA)</f>
        <v>#DIV/0!</v>
      </c>
    </row>
    <row r="45" spans="1:23" x14ac:dyDescent="0.25">
      <c r="N45" s="6"/>
      <c r="O45" s="7"/>
      <c r="P45" s="8">
        <f t="shared" si="8"/>
        <v>0</v>
      </c>
      <c r="Q45" s="1"/>
      <c r="R45" s="6">
        <f t="shared" si="9"/>
        <v>0</v>
      </c>
      <c r="S45" s="9" t="e">
        <f t="shared" si="10"/>
        <v>#DIV/0!</v>
      </c>
      <c r="T45" s="9">
        <f t="shared" si="11"/>
        <v>0</v>
      </c>
      <c r="U45" s="9" t="e">
        <f>R45 / _xlfn.XLOOKUP(A45, Jungle!A:A, Jungle!AA:AA)</f>
        <v>#DIV/0!</v>
      </c>
    </row>
    <row r="46" spans="1:23" x14ac:dyDescent="0.25">
      <c r="N46" s="6"/>
      <c r="O46" s="7"/>
      <c r="P46" s="8">
        <f t="shared" si="8"/>
        <v>0</v>
      </c>
      <c r="Q46" s="1"/>
      <c r="R46" s="6">
        <f t="shared" si="9"/>
        <v>0</v>
      </c>
      <c r="S46" s="9" t="e">
        <f t="shared" si="10"/>
        <v>#DIV/0!</v>
      </c>
      <c r="T46" s="9">
        <f t="shared" si="11"/>
        <v>0</v>
      </c>
      <c r="U46" s="9" t="e">
        <f>R46 / _xlfn.XLOOKUP(A46, Jungle!A:A, Jungle!AA:AA)</f>
        <v>#DIV/0!</v>
      </c>
    </row>
    <row r="47" spans="1:23" x14ac:dyDescent="0.25">
      <c r="N47" s="6"/>
      <c r="O47" s="7"/>
      <c r="P47" s="8">
        <f t="shared" si="8"/>
        <v>0</v>
      </c>
      <c r="Q47" s="1"/>
      <c r="R47" s="6">
        <f t="shared" si="9"/>
        <v>0</v>
      </c>
      <c r="S47" s="9" t="e">
        <f t="shared" si="10"/>
        <v>#DIV/0!</v>
      </c>
      <c r="T47" s="9">
        <f t="shared" si="11"/>
        <v>0</v>
      </c>
      <c r="U47" s="9" t="e">
        <f>R47 / _xlfn.XLOOKUP(A47, Jungle!A:A, Jungle!AA:AA)</f>
        <v>#DIV/0!</v>
      </c>
    </row>
    <row r="48" spans="1:23" x14ac:dyDescent="0.25">
      <c r="U48" s="9" t="e">
        <f>R48 / _xlfn.XLOOKUP(A48, Jungle!A:A, Jungle!AA:AA)</f>
        <v>#DIV/0!</v>
      </c>
    </row>
    <row r="49" spans="21:21" x14ac:dyDescent="0.25">
      <c r="U49" s="9" t="e">
        <f>R49 / _xlfn.XLOOKUP(A49, Jungle!A:A, Jungle!AA:AA)</f>
        <v>#DIV/0!</v>
      </c>
    </row>
    <row r="50" spans="21:21" x14ac:dyDescent="0.25">
      <c r="U50" s="9" t="e">
        <f>R50 / _xlfn.XLOOKUP(A50, Jungle!A:A, Jungle!AA:AA)</f>
        <v>#DIV/0!</v>
      </c>
    </row>
    <row r="51" spans="21:21" x14ac:dyDescent="0.25">
      <c r="U51" s="9" t="e">
        <f>R51 / _xlfn.XLOOKUP(A51, Jungle!A:A, Jungle!AA:AA)</f>
        <v>#DIV/0!</v>
      </c>
    </row>
    <row r="52" spans="21:21" x14ac:dyDescent="0.25">
      <c r="U52" s="9" t="e">
        <f>R52 / _xlfn.XLOOKUP(A52, Jungle!A:A, Jungle!AA:AA)</f>
        <v>#DIV/0!</v>
      </c>
    </row>
    <row r="53" spans="21:21" x14ac:dyDescent="0.25">
      <c r="U53" s="9" t="e">
        <f>R53 / _xlfn.XLOOKUP(A53, Jungle!A:A, Jungle!AA:AA)</f>
        <v>#DIV/0!</v>
      </c>
    </row>
    <row r="54" spans="21:21" x14ac:dyDescent="0.25">
      <c r="U54" s="9" t="e">
        <f>R54 / _xlfn.XLOOKUP(A54, Jungle!A:A, Jungle!AA:AA)</f>
        <v>#DIV/0!</v>
      </c>
    </row>
    <row r="55" spans="21:21" x14ac:dyDescent="0.25">
      <c r="U55" s="9" t="e">
        <f>R55 / _xlfn.XLOOKUP(A55, Jungle!A:A, Jungle!AA:AA)</f>
        <v>#DIV/0!</v>
      </c>
    </row>
    <row r="56" spans="21:21" x14ac:dyDescent="0.25">
      <c r="U56" s="9" t="e">
        <f>R56 / _xlfn.XLOOKUP(A56, Jungle!A:A, Jungle!AA:AA)</f>
        <v>#DIV/0!</v>
      </c>
    </row>
  </sheetData>
  <sortState xmlns:xlrd2="http://schemas.microsoft.com/office/spreadsheetml/2017/richdata2" ref="A3:U39">
    <sortCondition descending="1" ref="S3:S39"/>
  </sortState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EE73-CEBB-471B-B83E-B72B5025A470}">
  <sheetPr>
    <tabColor theme="6" tint="0.59999389629810485"/>
  </sheetPr>
  <dimension ref="A1:W49"/>
  <sheetViews>
    <sheetView workbookViewId="0">
      <selection activeCell="U3" sqref="U3:U29"/>
    </sheetView>
  </sheetViews>
  <sheetFormatPr baseColWidth="10" defaultRowHeight="15" x14ac:dyDescent="0.25"/>
  <sheetData>
    <row r="1" spans="1:23" ht="15.75" x14ac:dyDescent="0.25">
      <c r="A1" s="2" t="s">
        <v>98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91</v>
      </c>
      <c r="B3" s="6"/>
      <c r="C3" s="7"/>
      <c r="D3" s="8">
        <f t="shared" ref="D3:D29" si="0">B3*C3</f>
        <v>0</v>
      </c>
      <c r="E3" s="6"/>
      <c r="F3" s="7"/>
      <c r="G3" s="8">
        <f t="shared" ref="G3:G29" si="1">E3*F3</f>
        <v>0</v>
      </c>
      <c r="H3" s="6"/>
      <c r="I3" s="7"/>
      <c r="J3" s="8">
        <f t="shared" ref="J3:J29" si="2">H3*I3</f>
        <v>0</v>
      </c>
      <c r="K3" s="6"/>
      <c r="L3" s="7"/>
      <c r="M3" s="8">
        <f t="shared" ref="M3:M29" si="3">K3*L3</f>
        <v>0</v>
      </c>
      <c r="N3" s="6"/>
      <c r="O3" s="7"/>
      <c r="P3" s="8">
        <f t="shared" ref="P3:P29" si="4">N3*O3</f>
        <v>0</v>
      </c>
      <c r="Q3" s="1"/>
      <c r="R3" s="6">
        <f t="shared" ref="R3:R29" si="5">B3+E3+H3+K3+N3</f>
        <v>0</v>
      </c>
      <c r="S3" s="9" t="e">
        <f t="shared" ref="S3:S29" si="6">(D3+G3+J3+M3+P3)/R3</f>
        <v>#DIV/0!</v>
      </c>
      <c r="T3" s="9">
        <f t="shared" ref="T3:T29" si="7">R3/$V$3</f>
        <v>0</v>
      </c>
      <c r="U3" s="9">
        <f>R3 / _xlfn.XLOOKUP(A3, Jungle!A:A, Jungle!AA:AA)</f>
        <v>0</v>
      </c>
      <c r="V3" s="11">
        <f>SUM(R3:R63)</f>
        <v>309</v>
      </c>
      <c r="W3" s="12">
        <f>(SUM(D3:D93)+SUM(G3:G93)+SUM(J3:J93)+SUM(M3:M93)+SUM(P3:P93)) / V3</f>
        <v>0.4465954692556634</v>
      </c>
    </row>
    <row r="4" spans="1:23" x14ac:dyDescent="0.25">
      <c r="A4" s="1" t="s">
        <v>99</v>
      </c>
      <c r="B4" s="6"/>
      <c r="C4" s="7"/>
      <c r="D4" s="8">
        <f t="shared" si="0"/>
        <v>0</v>
      </c>
      <c r="E4" s="6"/>
      <c r="F4" s="7"/>
      <c r="G4" s="8">
        <f t="shared" si="1"/>
        <v>0</v>
      </c>
      <c r="H4" s="6">
        <v>2</v>
      </c>
      <c r="I4" s="7">
        <v>1</v>
      </c>
      <c r="J4" s="8">
        <f t="shared" si="2"/>
        <v>2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2</v>
      </c>
      <c r="S4" s="9">
        <f t="shared" si="6"/>
        <v>1</v>
      </c>
      <c r="T4" s="9">
        <f t="shared" si="7"/>
        <v>6.4724919093851136E-3</v>
      </c>
      <c r="U4" s="9">
        <f>R4 / _xlfn.XLOOKUP(A4, Jungle!A:A, Jungle!AA:AA)</f>
        <v>0.66666666666666663</v>
      </c>
      <c r="V4" s="1"/>
      <c r="W4" s="1"/>
    </row>
    <row r="5" spans="1:23" x14ac:dyDescent="0.25">
      <c r="A5" s="1" t="s">
        <v>80</v>
      </c>
      <c r="B5" s="6"/>
      <c r="C5" s="7"/>
      <c r="D5" s="8">
        <f t="shared" si="0"/>
        <v>0</v>
      </c>
      <c r="E5" s="6"/>
      <c r="F5" s="7"/>
      <c r="G5" s="8">
        <f t="shared" si="1"/>
        <v>0</v>
      </c>
      <c r="H5" s="6">
        <v>1</v>
      </c>
      <c r="I5" s="7">
        <v>1</v>
      </c>
      <c r="J5" s="8">
        <f t="shared" si="2"/>
        <v>1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1</v>
      </c>
      <c r="S5" s="9">
        <f t="shared" si="6"/>
        <v>1</v>
      </c>
      <c r="T5" s="9">
        <f t="shared" si="7"/>
        <v>3.2362459546925568E-3</v>
      </c>
      <c r="U5" s="9">
        <f>R5 / _xlfn.XLOOKUP(A5, Jungle!A:A, Jungle!AA:AA)</f>
        <v>1.0869565217391304E-2</v>
      </c>
      <c r="V5" s="1"/>
      <c r="W5" s="1"/>
    </row>
    <row r="6" spans="1:23" x14ac:dyDescent="0.25">
      <c r="A6" s="25" t="s">
        <v>230</v>
      </c>
      <c r="B6" s="6">
        <v>6</v>
      </c>
      <c r="C6" s="7">
        <v>1</v>
      </c>
      <c r="D6" s="8">
        <f t="shared" si="0"/>
        <v>6</v>
      </c>
      <c r="E6" s="6">
        <v>1</v>
      </c>
      <c r="F6" s="7">
        <v>1</v>
      </c>
      <c r="G6" s="8">
        <f t="shared" si="1"/>
        <v>1</v>
      </c>
      <c r="H6" s="6">
        <v>2</v>
      </c>
      <c r="I6" s="7">
        <v>0.5</v>
      </c>
      <c r="J6" s="8">
        <f t="shared" si="2"/>
        <v>1</v>
      </c>
      <c r="K6" s="6">
        <v>2</v>
      </c>
      <c r="L6" s="7">
        <v>0</v>
      </c>
      <c r="M6" s="8">
        <f t="shared" si="3"/>
        <v>0</v>
      </c>
      <c r="N6" s="6"/>
      <c r="O6" s="7"/>
      <c r="P6" s="8">
        <f t="shared" si="4"/>
        <v>0</v>
      </c>
      <c r="Q6" s="1"/>
      <c r="R6" s="6">
        <f t="shared" si="5"/>
        <v>11</v>
      </c>
      <c r="S6" s="9">
        <f t="shared" si="6"/>
        <v>0.72727272727272729</v>
      </c>
      <c r="T6" s="9">
        <f t="shared" si="7"/>
        <v>3.5598705501618123E-2</v>
      </c>
      <c r="U6" s="9">
        <f>R6 / _xlfn.XLOOKUP(A6, Jungle!A:A, Jungle!AA:AA)</f>
        <v>0.28205128205128205</v>
      </c>
      <c r="V6" s="1"/>
      <c r="W6" s="1"/>
    </row>
    <row r="7" spans="1:23" x14ac:dyDescent="0.25">
      <c r="A7" s="1" t="s">
        <v>82</v>
      </c>
      <c r="B7" s="6"/>
      <c r="C7" s="7"/>
      <c r="D7" s="8">
        <f t="shared" si="0"/>
        <v>0</v>
      </c>
      <c r="E7" s="6"/>
      <c r="F7" s="7"/>
      <c r="G7" s="8">
        <f t="shared" si="1"/>
        <v>0</v>
      </c>
      <c r="H7" s="6">
        <v>8</v>
      </c>
      <c r="I7" s="7">
        <v>0.625</v>
      </c>
      <c r="J7" s="8">
        <f t="shared" si="2"/>
        <v>5</v>
      </c>
      <c r="K7" s="6">
        <v>1</v>
      </c>
      <c r="L7" s="7">
        <v>1</v>
      </c>
      <c r="M7" s="8">
        <f t="shared" si="3"/>
        <v>1</v>
      </c>
      <c r="N7" s="6"/>
      <c r="O7" s="7"/>
      <c r="P7" s="8">
        <f t="shared" si="4"/>
        <v>0</v>
      </c>
      <c r="Q7" s="1"/>
      <c r="R7" s="6">
        <f t="shared" si="5"/>
        <v>9</v>
      </c>
      <c r="S7" s="9">
        <f t="shared" si="6"/>
        <v>0.66666666666666663</v>
      </c>
      <c r="T7" s="9">
        <f t="shared" si="7"/>
        <v>2.9126213592233011E-2</v>
      </c>
      <c r="U7" s="9">
        <f>R7 / _xlfn.XLOOKUP(A7, Jungle!A:A, Jungle!AA:AA)</f>
        <v>0.14285714285714285</v>
      </c>
      <c r="V7" s="1"/>
      <c r="W7" s="1"/>
    </row>
    <row r="8" spans="1:23" x14ac:dyDescent="0.25">
      <c r="A8" s="1" t="s">
        <v>73</v>
      </c>
      <c r="B8" s="6">
        <v>4</v>
      </c>
      <c r="C8" s="7">
        <v>0.75</v>
      </c>
      <c r="D8" s="8">
        <f t="shared" si="0"/>
        <v>3</v>
      </c>
      <c r="E8" s="6"/>
      <c r="F8" s="7"/>
      <c r="G8" s="8">
        <f t="shared" si="1"/>
        <v>0</v>
      </c>
      <c r="H8" s="6">
        <v>16</v>
      </c>
      <c r="I8" s="7">
        <v>0.625</v>
      </c>
      <c r="J8" s="8">
        <f t="shared" si="2"/>
        <v>10</v>
      </c>
      <c r="K8" s="6">
        <v>8</v>
      </c>
      <c r="L8" s="7">
        <v>0.625</v>
      </c>
      <c r="M8" s="8">
        <f t="shared" si="3"/>
        <v>5</v>
      </c>
      <c r="N8" s="6"/>
      <c r="O8" s="7"/>
      <c r="P8" s="8">
        <f t="shared" si="4"/>
        <v>0</v>
      </c>
      <c r="Q8" s="1"/>
      <c r="R8" s="6">
        <f t="shared" si="5"/>
        <v>28</v>
      </c>
      <c r="S8" s="9">
        <f t="shared" si="6"/>
        <v>0.6428571428571429</v>
      </c>
      <c r="T8" s="9">
        <f t="shared" si="7"/>
        <v>9.0614886731391592E-2</v>
      </c>
      <c r="U8" s="9">
        <f>R8 / _xlfn.XLOOKUP(A8, Jungle!A:A, Jungle!AA:AA)</f>
        <v>5.0359712230215826E-2</v>
      </c>
      <c r="V8" s="1"/>
      <c r="W8" s="1"/>
    </row>
    <row r="9" spans="1:23" x14ac:dyDescent="0.25">
      <c r="A9" s="1" t="s">
        <v>69</v>
      </c>
      <c r="B9" s="6">
        <v>22</v>
      </c>
      <c r="C9" s="7">
        <v>0.59099999999999997</v>
      </c>
      <c r="D9" s="8">
        <f t="shared" si="0"/>
        <v>13.001999999999999</v>
      </c>
      <c r="E9" s="6">
        <v>1</v>
      </c>
      <c r="F9" s="7">
        <v>0</v>
      </c>
      <c r="G9" s="8">
        <f t="shared" si="1"/>
        <v>0</v>
      </c>
      <c r="H9" s="6">
        <v>8</v>
      </c>
      <c r="I9" s="7">
        <v>0.75</v>
      </c>
      <c r="J9" s="8">
        <f t="shared" si="2"/>
        <v>6</v>
      </c>
      <c r="K9" s="6">
        <v>2</v>
      </c>
      <c r="L9" s="7">
        <v>0</v>
      </c>
      <c r="M9" s="8">
        <f t="shared" si="3"/>
        <v>0</v>
      </c>
      <c r="N9" s="6"/>
      <c r="O9" s="7"/>
      <c r="P9" s="8">
        <f t="shared" si="4"/>
        <v>0</v>
      </c>
      <c r="Q9" s="4"/>
      <c r="R9" s="6">
        <f t="shared" si="5"/>
        <v>33</v>
      </c>
      <c r="S9" s="9">
        <f t="shared" si="6"/>
        <v>0.57581818181818178</v>
      </c>
      <c r="T9" s="9">
        <f t="shared" si="7"/>
        <v>0.10679611650485436</v>
      </c>
      <c r="U9" s="9">
        <f>R9 / _xlfn.XLOOKUP(A9, Jungle!A:A, Jungle!AA:AA)</f>
        <v>7.3496659242761692E-2</v>
      </c>
      <c r="V9" s="1"/>
      <c r="W9" s="1"/>
    </row>
    <row r="10" spans="1:23" x14ac:dyDescent="0.25">
      <c r="A10" s="1" t="s">
        <v>75</v>
      </c>
      <c r="B10" s="6">
        <v>8</v>
      </c>
      <c r="C10" s="7">
        <v>0.5</v>
      </c>
      <c r="D10" s="8">
        <f t="shared" si="0"/>
        <v>4</v>
      </c>
      <c r="E10" s="6"/>
      <c r="F10" s="7"/>
      <c r="G10" s="8">
        <f t="shared" si="1"/>
        <v>0</v>
      </c>
      <c r="H10" s="6"/>
      <c r="I10" s="7"/>
      <c r="J10" s="8">
        <f t="shared" si="2"/>
        <v>0</v>
      </c>
      <c r="K10" s="6">
        <v>1</v>
      </c>
      <c r="L10" s="7">
        <v>1</v>
      </c>
      <c r="M10" s="8">
        <f t="shared" si="3"/>
        <v>1</v>
      </c>
      <c r="N10" s="6"/>
      <c r="O10" s="7"/>
      <c r="P10" s="8">
        <f t="shared" si="4"/>
        <v>0</v>
      </c>
      <c r="Q10" s="1"/>
      <c r="R10" s="6">
        <f t="shared" si="5"/>
        <v>9</v>
      </c>
      <c r="S10" s="9">
        <f t="shared" si="6"/>
        <v>0.55555555555555558</v>
      </c>
      <c r="T10" s="9">
        <f t="shared" si="7"/>
        <v>2.9126213592233011E-2</v>
      </c>
      <c r="U10" s="9">
        <f>R10 / _xlfn.XLOOKUP(A10, Jungle!A:A, Jungle!AA:AA)</f>
        <v>0.14754098360655737</v>
      </c>
      <c r="V10" s="1"/>
      <c r="W10" s="1"/>
    </row>
    <row r="11" spans="1:23" x14ac:dyDescent="0.25">
      <c r="A11" s="1" t="s">
        <v>57</v>
      </c>
      <c r="B11" s="6">
        <v>22</v>
      </c>
      <c r="C11" s="7">
        <v>0.54500000000000004</v>
      </c>
      <c r="D11" s="8">
        <f t="shared" si="0"/>
        <v>11.99</v>
      </c>
      <c r="E11" s="6">
        <v>1</v>
      </c>
      <c r="F11" s="7">
        <v>0</v>
      </c>
      <c r="G11" s="8">
        <f t="shared" si="1"/>
        <v>0</v>
      </c>
      <c r="H11" s="6">
        <v>14</v>
      </c>
      <c r="I11" s="7">
        <v>0.57099999999999995</v>
      </c>
      <c r="J11" s="8">
        <f t="shared" si="2"/>
        <v>7.9939999999999998</v>
      </c>
      <c r="K11" s="6">
        <v>3</v>
      </c>
      <c r="L11" s="7">
        <v>0.66700000000000004</v>
      </c>
      <c r="M11" s="8">
        <f t="shared" si="3"/>
        <v>2.0010000000000003</v>
      </c>
      <c r="N11" s="6"/>
      <c r="O11" s="7"/>
      <c r="P11" s="8">
        <f t="shared" si="4"/>
        <v>0</v>
      </c>
      <c r="Q11" s="1"/>
      <c r="R11" s="6">
        <f t="shared" si="5"/>
        <v>40</v>
      </c>
      <c r="S11" s="9">
        <f t="shared" si="6"/>
        <v>0.54962500000000003</v>
      </c>
      <c r="T11" s="9">
        <f t="shared" si="7"/>
        <v>0.12944983818770225</v>
      </c>
      <c r="U11" s="9">
        <f>R11 / _xlfn.XLOOKUP(A11, Jungle!A:A, Jungle!AA:AA)</f>
        <v>8.98876404494382E-2</v>
      </c>
      <c r="V11" s="1"/>
      <c r="W11" s="1"/>
    </row>
    <row r="12" spans="1:23" x14ac:dyDescent="0.25">
      <c r="A12" s="1" t="s">
        <v>30</v>
      </c>
      <c r="B12" s="6">
        <v>2</v>
      </c>
      <c r="C12" s="7">
        <v>1</v>
      </c>
      <c r="D12" s="8">
        <f t="shared" si="0"/>
        <v>2</v>
      </c>
      <c r="E12" s="6"/>
      <c r="F12" s="7"/>
      <c r="G12" s="8">
        <f t="shared" si="1"/>
        <v>0</v>
      </c>
      <c r="H12" s="6">
        <v>11</v>
      </c>
      <c r="I12" s="7">
        <v>0.45500000000000002</v>
      </c>
      <c r="J12" s="8">
        <f t="shared" si="2"/>
        <v>5.0049999999999999</v>
      </c>
      <c r="K12" s="6">
        <v>1</v>
      </c>
      <c r="L12" s="7">
        <v>0</v>
      </c>
      <c r="M12" s="8">
        <f t="shared" si="3"/>
        <v>0</v>
      </c>
      <c r="N12" s="6"/>
      <c r="O12" s="7"/>
      <c r="P12" s="8">
        <f t="shared" si="4"/>
        <v>0</v>
      </c>
      <c r="Q12" s="1"/>
      <c r="R12" s="6">
        <f t="shared" si="5"/>
        <v>14</v>
      </c>
      <c r="S12" s="9">
        <f t="shared" si="6"/>
        <v>0.50035714285714283</v>
      </c>
      <c r="T12" s="9">
        <f t="shared" si="7"/>
        <v>4.5307443365695796E-2</v>
      </c>
      <c r="U12" s="9">
        <f>R12 / _xlfn.XLOOKUP(A12, Jungle!A:A, Jungle!AA:AA)</f>
        <v>3.4912718204488775E-2</v>
      </c>
      <c r="V12" s="1"/>
      <c r="W12" s="1"/>
    </row>
    <row r="13" spans="1:23" x14ac:dyDescent="0.25">
      <c r="A13" s="1" t="s">
        <v>83</v>
      </c>
      <c r="B13" s="6"/>
      <c r="C13" s="7"/>
      <c r="D13" s="8">
        <f t="shared" si="0"/>
        <v>0</v>
      </c>
      <c r="E13" s="6"/>
      <c r="F13" s="7"/>
      <c r="G13" s="8">
        <f t="shared" si="1"/>
        <v>0</v>
      </c>
      <c r="H13" s="6">
        <v>4</v>
      </c>
      <c r="I13" s="7">
        <v>0.5</v>
      </c>
      <c r="J13" s="8">
        <f t="shared" si="2"/>
        <v>2</v>
      </c>
      <c r="K13" s="6"/>
      <c r="L13" s="7"/>
      <c r="M13" s="8">
        <f t="shared" si="3"/>
        <v>0</v>
      </c>
      <c r="N13" s="6"/>
      <c r="O13" s="7"/>
      <c r="P13" s="8">
        <f t="shared" si="4"/>
        <v>0</v>
      </c>
      <c r="Q13" s="1"/>
      <c r="R13" s="6">
        <f t="shared" si="5"/>
        <v>4</v>
      </c>
      <c r="S13" s="9">
        <f t="shared" si="6"/>
        <v>0.5</v>
      </c>
      <c r="T13" s="9">
        <f t="shared" si="7"/>
        <v>1.2944983818770227E-2</v>
      </c>
      <c r="U13" s="9">
        <f>R13 / _xlfn.XLOOKUP(A13, Jungle!A:A, Jungle!AA:AA)</f>
        <v>4.878048780487805E-2</v>
      </c>
      <c r="V13" s="1"/>
      <c r="W13" s="1"/>
    </row>
    <row r="14" spans="1:23" x14ac:dyDescent="0.25">
      <c r="A14" s="1" t="s">
        <v>31</v>
      </c>
      <c r="B14" s="6">
        <v>10</v>
      </c>
      <c r="C14" s="7">
        <v>0.5</v>
      </c>
      <c r="D14" s="8">
        <f t="shared" si="0"/>
        <v>5</v>
      </c>
      <c r="E14" s="6"/>
      <c r="F14" s="7"/>
      <c r="G14" s="8">
        <f t="shared" si="1"/>
        <v>0</v>
      </c>
      <c r="H14" s="6">
        <v>2</v>
      </c>
      <c r="I14" s="7">
        <v>0.5</v>
      </c>
      <c r="J14" s="8">
        <f t="shared" si="2"/>
        <v>1</v>
      </c>
      <c r="K14" s="6">
        <v>2</v>
      </c>
      <c r="L14" s="7">
        <v>0</v>
      </c>
      <c r="M14" s="8">
        <f t="shared" si="3"/>
        <v>0</v>
      </c>
      <c r="N14" s="6"/>
      <c r="O14" s="7"/>
      <c r="P14" s="8">
        <f t="shared" si="4"/>
        <v>0</v>
      </c>
      <c r="Q14" s="1"/>
      <c r="R14" s="6">
        <f t="shared" si="5"/>
        <v>14</v>
      </c>
      <c r="S14" s="9">
        <f t="shared" si="6"/>
        <v>0.42857142857142855</v>
      </c>
      <c r="T14" s="9">
        <f t="shared" si="7"/>
        <v>4.5307443365695796E-2</v>
      </c>
      <c r="U14" s="9">
        <f>R14 / _xlfn.XLOOKUP(A14, Jungle!A:A, Jungle!AA:AA)</f>
        <v>5.3435114503816793E-2</v>
      </c>
      <c r="V14" s="1"/>
      <c r="W14" s="1"/>
    </row>
    <row r="15" spans="1:23" x14ac:dyDescent="0.25">
      <c r="A15" s="1" t="s">
        <v>45</v>
      </c>
      <c r="B15" s="6">
        <v>4</v>
      </c>
      <c r="C15" s="7">
        <v>0.5</v>
      </c>
      <c r="D15" s="8">
        <f t="shared" si="0"/>
        <v>2</v>
      </c>
      <c r="E15" s="6">
        <v>1</v>
      </c>
      <c r="F15" s="7">
        <v>0</v>
      </c>
      <c r="G15" s="8">
        <f t="shared" si="1"/>
        <v>0</v>
      </c>
      <c r="H15" s="6"/>
      <c r="I15" s="7"/>
      <c r="J15" s="8">
        <f t="shared" si="2"/>
        <v>0</v>
      </c>
      <c r="K15" s="6">
        <v>3</v>
      </c>
      <c r="L15" s="7">
        <v>0.33300000000000002</v>
      </c>
      <c r="M15" s="8">
        <f t="shared" si="3"/>
        <v>0.99900000000000011</v>
      </c>
      <c r="N15" s="6"/>
      <c r="O15" s="7"/>
      <c r="P15" s="8">
        <f t="shared" si="4"/>
        <v>0</v>
      </c>
      <c r="Q15" s="13"/>
      <c r="R15" s="6">
        <f t="shared" si="5"/>
        <v>8</v>
      </c>
      <c r="S15" s="9">
        <f t="shared" si="6"/>
        <v>0.37487500000000001</v>
      </c>
      <c r="T15" s="9">
        <f t="shared" si="7"/>
        <v>2.5889967637540454E-2</v>
      </c>
      <c r="U15" s="9">
        <f>R15 / _xlfn.XLOOKUP(A15, Jungle!A:A, Jungle!AA:AA)</f>
        <v>3.3195020746887967E-2</v>
      </c>
      <c r="V15" s="1"/>
      <c r="W15" s="1"/>
    </row>
    <row r="16" spans="1:23" x14ac:dyDescent="0.25">
      <c r="A16" s="1" t="s">
        <v>70</v>
      </c>
      <c r="B16" s="6">
        <v>13</v>
      </c>
      <c r="C16" s="7">
        <v>0.46200000000000002</v>
      </c>
      <c r="D16" s="8">
        <f t="shared" si="0"/>
        <v>6.0060000000000002</v>
      </c>
      <c r="E16" s="6"/>
      <c r="F16" s="7"/>
      <c r="G16" s="8">
        <f t="shared" si="1"/>
        <v>0</v>
      </c>
      <c r="H16" s="6">
        <v>7</v>
      </c>
      <c r="I16" s="7">
        <v>0.57099999999999995</v>
      </c>
      <c r="J16" s="8">
        <f t="shared" si="2"/>
        <v>3.9969999999999999</v>
      </c>
      <c r="K16" s="6">
        <v>10</v>
      </c>
      <c r="L16" s="7">
        <v>0.1</v>
      </c>
      <c r="M16" s="8">
        <f t="shared" si="3"/>
        <v>1</v>
      </c>
      <c r="N16" s="6"/>
      <c r="O16" s="7"/>
      <c r="P16" s="8">
        <f t="shared" si="4"/>
        <v>0</v>
      </c>
      <c r="Q16" s="4"/>
      <c r="R16" s="6">
        <f t="shared" si="5"/>
        <v>30</v>
      </c>
      <c r="S16" s="9">
        <f t="shared" si="6"/>
        <v>0.36676666666666669</v>
      </c>
      <c r="T16" s="9">
        <f t="shared" si="7"/>
        <v>9.7087378640776698E-2</v>
      </c>
      <c r="U16" s="9">
        <f>R16 / _xlfn.XLOOKUP(A16, Jungle!A:A, Jungle!AA:AA)</f>
        <v>6.0362173038229376E-2</v>
      </c>
      <c r="V16" s="1"/>
      <c r="W16" s="1"/>
    </row>
    <row r="17" spans="1:23" x14ac:dyDescent="0.25">
      <c r="A17" s="1" t="s">
        <v>26</v>
      </c>
      <c r="B17" s="6">
        <v>4</v>
      </c>
      <c r="C17" s="7">
        <v>0.75</v>
      </c>
      <c r="D17" s="8">
        <f t="shared" si="0"/>
        <v>3</v>
      </c>
      <c r="E17" s="6">
        <v>1</v>
      </c>
      <c r="F17" s="7">
        <v>0</v>
      </c>
      <c r="G17" s="8">
        <f t="shared" si="1"/>
        <v>0</v>
      </c>
      <c r="H17" s="6">
        <v>21</v>
      </c>
      <c r="I17" s="7">
        <v>0.38100000000000001</v>
      </c>
      <c r="J17" s="8">
        <f t="shared" si="2"/>
        <v>8.0009999999999994</v>
      </c>
      <c r="K17" s="6">
        <v>7</v>
      </c>
      <c r="L17" s="7">
        <v>0.14299999999999999</v>
      </c>
      <c r="M17" s="8">
        <f t="shared" si="3"/>
        <v>1.0009999999999999</v>
      </c>
      <c r="N17" s="6"/>
      <c r="O17" s="7"/>
      <c r="P17" s="8">
        <f t="shared" si="4"/>
        <v>0</v>
      </c>
      <c r="Q17" s="1"/>
      <c r="R17" s="6">
        <f t="shared" si="5"/>
        <v>33</v>
      </c>
      <c r="S17" s="9">
        <f t="shared" si="6"/>
        <v>0.36369696969696969</v>
      </c>
      <c r="T17" s="9">
        <f t="shared" si="7"/>
        <v>0.10679611650485436</v>
      </c>
      <c r="U17" s="9">
        <f>R17 / _xlfn.XLOOKUP(A17, Jungle!A:A, Jungle!AA:AA)</f>
        <v>5.1968503937007873E-2</v>
      </c>
      <c r="V17" s="1"/>
      <c r="W17" s="1"/>
    </row>
    <row r="18" spans="1:23" x14ac:dyDescent="0.25">
      <c r="A18" s="1" t="s">
        <v>67</v>
      </c>
      <c r="B18" s="6">
        <v>8</v>
      </c>
      <c r="C18" s="7">
        <v>0.5</v>
      </c>
      <c r="D18" s="8">
        <f t="shared" si="0"/>
        <v>4</v>
      </c>
      <c r="E18" s="6"/>
      <c r="F18" s="7"/>
      <c r="G18" s="8">
        <f t="shared" si="1"/>
        <v>0</v>
      </c>
      <c r="H18" s="6"/>
      <c r="I18" s="7"/>
      <c r="J18" s="8">
        <f t="shared" si="2"/>
        <v>0</v>
      </c>
      <c r="K18" s="6">
        <v>9</v>
      </c>
      <c r="L18" s="7">
        <v>0.222</v>
      </c>
      <c r="M18" s="8">
        <f t="shared" si="3"/>
        <v>1.998</v>
      </c>
      <c r="N18" s="6"/>
      <c r="O18" s="7"/>
      <c r="P18" s="8">
        <f t="shared" si="4"/>
        <v>0</v>
      </c>
      <c r="Q18" s="4"/>
      <c r="R18" s="6">
        <f t="shared" si="5"/>
        <v>17</v>
      </c>
      <c r="S18" s="9">
        <f t="shared" si="6"/>
        <v>0.3528235294117647</v>
      </c>
      <c r="T18" s="9">
        <f t="shared" si="7"/>
        <v>5.5016181229773461E-2</v>
      </c>
      <c r="U18" s="9">
        <f>R18 / _xlfn.XLOOKUP(A18, Jungle!A:A, Jungle!AA:AA)</f>
        <v>8.673469387755102E-2</v>
      </c>
      <c r="V18" s="1"/>
      <c r="W18" s="1"/>
    </row>
    <row r="19" spans="1:23" x14ac:dyDescent="0.25">
      <c r="A19" s="1" t="s">
        <v>76</v>
      </c>
      <c r="B19" s="6"/>
      <c r="C19" s="7"/>
      <c r="D19" s="8">
        <f t="shared" si="0"/>
        <v>0</v>
      </c>
      <c r="E19" s="6"/>
      <c r="F19" s="7"/>
      <c r="G19" s="8">
        <f t="shared" si="1"/>
        <v>0</v>
      </c>
      <c r="H19" s="6">
        <v>2</v>
      </c>
      <c r="I19" s="7">
        <v>0.5</v>
      </c>
      <c r="J19" s="8">
        <f t="shared" si="2"/>
        <v>1</v>
      </c>
      <c r="K19" s="6">
        <v>1</v>
      </c>
      <c r="L19" s="7">
        <v>0</v>
      </c>
      <c r="M19" s="8">
        <f t="shared" si="3"/>
        <v>0</v>
      </c>
      <c r="N19" s="6"/>
      <c r="O19" s="7"/>
      <c r="P19" s="8">
        <f t="shared" si="4"/>
        <v>0</v>
      </c>
      <c r="Q19" s="1"/>
      <c r="R19" s="6">
        <f t="shared" si="5"/>
        <v>3</v>
      </c>
      <c r="S19" s="9">
        <f t="shared" si="6"/>
        <v>0.33333333333333331</v>
      </c>
      <c r="T19" s="9">
        <f t="shared" si="7"/>
        <v>9.7087378640776691E-3</v>
      </c>
      <c r="U19" s="9">
        <f>R19 / _xlfn.XLOOKUP(A19, Jungle!A:A, Jungle!AA:AA)</f>
        <v>2.2556390977443608E-2</v>
      </c>
      <c r="V19" s="1"/>
      <c r="W19" s="1"/>
    </row>
    <row r="20" spans="1:23" x14ac:dyDescent="0.25">
      <c r="A20" s="1" t="s">
        <v>71</v>
      </c>
      <c r="B20" s="6">
        <v>7</v>
      </c>
      <c r="C20" s="7">
        <v>0.28599999999999998</v>
      </c>
      <c r="D20" s="8">
        <f t="shared" si="0"/>
        <v>2.0019999999999998</v>
      </c>
      <c r="E20" s="6"/>
      <c r="F20" s="7"/>
      <c r="G20" s="8">
        <f t="shared" si="1"/>
        <v>0</v>
      </c>
      <c r="H20" s="6">
        <v>1</v>
      </c>
      <c r="I20" s="7">
        <v>0</v>
      </c>
      <c r="J20" s="8">
        <f t="shared" si="2"/>
        <v>0</v>
      </c>
      <c r="K20" s="6">
        <v>12</v>
      </c>
      <c r="L20" s="7">
        <v>0.25</v>
      </c>
      <c r="M20" s="8">
        <f t="shared" si="3"/>
        <v>3</v>
      </c>
      <c r="N20" s="6"/>
      <c r="O20" s="7"/>
      <c r="P20" s="8">
        <f t="shared" si="4"/>
        <v>0</v>
      </c>
      <c r="Q20" s="1"/>
      <c r="R20" s="6">
        <f t="shared" si="5"/>
        <v>20</v>
      </c>
      <c r="S20" s="9">
        <f t="shared" si="6"/>
        <v>0.25009999999999999</v>
      </c>
      <c r="T20" s="9">
        <f t="shared" si="7"/>
        <v>6.4724919093851127E-2</v>
      </c>
      <c r="U20" s="9">
        <f>R20 / _xlfn.XLOOKUP(A20, Jungle!A:A, Jungle!AA:AA)</f>
        <v>3.6101083032490974E-2</v>
      </c>
      <c r="V20" s="1"/>
      <c r="W20" s="1"/>
    </row>
    <row r="21" spans="1:23" x14ac:dyDescent="0.25">
      <c r="A21" s="1" t="s">
        <v>77</v>
      </c>
      <c r="B21" s="6"/>
      <c r="C21" s="7"/>
      <c r="D21" s="8">
        <f t="shared" si="0"/>
        <v>0</v>
      </c>
      <c r="E21" s="6"/>
      <c r="F21" s="7"/>
      <c r="G21" s="8">
        <f t="shared" si="1"/>
        <v>0</v>
      </c>
      <c r="H21" s="6"/>
      <c r="I21" s="7"/>
      <c r="J21" s="8">
        <f t="shared" si="2"/>
        <v>0</v>
      </c>
      <c r="K21" s="6">
        <v>4</v>
      </c>
      <c r="L21" s="7">
        <v>0.25</v>
      </c>
      <c r="M21" s="8">
        <f t="shared" si="3"/>
        <v>1</v>
      </c>
      <c r="N21" s="6"/>
      <c r="O21" s="7"/>
      <c r="P21" s="8">
        <f t="shared" si="4"/>
        <v>0</v>
      </c>
      <c r="Q21" s="1"/>
      <c r="R21" s="6">
        <f t="shared" si="5"/>
        <v>4</v>
      </c>
      <c r="S21" s="9">
        <f t="shared" si="6"/>
        <v>0.25</v>
      </c>
      <c r="T21" s="9">
        <f t="shared" si="7"/>
        <v>1.2944983818770227E-2</v>
      </c>
      <c r="U21" s="9">
        <f>R21 / _xlfn.XLOOKUP(A21, Jungle!A:A, Jungle!AA:AA)</f>
        <v>2.9197080291970802E-2</v>
      </c>
      <c r="V21" s="1"/>
      <c r="W21" s="1"/>
    </row>
    <row r="22" spans="1:23" x14ac:dyDescent="0.25">
      <c r="A22" s="1" t="s">
        <v>95</v>
      </c>
      <c r="B22" s="6"/>
      <c r="C22" s="7"/>
      <c r="D22" s="8">
        <f t="shared" si="0"/>
        <v>0</v>
      </c>
      <c r="E22" s="6"/>
      <c r="F22" s="7"/>
      <c r="G22" s="8">
        <f t="shared" si="1"/>
        <v>0</v>
      </c>
      <c r="H22" s="6">
        <v>1</v>
      </c>
      <c r="I22" s="7">
        <v>1</v>
      </c>
      <c r="J22" s="8">
        <f t="shared" si="2"/>
        <v>1</v>
      </c>
      <c r="K22" s="6">
        <v>8</v>
      </c>
      <c r="L22" s="7">
        <v>0.125</v>
      </c>
      <c r="M22" s="8">
        <f t="shared" si="3"/>
        <v>1</v>
      </c>
      <c r="N22" s="6"/>
      <c r="O22" s="7"/>
      <c r="P22" s="8">
        <f t="shared" si="4"/>
        <v>0</v>
      </c>
      <c r="Q22" s="1"/>
      <c r="R22" s="6">
        <f t="shared" si="5"/>
        <v>9</v>
      </c>
      <c r="S22" s="9">
        <f t="shared" si="6"/>
        <v>0.22222222222222221</v>
      </c>
      <c r="T22" s="9">
        <f t="shared" si="7"/>
        <v>2.9126213592233011E-2</v>
      </c>
      <c r="U22" s="9">
        <f>R22 / _xlfn.XLOOKUP(A22, Jungle!A:A, Jungle!AA:AA)</f>
        <v>5.3892215568862277E-2</v>
      </c>
      <c r="V22" s="1"/>
      <c r="W22" s="1"/>
    </row>
    <row r="23" spans="1:23" x14ac:dyDescent="0.25">
      <c r="A23" s="1" t="s">
        <v>72</v>
      </c>
      <c r="B23" s="6"/>
      <c r="C23" s="7"/>
      <c r="D23" s="8">
        <f t="shared" si="0"/>
        <v>0</v>
      </c>
      <c r="E23" s="6"/>
      <c r="F23" s="7"/>
      <c r="G23" s="8">
        <f t="shared" si="1"/>
        <v>0</v>
      </c>
      <c r="H23" s="6">
        <v>1</v>
      </c>
      <c r="I23" s="7">
        <v>0</v>
      </c>
      <c r="J23" s="8">
        <f t="shared" si="2"/>
        <v>0</v>
      </c>
      <c r="K23" s="6">
        <v>6</v>
      </c>
      <c r="L23" s="7">
        <v>0.16700000000000001</v>
      </c>
      <c r="M23" s="8">
        <f t="shared" si="3"/>
        <v>1.002</v>
      </c>
      <c r="N23" s="6"/>
      <c r="O23" s="7"/>
      <c r="P23" s="8">
        <f t="shared" si="4"/>
        <v>0</v>
      </c>
      <c r="Q23" s="1"/>
      <c r="R23" s="6">
        <f t="shared" si="5"/>
        <v>7</v>
      </c>
      <c r="S23" s="9">
        <f t="shared" si="6"/>
        <v>0.14314285714285716</v>
      </c>
      <c r="T23" s="9">
        <f t="shared" si="7"/>
        <v>2.2653721682847898E-2</v>
      </c>
      <c r="U23" s="9">
        <f>R23 / _xlfn.XLOOKUP(A23, Jungle!A:A, Jungle!AA:AA)</f>
        <v>3.8674033149171269E-2</v>
      </c>
      <c r="V23" s="1"/>
      <c r="W23" s="1"/>
    </row>
    <row r="24" spans="1:23" x14ac:dyDescent="0.25">
      <c r="A24" s="23" t="s">
        <v>211</v>
      </c>
      <c r="B24" s="6"/>
      <c r="C24" s="24"/>
      <c r="D24" s="8">
        <f t="shared" si="0"/>
        <v>0</v>
      </c>
      <c r="E24" s="6"/>
      <c r="F24" s="7"/>
      <c r="G24" s="8">
        <f t="shared" si="1"/>
        <v>0</v>
      </c>
      <c r="H24" s="6"/>
      <c r="I24" s="7"/>
      <c r="J24" s="8">
        <f t="shared" si="2"/>
        <v>0</v>
      </c>
      <c r="K24" s="6">
        <v>5</v>
      </c>
      <c r="L24" s="7">
        <v>0</v>
      </c>
      <c r="M24" s="8">
        <f t="shared" si="3"/>
        <v>0</v>
      </c>
      <c r="N24" s="6"/>
      <c r="O24" s="7"/>
      <c r="P24" s="8">
        <f t="shared" si="4"/>
        <v>0</v>
      </c>
      <c r="Q24" s="1"/>
      <c r="R24" s="6">
        <f t="shared" si="5"/>
        <v>5</v>
      </c>
      <c r="S24" s="9">
        <f t="shared" si="6"/>
        <v>0</v>
      </c>
      <c r="T24" s="9">
        <f t="shared" si="7"/>
        <v>1.6181229773462782E-2</v>
      </c>
      <c r="U24" s="9">
        <f>R24 / _xlfn.XLOOKUP(A24, Jungle!A:A, Jungle!AA:AA)</f>
        <v>6.6666666666666666E-2</v>
      </c>
      <c r="V24" s="1"/>
      <c r="W24" s="1"/>
    </row>
    <row r="25" spans="1:23" x14ac:dyDescent="0.25">
      <c r="A25" s="1" t="s">
        <v>195</v>
      </c>
      <c r="B25" s="6"/>
      <c r="C25" s="7"/>
      <c r="D25" s="8">
        <f t="shared" si="0"/>
        <v>0</v>
      </c>
      <c r="E25" s="6"/>
      <c r="F25" s="7"/>
      <c r="G25" s="8">
        <f t="shared" si="1"/>
        <v>0</v>
      </c>
      <c r="H25" s="6">
        <v>4</v>
      </c>
      <c r="I25" s="7">
        <v>0</v>
      </c>
      <c r="J25" s="8">
        <f t="shared" si="2"/>
        <v>0</v>
      </c>
      <c r="K25" s="6"/>
      <c r="L25" s="7"/>
      <c r="M25" s="8">
        <f t="shared" si="3"/>
        <v>0</v>
      </c>
      <c r="N25" s="6"/>
      <c r="O25" s="7"/>
      <c r="P25" s="8">
        <f t="shared" si="4"/>
        <v>0</v>
      </c>
      <c r="Q25" s="1"/>
      <c r="R25" s="6">
        <f t="shared" si="5"/>
        <v>4</v>
      </c>
      <c r="S25" s="9">
        <f t="shared" si="6"/>
        <v>0</v>
      </c>
      <c r="T25" s="9">
        <f t="shared" si="7"/>
        <v>1.2944983818770227E-2</v>
      </c>
      <c r="U25" s="9">
        <f>R25 / _xlfn.XLOOKUP(A25, Jungle!A:A, Jungle!AA:AA)</f>
        <v>6.6666666666666666E-2</v>
      </c>
      <c r="V25" s="1"/>
      <c r="W25" s="1"/>
    </row>
    <row r="26" spans="1:23" x14ac:dyDescent="0.25">
      <c r="A26" s="1" t="s">
        <v>84</v>
      </c>
      <c r="B26" s="6">
        <v>1</v>
      </c>
      <c r="C26" s="7">
        <v>0</v>
      </c>
      <c r="D26" s="8">
        <f t="shared" si="0"/>
        <v>0</v>
      </c>
      <c r="E26" s="6"/>
      <c r="F26" s="7"/>
      <c r="G26" s="8">
        <f t="shared" si="1"/>
        <v>0</v>
      </c>
      <c r="H26" s="6"/>
      <c r="I26" s="7"/>
      <c r="J26" s="8">
        <f t="shared" si="2"/>
        <v>0</v>
      </c>
      <c r="K26" s="6"/>
      <c r="L26" s="7"/>
      <c r="M26" s="8">
        <f t="shared" si="3"/>
        <v>0</v>
      </c>
      <c r="N26" s="6"/>
      <c r="O26" s="7"/>
      <c r="P26" s="8">
        <f t="shared" si="4"/>
        <v>0</v>
      </c>
      <c r="Q26" s="4"/>
      <c r="R26" s="6">
        <f t="shared" si="5"/>
        <v>1</v>
      </c>
      <c r="S26" s="9">
        <f t="shared" si="6"/>
        <v>0</v>
      </c>
      <c r="T26" s="9">
        <f t="shared" si="7"/>
        <v>3.2362459546925568E-3</v>
      </c>
      <c r="U26" s="9">
        <f>R26 / _xlfn.XLOOKUP(A26, Jungle!A:A, Jungle!AA:AA)</f>
        <v>4.3478260869565216E-2</v>
      </c>
      <c r="V26" s="1"/>
      <c r="W26" s="1"/>
    </row>
    <row r="27" spans="1:23" x14ac:dyDescent="0.25">
      <c r="A27" s="1" t="s">
        <v>74</v>
      </c>
      <c r="B27" s="6">
        <v>1</v>
      </c>
      <c r="C27" s="7">
        <v>0</v>
      </c>
      <c r="D27" s="8">
        <f t="shared" si="0"/>
        <v>0</v>
      </c>
      <c r="E27" s="6"/>
      <c r="F27" s="7"/>
      <c r="G27" s="8">
        <f t="shared" si="1"/>
        <v>0</v>
      </c>
      <c r="H27" s="6"/>
      <c r="I27" s="7"/>
      <c r="J27" s="8">
        <f t="shared" si="2"/>
        <v>0</v>
      </c>
      <c r="K27" s="6"/>
      <c r="L27" s="7"/>
      <c r="M27" s="8">
        <f t="shared" si="3"/>
        <v>0</v>
      </c>
      <c r="N27" s="6"/>
      <c r="O27" s="7"/>
      <c r="P27" s="8">
        <f t="shared" si="4"/>
        <v>0</v>
      </c>
      <c r="Q27" s="1"/>
      <c r="R27" s="6">
        <f t="shared" si="5"/>
        <v>1</v>
      </c>
      <c r="S27" s="9">
        <f t="shared" si="6"/>
        <v>0</v>
      </c>
      <c r="T27" s="9">
        <f t="shared" si="7"/>
        <v>3.2362459546925568E-3</v>
      </c>
      <c r="U27" s="9">
        <f>R27 / _xlfn.XLOOKUP(A27, Jungle!A:A, Jungle!AA:AA)</f>
        <v>3.5714285714285712E-2</v>
      </c>
      <c r="V27" s="1"/>
      <c r="W27" s="1"/>
    </row>
    <row r="28" spans="1:23" x14ac:dyDescent="0.25">
      <c r="A28" s="1" t="s">
        <v>78</v>
      </c>
      <c r="B28" s="6">
        <v>1</v>
      </c>
      <c r="C28" s="7">
        <v>0</v>
      </c>
      <c r="D28" s="8">
        <f t="shared" si="0"/>
        <v>0</v>
      </c>
      <c r="E28" s="6"/>
      <c r="F28" s="7"/>
      <c r="G28" s="8">
        <f t="shared" si="1"/>
        <v>0</v>
      </c>
      <c r="H28" s="6"/>
      <c r="I28" s="7"/>
      <c r="J28" s="8">
        <f t="shared" si="2"/>
        <v>0</v>
      </c>
      <c r="K28" s="6"/>
      <c r="L28" s="7"/>
      <c r="M28" s="8">
        <f t="shared" si="3"/>
        <v>0</v>
      </c>
      <c r="N28" s="6"/>
      <c r="O28" s="7"/>
      <c r="P28" s="8">
        <f t="shared" si="4"/>
        <v>0</v>
      </c>
      <c r="Q28" s="1"/>
      <c r="R28" s="6">
        <f t="shared" si="5"/>
        <v>1</v>
      </c>
      <c r="S28" s="9">
        <f t="shared" si="6"/>
        <v>0</v>
      </c>
      <c r="T28" s="9">
        <f t="shared" si="7"/>
        <v>3.2362459546925568E-3</v>
      </c>
      <c r="U28" s="9">
        <f>R28 / _xlfn.XLOOKUP(A28, Jungle!A:A, Jungle!AA:AA)</f>
        <v>0.1111111111111111</v>
      </c>
      <c r="V28" s="1"/>
      <c r="W28" s="1"/>
    </row>
    <row r="29" spans="1:23" x14ac:dyDescent="0.25">
      <c r="A29" s="1" t="s">
        <v>58</v>
      </c>
      <c r="B29" s="6">
        <v>1</v>
      </c>
      <c r="C29" s="7">
        <v>0</v>
      </c>
      <c r="D29" s="8">
        <f t="shared" si="0"/>
        <v>0</v>
      </c>
      <c r="E29" s="6"/>
      <c r="F29" s="7"/>
      <c r="G29" s="8">
        <f t="shared" si="1"/>
        <v>0</v>
      </c>
      <c r="H29" s="6"/>
      <c r="I29" s="7"/>
      <c r="J29" s="8">
        <f t="shared" si="2"/>
        <v>0</v>
      </c>
      <c r="K29" s="6"/>
      <c r="L29" s="7"/>
      <c r="M29" s="8">
        <f t="shared" si="3"/>
        <v>0</v>
      </c>
      <c r="N29" s="6"/>
      <c r="O29" s="7"/>
      <c r="P29" s="8">
        <f t="shared" si="4"/>
        <v>0</v>
      </c>
      <c r="Q29" s="1"/>
      <c r="R29" s="6">
        <f t="shared" si="5"/>
        <v>1</v>
      </c>
      <c r="S29" s="9">
        <f t="shared" si="6"/>
        <v>0</v>
      </c>
      <c r="T29" s="9">
        <f t="shared" si="7"/>
        <v>3.2362459546925568E-3</v>
      </c>
      <c r="U29" s="9">
        <f>R29 / _xlfn.XLOOKUP(A29, Jungle!A:A, Jungle!AA:AA)</f>
        <v>2.1739130434782608E-2</v>
      </c>
      <c r="V29" s="1"/>
      <c r="W29" s="1"/>
    </row>
    <row r="30" spans="1:23" x14ac:dyDescent="0.25">
      <c r="B30" s="6"/>
      <c r="C30" s="7"/>
      <c r="D30" s="8">
        <f t="shared" ref="D30:D31" si="8">B30*C30</f>
        <v>0</v>
      </c>
      <c r="E30" s="6"/>
      <c r="F30" s="7"/>
      <c r="G30" s="8">
        <f t="shared" ref="G30:G31" si="9">E30*F30</f>
        <v>0</v>
      </c>
      <c r="H30" s="6"/>
      <c r="I30" s="7"/>
      <c r="J30" s="8">
        <f t="shared" ref="J30:J31" si="10">H30*I30</f>
        <v>0</v>
      </c>
      <c r="K30" s="6"/>
      <c r="L30" s="7"/>
      <c r="M30" s="8">
        <f t="shared" ref="M30:M31" si="11">K30*L30</f>
        <v>0</v>
      </c>
      <c r="N30" s="6"/>
      <c r="O30" s="7"/>
      <c r="P30" s="8">
        <f t="shared" ref="P30:P49" si="12">N30*O30</f>
        <v>0</v>
      </c>
      <c r="Q30" s="1"/>
      <c r="R30" s="6">
        <f t="shared" ref="R30:R49" si="13">B30+E30+H30+K30+N30</f>
        <v>0</v>
      </c>
      <c r="S30" s="9" t="e">
        <f t="shared" ref="S30:S49" si="14">(D30+G30+J30+M30+P30)/R30</f>
        <v>#DIV/0!</v>
      </c>
      <c r="T30" s="9">
        <f t="shared" ref="T30:T49" si="15">R30/$V$3</f>
        <v>0</v>
      </c>
      <c r="U30" s="9" t="e">
        <f>R30 / _xlfn.XLOOKUP(A30, Jungle!A:A, Jungle!AA:AA)</f>
        <v>#DIV/0!</v>
      </c>
      <c r="V30" s="1"/>
      <c r="W30" s="1"/>
    </row>
    <row r="31" spans="1:23" x14ac:dyDescent="0.25">
      <c r="B31" s="6"/>
      <c r="C31" s="7"/>
      <c r="D31" s="8">
        <f t="shared" si="8"/>
        <v>0</v>
      </c>
      <c r="E31" s="6"/>
      <c r="F31" s="7"/>
      <c r="G31" s="8">
        <f t="shared" si="9"/>
        <v>0</v>
      </c>
      <c r="H31" s="6"/>
      <c r="I31" s="7"/>
      <c r="J31" s="8">
        <f t="shared" si="10"/>
        <v>0</v>
      </c>
      <c r="K31" s="6"/>
      <c r="L31" s="7"/>
      <c r="M31" s="8">
        <f t="shared" si="11"/>
        <v>0</v>
      </c>
      <c r="N31" s="6"/>
      <c r="O31" s="7"/>
      <c r="P31" s="8">
        <f t="shared" si="12"/>
        <v>0</v>
      </c>
      <c r="Q31" s="1"/>
      <c r="R31" s="6">
        <f t="shared" si="13"/>
        <v>0</v>
      </c>
      <c r="S31" s="9" t="e">
        <f t="shared" si="14"/>
        <v>#DIV/0!</v>
      </c>
      <c r="T31" s="9">
        <f t="shared" si="15"/>
        <v>0</v>
      </c>
      <c r="U31" s="9" t="e">
        <f>R31 / _xlfn.XLOOKUP(A31, Jungle!A:A, Jungle!AA:AA)</f>
        <v>#DIV/0!</v>
      </c>
      <c r="V31" s="1"/>
      <c r="W31" s="1"/>
    </row>
    <row r="32" spans="1:23" x14ac:dyDescent="0.25">
      <c r="N32" s="6"/>
      <c r="O32" s="7"/>
      <c r="P32" s="8">
        <f t="shared" si="12"/>
        <v>0</v>
      </c>
      <c r="Q32" s="1"/>
      <c r="R32" s="6">
        <f t="shared" si="13"/>
        <v>0</v>
      </c>
      <c r="S32" s="9" t="e">
        <f t="shared" si="14"/>
        <v>#DIV/0!</v>
      </c>
      <c r="T32" s="9">
        <f t="shared" si="15"/>
        <v>0</v>
      </c>
      <c r="U32" s="9" t="e">
        <f>R32 / _xlfn.XLOOKUP(A32, Jungle!A:A, Jungle!AA:AA)</f>
        <v>#DIV/0!</v>
      </c>
      <c r="V32" s="1"/>
      <c r="W32" s="1"/>
    </row>
    <row r="33" spans="14:21" x14ac:dyDescent="0.25">
      <c r="N33" s="6"/>
      <c r="O33" s="7"/>
      <c r="P33" s="8">
        <f t="shared" si="12"/>
        <v>0</v>
      </c>
      <c r="Q33" s="1"/>
      <c r="R33" s="6">
        <f t="shared" si="13"/>
        <v>0</v>
      </c>
      <c r="S33" s="9" t="e">
        <f t="shared" si="14"/>
        <v>#DIV/0!</v>
      </c>
      <c r="T33" s="9">
        <f t="shared" si="15"/>
        <v>0</v>
      </c>
      <c r="U33" s="9" t="e">
        <f>R33 / _xlfn.XLOOKUP(A33, Jungle!A:A, Jungle!AA:AA)</f>
        <v>#DIV/0!</v>
      </c>
    </row>
    <row r="34" spans="14:21" x14ac:dyDescent="0.25">
      <c r="N34" s="6"/>
      <c r="O34" s="7"/>
      <c r="P34" s="8">
        <f t="shared" si="12"/>
        <v>0</v>
      </c>
      <c r="Q34" s="1"/>
      <c r="R34" s="6">
        <f t="shared" si="13"/>
        <v>0</v>
      </c>
      <c r="S34" s="9" t="e">
        <f t="shared" si="14"/>
        <v>#DIV/0!</v>
      </c>
      <c r="T34" s="9">
        <f t="shared" si="15"/>
        <v>0</v>
      </c>
      <c r="U34" s="9" t="e">
        <f>R34 / _xlfn.XLOOKUP(A34, Jungle!A:A, Jungle!AA:AA)</f>
        <v>#DIV/0!</v>
      </c>
    </row>
    <row r="35" spans="14:21" x14ac:dyDescent="0.25">
      <c r="N35" s="6"/>
      <c r="O35" s="7"/>
      <c r="P35" s="8">
        <f t="shared" si="12"/>
        <v>0</v>
      </c>
      <c r="Q35" s="1"/>
      <c r="R35" s="6">
        <f t="shared" si="13"/>
        <v>0</v>
      </c>
      <c r="S35" s="9" t="e">
        <f t="shared" si="14"/>
        <v>#DIV/0!</v>
      </c>
      <c r="T35" s="9">
        <f t="shared" si="15"/>
        <v>0</v>
      </c>
      <c r="U35" s="9" t="e">
        <f>R35 / _xlfn.XLOOKUP(A35, Jungle!A:A, Jungle!AA:AA)</f>
        <v>#DIV/0!</v>
      </c>
    </row>
    <row r="36" spans="14:21" x14ac:dyDescent="0.25">
      <c r="N36" s="6"/>
      <c r="O36" s="7"/>
      <c r="P36" s="8">
        <f t="shared" si="12"/>
        <v>0</v>
      </c>
      <c r="Q36" s="1"/>
      <c r="R36" s="6">
        <f t="shared" si="13"/>
        <v>0</v>
      </c>
      <c r="S36" s="9" t="e">
        <f t="shared" si="14"/>
        <v>#DIV/0!</v>
      </c>
      <c r="T36" s="9">
        <f t="shared" si="15"/>
        <v>0</v>
      </c>
      <c r="U36" s="9" t="e">
        <f>R36 / _xlfn.XLOOKUP(A36, Jungle!A:A, Jungle!AA:AA)</f>
        <v>#DIV/0!</v>
      </c>
    </row>
    <row r="37" spans="14:21" x14ac:dyDescent="0.25">
      <c r="N37" s="6"/>
      <c r="O37" s="7"/>
      <c r="P37" s="8">
        <f t="shared" si="12"/>
        <v>0</v>
      </c>
      <c r="Q37" s="1"/>
      <c r="R37" s="6">
        <f t="shared" si="13"/>
        <v>0</v>
      </c>
      <c r="S37" s="9" t="e">
        <f t="shared" si="14"/>
        <v>#DIV/0!</v>
      </c>
      <c r="T37" s="9">
        <f t="shared" si="15"/>
        <v>0</v>
      </c>
      <c r="U37" s="9" t="e">
        <f>R37 / _xlfn.XLOOKUP(A37, Jungle!A:A, Jungle!AA:AA)</f>
        <v>#DIV/0!</v>
      </c>
    </row>
    <row r="38" spans="14:21" x14ac:dyDescent="0.25">
      <c r="N38" s="6"/>
      <c r="O38" s="7"/>
      <c r="P38" s="8">
        <f t="shared" si="12"/>
        <v>0</v>
      </c>
      <c r="Q38" s="1"/>
      <c r="R38" s="6">
        <f t="shared" si="13"/>
        <v>0</v>
      </c>
      <c r="S38" s="9" t="e">
        <f t="shared" si="14"/>
        <v>#DIV/0!</v>
      </c>
      <c r="T38" s="9">
        <f t="shared" si="15"/>
        <v>0</v>
      </c>
      <c r="U38" s="9" t="e">
        <f>R38 / _xlfn.XLOOKUP(A38, Jungle!A:A, Jungle!AA:AA)</f>
        <v>#DIV/0!</v>
      </c>
    </row>
    <row r="39" spans="14:21" x14ac:dyDescent="0.25">
      <c r="N39" s="6"/>
      <c r="O39" s="7"/>
      <c r="P39" s="8">
        <f t="shared" si="12"/>
        <v>0</v>
      </c>
      <c r="Q39" s="1"/>
      <c r="R39" s="6">
        <f t="shared" si="13"/>
        <v>0</v>
      </c>
      <c r="S39" s="9" t="e">
        <f t="shared" si="14"/>
        <v>#DIV/0!</v>
      </c>
      <c r="T39" s="9">
        <f t="shared" si="15"/>
        <v>0</v>
      </c>
      <c r="U39" s="9" t="e">
        <f>R39 / _xlfn.XLOOKUP(A39, Jungle!A:A, Jungle!AA:AA)</f>
        <v>#DIV/0!</v>
      </c>
    </row>
    <row r="40" spans="14:21" x14ac:dyDescent="0.25">
      <c r="N40" s="6"/>
      <c r="O40" s="7"/>
      <c r="P40" s="8">
        <f t="shared" si="12"/>
        <v>0</v>
      </c>
      <c r="Q40" s="1"/>
      <c r="R40" s="6">
        <f t="shared" si="13"/>
        <v>0</v>
      </c>
      <c r="S40" s="9" t="e">
        <f t="shared" si="14"/>
        <v>#DIV/0!</v>
      </c>
      <c r="T40" s="9">
        <f t="shared" si="15"/>
        <v>0</v>
      </c>
      <c r="U40" s="9" t="e">
        <f>R40 / _xlfn.XLOOKUP(A40, Jungle!A:A, Jungle!AA:AA)</f>
        <v>#DIV/0!</v>
      </c>
    </row>
    <row r="41" spans="14:21" x14ac:dyDescent="0.25">
      <c r="N41" s="6"/>
      <c r="O41" s="7"/>
      <c r="P41" s="8">
        <f t="shared" si="12"/>
        <v>0</v>
      </c>
      <c r="Q41" s="1"/>
      <c r="R41" s="6">
        <f t="shared" si="13"/>
        <v>0</v>
      </c>
      <c r="S41" s="9" t="e">
        <f t="shared" si="14"/>
        <v>#DIV/0!</v>
      </c>
      <c r="T41" s="9">
        <f t="shared" si="15"/>
        <v>0</v>
      </c>
      <c r="U41" s="9" t="e">
        <f>R41 / _xlfn.XLOOKUP(A41, Jungle!A:A, Jungle!AA:AA)</f>
        <v>#DIV/0!</v>
      </c>
    </row>
    <row r="42" spans="14:21" x14ac:dyDescent="0.25">
      <c r="N42" s="6"/>
      <c r="O42" s="7"/>
      <c r="P42" s="8">
        <f t="shared" si="12"/>
        <v>0</v>
      </c>
      <c r="Q42" s="1"/>
      <c r="R42" s="6">
        <f t="shared" si="13"/>
        <v>0</v>
      </c>
      <c r="S42" s="9" t="e">
        <f t="shared" si="14"/>
        <v>#DIV/0!</v>
      </c>
      <c r="T42" s="9">
        <f t="shared" si="15"/>
        <v>0</v>
      </c>
      <c r="U42" s="9" t="e">
        <f>R42 / _xlfn.XLOOKUP(A42, Jungle!A:A, Jungle!AA:AA)</f>
        <v>#DIV/0!</v>
      </c>
    </row>
    <row r="43" spans="14:21" x14ac:dyDescent="0.25">
      <c r="N43" s="6"/>
      <c r="O43" s="7"/>
      <c r="P43" s="8">
        <f t="shared" si="12"/>
        <v>0</v>
      </c>
      <c r="Q43" s="1"/>
      <c r="R43" s="6">
        <f t="shared" si="13"/>
        <v>0</v>
      </c>
      <c r="S43" s="9" t="e">
        <f t="shared" si="14"/>
        <v>#DIV/0!</v>
      </c>
      <c r="T43" s="9">
        <f t="shared" si="15"/>
        <v>0</v>
      </c>
      <c r="U43" s="9" t="e">
        <f>R43 / _xlfn.XLOOKUP(A43, Jungle!A:A, Jungle!AA:AA)</f>
        <v>#DIV/0!</v>
      </c>
    </row>
    <row r="44" spans="14:21" x14ac:dyDescent="0.25">
      <c r="N44" s="6"/>
      <c r="O44" s="7"/>
      <c r="P44" s="8">
        <f t="shared" si="12"/>
        <v>0</v>
      </c>
      <c r="Q44" s="1"/>
      <c r="R44" s="6">
        <f t="shared" si="13"/>
        <v>0</v>
      </c>
      <c r="S44" s="9" t="e">
        <f t="shared" si="14"/>
        <v>#DIV/0!</v>
      </c>
      <c r="T44" s="9">
        <f t="shared" si="15"/>
        <v>0</v>
      </c>
      <c r="U44" s="9" t="e">
        <f>R44 / _xlfn.XLOOKUP(A44, Jungle!A:A, Jungle!AA:AA)</f>
        <v>#DIV/0!</v>
      </c>
    </row>
    <row r="45" spans="14:21" x14ac:dyDescent="0.25">
      <c r="N45" s="6"/>
      <c r="O45" s="7"/>
      <c r="P45" s="8">
        <f t="shared" si="12"/>
        <v>0</v>
      </c>
      <c r="Q45" s="1"/>
      <c r="R45" s="6">
        <f t="shared" si="13"/>
        <v>0</v>
      </c>
      <c r="S45" s="9" t="e">
        <f t="shared" si="14"/>
        <v>#DIV/0!</v>
      </c>
      <c r="T45" s="9">
        <f t="shared" si="15"/>
        <v>0</v>
      </c>
      <c r="U45" s="9" t="e">
        <f>R45 / _xlfn.XLOOKUP(A45, Jungle!A:A, Jungle!AA:AA)</f>
        <v>#DIV/0!</v>
      </c>
    </row>
    <row r="46" spans="14:21" x14ac:dyDescent="0.25">
      <c r="N46" s="6"/>
      <c r="O46" s="7"/>
      <c r="P46" s="8">
        <f t="shared" si="12"/>
        <v>0</v>
      </c>
      <c r="Q46" s="1"/>
      <c r="R46" s="6">
        <f t="shared" si="13"/>
        <v>0</v>
      </c>
      <c r="S46" s="9" t="e">
        <f t="shared" si="14"/>
        <v>#DIV/0!</v>
      </c>
      <c r="T46" s="9">
        <f t="shared" si="15"/>
        <v>0</v>
      </c>
      <c r="U46" s="9" t="e">
        <f>R46 / _xlfn.XLOOKUP(A46, Jungle!A:A, Jungle!AA:AA)</f>
        <v>#DIV/0!</v>
      </c>
    </row>
    <row r="47" spans="14:21" x14ac:dyDescent="0.25">
      <c r="N47" s="6"/>
      <c r="O47" s="7"/>
      <c r="P47" s="8">
        <f t="shared" si="12"/>
        <v>0</v>
      </c>
      <c r="Q47" s="1"/>
      <c r="R47" s="6">
        <f t="shared" si="13"/>
        <v>0</v>
      </c>
      <c r="S47" s="9" t="e">
        <f t="shared" si="14"/>
        <v>#DIV/0!</v>
      </c>
      <c r="T47" s="9">
        <f t="shared" si="15"/>
        <v>0</v>
      </c>
      <c r="U47" s="9" t="e">
        <f>R47 / _xlfn.XLOOKUP(A47, Jungle!A:A, Jungle!AA:AA)</f>
        <v>#DIV/0!</v>
      </c>
    </row>
    <row r="48" spans="14:21" x14ac:dyDescent="0.25">
      <c r="N48" s="6"/>
      <c r="O48" s="7"/>
      <c r="P48" s="8">
        <f t="shared" si="12"/>
        <v>0</v>
      </c>
      <c r="Q48" s="1"/>
      <c r="R48" s="6">
        <f t="shared" si="13"/>
        <v>0</v>
      </c>
      <c r="S48" s="9" t="e">
        <f t="shared" si="14"/>
        <v>#DIV/0!</v>
      </c>
      <c r="T48" s="9">
        <f t="shared" si="15"/>
        <v>0</v>
      </c>
      <c r="U48" s="9" t="e">
        <f>R48 / _xlfn.XLOOKUP(A48, Jungle!A:A, Jungle!AA:AA)</f>
        <v>#DIV/0!</v>
      </c>
    </row>
    <row r="49" spans="14:21" x14ac:dyDescent="0.25">
      <c r="N49" s="6"/>
      <c r="O49" s="7"/>
      <c r="P49" s="8">
        <f t="shared" si="12"/>
        <v>0</v>
      </c>
      <c r="Q49" s="1"/>
      <c r="R49" s="6">
        <f t="shared" si="13"/>
        <v>0</v>
      </c>
      <c r="S49" s="9" t="e">
        <f t="shared" si="14"/>
        <v>#DIV/0!</v>
      </c>
      <c r="T49" s="9">
        <f t="shared" si="15"/>
        <v>0</v>
      </c>
      <c r="U49" s="9" t="e">
        <f>R49 / _xlfn.XLOOKUP(A49, Jungle!A:A, Jungle!AA:AA)</f>
        <v>#DIV/0!</v>
      </c>
    </row>
  </sheetData>
  <sortState xmlns:xlrd2="http://schemas.microsoft.com/office/spreadsheetml/2017/richdata2" ref="A3:U29">
    <sortCondition descending="1" ref="S3:S29"/>
  </sortState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34B46-8CE8-4789-B9CD-C91EC963C3AD}">
  <sheetPr>
    <tabColor theme="6" tint="0.59999389629810485"/>
  </sheetPr>
  <dimension ref="A1:W56"/>
  <sheetViews>
    <sheetView workbookViewId="0">
      <selection activeCell="A4" sqref="A4"/>
    </sheetView>
  </sheetViews>
  <sheetFormatPr baseColWidth="10" defaultRowHeight="15" x14ac:dyDescent="0.25"/>
  <sheetData>
    <row r="1" spans="1:23" ht="15.75" x14ac:dyDescent="0.25">
      <c r="A1" s="2" t="s">
        <v>231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70</v>
      </c>
      <c r="B3" s="6">
        <v>1</v>
      </c>
      <c r="C3" s="7">
        <v>1</v>
      </c>
      <c r="D3" s="8">
        <f t="shared" ref="D3:D30" si="0">B3*C3</f>
        <v>1</v>
      </c>
      <c r="E3" s="6"/>
      <c r="F3" s="7"/>
      <c r="G3" s="8">
        <f t="shared" ref="G3:G30" si="1">E3*F3</f>
        <v>0</v>
      </c>
      <c r="H3" s="6">
        <v>7</v>
      </c>
      <c r="I3" s="7">
        <v>0.42799999999999999</v>
      </c>
      <c r="J3" s="8">
        <f t="shared" ref="J3:J30" si="2">H3*I3</f>
        <v>2.996</v>
      </c>
      <c r="K3" s="6">
        <v>20</v>
      </c>
      <c r="L3" s="7">
        <v>0.5</v>
      </c>
      <c r="M3" s="8">
        <f t="shared" ref="M3:M30" si="3">K3*L3</f>
        <v>10</v>
      </c>
      <c r="N3" s="6"/>
      <c r="O3" s="7"/>
      <c r="P3" s="8">
        <f t="shared" ref="P3:P30" si="4">N3*O3</f>
        <v>0</v>
      </c>
      <c r="Q3" s="1"/>
      <c r="R3" s="6">
        <f t="shared" ref="R3:R30" si="5">B3+E3+H3+K3+N3</f>
        <v>28</v>
      </c>
      <c r="S3" s="9">
        <f t="shared" ref="S3:S30" si="6">(D3+G3+J3+M3+P3)/R3</f>
        <v>0.49985714285714289</v>
      </c>
      <c r="T3" s="9">
        <f t="shared" ref="T3:T30" si="7">R3/$V$3</f>
        <v>0.17721518987341772</v>
      </c>
      <c r="U3" s="9">
        <f>R3 / _xlfn.XLOOKUP(A3, Jungle!A:A, Jungle!AA:AA)</f>
        <v>5.6338028169014086E-2</v>
      </c>
      <c r="V3" s="11">
        <f>SUM(R3:R49)</f>
        <v>158</v>
      </c>
      <c r="W3" s="12">
        <f>(SUM(D3:D100)+SUM(G3:G100)+SUM(J3:J100)+SUM(M3:M100)+SUM(P3:P100)) / V3</f>
        <v>0.42403797468354426</v>
      </c>
    </row>
    <row r="4" spans="1:23" x14ac:dyDescent="0.25">
      <c r="A4" s="1" t="s">
        <v>71</v>
      </c>
      <c r="B4" s="6">
        <v>1</v>
      </c>
      <c r="C4" s="7">
        <v>0</v>
      </c>
      <c r="D4" s="8">
        <f t="shared" si="0"/>
        <v>0</v>
      </c>
      <c r="E4" s="6"/>
      <c r="F4" s="7"/>
      <c r="G4" s="8">
        <f t="shared" si="1"/>
        <v>0</v>
      </c>
      <c r="H4" s="6"/>
      <c r="I4" s="7"/>
      <c r="J4" s="8">
        <f t="shared" si="2"/>
        <v>0</v>
      </c>
      <c r="K4" s="6">
        <v>17</v>
      </c>
      <c r="L4" s="7">
        <v>0.47099999999999997</v>
      </c>
      <c r="M4" s="8">
        <f t="shared" si="3"/>
        <v>8.0069999999999997</v>
      </c>
      <c r="N4" s="6"/>
      <c r="O4" s="7"/>
      <c r="P4" s="8">
        <f t="shared" si="4"/>
        <v>0</v>
      </c>
      <c r="Q4" s="4"/>
      <c r="R4" s="6">
        <f t="shared" si="5"/>
        <v>18</v>
      </c>
      <c r="S4" s="9">
        <f t="shared" si="6"/>
        <v>0.4448333333333333</v>
      </c>
      <c r="T4" s="9">
        <f t="shared" si="7"/>
        <v>0.11392405063291139</v>
      </c>
      <c r="U4" s="9">
        <f>R4 / _xlfn.XLOOKUP(A4, Jungle!A:A, Jungle!AA:AA)</f>
        <v>3.2490974729241874E-2</v>
      </c>
      <c r="V4" s="6"/>
      <c r="W4" s="9"/>
    </row>
    <row r="5" spans="1:23" x14ac:dyDescent="0.25">
      <c r="A5" s="1" t="s">
        <v>73</v>
      </c>
      <c r="B5" s="6"/>
      <c r="C5" s="7"/>
      <c r="D5" s="8">
        <f t="shared" si="0"/>
        <v>0</v>
      </c>
      <c r="E5" s="6"/>
      <c r="F5" s="7"/>
      <c r="G5" s="8">
        <f t="shared" si="1"/>
        <v>0</v>
      </c>
      <c r="H5" s="6">
        <v>9</v>
      </c>
      <c r="I5" s="7">
        <v>0.66700000000000004</v>
      </c>
      <c r="J5" s="8">
        <f t="shared" si="2"/>
        <v>6.0030000000000001</v>
      </c>
      <c r="K5" s="6">
        <v>7</v>
      </c>
      <c r="L5" s="7">
        <v>0.14299999999999999</v>
      </c>
      <c r="M5" s="8">
        <f t="shared" si="3"/>
        <v>1.0009999999999999</v>
      </c>
      <c r="N5" s="6"/>
      <c r="O5" s="7"/>
      <c r="P5" s="8">
        <f t="shared" si="4"/>
        <v>0</v>
      </c>
      <c r="Q5" s="1"/>
      <c r="R5" s="6">
        <f t="shared" si="5"/>
        <v>16</v>
      </c>
      <c r="S5" s="9">
        <f t="shared" si="6"/>
        <v>0.43774999999999997</v>
      </c>
      <c r="T5" s="9">
        <f t="shared" si="7"/>
        <v>0.10126582278481013</v>
      </c>
      <c r="U5" s="9">
        <f>R5 / _xlfn.XLOOKUP(A5, Jungle!A:A, Jungle!AA:AA)</f>
        <v>2.8776978417266189E-2</v>
      </c>
      <c r="W5" s="1"/>
    </row>
    <row r="6" spans="1:23" x14ac:dyDescent="0.25">
      <c r="A6" s="25" t="s">
        <v>211</v>
      </c>
      <c r="B6" s="6"/>
      <c r="C6" s="7"/>
      <c r="D6" s="8">
        <f t="shared" si="0"/>
        <v>0</v>
      </c>
      <c r="E6" s="6"/>
      <c r="F6" s="7"/>
      <c r="G6" s="8">
        <f t="shared" si="1"/>
        <v>0</v>
      </c>
      <c r="H6" s="6"/>
      <c r="I6" s="7"/>
      <c r="J6" s="8">
        <f t="shared" si="2"/>
        <v>0</v>
      </c>
      <c r="K6" s="6">
        <v>14</v>
      </c>
      <c r="L6" s="7">
        <v>0.5</v>
      </c>
      <c r="M6" s="8">
        <f t="shared" si="3"/>
        <v>7</v>
      </c>
      <c r="N6" s="6"/>
      <c r="O6" s="7"/>
      <c r="P6" s="8">
        <f t="shared" si="4"/>
        <v>0</v>
      </c>
      <c r="Q6" s="1"/>
      <c r="R6" s="6">
        <f t="shared" si="5"/>
        <v>14</v>
      </c>
      <c r="S6" s="9">
        <f t="shared" si="6"/>
        <v>0.5</v>
      </c>
      <c r="T6" s="9">
        <f t="shared" si="7"/>
        <v>8.8607594936708861E-2</v>
      </c>
      <c r="U6" s="9">
        <f>R6 / _xlfn.XLOOKUP(A6, Jungle!A:A, Jungle!AA:AA)</f>
        <v>0.18666666666666668</v>
      </c>
      <c r="W6" s="1"/>
    </row>
    <row r="7" spans="1:23" x14ac:dyDescent="0.25">
      <c r="A7" s="1" t="s">
        <v>69</v>
      </c>
      <c r="B7" s="6">
        <v>2</v>
      </c>
      <c r="C7" s="7">
        <v>1</v>
      </c>
      <c r="D7" s="8">
        <f t="shared" si="0"/>
        <v>2</v>
      </c>
      <c r="E7" s="6"/>
      <c r="F7" s="7"/>
      <c r="G7" s="8">
        <f t="shared" si="1"/>
        <v>0</v>
      </c>
      <c r="H7" s="6">
        <v>3</v>
      </c>
      <c r="I7" s="7">
        <v>0</v>
      </c>
      <c r="J7" s="8">
        <f t="shared" si="2"/>
        <v>0</v>
      </c>
      <c r="K7" s="6">
        <v>3</v>
      </c>
      <c r="L7" s="7">
        <v>0.66700000000000004</v>
      </c>
      <c r="M7" s="8">
        <f t="shared" si="3"/>
        <v>2.0010000000000003</v>
      </c>
      <c r="N7" s="6"/>
      <c r="O7" s="7"/>
      <c r="P7" s="8">
        <f t="shared" si="4"/>
        <v>0</v>
      </c>
      <c r="Q7" s="1"/>
      <c r="R7" s="6">
        <f t="shared" si="5"/>
        <v>8</v>
      </c>
      <c r="S7" s="9">
        <f t="shared" si="6"/>
        <v>0.50012500000000004</v>
      </c>
      <c r="T7" s="9">
        <f t="shared" si="7"/>
        <v>5.0632911392405063E-2</v>
      </c>
      <c r="U7" s="9">
        <f>R7 / _xlfn.XLOOKUP(A7, Jungle!A:A, Jungle!AA:AA)</f>
        <v>1.7817371937639197E-2</v>
      </c>
      <c r="V7" s="1"/>
      <c r="W7" s="1"/>
    </row>
    <row r="8" spans="1:23" x14ac:dyDescent="0.25">
      <c r="A8" s="1" t="s">
        <v>195</v>
      </c>
      <c r="B8" s="6"/>
      <c r="C8" s="7"/>
      <c r="D8" s="8">
        <f t="shared" si="0"/>
        <v>0</v>
      </c>
      <c r="E8" s="6"/>
      <c r="F8" s="7"/>
      <c r="G8" s="8">
        <f t="shared" si="1"/>
        <v>0</v>
      </c>
      <c r="H8" s="6">
        <v>6</v>
      </c>
      <c r="I8" s="7">
        <v>0.5</v>
      </c>
      <c r="J8" s="8">
        <f t="shared" si="2"/>
        <v>3</v>
      </c>
      <c r="K8" s="6">
        <v>3</v>
      </c>
      <c r="L8" s="7">
        <v>0.33300000000000002</v>
      </c>
      <c r="M8" s="8">
        <f t="shared" si="3"/>
        <v>0.99900000000000011</v>
      </c>
      <c r="N8" s="6"/>
      <c r="O8" s="7"/>
      <c r="P8" s="8">
        <f t="shared" si="4"/>
        <v>0</v>
      </c>
      <c r="Q8" s="1"/>
      <c r="R8" s="6">
        <f t="shared" si="5"/>
        <v>9</v>
      </c>
      <c r="S8" s="9">
        <f t="shared" si="6"/>
        <v>0.44433333333333336</v>
      </c>
      <c r="T8" s="9">
        <f t="shared" si="7"/>
        <v>5.6962025316455694E-2</v>
      </c>
      <c r="U8" s="9">
        <f>R8 / _xlfn.XLOOKUP(A8, Jungle!A:A, Jungle!AA:AA)</f>
        <v>0.15</v>
      </c>
      <c r="V8" s="1"/>
      <c r="W8" s="1"/>
    </row>
    <row r="9" spans="1:23" x14ac:dyDescent="0.25">
      <c r="A9" s="1" t="s">
        <v>95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>
        <v>2</v>
      </c>
      <c r="I9" s="7">
        <v>0</v>
      </c>
      <c r="J9" s="8">
        <f t="shared" si="2"/>
        <v>0</v>
      </c>
      <c r="K9" s="6">
        <v>9</v>
      </c>
      <c r="L9" s="7">
        <v>0.44400000000000001</v>
      </c>
      <c r="M9" s="8">
        <f t="shared" si="3"/>
        <v>3.996</v>
      </c>
      <c r="N9" s="6"/>
      <c r="O9" s="7"/>
      <c r="P9" s="8">
        <f t="shared" si="4"/>
        <v>0</v>
      </c>
      <c r="Q9" s="1"/>
      <c r="R9" s="6">
        <f t="shared" si="5"/>
        <v>11</v>
      </c>
      <c r="S9" s="9">
        <f t="shared" si="6"/>
        <v>0.36327272727272725</v>
      </c>
      <c r="T9" s="9">
        <f t="shared" si="7"/>
        <v>6.9620253164556958E-2</v>
      </c>
      <c r="U9" s="9">
        <f>R9 / _xlfn.XLOOKUP(A9, Jungle!A:A, Jungle!AA:AA)</f>
        <v>6.5868263473053898E-2</v>
      </c>
      <c r="V9" s="1"/>
      <c r="W9" s="1"/>
    </row>
    <row r="10" spans="1:23" x14ac:dyDescent="0.25">
      <c r="A10" s="1" t="s">
        <v>45</v>
      </c>
      <c r="B10" s="6"/>
      <c r="C10" s="7"/>
      <c r="D10" s="8">
        <f t="shared" si="0"/>
        <v>0</v>
      </c>
      <c r="E10" s="6"/>
      <c r="F10" s="7"/>
      <c r="G10" s="8">
        <f t="shared" si="1"/>
        <v>0</v>
      </c>
      <c r="H10" s="6"/>
      <c r="I10" s="7"/>
      <c r="J10" s="8">
        <f t="shared" si="2"/>
        <v>0</v>
      </c>
      <c r="K10" s="6">
        <v>5</v>
      </c>
      <c r="L10" s="7">
        <v>0.6</v>
      </c>
      <c r="M10" s="8">
        <f t="shared" si="3"/>
        <v>3</v>
      </c>
      <c r="N10" s="6"/>
      <c r="O10" s="7"/>
      <c r="P10" s="8">
        <f t="shared" si="4"/>
        <v>0</v>
      </c>
      <c r="Q10" s="1"/>
      <c r="R10" s="6">
        <f t="shared" si="5"/>
        <v>5</v>
      </c>
      <c r="S10" s="9">
        <f t="shared" si="6"/>
        <v>0.6</v>
      </c>
      <c r="T10" s="9">
        <f t="shared" si="7"/>
        <v>3.1645569620253167E-2</v>
      </c>
      <c r="U10" s="9">
        <f>R10 / _xlfn.XLOOKUP(A10, Jungle!A:A, Jungle!AA:AA)</f>
        <v>2.0746887966804978E-2</v>
      </c>
      <c r="V10" s="1"/>
      <c r="W10" s="1"/>
    </row>
    <row r="11" spans="1:23" x14ac:dyDescent="0.25">
      <c r="A11" s="1" t="s">
        <v>57</v>
      </c>
      <c r="B11" s="6">
        <v>1</v>
      </c>
      <c r="C11" s="7">
        <v>0</v>
      </c>
      <c r="D11" s="8">
        <f t="shared" si="0"/>
        <v>0</v>
      </c>
      <c r="E11" s="6"/>
      <c r="F11" s="7"/>
      <c r="G11" s="8">
        <f t="shared" si="1"/>
        <v>0</v>
      </c>
      <c r="H11" s="6">
        <v>2</v>
      </c>
      <c r="I11" s="7">
        <v>0.5</v>
      </c>
      <c r="J11" s="8">
        <f t="shared" si="2"/>
        <v>1</v>
      </c>
      <c r="K11" s="6">
        <v>2</v>
      </c>
      <c r="L11" s="7">
        <v>1</v>
      </c>
      <c r="M11" s="8">
        <f t="shared" si="3"/>
        <v>2</v>
      </c>
      <c r="N11" s="6"/>
      <c r="O11" s="7"/>
      <c r="P11" s="8">
        <f t="shared" si="4"/>
        <v>0</v>
      </c>
      <c r="Q11" s="1"/>
      <c r="R11" s="6">
        <f t="shared" si="5"/>
        <v>5</v>
      </c>
      <c r="S11" s="9">
        <f t="shared" si="6"/>
        <v>0.6</v>
      </c>
      <c r="T11" s="9">
        <f t="shared" si="7"/>
        <v>3.1645569620253167E-2</v>
      </c>
      <c r="U11" s="9">
        <f>R11 / _xlfn.XLOOKUP(A11, Jungle!A:A, Jungle!AA:AA)</f>
        <v>1.1235955056179775E-2</v>
      </c>
      <c r="V11" s="1"/>
      <c r="W11" s="1"/>
    </row>
    <row r="12" spans="1:23" x14ac:dyDescent="0.25">
      <c r="A12" s="1" t="s">
        <v>77</v>
      </c>
      <c r="B12" s="6"/>
      <c r="C12" s="7"/>
      <c r="D12" s="8">
        <f t="shared" si="0"/>
        <v>0</v>
      </c>
      <c r="E12" s="6"/>
      <c r="F12" s="7"/>
      <c r="G12" s="8">
        <f t="shared" si="1"/>
        <v>0</v>
      </c>
      <c r="H12" s="6"/>
      <c r="I12" s="7"/>
      <c r="J12" s="8">
        <f t="shared" si="2"/>
        <v>0</v>
      </c>
      <c r="K12" s="6">
        <v>6</v>
      </c>
      <c r="L12" s="7">
        <v>0.5</v>
      </c>
      <c r="M12" s="8">
        <f t="shared" si="3"/>
        <v>3</v>
      </c>
      <c r="N12" s="6"/>
      <c r="O12" s="7"/>
      <c r="P12" s="8">
        <f t="shared" si="4"/>
        <v>0</v>
      </c>
      <c r="Q12" s="1"/>
      <c r="R12" s="6">
        <f t="shared" si="5"/>
        <v>6</v>
      </c>
      <c r="S12" s="9">
        <f t="shared" si="6"/>
        <v>0.5</v>
      </c>
      <c r="T12" s="9">
        <f t="shared" si="7"/>
        <v>3.7974683544303799E-2</v>
      </c>
      <c r="U12" s="9">
        <f>R12 / _xlfn.XLOOKUP(A12, Jungle!A:A, Jungle!AA:AA)</f>
        <v>4.3795620437956206E-2</v>
      </c>
      <c r="V12" s="1"/>
      <c r="W12" s="1"/>
    </row>
    <row r="13" spans="1:23" x14ac:dyDescent="0.25">
      <c r="A13" s="1" t="s">
        <v>30</v>
      </c>
      <c r="B13" s="6"/>
      <c r="C13" s="7"/>
      <c r="D13" s="8">
        <f t="shared" si="0"/>
        <v>0</v>
      </c>
      <c r="E13" s="6"/>
      <c r="F13" s="7"/>
      <c r="G13" s="8">
        <f t="shared" si="1"/>
        <v>0</v>
      </c>
      <c r="H13" s="6">
        <v>9</v>
      </c>
      <c r="I13" s="7">
        <v>0.33300000000000002</v>
      </c>
      <c r="J13" s="8">
        <f t="shared" si="2"/>
        <v>2.9970000000000003</v>
      </c>
      <c r="K13" s="6">
        <v>3</v>
      </c>
      <c r="L13" s="7">
        <v>0</v>
      </c>
      <c r="M13" s="8">
        <f t="shared" si="3"/>
        <v>0</v>
      </c>
      <c r="N13" s="6"/>
      <c r="O13" s="7"/>
      <c r="P13" s="8">
        <f t="shared" si="4"/>
        <v>0</v>
      </c>
      <c r="Q13" s="4"/>
      <c r="R13" s="6">
        <f t="shared" si="5"/>
        <v>12</v>
      </c>
      <c r="S13" s="9">
        <f t="shared" si="6"/>
        <v>0.24975000000000003</v>
      </c>
      <c r="T13" s="9">
        <f t="shared" si="7"/>
        <v>7.5949367088607597E-2</v>
      </c>
      <c r="U13" s="9">
        <f>R13 / _xlfn.XLOOKUP(A13, Jungle!A:A, Jungle!AA:AA)</f>
        <v>2.9925187032418952E-2</v>
      </c>
      <c r="V13" s="1"/>
      <c r="W13" s="1"/>
    </row>
    <row r="14" spans="1:23" x14ac:dyDescent="0.25">
      <c r="A14" s="1" t="s">
        <v>72</v>
      </c>
      <c r="B14" s="6"/>
      <c r="C14" s="7"/>
      <c r="D14" s="8">
        <f t="shared" si="0"/>
        <v>0</v>
      </c>
      <c r="E14" s="6"/>
      <c r="F14" s="7"/>
      <c r="G14" s="8">
        <f t="shared" si="1"/>
        <v>0</v>
      </c>
      <c r="H14" s="6"/>
      <c r="I14" s="7"/>
      <c r="J14" s="8">
        <f t="shared" si="2"/>
        <v>0</v>
      </c>
      <c r="K14" s="6">
        <v>5</v>
      </c>
      <c r="L14" s="7">
        <v>0.4</v>
      </c>
      <c r="M14" s="8">
        <f t="shared" si="3"/>
        <v>2</v>
      </c>
      <c r="N14" s="6"/>
      <c r="O14" s="7"/>
      <c r="P14" s="8">
        <f t="shared" si="4"/>
        <v>0</v>
      </c>
      <c r="Q14" s="1"/>
      <c r="R14" s="6">
        <f t="shared" si="5"/>
        <v>5</v>
      </c>
      <c r="S14" s="9">
        <f t="shared" si="6"/>
        <v>0.4</v>
      </c>
      <c r="T14" s="9">
        <f t="shared" si="7"/>
        <v>3.1645569620253167E-2</v>
      </c>
      <c r="U14" s="9">
        <f>R14 / _xlfn.XLOOKUP(A14, Jungle!A:A, Jungle!AA:AA)</f>
        <v>2.7624309392265192E-2</v>
      </c>
      <c r="V14" s="1"/>
      <c r="W14" s="1"/>
    </row>
    <row r="15" spans="1:23" x14ac:dyDescent="0.25">
      <c r="A15" s="1" t="s">
        <v>83</v>
      </c>
      <c r="B15" s="6"/>
      <c r="C15" s="7"/>
      <c r="D15" s="8">
        <f t="shared" si="0"/>
        <v>0</v>
      </c>
      <c r="E15" s="6"/>
      <c r="F15" s="7"/>
      <c r="G15" s="8">
        <f t="shared" si="1"/>
        <v>0</v>
      </c>
      <c r="H15" s="6">
        <v>2</v>
      </c>
      <c r="I15" s="7">
        <v>0</v>
      </c>
      <c r="J15" s="8">
        <f t="shared" si="2"/>
        <v>0</v>
      </c>
      <c r="K15" s="6">
        <v>2</v>
      </c>
      <c r="L15" s="7">
        <v>0.5</v>
      </c>
      <c r="M15" s="8">
        <f t="shared" si="3"/>
        <v>1</v>
      </c>
      <c r="N15" s="6"/>
      <c r="O15" s="7"/>
      <c r="P15" s="8">
        <f t="shared" si="4"/>
        <v>0</v>
      </c>
      <c r="Q15" s="1"/>
      <c r="R15" s="6">
        <f t="shared" si="5"/>
        <v>4</v>
      </c>
      <c r="S15" s="9">
        <f t="shared" si="6"/>
        <v>0.25</v>
      </c>
      <c r="T15" s="9">
        <f t="shared" si="7"/>
        <v>2.5316455696202531E-2</v>
      </c>
      <c r="U15" s="9">
        <f>R15 / _xlfn.XLOOKUP(A15, Jungle!A:A, Jungle!AA:AA)</f>
        <v>4.878048780487805E-2</v>
      </c>
      <c r="V15" s="1"/>
      <c r="W15" s="1"/>
    </row>
    <row r="16" spans="1:23" x14ac:dyDescent="0.25">
      <c r="A16" s="1" t="s">
        <v>67</v>
      </c>
      <c r="B16" s="6"/>
      <c r="C16" s="7"/>
      <c r="D16" s="8">
        <f t="shared" si="0"/>
        <v>0</v>
      </c>
      <c r="E16" s="6"/>
      <c r="F16" s="7"/>
      <c r="G16" s="8">
        <f t="shared" si="1"/>
        <v>0</v>
      </c>
      <c r="H16" s="6"/>
      <c r="I16" s="7"/>
      <c r="J16" s="8">
        <f t="shared" si="2"/>
        <v>0</v>
      </c>
      <c r="K16" s="6">
        <v>2</v>
      </c>
      <c r="L16" s="7">
        <v>0.5</v>
      </c>
      <c r="M16" s="8">
        <f t="shared" si="3"/>
        <v>1</v>
      </c>
      <c r="N16" s="6"/>
      <c r="O16" s="7"/>
      <c r="P16" s="8">
        <f t="shared" si="4"/>
        <v>0</v>
      </c>
      <c r="Q16" s="13"/>
      <c r="R16" s="6">
        <f t="shared" si="5"/>
        <v>2</v>
      </c>
      <c r="S16" s="9">
        <f t="shared" si="6"/>
        <v>0.5</v>
      </c>
      <c r="T16" s="9">
        <f t="shared" si="7"/>
        <v>1.2658227848101266E-2</v>
      </c>
      <c r="U16" s="9">
        <f>R16 / _xlfn.XLOOKUP(A16, Jungle!A:A, Jungle!AA:AA)</f>
        <v>1.020408163265306E-2</v>
      </c>
      <c r="V16" s="1"/>
      <c r="W16" s="1"/>
    </row>
    <row r="17" spans="1:23" x14ac:dyDescent="0.25">
      <c r="A17" s="25" t="s">
        <v>32</v>
      </c>
      <c r="B17" s="6"/>
      <c r="C17" s="7"/>
      <c r="D17" s="8">
        <f t="shared" si="0"/>
        <v>0</v>
      </c>
      <c r="E17" s="6"/>
      <c r="F17" s="7"/>
      <c r="G17" s="8">
        <f t="shared" si="1"/>
        <v>0</v>
      </c>
      <c r="H17" s="6"/>
      <c r="I17" s="7"/>
      <c r="J17" s="8">
        <f t="shared" si="2"/>
        <v>0</v>
      </c>
      <c r="K17" s="6">
        <v>2</v>
      </c>
      <c r="L17" s="7">
        <v>0.5</v>
      </c>
      <c r="M17" s="8">
        <f t="shared" si="3"/>
        <v>1</v>
      </c>
      <c r="N17" s="6"/>
      <c r="O17" s="7"/>
      <c r="P17" s="8">
        <f t="shared" si="4"/>
        <v>0</v>
      </c>
      <c r="Q17" s="1"/>
      <c r="R17" s="6">
        <f t="shared" si="5"/>
        <v>2</v>
      </c>
      <c r="S17" s="9">
        <f t="shared" si="6"/>
        <v>0.5</v>
      </c>
      <c r="T17" s="9">
        <f t="shared" si="7"/>
        <v>1.2658227848101266E-2</v>
      </c>
      <c r="U17" s="9">
        <f>R17 / _xlfn.XLOOKUP(A17, Jungle!A:A, Jungle!AA:AA)</f>
        <v>0.25</v>
      </c>
      <c r="V17" s="1"/>
      <c r="W17" s="1"/>
    </row>
    <row r="18" spans="1:23" x14ac:dyDescent="0.25">
      <c r="A18" s="1" t="s">
        <v>26</v>
      </c>
      <c r="B18" s="6"/>
      <c r="C18" s="7"/>
      <c r="D18" s="8">
        <f t="shared" si="0"/>
        <v>0</v>
      </c>
      <c r="E18" s="6"/>
      <c r="F18" s="7"/>
      <c r="G18" s="8">
        <f t="shared" si="1"/>
        <v>0</v>
      </c>
      <c r="H18" s="6">
        <v>3</v>
      </c>
      <c r="I18" s="7">
        <v>0.33300000000000002</v>
      </c>
      <c r="J18" s="8">
        <f t="shared" si="2"/>
        <v>0.99900000000000011</v>
      </c>
      <c r="K18" s="6">
        <v>2</v>
      </c>
      <c r="L18" s="7">
        <v>0</v>
      </c>
      <c r="M18" s="8">
        <f t="shared" si="3"/>
        <v>0</v>
      </c>
      <c r="N18" s="6"/>
      <c r="O18" s="7"/>
      <c r="P18" s="8">
        <f t="shared" si="4"/>
        <v>0</v>
      </c>
      <c r="Q18" s="1"/>
      <c r="R18" s="6">
        <f t="shared" si="5"/>
        <v>5</v>
      </c>
      <c r="S18" s="9">
        <f t="shared" si="6"/>
        <v>0.19980000000000003</v>
      </c>
      <c r="T18" s="9">
        <f t="shared" si="7"/>
        <v>3.1645569620253167E-2</v>
      </c>
      <c r="U18" s="9">
        <f>R18 / _xlfn.XLOOKUP(A18, Jungle!A:A, Jungle!AA:AA)</f>
        <v>7.874015748031496E-3</v>
      </c>
      <c r="V18" s="1"/>
      <c r="W18" s="1"/>
    </row>
    <row r="19" spans="1:23" x14ac:dyDescent="0.25">
      <c r="A19" s="25" t="s">
        <v>92</v>
      </c>
      <c r="B19" s="6"/>
      <c r="C19" s="7"/>
      <c r="D19" s="8">
        <f t="shared" si="0"/>
        <v>0</v>
      </c>
      <c r="E19" s="6"/>
      <c r="F19" s="7"/>
      <c r="G19" s="8">
        <f t="shared" si="1"/>
        <v>0</v>
      </c>
      <c r="H19" s="6">
        <v>3</v>
      </c>
      <c r="I19" s="7">
        <v>0.33300000000000002</v>
      </c>
      <c r="J19" s="8">
        <f t="shared" si="2"/>
        <v>0.99900000000000011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1"/>
      <c r="R19" s="6">
        <f t="shared" si="5"/>
        <v>3</v>
      </c>
      <c r="S19" s="9">
        <f t="shared" si="6"/>
        <v>0.33300000000000002</v>
      </c>
      <c r="T19" s="9">
        <f t="shared" si="7"/>
        <v>1.8987341772151899E-2</v>
      </c>
      <c r="U19" s="9">
        <f>R19 / _xlfn.XLOOKUP(A19, Jungle!A:A, Jungle!AA:AA)</f>
        <v>0.12</v>
      </c>
      <c r="V19" s="1"/>
      <c r="W19" s="1"/>
    </row>
    <row r="20" spans="1:23" x14ac:dyDescent="0.25">
      <c r="A20" s="1" t="s">
        <v>76</v>
      </c>
      <c r="B20" s="6"/>
      <c r="C20" s="7"/>
      <c r="D20" s="8">
        <f t="shared" si="0"/>
        <v>0</v>
      </c>
      <c r="E20" s="6"/>
      <c r="F20" s="7"/>
      <c r="G20" s="8">
        <f t="shared" si="1"/>
        <v>0</v>
      </c>
      <c r="H20" s="6">
        <v>1</v>
      </c>
      <c r="I20" s="7">
        <v>0</v>
      </c>
      <c r="J20" s="8">
        <f t="shared" si="2"/>
        <v>0</v>
      </c>
      <c r="K20" s="6"/>
      <c r="L20" s="7"/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1</v>
      </c>
      <c r="S20" s="9">
        <f t="shared" si="6"/>
        <v>0</v>
      </c>
      <c r="T20" s="9">
        <f t="shared" si="7"/>
        <v>6.3291139240506328E-3</v>
      </c>
      <c r="U20" s="9">
        <f>R20 / _xlfn.XLOOKUP(A20, Jungle!A:A, Jungle!AA:AA)</f>
        <v>7.5187969924812026E-3</v>
      </c>
      <c r="V20" s="1"/>
      <c r="W20" s="1"/>
    </row>
    <row r="21" spans="1:23" x14ac:dyDescent="0.25">
      <c r="A21" s="1" t="s">
        <v>50</v>
      </c>
      <c r="B21" s="6"/>
      <c r="C21" s="7"/>
      <c r="D21" s="8">
        <f t="shared" si="0"/>
        <v>0</v>
      </c>
      <c r="E21" s="6"/>
      <c r="F21" s="7"/>
      <c r="G21" s="8">
        <f t="shared" si="1"/>
        <v>0</v>
      </c>
      <c r="H21" s="6"/>
      <c r="I21" s="7"/>
      <c r="J21" s="8">
        <f t="shared" si="2"/>
        <v>0</v>
      </c>
      <c r="K21" s="6"/>
      <c r="L21" s="7"/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0</v>
      </c>
      <c r="S21" s="9" t="e">
        <f t="shared" si="6"/>
        <v>#DIV/0!</v>
      </c>
      <c r="T21" s="9">
        <f t="shared" si="7"/>
        <v>0</v>
      </c>
      <c r="U21" s="9">
        <f>R21 / _xlfn.XLOOKUP(A21, Jungle!A:A, Jungle!AA:AA)</f>
        <v>0</v>
      </c>
      <c r="V21" s="1"/>
      <c r="W21" s="1"/>
    </row>
    <row r="22" spans="1:23" x14ac:dyDescent="0.25">
      <c r="A22" s="1" t="s">
        <v>31</v>
      </c>
      <c r="B22" s="6"/>
      <c r="C22" s="7"/>
      <c r="D22" s="8">
        <f t="shared" si="0"/>
        <v>0</v>
      </c>
      <c r="E22" s="6"/>
      <c r="F22" s="7"/>
      <c r="G22" s="8">
        <f t="shared" si="1"/>
        <v>0</v>
      </c>
      <c r="H22" s="6"/>
      <c r="I22" s="7"/>
      <c r="J22" s="8">
        <f t="shared" si="2"/>
        <v>0</v>
      </c>
      <c r="K22" s="6">
        <v>2</v>
      </c>
      <c r="L22" s="7">
        <v>0</v>
      </c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2</v>
      </c>
      <c r="S22" s="9">
        <f t="shared" si="6"/>
        <v>0</v>
      </c>
      <c r="T22" s="9">
        <f t="shared" si="7"/>
        <v>1.2658227848101266E-2</v>
      </c>
      <c r="U22" s="9">
        <f>R22 / _xlfn.XLOOKUP(A22, Jungle!A:A, Jungle!AA:AA)</f>
        <v>7.6335877862595417E-3</v>
      </c>
      <c r="V22" s="1"/>
      <c r="W22" s="1"/>
    </row>
    <row r="23" spans="1:23" x14ac:dyDescent="0.25">
      <c r="A23" s="1" t="s">
        <v>38</v>
      </c>
      <c r="B23" s="6"/>
      <c r="C23" s="7"/>
      <c r="D23" s="8">
        <f t="shared" si="0"/>
        <v>0</v>
      </c>
      <c r="E23" s="6"/>
      <c r="F23" s="7"/>
      <c r="G23" s="8">
        <f t="shared" si="1"/>
        <v>0</v>
      </c>
      <c r="H23" s="6"/>
      <c r="I23" s="7"/>
      <c r="J23" s="8">
        <f t="shared" si="2"/>
        <v>0</v>
      </c>
      <c r="K23" s="6"/>
      <c r="L23" s="7"/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0</v>
      </c>
      <c r="S23" s="9" t="e">
        <f t="shared" si="6"/>
        <v>#DIV/0!</v>
      </c>
      <c r="T23" s="9">
        <f t="shared" si="7"/>
        <v>0</v>
      </c>
      <c r="U23" s="9">
        <f>R23 / _xlfn.XLOOKUP(A23, Jungle!A:A, Jungle!AA:AA)</f>
        <v>0</v>
      </c>
      <c r="V23" s="1"/>
      <c r="W23" s="1"/>
    </row>
    <row r="24" spans="1:23" x14ac:dyDescent="0.25">
      <c r="A24" s="1" t="s">
        <v>80</v>
      </c>
      <c r="B24" s="6"/>
      <c r="C24" s="7"/>
      <c r="D24" s="8">
        <f t="shared" si="0"/>
        <v>0</v>
      </c>
      <c r="E24" s="6"/>
      <c r="F24" s="7"/>
      <c r="G24" s="8">
        <f t="shared" si="1"/>
        <v>0</v>
      </c>
      <c r="H24" s="6"/>
      <c r="I24" s="7"/>
      <c r="J24" s="8">
        <f t="shared" si="2"/>
        <v>0</v>
      </c>
      <c r="K24" s="6"/>
      <c r="L24" s="7"/>
      <c r="M24" s="8">
        <f t="shared" si="3"/>
        <v>0</v>
      </c>
      <c r="N24" s="6"/>
      <c r="O24" s="7"/>
      <c r="P24" s="8">
        <f t="shared" si="4"/>
        <v>0</v>
      </c>
      <c r="Q24" s="1"/>
      <c r="R24" s="6">
        <f t="shared" si="5"/>
        <v>0</v>
      </c>
      <c r="S24" s="9" t="e">
        <f t="shared" si="6"/>
        <v>#DIV/0!</v>
      </c>
      <c r="T24" s="9">
        <f t="shared" si="7"/>
        <v>0</v>
      </c>
      <c r="U24" s="9">
        <f>R24 / _xlfn.XLOOKUP(A24, Jungle!A:A, Jungle!AA:AA)</f>
        <v>0</v>
      </c>
    </row>
    <row r="25" spans="1:23" x14ac:dyDescent="0.25">
      <c r="A25" s="1" t="s">
        <v>23</v>
      </c>
      <c r="B25" s="6"/>
      <c r="C25" s="7"/>
      <c r="D25" s="8">
        <f t="shared" si="0"/>
        <v>0</v>
      </c>
      <c r="E25" s="6"/>
      <c r="F25" s="7"/>
      <c r="G25" s="8">
        <f t="shared" si="1"/>
        <v>0</v>
      </c>
      <c r="H25" s="6"/>
      <c r="I25" s="7"/>
      <c r="J25" s="8">
        <f t="shared" si="2"/>
        <v>0</v>
      </c>
      <c r="K25" s="6"/>
      <c r="L25" s="7"/>
      <c r="M25" s="8">
        <f t="shared" si="3"/>
        <v>0</v>
      </c>
      <c r="N25" s="6"/>
      <c r="O25" s="7"/>
      <c r="P25" s="8">
        <f t="shared" si="4"/>
        <v>0</v>
      </c>
      <c r="Q25" s="1"/>
      <c r="R25" s="6">
        <f t="shared" si="5"/>
        <v>0</v>
      </c>
      <c r="S25" s="9" t="e">
        <f t="shared" si="6"/>
        <v>#DIV/0!</v>
      </c>
      <c r="T25" s="9">
        <f t="shared" si="7"/>
        <v>0</v>
      </c>
      <c r="U25" s="9">
        <f>R25 / _xlfn.XLOOKUP(A25, Jungle!A:A, Jungle!AA:AA)</f>
        <v>0</v>
      </c>
    </row>
    <row r="26" spans="1:23" x14ac:dyDescent="0.25">
      <c r="A26" s="1" t="s">
        <v>100</v>
      </c>
      <c r="B26" s="6"/>
      <c r="C26" s="7"/>
      <c r="D26" s="8">
        <f t="shared" si="0"/>
        <v>0</v>
      </c>
      <c r="E26" s="6"/>
      <c r="F26" s="7"/>
      <c r="G26" s="8">
        <f t="shared" si="1"/>
        <v>0</v>
      </c>
      <c r="H26" s="6">
        <v>1</v>
      </c>
      <c r="I26" s="7">
        <v>0</v>
      </c>
      <c r="J26" s="8">
        <f t="shared" si="2"/>
        <v>0</v>
      </c>
      <c r="K26" s="6"/>
      <c r="L26" s="7"/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1</v>
      </c>
      <c r="S26" s="9">
        <f t="shared" si="6"/>
        <v>0</v>
      </c>
      <c r="T26" s="9">
        <f t="shared" si="7"/>
        <v>6.3291139240506328E-3</v>
      </c>
      <c r="U26" s="9">
        <f>R26 / _xlfn.XLOOKUP(A26, Jungle!A:A, Jungle!AA:AA)</f>
        <v>0.1</v>
      </c>
    </row>
    <row r="27" spans="1:23" x14ac:dyDescent="0.25">
      <c r="A27" s="1" t="s">
        <v>96</v>
      </c>
      <c r="B27" s="6"/>
      <c r="C27" s="7"/>
      <c r="D27" s="8">
        <f t="shared" si="0"/>
        <v>0</v>
      </c>
      <c r="E27" s="6"/>
      <c r="F27" s="7"/>
      <c r="G27" s="8">
        <f t="shared" si="1"/>
        <v>0</v>
      </c>
      <c r="H27" s="6"/>
      <c r="I27" s="7"/>
      <c r="J27" s="8">
        <f t="shared" si="2"/>
        <v>0</v>
      </c>
      <c r="K27" s="6"/>
      <c r="L27" s="7"/>
      <c r="M27" s="8">
        <f t="shared" si="3"/>
        <v>0</v>
      </c>
      <c r="N27" s="6"/>
      <c r="O27" s="7"/>
      <c r="P27" s="8">
        <f t="shared" si="4"/>
        <v>0</v>
      </c>
      <c r="Q27" s="1"/>
      <c r="R27" s="6">
        <f t="shared" si="5"/>
        <v>0</v>
      </c>
      <c r="S27" s="9" t="e">
        <f t="shared" si="6"/>
        <v>#DIV/0!</v>
      </c>
      <c r="T27" s="9">
        <f t="shared" si="7"/>
        <v>0</v>
      </c>
      <c r="U27" s="9">
        <f>R27 / _xlfn.XLOOKUP(A27, Jungle!A:A, Jungle!AA:AA)</f>
        <v>0</v>
      </c>
    </row>
    <row r="28" spans="1:23" x14ac:dyDescent="0.25">
      <c r="A28" s="1" t="s">
        <v>58</v>
      </c>
      <c r="B28" s="6"/>
      <c r="C28" s="7"/>
      <c r="D28" s="8">
        <f t="shared" si="0"/>
        <v>0</v>
      </c>
      <c r="E28" s="6"/>
      <c r="F28" s="7"/>
      <c r="G28" s="8">
        <f t="shared" si="1"/>
        <v>0</v>
      </c>
      <c r="H28" s="6"/>
      <c r="I28" s="7"/>
      <c r="J28" s="8">
        <f t="shared" si="2"/>
        <v>0</v>
      </c>
      <c r="K28" s="6"/>
      <c r="L28" s="7"/>
      <c r="M28" s="8">
        <f t="shared" si="3"/>
        <v>0</v>
      </c>
      <c r="N28" s="6"/>
      <c r="O28" s="7"/>
      <c r="P28" s="8">
        <f t="shared" si="4"/>
        <v>0</v>
      </c>
      <c r="Q28" s="1"/>
      <c r="R28" s="6">
        <f t="shared" si="5"/>
        <v>0</v>
      </c>
      <c r="S28" s="9" t="e">
        <f t="shared" si="6"/>
        <v>#DIV/0!</v>
      </c>
      <c r="T28" s="9">
        <f t="shared" si="7"/>
        <v>0</v>
      </c>
      <c r="U28" s="9">
        <f>R28 / _xlfn.XLOOKUP(A28, Jungle!A:A, Jungle!AA:AA)</f>
        <v>0</v>
      </c>
    </row>
    <row r="29" spans="1:23" x14ac:dyDescent="0.25">
      <c r="A29" s="1" t="s">
        <v>21</v>
      </c>
      <c r="B29" s="6"/>
      <c r="C29" s="7"/>
      <c r="D29" s="8">
        <f t="shared" si="0"/>
        <v>0</v>
      </c>
      <c r="E29" s="6"/>
      <c r="F29" s="7"/>
      <c r="G29" s="8">
        <f t="shared" si="1"/>
        <v>0</v>
      </c>
      <c r="H29" s="6"/>
      <c r="I29" s="7"/>
      <c r="J29" s="8">
        <f t="shared" si="2"/>
        <v>0</v>
      </c>
      <c r="K29" s="6"/>
      <c r="L29" s="7"/>
      <c r="M29" s="8">
        <f t="shared" si="3"/>
        <v>0</v>
      </c>
      <c r="N29" s="6"/>
      <c r="O29" s="7"/>
      <c r="P29" s="8">
        <f t="shared" si="4"/>
        <v>0</v>
      </c>
      <c r="Q29" s="1"/>
      <c r="R29" s="6">
        <f t="shared" si="5"/>
        <v>0</v>
      </c>
      <c r="S29" s="9" t="e">
        <f t="shared" si="6"/>
        <v>#DIV/0!</v>
      </c>
      <c r="T29" s="9">
        <f t="shared" si="7"/>
        <v>0</v>
      </c>
      <c r="U29" s="9">
        <f>R29 / _xlfn.XLOOKUP(A29, Jungle!A:A, Jungle!AA:AA)</f>
        <v>0</v>
      </c>
    </row>
    <row r="30" spans="1:23" x14ac:dyDescent="0.25">
      <c r="A30" s="25" t="s">
        <v>88</v>
      </c>
      <c r="B30" s="6"/>
      <c r="C30" s="7"/>
      <c r="D30" s="8">
        <f t="shared" si="0"/>
        <v>0</v>
      </c>
      <c r="E30" s="6"/>
      <c r="F30" s="7"/>
      <c r="G30" s="8">
        <f t="shared" si="1"/>
        <v>0</v>
      </c>
      <c r="H30" s="6"/>
      <c r="I30" s="7"/>
      <c r="J30" s="8">
        <f t="shared" si="2"/>
        <v>0</v>
      </c>
      <c r="K30" s="6">
        <v>1</v>
      </c>
      <c r="L30" s="7">
        <v>0</v>
      </c>
      <c r="M30" s="8">
        <f t="shared" si="3"/>
        <v>0</v>
      </c>
      <c r="N30" s="6"/>
      <c r="O30" s="7"/>
      <c r="P30" s="8">
        <f t="shared" si="4"/>
        <v>0</v>
      </c>
      <c r="Q30" s="1"/>
      <c r="R30" s="6">
        <f t="shared" si="5"/>
        <v>1</v>
      </c>
      <c r="S30" s="9">
        <f t="shared" si="6"/>
        <v>0</v>
      </c>
      <c r="T30" s="9">
        <f t="shared" si="7"/>
        <v>6.3291139240506328E-3</v>
      </c>
      <c r="U30" s="9">
        <f>R30 / _xlfn.XLOOKUP(A30, Jungle!A:A, Jungle!AA:AA)</f>
        <v>0.04</v>
      </c>
    </row>
    <row r="31" spans="1:23" x14ac:dyDescent="0.25">
      <c r="N31" s="6"/>
      <c r="O31" s="7"/>
      <c r="P31" s="8">
        <f t="shared" ref="P31:P35" si="8">N31*O31</f>
        <v>0</v>
      </c>
      <c r="Q31" s="1"/>
      <c r="R31" s="6">
        <f t="shared" ref="R31:R35" si="9">B31+E31+H31+K31+N31</f>
        <v>0</v>
      </c>
      <c r="S31" s="9" t="e">
        <f t="shared" ref="S31:S35" si="10">(D31+G31+J31+M31+P31)/R31</f>
        <v>#DIV/0!</v>
      </c>
      <c r="T31" s="9">
        <f t="shared" ref="T31:T35" si="11">R31/$V$3</f>
        <v>0</v>
      </c>
      <c r="U31" s="9" t="e">
        <f>R31 / _xlfn.XLOOKUP(A31, Jungle!A:A, Jungle!AA:AA)</f>
        <v>#DIV/0!</v>
      </c>
    </row>
    <row r="32" spans="1:23" x14ac:dyDescent="0.25">
      <c r="N32" s="6"/>
      <c r="O32" s="7"/>
      <c r="P32" s="8">
        <f t="shared" si="8"/>
        <v>0</v>
      </c>
      <c r="Q32" s="1"/>
      <c r="R32" s="6">
        <f t="shared" si="9"/>
        <v>0</v>
      </c>
      <c r="S32" s="9" t="e">
        <f t="shared" si="10"/>
        <v>#DIV/0!</v>
      </c>
      <c r="T32" s="9">
        <f t="shared" si="11"/>
        <v>0</v>
      </c>
      <c r="U32" s="9" t="e">
        <f>R32 / _xlfn.XLOOKUP(A32, Jungle!A:A, Jungle!AA:AA)</f>
        <v>#DIV/0!</v>
      </c>
    </row>
    <row r="33" spans="14:21" x14ac:dyDescent="0.25">
      <c r="N33" s="6"/>
      <c r="O33" s="7"/>
      <c r="P33" s="8">
        <f t="shared" si="8"/>
        <v>0</v>
      </c>
      <c r="Q33" s="1"/>
      <c r="R33" s="6">
        <f t="shared" si="9"/>
        <v>0</v>
      </c>
      <c r="S33" s="9" t="e">
        <f t="shared" si="10"/>
        <v>#DIV/0!</v>
      </c>
      <c r="T33" s="9">
        <f t="shared" si="11"/>
        <v>0</v>
      </c>
      <c r="U33" s="9" t="e">
        <f>R33 / _xlfn.XLOOKUP(A33, Jungle!A:A, Jungle!AA:AA)</f>
        <v>#DIV/0!</v>
      </c>
    </row>
    <row r="34" spans="14:21" x14ac:dyDescent="0.25">
      <c r="N34" s="6"/>
      <c r="O34" s="7"/>
      <c r="P34" s="8">
        <f t="shared" si="8"/>
        <v>0</v>
      </c>
      <c r="Q34" s="1"/>
      <c r="R34" s="6">
        <f t="shared" si="9"/>
        <v>0</v>
      </c>
      <c r="S34" s="9" t="e">
        <f t="shared" si="10"/>
        <v>#DIV/0!</v>
      </c>
      <c r="T34" s="9">
        <f t="shared" si="11"/>
        <v>0</v>
      </c>
      <c r="U34" s="9" t="e">
        <f>R34 / _xlfn.XLOOKUP(A34, Jungle!A:A, Jungle!AA:AA)</f>
        <v>#DIV/0!</v>
      </c>
    </row>
    <row r="35" spans="14:21" x14ac:dyDescent="0.25">
      <c r="N35" s="6"/>
      <c r="O35" s="7"/>
      <c r="P35" s="8">
        <f t="shared" si="8"/>
        <v>0</v>
      </c>
      <c r="Q35" s="1"/>
      <c r="R35" s="6">
        <f t="shared" si="9"/>
        <v>0</v>
      </c>
      <c r="S35" s="9" t="e">
        <f t="shared" si="10"/>
        <v>#DIV/0!</v>
      </c>
      <c r="T35" s="9">
        <f t="shared" si="11"/>
        <v>0</v>
      </c>
      <c r="U35" s="9" t="e">
        <f>R35 / _xlfn.XLOOKUP(A35, Jungle!A:A, Jungle!AA:AA)</f>
        <v>#DIV/0!</v>
      </c>
    </row>
    <row r="36" spans="14:21" x14ac:dyDescent="0.25">
      <c r="U36" s="9" t="e">
        <f>R36 / _xlfn.XLOOKUP(A36, Jungle!A:A, Jungle!AA:AA)</f>
        <v>#DIV/0!</v>
      </c>
    </row>
    <row r="37" spans="14:21" x14ac:dyDescent="0.25">
      <c r="U37" s="9" t="e">
        <f>R37 / _xlfn.XLOOKUP(A37, Jungle!A:A, Jungle!AA:AA)</f>
        <v>#DIV/0!</v>
      </c>
    </row>
    <row r="38" spans="14:21" x14ac:dyDescent="0.25">
      <c r="U38" s="9" t="e">
        <f>R38 / _xlfn.XLOOKUP(A38, Jungle!A:A, Jungle!AA:AA)</f>
        <v>#DIV/0!</v>
      </c>
    </row>
    <row r="39" spans="14:21" x14ac:dyDescent="0.25">
      <c r="U39" s="9" t="e">
        <f>R39 / _xlfn.XLOOKUP(A39, Jungle!A:A, Jungle!AA:AA)</f>
        <v>#DIV/0!</v>
      </c>
    </row>
    <row r="40" spans="14:21" x14ac:dyDescent="0.25">
      <c r="U40" s="9" t="e">
        <f>R40 / _xlfn.XLOOKUP(A40, Jungle!A:A, Jungle!AA:AA)</f>
        <v>#DIV/0!</v>
      </c>
    </row>
    <row r="41" spans="14:21" x14ac:dyDescent="0.25">
      <c r="U41" s="9" t="e">
        <f>R41 / _xlfn.XLOOKUP(A41, Jungle!A:A, Jungle!AA:AA)</f>
        <v>#DIV/0!</v>
      </c>
    </row>
    <row r="42" spans="14:21" x14ac:dyDescent="0.25">
      <c r="U42" s="9" t="e">
        <f>R42 / _xlfn.XLOOKUP(A42, Jungle!A:A, Jungle!AA:AA)</f>
        <v>#DIV/0!</v>
      </c>
    </row>
    <row r="43" spans="14:21" x14ac:dyDescent="0.25">
      <c r="U43" s="9" t="e">
        <f>R43 / _xlfn.XLOOKUP(A43, Jungle!A:A, Jungle!AA:AA)</f>
        <v>#DIV/0!</v>
      </c>
    </row>
    <row r="44" spans="14:21" x14ac:dyDescent="0.25">
      <c r="U44" s="9" t="e">
        <f>R44 / _xlfn.XLOOKUP(A44, Jungle!A:A, Jungle!AA:AA)</f>
        <v>#DIV/0!</v>
      </c>
    </row>
    <row r="45" spans="14:21" x14ac:dyDescent="0.25">
      <c r="U45" s="9" t="e">
        <f>R45 / _xlfn.XLOOKUP(A45, Jungle!A:A, Jungle!AA:AA)</f>
        <v>#DIV/0!</v>
      </c>
    </row>
    <row r="46" spans="14:21" x14ac:dyDescent="0.25">
      <c r="U46" s="9" t="e">
        <f>R46 / _xlfn.XLOOKUP(A46, Jungle!A:A, Jungle!AA:AA)</f>
        <v>#DIV/0!</v>
      </c>
    </row>
    <row r="47" spans="14:21" x14ac:dyDescent="0.25">
      <c r="U47" s="9" t="e">
        <f>R47 / _xlfn.XLOOKUP(A47, Jungle!A:A, Jungle!AA:AA)</f>
        <v>#DIV/0!</v>
      </c>
    </row>
    <row r="48" spans="14:21" x14ac:dyDescent="0.25">
      <c r="U48" s="9" t="e">
        <f>R48 / _xlfn.XLOOKUP(A48, Jungle!A:A, Jungle!AA:AA)</f>
        <v>#DIV/0!</v>
      </c>
    </row>
    <row r="49" spans="21:21" x14ac:dyDescent="0.25">
      <c r="U49" s="9" t="e">
        <f>R49 / _xlfn.XLOOKUP(A49, Jungle!A:A, Jungle!AA:AA)</f>
        <v>#DIV/0!</v>
      </c>
    </row>
    <row r="50" spans="21:21" x14ac:dyDescent="0.25">
      <c r="U50" s="9" t="e">
        <f>R50 / _xlfn.XLOOKUP(A50, Jungle!A:A, Jungle!AA:AA)</f>
        <v>#DIV/0!</v>
      </c>
    </row>
    <row r="51" spans="21:21" x14ac:dyDescent="0.25">
      <c r="U51" s="9" t="e">
        <f>R51 / _xlfn.XLOOKUP(A51, Jungle!A:A, Jungle!AA:AA)</f>
        <v>#DIV/0!</v>
      </c>
    </row>
    <row r="52" spans="21:21" x14ac:dyDescent="0.25">
      <c r="U52" s="9" t="e">
        <f>R52 / _xlfn.XLOOKUP(A52, Jungle!A:A, Jungle!AA:AA)</f>
        <v>#DIV/0!</v>
      </c>
    </row>
    <row r="53" spans="21:21" x14ac:dyDescent="0.25">
      <c r="U53" s="9" t="e">
        <f>R53 / _xlfn.XLOOKUP(A53, Jungle!A:A, Jungle!AA:AA)</f>
        <v>#DIV/0!</v>
      </c>
    </row>
    <row r="54" spans="21:21" x14ac:dyDescent="0.25">
      <c r="U54" s="9" t="e">
        <f>R54 / _xlfn.XLOOKUP(A54, Jungle!A:A, Jungle!AA:AA)</f>
        <v>#DIV/0!</v>
      </c>
    </row>
    <row r="55" spans="21:21" x14ac:dyDescent="0.25">
      <c r="U55" s="9" t="e">
        <f>R55 / _xlfn.XLOOKUP(A55, Jungle!A:A, Jungle!AA:AA)</f>
        <v>#DIV/0!</v>
      </c>
    </row>
    <row r="56" spans="21:21" x14ac:dyDescent="0.25">
      <c r="U56" s="9" t="e">
        <f>R56 / _xlfn.XLOOKUP(A56, Jungle!A:A, Jungle!AA:AA)</f>
        <v>#DIV/0!</v>
      </c>
    </row>
  </sheetData>
  <sortState xmlns:xlrd2="http://schemas.microsoft.com/office/spreadsheetml/2017/richdata2" ref="A3:U30">
    <sortCondition descending="1" ref="U3:U30"/>
  </sortState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58B0B-05C0-472D-A290-2A3843E5BFB1}">
  <sheetPr>
    <tabColor theme="6" tint="0.59999389629810485"/>
  </sheetPr>
  <dimension ref="A1:W47"/>
  <sheetViews>
    <sheetView workbookViewId="0">
      <selection activeCell="U3" sqref="U3:U26"/>
    </sheetView>
  </sheetViews>
  <sheetFormatPr baseColWidth="10" defaultRowHeight="15" x14ac:dyDescent="0.25"/>
  <sheetData>
    <row r="1" spans="1:23" ht="15.75" x14ac:dyDescent="0.25">
      <c r="A1" s="2" t="s">
        <v>214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84</v>
      </c>
      <c r="B3" s="6"/>
      <c r="C3" s="7"/>
      <c r="D3" s="8">
        <f t="shared" ref="D3:D26" si="0">B3*C3</f>
        <v>0</v>
      </c>
      <c r="E3" s="6"/>
      <c r="F3" s="7"/>
      <c r="G3" s="8">
        <f t="shared" ref="G3:G26" si="1">E3*F3</f>
        <v>0</v>
      </c>
      <c r="H3" s="6"/>
      <c r="I3" s="7"/>
      <c r="J3" s="8">
        <f t="shared" ref="J3:J26" si="2">H3*I3</f>
        <v>0</v>
      </c>
      <c r="K3" s="6"/>
      <c r="L3" s="7"/>
      <c r="M3" s="8">
        <f t="shared" ref="M3:M26" si="3">K3*L3</f>
        <v>0</v>
      </c>
      <c r="N3" s="6"/>
      <c r="O3" s="7"/>
      <c r="P3" s="8">
        <f t="shared" ref="P3:P26" si="4">N3*O3</f>
        <v>0</v>
      </c>
      <c r="Q3" s="1"/>
      <c r="R3" s="6">
        <f t="shared" ref="R3:R26" si="5">B3+E3+H3+K3+N3</f>
        <v>0</v>
      </c>
      <c r="S3" s="9" t="e">
        <f t="shared" ref="S3:S26" si="6">(D3+G3+J3+M3+P3)/R3</f>
        <v>#DIV/0!</v>
      </c>
      <c r="T3" s="9">
        <f t="shared" ref="T3:T26" si="7">R3/$V$3</f>
        <v>0</v>
      </c>
      <c r="U3" s="9">
        <f>R3 / _xlfn.XLOOKUP(A3, Jungle!A:A, Jungle!AA:AA)</f>
        <v>0</v>
      </c>
      <c r="V3" s="11">
        <f>SUM(R3:R61)</f>
        <v>180</v>
      </c>
      <c r="W3" s="12">
        <f>(SUM(D3:D91)+SUM(G3:G91)+SUM(J3:J91)+SUM(M3:M91)+SUM(P3:P91)) / V3</f>
        <v>0.32780555555555552</v>
      </c>
    </row>
    <row r="4" spans="1:23" x14ac:dyDescent="0.25">
      <c r="A4" s="1" t="s">
        <v>16</v>
      </c>
      <c r="B4" s="6"/>
      <c r="C4" s="7"/>
      <c r="D4" s="8">
        <f t="shared" si="0"/>
        <v>0</v>
      </c>
      <c r="E4" s="6"/>
      <c r="F4" s="7"/>
      <c r="G4" s="8">
        <f t="shared" si="1"/>
        <v>0</v>
      </c>
      <c r="H4" s="6">
        <v>1</v>
      </c>
      <c r="I4" s="7">
        <v>1</v>
      </c>
      <c r="J4" s="8">
        <f t="shared" si="2"/>
        <v>1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1</v>
      </c>
      <c r="S4" s="9">
        <f t="shared" si="6"/>
        <v>1</v>
      </c>
      <c r="T4" s="9">
        <f t="shared" si="7"/>
        <v>5.5555555555555558E-3</v>
      </c>
      <c r="U4" s="9">
        <f>R4 / _xlfn.XLOOKUP(A4, Jungle!A:A, Jungle!AA:AA)</f>
        <v>4.3478260869565216E-2</v>
      </c>
      <c r="V4" s="1"/>
      <c r="W4" s="1"/>
    </row>
    <row r="5" spans="1:23" x14ac:dyDescent="0.25">
      <c r="A5" s="1" t="s">
        <v>87</v>
      </c>
      <c r="B5" s="6"/>
      <c r="C5" s="7"/>
      <c r="D5" s="8">
        <f t="shared" si="0"/>
        <v>0</v>
      </c>
      <c r="E5" s="6"/>
      <c r="F5" s="7"/>
      <c r="G5" s="8">
        <f t="shared" si="1"/>
        <v>0</v>
      </c>
      <c r="H5" s="6">
        <v>3</v>
      </c>
      <c r="I5" s="7">
        <v>0.66700000000000004</v>
      </c>
      <c r="J5" s="8">
        <f t="shared" si="2"/>
        <v>2.0010000000000003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4"/>
      <c r="R5" s="6">
        <f t="shared" si="5"/>
        <v>3</v>
      </c>
      <c r="S5" s="9">
        <f t="shared" si="6"/>
        <v>0.66700000000000015</v>
      </c>
      <c r="T5" s="9">
        <f t="shared" si="7"/>
        <v>1.6666666666666666E-2</v>
      </c>
      <c r="U5" s="9">
        <f>R5 / _xlfn.XLOOKUP(A5, Jungle!A:A, Jungle!AA:AA)</f>
        <v>0.13636363636363635</v>
      </c>
      <c r="V5" s="1"/>
      <c r="W5" s="1"/>
    </row>
    <row r="6" spans="1:23" x14ac:dyDescent="0.25">
      <c r="A6" s="1" t="s">
        <v>70</v>
      </c>
      <c r="B6" s="6"/>
      <c r="C6" s="7"/>
      <c r="D6" s="8">
        <f t="shared" si="0"/>
        <v>0</v>
      </c>
      <c r="E6" s="6"/>
      <c r="F6" s="7"/>
      <c r="G6" s="8">
        <f t="shared" si="1"/>
        <v>0</v>
      </c>
      <c r="H6" s="6">
        <v>12</v>
      </c>
      <c r="I6" s="7">
        <v>0.5</v>
      </c>
      <c r="J6" s="8">
        <f t="shared" si="2"/>
        <v>6</v>
      </c>
      <c r="K6" s="6">
        <v>17</v>
      </c>
      <c r="L6" s="7">
        <v>0.64700000000000002</v>
      </c>
      <c r="M6" s="8">
        <f t="shared" si="3"/>
        <v>10.999000000000001</v>
      </c>
      <c r="N6" s="6"/>
      <c r="O6" s="7"/>
      <c r="P6" s="8">
        <f t="shared" si="4"/>
        <v>0</v>
      </c>
      <c r="Q6" s="1"/>
      <c r="R6" s="6">
        <f t="shared" si="5"/>
        <v>29</v>
      </c>
      <c r="S6" s="9">
        <f t="shared" si="6"/>
        <v>0.58617241379310348</v>
      </c>
      <c r="T6" s="9">
        <f t="shared" si="7"/>
        <v>0.16111111111111112</v>
      </c>
      <c r="U6" s="9">
        <f>R6 / _xlfn.XLOOKUP(A6, Jungle!A:A, Jungle!AA:AA)</f>
        <v>5.8350100603621731E-2</v>
      </c>
      <c r="V6" s="1"/>
      <c r="W6" s="1"/>
    </row>
    <row r="7" spans="1:23" x14ac:dyDescent="0.25">
      <c r="A7" s="1" t="s">
        <v>71</v>
      </c>
      <c r="B7" s="6"/>
      <c r="C7" s="7"/>
      <c r="D7" s="8">
        <f t="shared" si="0"/>
        <v>0</v>
      </c>
      <c r="E7" s="6"/>
      <c r="F7" s="7"/>
      <c r="G7" s="8">
        <f t="shared" si="1"/>
        <v>0</v>
      </c>
      <c r="H7" s="6"/>
      <c r="I7" s="7"/>
      <c r="J7" s="8">
        <f t="shared" si="2"/>
        <v>0</v>
      </c>
      <c r="K7" s="6">
        <v>10</v>
      </c>
      <c r="L7" s="7">
        <v>0.5</v>
      </c>
      <c r="M7" s="8">
        <f t="shared" si="3"/>
        <v>5</v>
      </c>
      <c r="N7" s="6"/>
      <c r="O7" s="7"/>
      <c r="P7" s="8">
        <f t="shared" si="4"/>
        <v>0</v>
      </c>
      <c r="Q7" s="1"/>
      <c r="R7" s="6">
        <f t="shared" si="5"/>
        <v>10</v>
      </c>
      <c r="S7" s="9">
        <f t="shared" si="6"/>
        <v>0.5</v>
      </c>
      <c r="T7" s="9">
        <f t="shared" si="7"/>
        <v>5.5555555555555552E-2</v>
      </c>
      <c r="U7" s="9">
        <f>R7 / _xlfn.XLOOKUP(A7, Jungle!A:A, Jungle!AA:AA)</f>
        <v>1.8050541516245487E-2</v>
      </c>
      <c r="V7" s="1"/>
      <c r="W7" s="1"/>
    </row>
    <row r="8" spans="1:23" x14ac:dyDescent="0.25">
      <c r="A8" s="1" t="s">
        <v>76</v>
      </c>
      <c r="B8" s="6"/>
      <c r="C8" s="7"/>
      <c r="D8" s="8">
        <f t="shared" si="0"/>
        <v>0</v>
      </c>
      <c r="E8" s="6"/>
      <c r="F8" s="7"/>
      <c r="G8" s="8">
        <f t="shared" si="1"/>
        <v>0</v>
      </c>
      <c r="H8" s="6">
        <v>4</v>
      </c>
      <c r="I8" s="7">
        <v>0.25</v>
      </c>
      <c r="J8" s="8">
        <f t="shared" si="2"/>
        <v>1</v>
      </c>
      <c r="K8" s="6">
        <v>4</v>
      </c>
      <c r="L8" s="7">
        <v>0.75</v>
      </c>
      <c r="M8" s="8">
        <f t="shared" si="3"/>
        <v>3</v>
      </c>
      <c r="N8" s="6"/>
      <c r="O8" s="7"/>
      <c r="P8" s="8">
        <f t="shared" si="4"/>
        <v>0</v>
      </c>
      <c r="Q8" s="4"/>
      <c r="R8" s="6">
        <f t="shared" si="5"/>
        <v>8</v>
      </c>
      <c r="S8" s="9">
        <f t="shared" si="6"/>
        <v>0.5</v>
      </c>
      <c r="T8" s="9">
        <f t="shared" si="7"/>
        <v>4.4444444444444446E-2</v>
      </c>
      <c r="U8" s="9">
        <f>R8 / _xlfn.XLOOKUP(A8, Jungle!A:A, Jungle!AA:AA)</f>
        <v>6.0150375939849621E-2</v>
      </c>
      <c r="V8" s="1"/>
      <c r="W8" s="1"/>
    </row>
    <row r="9" spans="1:23" x14ac:dyDescent="0.25">
      <c r="A9" s="23" t="s">
        <v>100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>
        <v>2</v>
      </c>
      <c r="I9" s="7">
        <v>0.5</v>
      </c>
      <c r="J9" s="8">
        <f t="shared" si="2"/>
        <v>1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1"/>
      <c r="R9" s="6">
        <f t="shared" si="5"/>
        <v>2</v>
      </c>
      <c r="S9" s="9">
        <f t="shared" si="6"/>
        <v>0.5</v>
      </c>
      <c r="T9" s="9">
        <f t="shared" si="7"/>
        <v>1.1111111111111112E-2</v>
      </c>
      <c r="U9" s="9">
        <f>R9 / _xlfn.XLOOKUP(A9, Jungle!A:A, Jungle!AA:AA)</f>
        <v>0.2</v>
      </c>
      <c r="V9" s="1"/>
      <c r="W9" s="1"/>
    </row>
    <row r="10" spans="1:23" x14ac:dyDescent="0.25">
      <c r="A10" s="23" t="s">
        <v>211</v>
      </c>
      <c r="B10" s="6"/>
      <c r="C10" s="7"/>
      <c r="D10" s="8">
        <f t="shared" si="0"/>
        <v>0</v>
      </c>
      <c r="E10" s="6"/>
      <c r="F10" s="7"/>
      <c r="G10" s="8">
        <f t="shared" si="1"/>
        <v>0</v>
      </c>
      <c r="H10" s="6"/>
      <c r="I10" s="7"/>
      <c r="J10" s="8">
        <f t="shared" si="2"/>
        <v>0</v>
      </c>
      <c r="K10" s="6">
        <v>7</v>
      </c>
      <c r="L10" s="7">
        <v>0.42899999999999999</v>
      </c>
      <c r="M10" s="8">
        <f t="shared" si="3"/>
        <v>3.0030000000000001</v>
      </c>
      <c r="N10" s="6"/>
      <c r="O10" s="7"/>
      <c r="P10" s="8">
        <f t="shared" si="4"/>
        <v>0</v>
      </c>
      <c r="Q10" s="1"/>
      <c r="R10" s="6">
        <f t="shared" si="5"/>
        <v>7</v>
      </c>
      <c r="S10" s="9">
        <f t="shared" si="6"/>
        <v>0.42899999999999999</v>
      </c>
      <c r="T10" s="9">
        <f t="shared" si="7"/>
        <v>3.888888888888889E-2</v>
      </c>
      <c r="U10" s="9">
        <f>R10 / _xlfn.XLOOKUP(A10, Jungle!A:A, Jungle!AA:AA)</f>
        <v>9.3333333333333338E-2</v>
      </c>
      <c r="V10" s="1"/>
      <c r="W10" s="1"/>
    </row>
    <row r="11" spans="1:23" x14ac:dyDescent="0.25">
      <c r="A11" s="1" t="s">
        <v>69</v>
      </c>
      <c r="B11" s="6"/>
      <c r="C11" s="7"/>
      <c r="D11" s="8">
        <f t="shared" si="0"/>
        <v>0</v>
      </c>
      <c r="E11" s="6"/>
      <c r="F11" s="7"/>
      <c r="G11" s="8">
        <f t="shared" si="1"/>
        <v>0</v>
      </c>
      <c r="H11" s="6">
        <v>5</v>
      </c>
      <c r="I11" s="7">
        <v>0.4</v>
      </c>
      <c r="J11" s="8">
        <f t="shared" si="2"/>
        <v>2</v>
      </c>
      <c r="K11" s="6">
        <v>5</v>
      </c>
      <c r="L11" s="7">
        <v>0.4</v>
      </c>
      <c r="M11" s="8">
        <f t="shared" si="3"/>
        <v>2</v>
      </c>
      <c r="N11" s="6"/>
      <c r="O11" s="7"/>
      <c r="P11" s="8">
        <f t="shared" si="4"/>
        <v>0</v>
      </c>
      <c r="Q11" s="1"/>
      <c r="R11" s="6">
        <f t="shared" si="5"/>
        <v>10</v>
      </c>
      <c r="S11" s="9">
        <f t="shared" si="6"/>
        <v>0.4</v>
      </c>
      <c r="T11" s="9">
        <f t="shared" si="7"/>
        <v>5.5555555555555552E-2</v>
      </c>
      <c r="U11" s="9">
        <f>R11 / _xlfn.XLOOKUP(A11, Jungle!A:A, Jungle!AA:AA)</f>
        <v>2.2271714922048998E-2</v>
      </c>
      <c r="V11" s="1"/>
      <c r="W11" s="1"/>
    </row>
    <row r="12" spans="1:23" x14ac:dyDescent="0.25">
      <c r="A12" s="1" t="s">
        <v>83</v>
      </c>
      <c r="B12" s="6"/>
      <c r="C12" s="7"/>
      <c r="D12" s="8">
        <f t="shared" si="0"/>
        <v>0</v>
      </c>
      <c r="E12" s="6"/>
      <c r="F12" s="7"/>
      <c r="G12" s="8">
        <f t="shared" si="1"/>
        <v>0</v>
      </c>
      <c r="H12" s="6">
        <v>1</v>
      </c>
      <c r="I12" s="7">
        <v>1</v>
      </c>
      <c r="J12" s="8">
        <f t="shared" si="2"/>
        <v>1</v>
      </c>
      <c r="K12" s="6">
        <v>4</v>
      </c>
      <c r="L12" s="7">
        <v>0.25</v>
      </c>
      <c r="M12" s="8">
        <f t="shared" si="3"/>
        <v>1</v>
      </c>
      <c r="N12" s="6"/>
      <c r="O12" s="7"/>
      <c r="P12" s="8">
        <f t="shared" si="4"/>
        <v>0</v>
      </c>
      <c r="Q12" s="1"/>
      <c r="R12" s="6">
        <f t="shared" si="5"/>
        <v>5</v>
      </c>
      <c r="S12" s="9">
        <f t="shared" si="6"/>
        <v>0.4</v>
      </c>
      <c r="T12" s="9">
        <f t="shared" si="7"/>
        <v>2.7777777777777776E-2</v>
      </c>
      <c r="U12" s="9">
        <f>R12 / _xlfn.XLOOKUP(A12, Jungle!A:A, Jungle!AA:AA)</f>
        <v>6.097560975609756E-2</v>
      </c>
      <c r="V12" s="1"/>
      <c r="W12" s="1"/>
    </row>
    <row r="13" spans="1:23" x14ac:dyDescent="0.25">
      <c r="A13" s="1" t="s">
        <v>72</v>
      </c>
      <c r="B13" s="6"/>
      <c r="C13" s="7"/>
      <c r="D13" s="8">
        <f t="shared" si="0"/>
        <v>0</v>
      </c>
      <c r="E13" s="6"/>
      <c r="F13" s="7"/>
      <c r="G13" s="8">
        <f t="shared" si="1"/>
        <v>0</v>
      </c>
      <c r="H13" s="6">
        <v>5</v>
      </c>
      <c r="I13" s="7">
        <v>0.2</v>
      </c>
      <c r="J13" s="8">
        <f t="shared" si="2"/>
        <v>1</v>
      </c>
      <c r="K13" s="6">
        <v>3</v>
      </c>
      <c r="L13" s="7">
        <v>0.66700000000000004</v>
      </c>
      <c r="M13" s="8">
        <f t="shared" si="3"/>
        <v>2.0010000000000003</v>
      </c>
      <c r="N13" s="6"/>
      <c r="O13" s="7"/>
      <c r="P13" s="8">
        <f t="shared" si="4"/>
        <v>0</v>
      </c>
      <c r="Q13" s="1"/>
      <c r="R13" s="6">
        <f t="shared" si="5"/>
        <v>8</v>
      </c>
      <c r="S13" s="9">
        <f t="shared" si="6"/>
        <v>0.37512500000000004</v>
      </c>
      <c r="T13" s="9">
        <f t="shared" si="7"/>
        <v>4.4444444444444446E-2</v>
      </c>
      <c r="U13" s="9">
        <f>R13 / _xlfn.XLOOKUP(A13, Jungle!A:A, Jungle!AA:AA)</f>
        <v>4.4198895027624308E-2</v>
      </c>
      <c r="V13" s="1"/>
      <c r="W13" s="1"/>
    </row>
    <row r="14" spans="1:23" x14ac:dyDescent="0.25">
      <c r="A14" s="23" t="s">
        <v>77</v>
      </c>
      <c r="B14" s="6"/>
      <c r="C14" s="7"/>
      <c r="D14" s="8">
        <f t="shared" si="0"/>
        <v>0</v>
      </c>
      <c r="E14" s="6"/>
      <c r="F14" s="7"/>
      <c r="G14" s="8">
        <f t="shared" si="1"/>
        <v>0</v>
      </c>
      <c r="H14" s="6"/>
      <c r="I14" s="7"/>
      <c r="J14" s="8">
        <f t="shared" si="2"/>
        <v>0</v>
      </c>
      <c r="K14" s="6">
        <v>8</v>
      </c>
      <c r="L14" s="7">
        <v>0.375</v>
      </c>
      <c r="M14" s="8">
        <f t="shared" si="3"/>
        <v>3</v>
      </c>
      <c r="N14" s="6"/>
      <c r="O14" s="7"/>
      <c r="P14" s="8">
        <f t="shared" si="4"/>
        <v>0</v>
      </c>
      <c r="Q14" s="1"/>
      <c r="R14" s="6">
        <f t="shared" si="5"/>
        <v>8</v>
      </c>
      <c r="S14" s="9">
        <f t="shared" si="6"/>
        <v>0.375</v>
      </c>
      <c r="T14" s="9">
        <f t="shared" si="7"/>
        <v>4.4444444444444446E-2</v>
      </c>
      <c r="U14" s="9">
        <f>R14 / _xlfn.XLOOKUP(A14, Jungle!A:A, Jungle!AA:AA)</f>
        <v>5.8394160583941604E-2</v>
      </c>
      <c r="V14" s="1"/>
      <c r="W14" s="1"/>
    </row>
    <row r="15" spans="1:23" x14ac:dyDescent="0.25">
      <c r="A15" s="1" t="s">
        <v>26</v>
      </c>
      <c r="B15" s="6"/>
      <c r="C15" s="7"/>
      <c r="D15" s="8">
        <f t="shared" si="0"/>
        <v>0</v>
      </c>
      <c r="E15" s="6"/>
      <c r="F15" s="7"/>
      <c r="G15" s="8">
        <f t="shared" si="1"/>
        <v>0</v>
      </c>
      <c r="H15" s="6">
        <v>14</v>
      </c>
      <c r="I15" s="7">
        <v>0.35699999999999998</v>
      </c>
      <c r="J15" s="8">
        <f t="shared" si="2"/>
        <v>4.9979999999999993</v>
      </c>
      <c r="K15" s="6">
        <v>8</v>
      </c>
      <c r="L15" s="7">
        <v>0.375</v>
      </c>
      <c r="M15" s="8">
        <f t="shared" si="3"/>
        <v>3</v>
      </c>
      <c r="N15" s="6"/>
      <c r="O15" s="7"/>
      <c r="P15" s="8">
        <f t="shared" si="4"/>
        <v>0</v>
      </c>
      <c r="Q15" s="4"/>
      <c r="R15" s="6">
        <f t="shared" si="5"/>
        <v>22</v>
      </c>
      <c r="S15" s="9">
        <f t="shared" si="6"/>
        <v>0.36354545454545451</v>
      </c>
      <c r="T15" s="9">
        <f t="shared" si="7"/>
        <v>0.12222222222222222</v>
      </c>
      <c r="U15" s="9">
        <f>R15 / _xlfn.XLOOKUP(A15, Jungle!A:A, Jungle!AA:AA)</f>
        <v>3.4645669291338582E-2</v>
      </c>
      <c r="V15" s="1"/>
      <c r="W15" s="1"/>
    </row>
    <row r="16" spans="1:23" x14ac:dyDescent="0.25">
      <c r="A16" s="1" t="s">
        <v>31</v>
      </c>
      <c r="B16" s="6"/>
      <c r="C16" s="7"/>
      <c r="D16" s="8">
        <f t="shared" si="0"/>
        <v>0</v>
      </c>
      <c r="E16" s="6"/>
      <c r="F16" s="7"/>
      <c r="G16" s="8">
        <f t="shared" si="1"/>
        <v>0</v>
      </c>
      <c r="H16" s="6">
        <v>6</v>
      </c>
      <c r="I16" s="7">
        <v>0</v>
      </c>
      <c r="J16" s="8">
        <f t="shared" si="2"/>
        <v>0</v>
      </c>
      <c r="K16" s="6">
        <v>5</v>
      </c>
      <c r="L16" s="7">
        <v>0.4</v>
      </c>
      <c r="M16" s="8">
        <f t="shared" si="3"/>
        <v>2</v>
      </c>
      <c r="N16" s="6"/>
      <c r="O16" s="7"/>
      <c r="P16" s="8">
        <f t="shared" si="4"/>
        <v>0</v>
      </c>
      <c r="Q16" s="1"/>
      <c r="R16" s="6">
        <f t="shared" si="5"/>
        <v>11</v>
      </c>
      <c r="S16" s="9">
        <f t="shared" si="6"/>
        <v>0.18181818181818182</v>
      </c>
      <c r="T16" s="9">
        <f t="shared" si="7"/>
        <v>6.1111111111111109E-2</v>
      </c>
      <c r="U16" s="9">
        <f>R16 / _xlfn.XLOOKUP(A16, Jungle!A:A, Jungle!AA:AA)</f>
        <v>4.1984732824427481E-2</v>
      </c>
      <c r="V16" s="1"/>
      <c r="W16" s="1"/>
    </row>
    <row r="17" spans="1:23" x14ac:dyDescent="0.25">
      <c r="A17" s="1" t="s">
        <v>45</v>
      </c>
      <c r="B17" s="6"/>
      <c r="C17" s="7"/>
      <c r="D17" s="8">
        <f t="shared" si="0"/>
        <v>0</v>
      </c>
      <c r="E17" s="6"/>
      <c r="F17" s="7"/>
      <c r="G17" s="8">
        <f t="shared" si="1"/>
        <v>0</v>
      </c>
      <c r="H17" s="6">
        <v>1</v>
      </c>
      <c r="I17" s="7">
        <v>0</v>
      </c>
      <c r="J17" s="8">
        <f t="shared" si="2"/>
        <v>0</v>
      </c>
      <c r="K17" s="6">
        <v>5</v>
      </c>
      <c r="L17" s="7">
        <v>0.2</v>
      </c>
      <c r="M17" s="8">
        <f t="shared" si="3"/>
        <v>1</v>
      </c>
      <c r="N17" s="6"/>
      <c r="O17" s="7"/>
      <c r="P17" s="8">
        <f t="shared" si="4"/>
        <v>0</v>
      </c>
      <c r="Q17" s="13"/>
      <c r="R17" s="6">
        <f t="shared" si="5"/>
        <v>6</v>
      </c>
      <c r="S17" s="9">
        <f t="shared" si="6"/>
        <v>0.16666666666666666</v>
      </c>
      <c r="T17" s="9">
        <f t="shared" si="7"/>
        <v>3.3333333333333333E-2</v>
      </c>
      <c r="U17" s="9">
        <f>R17 / _xlfn.XLOOKUP(A17, Jungle!A:A, Jungle!AA:AA)</f>
        <v>2.4896265560165973E-2</v>
      </c>
      <c r="V17" s="1"/>
      <c r="W17" s="1"/>
    </row>
    <row r="18" spans="1:23" x14ac:dyDescent="0.25">
      <c r="A18" s="1" t="s">
        <v>195</v>
      </c>
      <c r="B18" s="6"/>
      <c r="C18" s="7"/>
      <c r="D18" s="8">
        <f t="shared" si="0"/>
        <v>0</v>
      </c>
      <c r="E18" s="6"/>
      <c r="F18" s="7"/>
      <c r="G18" s="8">
        <f t="shared" si="1"/>
        <v>0</v>
      </c>
      <c r="H18" s="6">
        <v>4</v>
      </c>
      <c r="I18" s="7">
        <v>0</v>
      </c>
      <c r="J18" s="8">
        <f t="shared" si="2"/>
        <v>0</v>
      </c>
      <c r="K18" s="6">
        <v>2</v>
      </c>
      <c r="L18" s="7">
        <v>0.5</v>
      </c>
      <c r="M18" s="8">
        <f t="shared" si="3"/>
        <v>1</v>
      </c>
      <c r="N18" s="6"/>
      <c r="O18" s="7"/>
      <c r="P18" s="8">
        <f t="shared" si="4"/>
        <v>0</v>
      </c>
      <c r="Q18" s="1"/>
      <c r="R18" s="6">
        <f t="shared" si="5"/>
        <v>6</v>
      </c>
      <c r="S18" s="9">
        <f t="shared" si="6"/>
        <v>0.16666666666666666</v>
      </c>
      <c r="T18" s="9">
        <f t="shared" si="7"/>
        <v>3.3333333333333333E-2</v>
      </c>
      <c r="U18" s="9">
        <f>R18 / _xlfn.XLOOKUP(A18, Jungle!A:A, Jungle!AA:AA)</f>
        <v>0.1</v>
      </c>
      <c r="V18" s="1"/>
      <c r="W18" s="1"/>
    </row>
    <row r="19" spans="1:23" x14ac:dyDescent="0.25">
      <c r="A19" s="1" t="s">
        <v>73</v>
      </c>
      <c r="B19" s="6"/>
      <c r="C19" s="7"/>
      <c r="D19" s="8">
        <f t="shared" si="0"/>
        <v>0</v>
      </c>
      <c r="E19" s="6"/>
      <c r="F19" s="7"/>
      <c r="G19" s="8">
        <f t="shared" si="1"/>
        <v>0</v>
      </c>
      <c r="H19" s="6">
        <v>6</v>
      </c>
      <c r="I19" s="7">
        <v>0.16700000000000001</v>
      </c>
      <c r="J19" s="8">
        <f t="shared" si="2"/>
        <v>1.002</v>
      </c>
      <c r="K19" s="6">
        <v>7</v>
      </c>
      <c r="L19" s="7">
        <v>0.14299999999999999</v>
      </c>
      <c r="M19" s="8">
        <f t="shared" si="3"/>
        <v>1.0009999999999999</v>
      </c>
      <c r="N19" s="6"/>
      <c r="O19" s="7"/>
      <c r="P19" s="8">
        <f t="shared" si="4"/>
        <v>0</v>
      </c>
      <c r="Q19" s="1"/>
      <c r="R19" s="6">
        <f t="shared" si="5"/>
        <v>13</v>
      </c>
      <c r="S19" s="9">
        <f t="shared" si="6"/>
        <v>0.15407692307692308</v>
      </c>
      <c r="T19" s="9">
        <f t="shared" si="7"/>
        <v>7.2222222222222215E-2</v>
      </c>
      <c r="U19" s="9">
        <f>R19 / _xlfn.XLOOKUP(A19, Jungle!A:A, Jungle!AA:AA)</f>
        <v>2.3381294964028777E-2</v>
      </c>
      <c r="V19" s="1"/>
      <c r="W19" s="1"/>
    </row>
    <row r="20" spans="1:23" x14ac:dyDescent="0.25">
      <c r="A20" s="1" t="s">
        <v>30</v>
      </c>
      <c r="B20" s="6"/>
      <c r="C20" s="7"/>
      <c r="D20" s="8">
        <f t="shared" si="0"/>
        <v>0</v>
      </c>
      <c r="E20" s="6"/>
      <c r="F20" s="7"/>
      <c r="G20" s="8">
        <f t="shared" si="1"/>
        <v>0</v>
      </c>
      <c r="H20" s="6">
        <v>8</v>
      </c>
      <c r="I20" s="7">
        <v>0</v>
      </c>
      <c r="J20" s="8">
        <f t="shared" si="2"/>
        <v>0</v>
      </c>
      <c r="K20" s="6">
        <v>1</v>
      </c>
      <c r="L20" s="7">
        <v>0</v>
      </c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9</v>
      </c>
      <c r="S20" s="9">
        <f t="shared" si="6"/>
        <v>0</v>
      </c>
      <c r="T20" s="9">
        <f t="shared" si="7"/>
        <v>0.05</v>
      </c>
      <c r="U20" s="9">
        <f>R20 / _xlfn.XLOOKUP(A20, Jungle!A:A, Jungle!AA:AA)</f>
        <v>2.2443890274314215E-2</v>
      </c>
      <c r="V20" s="1"/>
      <c r="W20" s="1"/>
    </row>
    <row r="21" spans="1:23" x14ac:dyDescent="0.25">
      <c r="A21" s="1" t="s">
        <v>57</v>
      </c>
      <c r="B21" s="6"/>
      <c r="C21" s="7"/>
      <c r="D21" s="8">
        <f t="shared" si="0"/>
        <v>0</v>
      </c>
      <c r="E21" s="6"/>
      <c r="F21" s="7"/>
      <c r="G21" s="8">
        <f t="shared" si="1"/>
        <v>0</v>
      </c>
      <c r="H21" s="6">
        <v>5</v>
      </c>
      <c r="I21" s="7">
        <v>0</v>
      </c>
      <c r="J21" s="8">
        <f t="shared" si="2"/>
        <v>0</v>
      </c>
      <c r="K21" s="6">
        <v>1</v>
      </c>
      <c r="L21" s="7">
        <v>0</v>
      </c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6</v>
      </c>
      <c r="S21" s="9">
        <f t="shared" si="6"/>
        <v>0</v>
      </c>
      <c r="T21" s="9">
        <f t="shared" si="7"/>
        <v>3.3333333333333333E-2</v>
      </c>
      <c r="U21" s="9">
        <f>R21 / _xlfn.XLOOKUP(A21, Jungle!A:A, Jungle!AA:AA)</f>
        <v>1.3483146067415731E-2</v>
      </c>
      <c r="V21" s="1"/>
      <c r="W21" s="1"/>
    </row>
    <row r="22" spans="1:23" x14ac:dyDescent="0.25">
      <c r="A22" s="1" t="s">
        <v>67</v>
      </c>
      <c r="B22" s="6"/>
      <c r="C22" s="7"/>
      <c r="D22" s="8">
        <f t="shared" si="0"/>
        <v>0</v>
      </c>
      <c r="E22" s="6"/>
      <c r="F22" s="7"/>
      <c r="G22" s="8">
        <f t="shared" si="1"/>
        <v>0</v>
      </c>
      <c r="H22" s="6"/>
      <c r="I22" s="7"/>
      <c r="J22" s="8">
        <f t="shared" si="2"/>
        <v>0</v>
      </c>
      <c r="K22" s="6">
        <v>6</v>
      </c>
      <c r="L22" s="7">
        <v>0</v>
      </c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6</v>
      </c>
      <c r="S22" s="9">
        <f t="shared" si="6"/>
        <v>0</v>
      </c>
      <c r="T22" s="9">
        <f t="shared" si="7"/>
        <v>3.3333333333333333E-2</v>
      </c>
      <c r="U22" s="9">
        <f>R22 / _xlfn.XLOOKUP(A22, Jungle!A:A, Jungle!AA:AA)</f>
        <v>3.0612244897959183E-2</v>
      </c>
      <c r="V22" s="1"/>
      <c r="W22" s="1"/>
    </row>
    <row r="23" spans="1:23" x14ac:dyDescent="0.25">
      <c r="A23" s="1" t="s">
        <v>95</v>
      </c>
      <c r="B23" s="6"/>
      <c r="C23" s="7"/>
      <c r="D23" s="8">
        <f t="shared" si="0"/>
        <v>0</v>
      </c>
      <c r="E23" s="6"/>
      <c r="F23" s="7"/>
      <c r="G23" s="8">
        <f t="shared" si="1"/>
        <v>0</v>
      </c>
      <c r="H23" s="6"/>
      <c r="I23" s="7"/>
      <c r="J23" s="8">
        <f t="shared" si="2"/>
        <v>0</v>
      </c>
      <c r="K23" s="6">
        <v>4</v>
      </c>
      <c r="L23" s="7">
        <v>0</v>
      </c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4</v>
      </c>
      <c r="S23" s="9">
        <f t="shared" si="6"/>
        <v>0</v>
      </c>
      <c r="T23" s="9">
        <f t="shared" si="7"/>
        <v>2.2222222222222223E-2</v>
      </c>
      <c r="U23" s="9">
        <f>R23 / _xlfn.XLOOKUP(A23, Jungle!A:A, Jungle!AA:AA)</f>
        <v>2.3952095808383235E-2</v>
      </c>
      <c r="V23" s="1"/>
      <c r="W23" s="1"/>
    </row>
    <row r="24" spans="1:23" x14ac:dyDescent="0.25">
      <c r="A24" s="1" t="s">
        <v>80</v>
      </c>
      <c r="B24" s="6"/>
      <c r="C24" s="7"/>
      <c r="D24" s="8">
        <f t="shared" si="0"/>
        <v>0</v>
      </c>
      <c r="E24" s="6"/>
      <c r="F24" s="7"/>
      <c r="G24" s="8">
        <f t="shared" si="1"/>
        <v>0</v>
      </c>
      <c r="H24" s="6">
        <v>3</v>
      </c>
      <c r="I24" s="7">
        <v>0</v>
      </c>
      <c r="J24" s="8">
        <f t="shared" si="2"/>
        <v>0</v>
      </c>
      <c r="K24" s="6"/>
      <c r="L24" s="7"/>
      <c r="M24" s="8">
        <f t="shared" si="3"/>
        <v>0</v>
      </c>
      <c r="N24" s="6"/>
      <c r="O24" s="7"/>
      <c r="P24" s="8">
        <f t="shared" si="4"/>
        <v>0</v>
      </c>
      <c r="Q24" s="1"/>
      <c r="R24" s="6">
        <f t="shared" si="5"/>
        <v>3</v>
      </c>
      <c r="S24" s="9">
        <f t="shared" si="6"/>
        <v>0</v>
      </c>
      <c r="T24" s="9">
        <f t="shared" si="7"/>
        <v>1.6666666666666666E-2</v>
      </c>
      <c r="U24" s="9">
        <f>R24 / _xlfn.XLOOKUP(A24, Jungle!A:A, Jungle!AA:AA)</f>
        <v>3.2608695652173912E-2</v>
      </c>
      <c r="V24" s="1"/>
      <c r="W24" s="1"/>
    </row>
    <row r="25" spans="1:23" x14ac:dyDescent="0.25">
      <c r="A25" s="1" t="s">
        <v>82</v>
      </c>
      <c r="B25" s="6"/>
      <c r="C25" s="7"/>
      <c r="D25" s="8">
        <f t="shared" si="0"/>
        <v>0</v>
      </c>
      <c r="E25" s="6"/>
      <c r="F25" s="7"/>
      <c r="G25" s="8">
        <f t="shared" si="1"/>
        <v>0</v>
      </c>
      <c r="H25" s="6">
        <v>2</v>
      </c>
      <c r="I25" s="7">
        <v>0</v>
      </c>
      <c r="J25" s="8">
        <f t="shared" si="2"/>
        <v>0</v>
      </c>
      <c r="K25" s="6"/>
      <c r="L25" s="7"/>
      <c r="M25" s="8">
        <f t="shared" si="3"/>
        <v>0</v>
      </c>
      <c r="N25" s="6"/>
      <c r="O25" s="7"/>
      <c r="P25" s="8">
        <f t="shared" si="4"/>
        <v>0</v>
      </c>
      <c r="Q25" s="1"/>
      <c r="R25" s="6">
        <f t="shared" si="5"/>
        <v>2</v>
      </c>
      <c r="S25" s="9">
        <f t="shared" si="6"/>
        <v>0</v>
      </c>
      <c r="T25" s="9">
        <f t="shared" si="7"/>
        <v>1.1111111111111112E-2</v>
      </c>
      <c r="U25" s="9">
        <f>R25 / _xlfn.XLOOKUP(A25, Jungle!A:A, Jungle!AA:AA)</f>
        <v>3.1746031746031744E-2</v>
      </c>
      <c r="V25" s="1"/>
      <c r="W25" s="1"/>
    </row>
    <row r="26" spans="1:23" x14ac:dyDescent="0.25">
      <c r="A26" s="1" t="s">
        <v>92</v>
      </c>
      <c r="B26" s="6"/>
      <c r="C26" s="7"/>
      <c r="D26" s="8">
        <f t="shared" si="0"/>
        <v>0</v>
      </c>
      <c r="E26" s="6"/>
      <c r="F26" s="7"/>
      <c r="G26" s="8">
        <f t="shared" si="1"/>
        <v>0</v>
      </c>
      <c r="H26" s="6">
        <v>1</v>
      </c>
      <c r="I26" s="7">
        <v>0</v>
      </c>
      <c r="J26" s="8">
        <f t="shared" si="2"/>
        <v>0</v>
      </c>
      <c r="K26" s="6"/>
      <c r="L26" s="7"/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1</v>
      </c>
      <c r="S26" s="9">
        <f t="shared" si="6"/>
        <v>0</v>
      </c>
      <c r="T26" s="9">
        <f t="shared" si="7"/>
        <v>5.5555555555555558E-3</v>
      </c>
      <c r="U26" s="9">
        <f>R26 / _xlfn.XLOOKUP(A26, Jungle!A:A, Jungle!AA:AA)</f>
        <v>0.04</v>
      </c>
      <c r="V26" s="1"/>
      <c r="W26" s="1"/>
    </row>
    <row r="27" spans="1:23" x14ac:dyDescent="0.25">
      <c r="B27" s="6"/>
      <c r="C27" s="7"/>
      <c r="D27" s="8">
        <f t="shared" ref="D27:D29" si="8">B27*C27</f>
        <v>0</v>
      </c>
      <c r="E27" s="6"/>
      <c r="F27" s="7"/>
      <c r="G27" s="8">
        <f t="shared" ref="G27:G29" si="9">E27*F27</f>
        <v>0</v>
      </c>
      <c r="H27" s="6"/>
      <c r="I27" s="7"/>
      <c r="J27" s="8">
        <f t="shared" ref="J27:J29" si="10">H27*I27</f>
        <v>0</v>
      </c>
      <c r="K27" s="6"/>
      <c r="L27" s="7"/>
      <c r="M27" s="8">
        <f t="shared" ref="M27:M29" si="11">K27*L27</f>
        <v>0</v>
      </c>
      <c r="N27" s="6"/>
      <c r="O27" s="7"/>
      <c r="P27" s="8">
        <f t="shared" ref="P27:P47" si="12">N27*O27</f>
        <v>0</v>
      </c>
      <c r="Q27" s="1"/>
      <c r="R27" s="6">
        <f t="shared" ref="R27:R47" si="13">B27+E27+H27+K27+N27</f>
        <v>0</v>
      </c>
      <c r="S27" s="9" t="e">
        <f t="shared" ref="S27:S47" si="14">(D27+G27+J27+M27+P27)/R27</f>
        <v>#DIV/0!</v>
      </c>
      <c r="T27" s="9">
        <f t="shared" ref="T27:T47" si="15">R27/$V$3</f>
        <v>0</v>
      </c>
      <c r="U27" s="9" t="e">
        <f>R27 / _xlfn.XLOOKUP(A27, Jungle!A:A, Jungle!AA:AA)</f>
        <v>#DIV/0!</v>
      </c>
      <c r="V27" s="1"/>
      <c r="W27" s="1"/>
    </row>
    <row r="28" spans="1:23" x14ac:dyDescent="0.25">
      <c r="B28" s="6"/>
      <c r="C28" s="7"/>
      <c r="D28" s="8">
        <f t="shared" si="8"/>
        <v>0</v>
      </c>
      <c r="E28" s="6"/>
      <c r="F28" s="7"/>
      <c r="G28" s="8">
        <f t="shared" si="9"/>
        <v>0</v>
      </c>
      <c r="H28" s="6"/>
      <c r="I28" s="7"/>
      <c r="J28" s="8">
        <f t="shared" si="10"/>
        <v>0</v>
      </c>
      <c r="K28" s="6"/>
      <c r="L28" s="7"/>
      <c r="M28" s="8">
        <f t="shared" si="11"/>
        <v>0</v>
      </c>
      <c r="N28" s="6"/>
      <c r="O28" s="7"/>
      <c r="P28" s="8">
        <f t="shared" si="12"/>
        <v>0</v>
      </c>
      <c r="Q28" s="1"/>
      <c r="R28" s="6">
        <f t="shared" si="13"/>
        <v>0</v>
      </c>
      <c r="S28" s="9" t="e">
        <f t="shared" si="14"/>
        <v>#DIV/0!</v>
      </c>
      <c r="T28" s="9">
        <f t="shared" si="15"/>
        <v>0</v>
      </c>
      <c r="U28" s="9" t="e">
        <f>R28 / _xlfn.XLOOKUP(A28, Jungle!A:A, Jungle!AA:AA)</f>
        <v>#DIV/0!</v>
      </c>
      <c r="V28" s="1"/>
      <c r="W28" s="1"/>
    </row>
    <row r="29" spans="1:23" x14ac:dyDescent="0.25">
      <c r="B29" s="6"/>
      <c r="C29" s="7"/>
      <c r="D29" s="8">
        <f t="shared" si="8"/>
        <v>0</v>
      </c>
      <c r="E29" s="6"/>
      <c r="F29" s="7"/>
      <c r="G29" s="8">
        <f t="shared" si="9"/>
        <v>0</v>
      </c>
      <c r="H29" s="6"/>
      <c r="I29" s="7"/>
      <c r="J29" s="8">
        <f t="shared" si="10"/>
        <v>0</v>
      </c>
      <c r="K29" s="6"/>
      <c r="L29" s="7"/>
      <c r="M29" s="8">
        <f t="shared" si="11"/>
        <v>0</v>
      </c>
      <c r="N29" s="6"/>
      <c r="O29" s="7"/>
      <c r="P29" s="8">
        <f t="shared" si="12"/>
        <v>0</v>
      </c>
      <c r="Q29" s="1"/>
      <c r="R29" s="6">
        <f t="shared" si="13"/>
        <v>0</v>
      </c>
      <c r="S29" s="9" t="e">
        <f t="shared" si="14"/>
        <v>#DIV/0!</v>
      </c>
      <c r="T29" s="9">
        <f t="shared" si="15"/>
        <v>0</v>
      </c>
      <c r="U29" s="9" t="e">
        <f>R29 / _xlfn.XLOOKUP(A29, Jungle!A:A, Jungle!AA:AA)</f>
        <v>#DIV/0!</v>
      </c>
      <c r="V29" s="1"/>
      <c r="W29" s="1"/>
    </row>
    <row r="30" spans="1:23" x14ac:dyDescent="0.25">
      <c r="N30" s="6"/>
      <c r="O30" s="7"/>
      <c r="P30" s="8">
        <f t="shared" si="12"/>
        <v>0</v>
      </c>
      <c r="Q30" s="1"/>
      <c r="R30" s="6">
        <f t="shared" si="13"/>
        <v>0</v>
      </c>
      <c r="S30" s="9" t="e">
        <f t="shared" si="14"/>
        <v>#DIV/0!</v>
      </c>
      <c r="T30" s="9">
        <f t="shared" si="15"/>
        <v>0</v>
      </c>
      <c r="U30" s="9" t="e">
        <f>R30 / _xlfn.XLOOKUP(A30, Jungle!A:A, Jungle!AA:AA)</f>
        <v>#DIV/0!</v>
      </c>
      <c r="V30" s="1"/>
      <c r="W30" s="1"/>
    </row>
    <row r="31" spans="1:23" x14ac:dyDescent="0.25">
      <c r="N31" s="6"/>
      <c r="O31" s="7"/>
      <c r="P31" s="8">
        <f t="shared" si="12"/>
        <v>0</v>
      </c>
      <c r="Q31" s="1"/>
      <c r="R31" s="6">
        <f t="shared" si="13"/>
        <v>0</v>
      </c>
      <c r="S31" s="9" t="e">
        <f t="shared" si="14"/>
        <v>#DIV/0!</v>
      </c>
      <c r="T31" s="9">
        <f t="shared" si="15"/>
        <v>0</v>
      </c>
      <c r="U31" s="9" t="e">
        <f>R31 / _xlfn.XLOOKUP(A31, Jungle!A:A, Jungle!AA:AA)</f>
        <v>#DIV/0!</v>
      </c>
    </row>
    <row r="32" spans="1:23" x14ac:dyDescent="0.25">
      <c r="N32" s="6"/>
      <c r="O32" s="7"/>
      <c r="P32" s="8">
        <f t="shared" si="12"/>
        <v>0</v>
      </c>
      <c r="Q32" s="1"/>
      <c r="R32" s="6">
        <f t="shared" si="13"/>
        <v>0</v>
      </c>
      <c r="S32" s="9" t="e">
        <f t="shared" si="14"/>
        <v>#DIV/0!</v>
      </c>
      <c r="T32" s="9">
        <f t="shared" si="15"/>
        <v>0</v>
      </c>
      <c r="U32" s="9" t="e">
        <f>R32 / _xlfn.XLOOKUP(A32, Jungle!A:A, Jungle!AA:AA)</f>
        <v>#DIV/0!</v>
      </c>
    </row>
    <row r="33" spans="14:21" x14ac:dyDescent="0.25">
      <c r="N33" s="6"/>
      <c r="O33" s="7"/>
      <c r="P33" s="8">
        <f t="shared" si="12"/>
        <v>0</v>
      </c>
      <c r="Q33" s="1"/>
      <c r="R33" s="6">
        <f t="shared" si="13"/>
        <v>0</v>
      </c>
      <c r="S33" s="9" t="e">
        <f t="shared" si="14"/>
        <v>#DIV/0!</v>
      </c>
      <c r="T33" s="9">
        <f t="shared" si="15"/>
        <v>0</v>
      </c>
      <c r="U33" s="9" t="e">
        <f>R33 / _xlfn.XLOOKUP(A33, Jungle!A:A, Jungle!AA:AA)</f>
        <v>#DIV/0!</v>
      </c>
    </row>
    <row r="34" spans="14:21" x14ac:dyDescent="0.25">
      <c r="N34" s="6"/>
      <c r="O34" s="7"/>
      <c r="P34" s="8">
        <f t="shared" si="12"/>
        <v>0</v>
      </c>
      <c r="Q34" s="1"/>
      <c r="R34" s="6">
        <f t="shared" si="13"/>
        <v>0</v>
      </c>
      <c r="S34" s="9" t="e">
        <f t="shared" si="14"/>
        <v>#DIV/0!</v>
      </c>
      <c r="T34" s="9">
        <f t="shared" si="15"/>
        <v>0</v>
      </c>
      <c r="U34" s="9" t="e">
        <f>R34 / _xlfn.XLOOKUP(A34, Jungle!A:A, Jungle!AA:AA)</f>
        <v>#DIV/0!</v>
      </c>
    </row>
    <row r="35" spans="14:21" x14ac:dyDescent="0.25">
      <c r="N35" s="6"/>
      <c r="O35" s="7"/>
      <c r="P35" s="8">
        <f t="shared" si="12"/>
        <v>0</v>
      </c>
      <c r="Q35" s="1"/>
      <c r="R35" s="6">
        <f t="shared" si="13"/>
        <v>0</v>
      </c>
      <c r="S35" s="9" t="e">
        <f t="shared" si="14"/>
        <v>#DIV/0!</v>
      </c>
      <c r="T35" s="9">
        <f t="shared" si="15"/>
        <v>0</v>
      </c>
      <c r="U35" s="9" t="e">
        <f>R35 / _xlfn.XLOOKUP(A35, Jungle!A:A, Jungle!AA:AA)</f>
        <v>#DIV/0!</v>
      </c>
    </row>
    <row r="36" spans="14:21" x14ac:dyDescent="0.25">
      <c r="N36" s="6"/>
      <c r="O36" s="7"/>
      <c r="P36" s="8">
        <f t="shared" si="12"/>
        <v>0</v>
      </c>
      <c r="Q36" s="1"/>
      <c r="R36" s="6">
        <f t="shared" si="13"/>
        <v>0</v>
      </c>
      <c r="S36" s="9" t="e">
        <f t="shared" si="14"/>
        <v>#DIV/0!</v>
      </c>
      <c r="T36" s="9">
        <f t="shared" si="15"/>
        <v>0</v>
      </c>
      <c r="U36" s="9" t="e">
        <f>R36 / _xlfn.XLOOKUP(A36, Jungle!A:A, Jungle!AA:AA)</f>
        <v>#DIV/0!</v>
      </c>
    </row>
    <row r="37" spans="14:21" x14ac:dyDescent="0.25">
      <c r="N37" s="6"/>
      <c r="O37" s="7"/>
      <c r="P37" s="8">
        <f t="shared" si="12"/>
        <v>0</v>
      </c>
      <c r="Q37" s="1"/>
      <c r="R37" s="6">
        <f t="shared" si="13"/>
        <v>0</v>
      </c>
      <c r="S37" s="9" t="e">
        <f t="shared" si="14"/>
        <v>#DIV/0!</v>
      </c>
      <c r="T37" s="9">
        <f t="shared" si="15"/>
        <v>0</v>
      </c>
      <c r="U37" s="9" t="e">
        <f>R37 / _xlfn.XLOOKUP(A37, Jungle!A:A, Jungle!AA:AA)</f>
        <v>#DIV/0!</v>
      </c>
    </row>
    <row r="38" spans="14:21" x14ac:dyDescent="0.25">
      <c r="N38" s="6"/>
      <c r="O38" s="7"/>
      <c r="P38" s="8">
        <f t="shared" si="12"/>
        <v>0</v>
      </c>
      <c r="Q38" s="1"/>
      <c r="R38" s="6">
        <f t="shared" si="13"/>
        <v>0</v>
      </c>
      <c r="S38" s="9" t="e">
        <f t="shared" si="14"/>
        <v>#DIV/0!</v>
      </c>
      <c r="T38" s="9">
        <f t="shared" si="15"/>
        <v>0</v>
      </c>
      <c r="U38" s="9" t="e">
        <f>R38 / _xlfn.XLOOKUP(A38, Jungle!A:A, Jungle!AA:AA)</f>
        <v>#DIV/0!</v>
      </c>
    </row>
    <row r="39" spans="14:21" x14ac:dyDescent="0.25">
      <c r="N39" s="6"/>
      <c r="O39" s="7"/>
      <c r="P39" s="8">
        <f t="shared" si="12"/>
        <v>0</v>
      </c>
      <c r="Q39" s="1"/>
      <c r="R39" s="6">
        <f t="shared" si="13"/>
        <v>0</v>
      </c>
      <c r="S39" s="9" t="e">
        <f t="shared" si="14"/>
        <v>#DIV/0!</v>
      </c>
      <c r="T39" s="9">
        <f t="shared" si="15"/>
        <v>0</v>
      </c>
      <c r="U39" s="9" t="e">
        <f>R39 / _xlfn.XLOOKUP(A39, Jungle!A:A, Jungle!AA:AA)</f>
        <v>#DIV/0!</v>
      </c>
    </row>
    <row r="40" spans="14:21" x14ac:dyDescent="0.25">
      <c r="N40" s="6"/>
      <c r="O40" s="7"/>
      <c r="P40" s="8">
        <f t="shared" si="12"/>
        <v>0</v>
      </c>
      <c r="Q40" s="1"/>
      <c r="R40" s="6">
        <f t="shared" si="13"/>
        <v>0</v>
      </c>
      <c r="S40" s="9" t="e">
        <f t="shared" si="14"/>
        <v>#DIV/0!</v>
      </c>
      <c r="T40" s="9">
        <f t="shared" si="15"/>
        <v>0</v>
      </c>
      <c r="U40" s="9" t="e">
        <f>R40 / _xlfn.XLOOKUP(A40, Jungle!A:A, Jungle!AA:AA)</f>
        <v>#DIV/0!</v>
      </c>
    </row>
    <row r="41" spans="14:21" x14ac:dyDescent="0.25">
      <c r="N41" s="6"/>
      <c r="O41" s="7"/>
      <c r="P41" s="8">
        <f t="shared" si="12"/>
        <v>0</v>
      </c>
      <c r="Q41" s="1"/>
      <c r="R41" s="6">
        <f t="shared" si="13"/>
        <v>0</v>
      </c>
      <c r="S41" s="9" t="e">
        <f t="shared" si="14"/>
        <v>#DIV/0!</v>
      </c>
      <c r="T41" s="9">
        <f t="shared" si="15"/>
        <v>0</v>
      </c>
      <c r="U41" s="9" t="e">
        <f>R41 / _xlfn.XLOOKUP(A41, Jungle!A:A, Jungle!AA:AA)</f>
        <v>#DIV/0!</v>
      </c>
    </row>
    <row r="42" spans="14:21" x14ac:dyDescent="0.25">
      <c r="N42" s="6"/>
      <c r="O42" s="7"/>
      <c r="P42" s="8">
        <f t="shared" si="12"/>
        <v>0</v>
      </c>
      <c r="Q42" s="1"/>
      <c r="R42" s="6">
        <f t="shared" si="13"/>
        <v>0</v>
      </c>
      <c r="S42" s="9" t="e">
        <f t="shared" si="14"/>
        <v>#DIV/0!</v>
      </c>
      <c r="T42" s="9">
        <f t="shared" si="15"/>
        <v>0</v>
      </c>
      <c r="U42" s="9" t="e">
        <f>R42 / _xlfn.XLOOKUP(A42, Jungle!A:A, Jungle!AA:AA)</f>
        <v>#DIV/0!</v>
      </c>
    </row>
    <row r="43" spans="14:21" x14ac:dyDescent="0.25">
      <c r="N43" s="6"/>
      <c r="O43" s="7"/>
      <c r="P43" s="8">
        <f t="shared" si="12"/>
        <v>0</v>
      </c>
      <c r="Q43" s="1"/>
      <c r="R43" s="6">
        <f t="shared" si="13"/>
        <v>0</v>
      </c>
      <c r="S43" s="9" t="e">
        <f t="shared" si="14"/>
        <v>#DIV/0!</v>
      </c>
      <c r="T43" s="9">
        <f t="shared" si="15"/>
        <v>0</v>
      </c>
      <c r="U43" s="9" t="e">
        <f>R43 / _xlfn.XLOOKUP(A43, Jungle!A:A, Jungle!AA:AA)</f>
        <v>#DIV/0!</v>
      </c>
    </row>
    <row r="44" spans="14:21" x14ac:dyDescent="0.25">
      <c r="N44" s="6"/>
      <c r="O44" s="7"/>
      <c r="P44" s="8">
        <f t="shared" si="12"/>
        <v>0</v>
      </c>
      <c r="Q44" s="1"/>
      <c r="R44" s="6">
        <f t="shared" si="13"/>
        <v>0</v>
      </c>
      <c r="S44" s="9" t="e">
        <f t="shared" si="14"/>
        <v>#DIV/0!</v>
      </c>
      <c r="T44" s="9">
        <f t="shared" si="15"/>
        <v>0</v>
      </c>
      <c r="U44" s="9" t="e">
        <f>R44 / _xlfn.XLOOKUP(A44, Jungle!A:A, Jungle!AA:AA)</f>
        <v>#DIV/0!</v>
      </c>
    </row>
    <row r="45" spans="14:21" x14ac:dyDescent="0.25">
      <c r="N45" s="6"/>
      <c r="O45" s="7"/>
      <c r="P45" s="8">
        <f t="shared" si="12"/>
        <v>0</v>
      </c>
      <c r="Q45" s="1"/>
      <c r="R45" s="6">
        <f t="shared" si="13"/>
        <v>0</v>
      </c>
      <c r="S45" s="9" t="e">
        <f t="shared" si="14"/>
        <v>#DIV/0!</v>
      </c>
      <c r="T45" s="9">
        <f t="shared" si="15"/>
        <v>0</v>
      </c>
      <c r="U45" s="9" t="e">
        <f>R45 / _xlfn.XLOOKUP(A45, Jungle!A:A, Jungle!AA:AA)</f>
        <v>#DIV/0!</v>
      </c>
    </row>
    <row r="46" spans="14:21" x14ac:dyDescent="0.25">
      <c r="N46" s="6"/>
      <c r="O46" s="7"/>
      <c r="P46" s="8">
        <f t="shared" si="12"/>
        <v>0</v>
      </c>
      <c r="Q46" s="1"/>
      <c r="R46" s="6">
        <f t="shared" si="13"/>
        <v>0</v>
      </c>
      <c r="S46" s="9" t="e">
        <f t="shared" si="14"/>
        <v>#DIV/0!</v>
      </c>
      <c r="T46" s="9">
        <f t="shared" si="15"/>
        <v>0</v>
      </c>
      <c r="U46" s="9" t="e">
        <f>R46 / _xlfn.XLOOKUP(A46, Jungle!A:A, Jungle!AA:AA)</f>
        <v>#DIV/0!</v>
      </c>
    </row>
    <row r="47" spans="14:21" x14ac:dyDescent="0.25">
      <c r="N47" s="6"/>
      <c r="O47" s="7"/>
      <c r="P47" s="8">
        <f t="shared" si="12"/>
        <v>0</v>
      </c>
      <c r="Q47" s="1"/>
      <c r="R47" s="6">
        <f t="shared" si="13"/>
        <v>0</v>
      </c>
      <c r="S47" s="9" t="e">
        <f t="shared" si="14"/>
        <v>#DIV/0!</v>
      </c>
      <c r="T47" s="9">
        <f t="shared" si="15"/>
        <v>0</v>
      </c>
      <c r="U47" s="9" t="e">
        <f>R47 / _xlfn.XLOOKUP(A47, Jungle!A:A, Jungle!AA:AA)</f>
        <v>#DIV/0!</v>
      </c>
    </row>
  </sheetData>
  <sortState xmlns:xlrd2="http://schemas.microsoft.com/office/spreadsheetml/2017/richdata2" ref="A3:U26">
    <sortCondition descending="1" ref="S3:S26"/>
  </sortState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3EFA-3420-4E17-971E-D91F4E55BF9D}">
  <sheetPr>
    <tabColor theme="6" tint="0.59999389629810485"/>
  </sheetPr>
  <dimension ref="A1:W48"/>
  <sheetViews>
    <sheetView workbookViewId="0">
      <selection activeCell="U3" sqref="U3:U26"/>
    </sheetView>
  </sheetViews>
  <sheetFormatPr baseColWidth="10" defaultRowHeight="15" x14ac:dyDescent="0.25"/>
  <sheetData>
    <row r="1" spans="1:23" ht="15.75" x14ac:dyDescent="0.25">
      <c r="A1" s="2" t="s">
        <v>105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75</v>
      </c>
      <c r="B3" s="6"/>
      <c r="C3" s="7"/>
      <c r="D3" s="8">
        <f t="shared" ref="D3:D26" si="0">B3*C3</f>
        <v>0</v>
      </c>
      <c r="E3" s="6"/>
      <c r="F3" s="7"/>
      <c r="G3" s="8">
        <f t="shared" ref="G3:G26" si="1">E3*F3</f>
        <v>0</v>
      </c>
      <c r="H3" s="6"/>
      <c r="I3" s="7"/>
      <c r="J3" s="8">
        <f t="shared" ref="J3:J26" si="2">H3*I3</f>
        <v>0</v>
      </c>
      <c r="K3" s="6"/>
      <c r="L3" s="7"/>
      <c r="M3" s="8">
        <f t="shared" ref="M3:M26" si="3">K3*L3</f>
        <v>0</v>
      </c>
      <c r="N3" s="6"/>
      <c r="O3" s="7"/>
      <c r="P3" s="8">
        <f t="shared" ref="P3:P26" si="4">N3*O3</f>
        <v>0</v>
      </c>
      <c r="Q3" s="1"/>
      <c r="R3" s="6">
        <f t="shared" ref="R3:R26" si="5">B3+E3+H3+K3+N3</f>
        <v>0</v>
      </c>
      <c r="S3" s="9" t="e">
        <f t="shared" ref="S3:S26" si="6">(D3+G3+J3+M3+P3)/R3</f>
        <v>#DIV/0!</v>
      </c>
      <c r="T3" s="9">
        <f t="shared" ref="T3:T26" si="7">R3/$V$3</f>
        <v>0</v>
      </c>
      <c r="U3" s="9">
        <f>R3 / _xlfn.XLOOKUP(A3, Jungle!A:A, Jungle!AA:AA)</f>
        <v>0</v>
      </c>
      <c r="V3" s="11">
        <f>SUM(R3:R62)</f>
        <v>175</v>
      </c>
      <c r="W3" s="12">
        <f>(SUM(D3:D92)+SUM(G3:G92)+SUM(J3:J92)+SUM(M3:M92)+SUM(P3:P92)) / V3</f>
        <v>0.27997714285714287</v>
      </c>
    </row>
    <row r="4" spans="1:23" x14ac:dyDescent="0.25">
      <c r="A4" s="1" t="s">
        <v>16</v>
      </c>
      <c r="B4" s="6"/>
      <c r="C4" s="7"/>
      <c r="D4" s="8">
        <f t="shared" si="0"/>
        <v>0</v>
      </c>
      <c r="E4" s="6"/>
      <c r="F4" s="7"/>
      <c r="G4" s="8">
        <f t="shared" si="1"/>
        <v>0</v>
      </c>
      <c r="H4" s="6">
        <v>1</v>
      </c>
      <c r="I4" s="7">
        <v>1</v>
      </c>
      <c r="J4" s="8">
        <f t="shared" si="2"/>
        <v>1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1</v>
      </c>
      <c r="S4" s="9">
        <f t="shared" si="6"/>
        <v>1</v>
      </c>
      <c r="T4" s="9">
        <f t="shared" si="7"/>
        <v>5.7142857142857143E-3</v>
      </c>
      <c r="U4" s="9">
        <f>R4 / _xlfn.XLOOKUP(A4, Jungle!A:A, Jungle!AA:AA)</f>
        <v>4.3478260869565216E-2</v>
      </c>
      <c r="V4" s="1"/>
      <c r="W4" s="1"/>
    </row>
    <row r="5" spans="1:23" x14ac:dyDescent="0.25">
      <c r="A5" s="1" t="s">
        <v>83</v>
      </c>
      <c r="B5" s="6"/>
      <c r="C5" s="7"/>
      <c r="D5" s="8">
        <f t="shared" si="0"/>
        <v>0</v>
      </c>
      <c r="E5" s="6"/>
      <c r="F5" s="7"/>
      <c r="G5" s="8">
        <f t="shared" si="1"/>
        <v>0</v>
      </c>
      <c r="H5" s="6">
        <v>3</v>
      </c>
      <c r="I5" s="7">
        <v>0.66700000000000004</v>
      </c>
      <c r="J5" s="8">
        <f t="shared" si="2"/>
        <v>2.0010000000000003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3</v>
      </c>
      <c r="S5" s="9">
        <f t="shared" si="6"/>
        <v>0.66700000000000015</v>
      </c>
      <c r="T5" s="9">
        <f t="shared" si="7"/>
        <v>1.7142857142857144E-2</v>
      </c>
      <c r="U5" s="9">
        <f>R5 / _xlfn.XLOOKUP(A5, Jungle!A:A, Jungle!AA:AA)</f>
        <v>3.6585365853658534E-2</v>
      </c>
      <c r="V5" s="1"/>
      <c r="W5" s="1"/>
    </row>
    <row r="6" spans="1:23" x14ac:dyDescent="0.25">
      <c r="A6" s="1" t="s">
        <v>79</v>
      </c>
      <c r="B6" s="6"/>
      <c r="C6" s="7"/>
      <c r="D6" s="8">
        <f t="shared" si="0"/>
        <v>0</v>
      </c>
      <c r="E6" s="6">
        <v>5</v>
      </c>
      <c r="F6" s="7">
        <v>0.6</v>
      </c>
      <c r="G6" s="8">
        <f t="shared" si="1"/>
        <v>3</v>
      </c>
      <c r="H6" s="6"/>
      <c r="I6" s="7"/>
      <c r="J6" s="8">
        <f t="shared" si="2"/>
        <v>0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1"/>
      <c r="R6" s="6">
        <f t="shared" si="5"/>
        <v>5</v>
      </c>
      <c r="S6" s="9">
        <f t="shared" si="6"/>
        <v>0.6</v>
      </c>
      <c r="T6" s="9">
        <f t="shared" si="7"/>
        <v>2.8571428571428571E-2</v>
      </c>
      <c r="U6" s="9">
        <f>R6 / _xlfn.XLOOKUP(A6, Jungle!A:A, Jungle!AA:AA)</f>
        <v>0.1</v>
      </c>
      <c r="V6" s="1"/>
      <c r="W6" s="1"/>
    </row>
    <row r="7" spans="1:23" x14ac:dyDescent="0.25">
      <c r="A7" s="1" t="s">
        <v>31</v>
      </c>
      <c r="B7" s="6">
        <v>1</v>
      </c>
      <c r="C7" s="7">
        <v>0</v>
      </c>
      <c r="D7" s="8">
        <f t="shared" si="0"/>
        <v>0</v>
      </c>
      <c r="E7" s="6">
        <v>5</v>
      </c>
      <c r="F7" s="7">
        <v>0.6</v>
      </c>
      <c r="G7" s="8">
        <f t="shared" si="1"/>
        <v>3</v>
      </c>
      <c r="H7" s="6">
        <v>4</v>
      </c>
      <c r="I7" s="7">
        <v>0.5</v>
      </c>
      <c r="J7" s="8">
        <f t="shared" si="2"/>
        <v>2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4"/>
      <c r="R7" s="6">
        <f t="shared" si="5"/>
        <v>10</v>
      </c>
      <c r="S7" s="9">
        <f t="shared" si="6"/>
        <v>0.5</v>
      </c>
      <c r="T7" s="9">
        <f t="shared" si="7"/>
        <v>5.7142857142857141E-2</v>
      </c>
      <c r="U7" s="9">
        <f>R7 / _xlfn.XLOOKUP(A7, Jungle!A:A, Jungle!AA:AA)</f>
        <v>3.8167938931297711E-2</v>
      </c>
      <c r="V7" s="1"/>
      <c r="W7" s="1"/>
    </row>
    <row r="8" spans="1:23" x14ac:dyDescent="0.25">
      <c r="A8" s="1" t="s">
        <v>57</v>
      </c>
      <c r="B8" s="6"/>
      <c r="C8" s="7"/>
      <c r="D8" s="8">
        <f t="shared" si="0"/>
        <v>0</v>
      </c>
      <c r="E8" s="6">
        <v>4</v>
      </c>
      <c r="F8" s="7">
        <v>0.5</v>
      </c>
      <c r="G8" s="8">
        <f t="shared" si="1"/>
        <v>2</v>
      </c>
      <c r="H8" s="6">
        <v>2</v>
      </c>
      <c r="I8" s="7">
        <v>0.5</v>
      </c>
      <c r="J8" s="8">
        <f t="shared" si="2"/>
        <v>1</v>
      </c>
      <c r="K8" s="6"/>
      <c r="L8" s="7"/>
      <c r="M8" s="8">
        <f t="shared" si="3"/>
        <v>0</v>
      </c>
      <c r="N8" s="6"/>
      <c r="O8" s="7"/>
      <c r="P8" s="8">
        <f t="shared" si="4"/>
        <v>0</v>
      </c>
      <c r="Q8" s="1"/>
      <c r="R8" s="6">
        <f t="shared" si="5"/>
        <v>6</v>
      </c>
      <c r="S8" s="9">
        <f t="shared" si="6"/>
        <v>0.5</v>
      </c>
      <c r="T8" s="9">
        <f t="shared" si="7"/>
        <v>3.4285714285714287E-2</v>
      </c>
      <c r="U8" s="9">
        <f>R8 / _xlfn.XLOOKUP(A8, Jungle!A:A, Jungle!AA:AA)</f>
        <v>1.3483146067415731E-2</v>
      </c>
      <c r="V8" s="1"/>
      <c r="W8" s="1"/>
    </row>
    <row r="9" spans="1:23" x14ac:dyDescent="0.25">
      <c r="A9" s="1" t="s">
        <v>92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>
        <v>4</v>
      </c>
      <c r="I9" s="7">
        <v>0.5</v>
      </c>
      <c r="J9" s="8">
        <f t="shared" si="2"/>
        <v>2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4"/>
      <c r="R9" s="6">
        <f t="shared" si="5"/>
        <v>4</v>
      </c>
      <c r="S9" s="9">
        <f t="shared" si="6"/>
        <v>0.5</v>
      </c>
      <c r="T9" s="9">
        <f t="shared" si="7"/>
        <v>2.2857142857142857E-2</v>
      </c>
      <c r="U9" s="9">
        <f>R9 / _xlfn.XLOOKUP(A9, Jungle!A:A, Jungle!AA:AA)</f>
        <v>0.16</v>
      </c>
      <c r="V9" s="1"/>
      <c r="W9" s="1"/>
    </row>
    <row r="10" spans="1:23" x14ac:dyDescent="0.25">
      <c r="A10" s="1" t="s">
        <v>69</v>
      </c>
      <c r="B10" s="6">
        <v>4</v>
      </c>
      <c r="C10" s="7">
        <v>0</v>
      </c>
      <c r="D10" s="8">
        <f t="shared" si="0"/>
        <v>0</v>
      </c>
      <c r="E10" s="6">
        <v>9</v>
      </c>
      <c r="F10" s="7">
        <v>0.44400000000000001</v>
      </c>
      <c r="G10" s="8">
        <f t="shared" si="1"/>
        <v>3.996</v>
      </c>
      <c r="H10" s="6">
        <v>11</v>
      </c>
      <c r="I10" s="7">
        <v>0.36399999999999999</v>
      </c>
      <c r="J10" s="8">
        <f t="shared" si="2"/>
        <v>4.0039999999999996</v>
      </c>
      <c r="K10" s="6"/>
      <c r="L10" s="7"/>
      <c r="M10" s="8">
        <f t="shared" si="3"/>
        <v>0</v>
      </c>
      <c r="N10" s="6"/>
      <c r="O10" s="7"/>
      <c r="P10" s="8">
        <f t="shared" si="4"/>
        <v>0</v>
      </c>
      <c r="Q10" s="1"/>
      <c r="R10" s="6">
        <f t="shared" si="5"/>
        <v>24</v>
      </c>
      <c r="S10" s="9">
        <f t="shared" si="6"/>
        <v>0.33333333333333331</v>
      </c>
      <c r="T10" s="9">
        <f t="shared" si="7"/>
        <v>0.13714285714285715</v>
      </c>
      <c r="U10" s="9">
        <f>R10 / _xlfn.XLOOKUP(A10, Jungle!A:A, Jungle!AA:AA)</f>
        <v>5.3452115812917596E-2</v>
      </c>
      <c r="V10" s="1"/>
      <c r="W10" s="1"/>
    </row>
    <row r="11" spans="1:23" x14ac:dyDescent="0.25">
      <c r="A11" s="1" t="s">
        <v>30</v>
      </c>
      <c r="B11" s="6"/>
      <c r="C11" s="7"/>
      <c r="D11" s="8">
        <f t="shared" si="0"/>
        <v>0</v>
      </c>
      <c r="E11" s="6">
        <v>8</v>
      </c>
      <c r="F11" s="7">
        <v>0.25</v>
      </c>
      <c r="G11" s="8">
        <f t="shared" si="1"/>
        <v>2</v>
      </c>
      <c r="H11" s="6">
        <v>11</v>
      </c>
      <c r="I11" s="7">
        <v>0.36399999999999999</v>
      </c>
      <c r="J11" s="8">
        <f t="shared" si="2"/>
        <v>4.0039999999999996</v>
      </c>
      <c r="K11" s="6"/>
      <c r="L11" s="7"/>
      <c r="M11" s="8">
        <f t="shared" si="3"/>
        <v>0</v>
      </c>
      <c r="N11" s="6"/>
      <c r="O11" s="7"/>
      <c r="P11" s="8">
        <f t="shared" si="4"/>
        <v>0</v>
      </c>
      <c r="Q11" s="1"/>
      <c r="R11" s="6">
        <f t="shared" si="5"/>
        <v>19</v>
      </c>
      <c r="S11" s="9">
        <f t="shared" si="6"/>
        <v>0.316</v>
      </c>
      <c r="T11" s="9">
        <f t="shared" si="7"/>
        <v>0.10857142857142857</v>
      </c>
      <c r="U11" s="9">
        <f>R11 / _xlfn.XLOOKUP(A11, Jungle!A:A, Jungle!AA:AA)</f>
        <v>4.738154613466334E-2</v>
      </c>
      <c r="V11" s="1"/>
      <c r="W11" s="1"/>
    </row>
    <row r="12" spans="1:23" x14ac:dyDescent="0.25">
      <c r="A12" s="1" t="s">
        <v>73</v>
      </c>
      <c r="B12" s="6"/>
      <c r="C12" s="7"/>
      <c r="D12" s="8">
        <f t="shared" si="0"/>
        <v>0</v>
      </c>
      <c r="E12" s="6">
        <v>16</v>
      </c>
      <c r="F12" s="7">
        <v>0.188</v>
      </c>
      <c r="G12" s="8">
        <f t="shared" si="1"/>
        <v>3.008</v>
      </c>
      <c r="H12" s="6">
        <v>9</v>
      </c>
      <c r="I12" s="7">
        <v>0.44400000000000001</v>
      </c>
      <c r="J12" s="8">
        <f t="shared" si="2"/>
        <v>3.996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1"/>
      <c r="R12" s="6">
        <f t="shared" si="5"/>
        <v>25</v>
      </c>
      <c r="S12" s="9">
        <f t="shared" si="6"/>
        <v>0.28015999999999996</v>
      </c>
      <c r="T12" s="9">
        <f t="shared" si="7"/>
        <v>0.14285714285714285</v>
      </c>
      <c r="U12" s="9">
        <f>R12 / _xlfn.XLOOKUP(A12, Jungle!A:A, Jungle!AA:AA)</f>
        <v>4.4964028776978415E-2</v>
      </c>
      <c r="V12" s="1"/>
      <c r="W12" s="1"/>
    </row>
    <row r="13" spans="1:23" x14ac:dyDescent="0.25">
      <c r="A13" s="1" t="s">
        <v>81</v>
      </c>
      <c r="B13" s="6"/>
      <c r="C13" s="7"/>
      <c r="D13" s="8">
        <f t="shared" si="0"/>
        <v>0</v>
      </c>
      <c r="E13" s="6">
        <v>4</v>
      </c>
      <c r="F13" s="7">
        <v>0.25</v>
      </c>
      <c r="G13" s="8">
        <f t="shared" si="1"/>
        <v>1</v>
      </c>
      <c r="H13" s="6"/>
      <c r="I13" s="7"/>
      <c r="J13" s="8">
        <f t="shared" si="2"/>
        <v>0</v>
      </c>
      <c r="K13" s="6"/>
      <c r="L13" s="7"/>
      <c r="M13" s="8">
        <f t="shared" si="3"/>
        <v>0</v>
      </c>
      <c r="N13" s="6"/>
      <c r="O13" s="7"/>
      <c r="P13" s="8">
        <f t="shared" si="4"/>
        <v>0</v>
      </c>
      <c r="Q13" s="1"/>
      <c r="R13" s="6">
        <f t="shared" si="5"/>
        <v>4</v>
      </c>
      <c r="S13" s="9">
        <f t="shared" si="6"/>
        <v>0.25</v>
      </c>
      <c r="T13" s="9">
        <f t="shared" si="7"/>
        <v>2.2857142857142857E-2</v>
      </c>
      <c r="U13" s="9">
        <f>R13 / _xlfn.XLOOKUP(A13, Jungle!A:A, Jungle!AA:AA)</f>
        <v>0.1111111111111111</v>
      </c>
      <c r="V13" s="1"/>
      <c r="W13" s="1"/>
    </row>
    <row r="14" spans="1:23" x14ac:dyDescent="0.25">
      <c r="A14" s="1" t="s">
        <v>26</v>
      </c>
      <c r="B14" s="6"/>
      <c r="C14" s="7"/>
      <c r="D14" s="8">
        <f t="shared" si="0"/>
        <v>0</v>
      </c>
      <c r="E14" s="6">
        <v>14</v>
      </c>
      <c r="F14" s="7">
        <v>7.0999999999999994E-2</v>
      </c>
      <c r="G14" s="8">
        <f t="shared" si="1"/>
        <v>0.99399999999999988</v>
      </c>
      <c r="H14" s="6">
        <v>17</v>
      </c>
      <c r="I14" s="7">
        <v>0.35299999999999998</v>
      </c>
      <c r="J14" s="8">
        <f t="shared" si="2"/>
        <v>6.0009999999999994</v>
      </c>
      <c r="K14" s="6"/>
      <c r="L14" s="7"/>
      <c r="M14" s="8">
        <f t="shared" si="3"/>
        <v>0</v>
      </c>
      <c r="N14" s="6"/>
      <c r="O14" s="7"/>
      <c r="P14" s="8">
        <f t="shared" si="4"/>
        <v>0</v>
      </c>
      <c r="Q14" s="4"/>
      <c r="R14" s="6">
        <f t="shared" si="5"/>
        <v>31</v>
      </c>
      <c r="S14" s="9">
        <f t="shared" si="6"/>
        <v>0.22564516129032255</v>
      </c>
      <c r="T14" s="9">
        <f t="shared" si="7"/>
        <v>0.17714285714285713</v>
      </c>
      <c r="U14" s="9">
        <f>R14 / _xlfn.XLOOKUP(A14, Jungle!A:A, Jungle!AA:AA)</f>
        <v>4.8818897637795275E-2</v>
      </c>
      <c r="V14" s="1"/>
      <c r="W14" s="1"/>
    </row>
    <row r="15" spans="1:23" x14ac:dyDescent="0.25">
      <c r="A15" s="1" t="s">
        <v>71</v>
      </c>
      <c r="B15" s="6"/>
      <c r="C15" s="7"/>
      <c r="D15" s="8">
        <f t="shared" si="0"/>
        <v>0</v>
      </c>
      <c r="E15" s="6">
        <v>17</v>
      </c>
      <c r="F15" s="7">
        <v>0.17599999999999999</v>
      </c>
      <c r="G15" s="8">
        <f t="shared" si="1"/>
        <v>2.992</v>
      </c>
      <c r="H15" s="6">
        <v>1</v>
      </c>
      <c r="I15" s="7">
        <v>0</v>
      </c>
      <c r="J15" s="8">
        <f t="shared" si="2"/>
        <v>0</v>
      </c>
      <c r="K15" s="6"/>
      <c r="L15" s="7"/>
      <c r="M15" s="8">
        <f t="shared" si="3"/>
        <v>0</v>
      </c>
      <c r="N15" s="6"/>
      <c r="O15" s="7"/>
      <c r="P15" s="8">
        <f t="shared" si="4"/>
        <v>0</v>
      </c>
      <c r="Q15" s="1"/>
      <c r="R15" s="6">
        <f t="shared" si="5"/>
        <v>18</v>
      </c>
      <c r="S15" s="9">
        <f t="shared" si="6"/>
        <v>0.16622222222222222</v>
      </c>
      <c r="T15" s="9">
        <f t="shared" si="7"/>
        <v>0.10285714285714286</v>
      </c>
      <c r="U15" s="9">
        <f>R15 / _xlfn.XLOOKUP(A15, Jungle!A:A, Jungle!AA:AA)</f>
        <v>3.2490974729241874E-2</v>
      </c>
      <c r="V15" s="1"/>
      <c r="W15" s="1"/>
    </row>
    <row r="16" spans="1:23" x14ac:dyDescent="0.25">
      <c r="A16" s="1" t="s">
        <v>80</v>
      </c>
      <c r="B16" s="6"/>
      <c r="C16" s="7"/>
      <c r="D16" s="8">
        <f t="shared" si="0"/>
        <v>0</v>
      </c>
      <c r="E16" s="6"/>
      <c r="F16" s="7"/>
      <c r="G16" s="8">
        <f t="shared" si="1"/>
        <v>0</v>
      </c>
      <c r="H16" s="6">
        <v>8</v>
      </c>
      <c r="I16" s="7">
        <v>0.125</v>
      </c>
      <c r="J16" s="8">
        <f t="shared" si="2"/>
        <v>1</v>
      </c>
      <c r="K16" s="6"/>
      <c r="L16" s="7"/>
      <c r="M16" s="8">
        <f t="shared" si="3"/>
        <v>0</v>
      </c>
      <c r="N16" s="6"/>
      <c r="O16" s="7"/>
      <c r="P16" s="8">
        <f t="shared" si="4"/>
        <v>0</v>
      </c>
      <c r="Q16" s="13"/>
      <c r="R16" s="6">
        <f t="shared" si="5"/>
        <v>8</v>
      </c>
      <c r="S16" s="9">
        <f t="shared" si="6"/>
        <v>0.125</v>
      </c>
      <c r="T16" s="9">
        <f t="shared" si="7"/>
        <v>4.5714285714285714E-2</v>
      </c>
      <c r="U16" s="9">
        <f>R16 / _xlfn.XLOOKUP(A16, Jungle!A:A, Jungle!AA:AA)</f>
        <v>8.6956521739130432E-2</v>
      </c>
      <c r="V16" s="1"/>
      <c r="W16" s="1"/>
    </row>
    <row r="17" spans="1:23" x14ac:dyDescent="0.25">
      <c r="A17" s="1" t="s">
        <v>72</v>
      </c>
      <c r="B17" s="6"/>
      <c r="C17" s="7"/>
      <c r="D17" s="8">
        <f t="shared" si="0"/>
        <v>0</v>
      </c>
      <c r="E17" s="6">
        <v>2</v>
      </c>
      <c r="F17" s="7">
        <v>0</v>
      </c>
      <c r="G17" s="8">
        <f t="shared" si="1"/>
        <v>0</v>
      </c>
      <c r="H17" s="6">
        <v>1</v>
      </c>
      <c r="I17" s="7">
        <v>0</v>
      </c>
      <c r="J17" s="8">
        <f t="shared" si="2"/>
        <v>0</v>
      </c>
      <c r="K17" s="6"/>
      <c r="L17" s="7"/>
      <c r="M17" s="8">
        <f t="shared" si="3"/>
        <v>0</v>
      </c>
      <c r="N17" s="6"/>
      <c r="O17" s="7"/>
      <c r="P17" s="8">
        <f t="shared" si="4"/>
        <v>0</v>
      </c>
      <c r="Q17" s="1"/>
      <c r="R17" s="6">
        <f t="shared" si="5"/>
        <v>3</v>
      </c>
      <c r="S17" s="9">
        <f t="shared" si="6"/>
        <v>0</v>
      </c>
      <c r="T17" s="9">
        <f t="shared" si="7"/>
        <v>1.7142857142857144E-2</v>
      </c>
      <c r="U17" s="9">
        <f>R17 / _xlfn.XLOOKUP(A17, Jungle!A:A, Jungle!AA:AA)</f>
        <v>1.6574585635359115E-2</v>
      </c>
      <c r="V17" s="1"/>
      <c r="W17" s="1"/>
    </row>
    <row r="18" spans="1:23" x14ac:dyDescent="0.25">
      <c r="A18" s="1" t="s">
        <v>82</v>
      </c>
      <c r="B18" s="6"/>
      <c r="C18" s="7"/>
      <c r="D18" s="8">
        <f t="shared" si="0"/>
        <v>0</v>
      </c>
      <c r="E18" s="6"/>
      <c r="F18" s="7"/>
      <c r="G18" s="8">
        <f t="shared" si="1"/>
        <v>0</v>
      </c>
      <c r="H18" s="6">
        <v>3</v>
      </c>
      <c r="I18" s="7">
        <v>0</v>
      </c>
      <c r="J18" s="8">
        <f t="shared" si="2"/>
        <v>0</v>
      </c>
      <c r="K18" s="6"/>
      <c r="L18" s="7"/>
      <c r="M18" s="8">
        <f t="shared" si="3"/>
        <v>0</v>
      </c>
      <c r="N18" s="6"/>
      <c r="O18" s="7"/>
      <c r="P18" s="8">
        <f t="shared" si="4"/>
        <v>0</v>
      </c>
      <c r="Q18" s="1"/>
      <c r="R18" s="6">
        <f t="shared" si="5"/>
        <v>3</v>
      </c>
      <c r="S18" s="9">
        <f t="shared" si="6"/>
        <v>0</v>
      </c>
      <c r="T18" s="9">
        <f t="shared" si="7"/>
        <v>1.7142857142857144E-2</v>
      </c>
      <c r="U18" s="9">
        <f>R18 / _xlfn.XLOOKUP(A18, Jungle!A:A, Jungle!AA:AA)</f>
        <v>4.7619047619047616E-2</v>
      </c>
      <c r="V18" s="1"/>
      <c r="W18" s="1"/>
    </row>
    <row r="19" spans="1:23" x14ac:dyDescent="0.25">
      <c r="A19" s="1" t="s">
        <v>76</v>
      </c>
      <c r="B19" s="6"/>
      <c r="C19" s="7"/>
      <c r="D19" s="8">
        <f t="shared" si="0"/>
        <v>0</v>
      </c>
      <c r="E19" s="6"/>
      <c r="F19" s="7"/>
      <c r="G19" s="8">
        <f t="shared" si="1"/>
        <v>0</v>
      </c>
      <c r="H19" s="6">
        <v>3</v>
      </c>
      <c r="I19" s="7">
        <v>0</v>
      </c>
      <c r="J19" s="8">
        <f t="shared" si="2"/>
        <v>0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4"/>
      <c r="R19" s="6">
        <f t="shared" si="5"/>
        <v>3</v>
      </c>
      <c r="S19" s="9">
        <f t="shared" si="6"/>
        <v>0</v>
      </c>
      <c r="T19" s="9">
        <f t="shared" si="7"/>
        <v>1.7142857142857144E-2</v>
      </c>
      <c r="U19" s="9">
        <f>R19 / _xlfn.XLOOKUP(A19, Jungle!A:A, Jungle!AA:AA)</f>
        <v>2.2556390977443608E-2</v>
      </c>
      <c r="V19" s="1"/>
      <c r="W19" s="1"/>
    </row>
    <row r="20" spans="1:23" x14ac:dyDescent="0.25">
      <c r="A20" s="1" t="s">
        <v>67</v>
      </c>
      <c r="B20" s="6"/>
      <c r="C20" s="7"/>
      <c r="D20" s="8">
        <f t="shared" si="0"/>
        <v>0</v>
      </c>
      <c r="E20" s="6"/>
      <c r="F20" s="7"/>
      <c r="G20" s="8">
        <f t="shared" si="1"/>
        <v>0</v>
      </c>
      <c r="H20" s="6">
        <v>2</v>
      </c>
      <c r="I20" s="7">
        <v>0</v>
      </c>
      <c r="J20" s="8">
        <f t="shared" si="2"/>
        <v>0</v>
      </c>
      <c r="K20" s="6"/>
      <c r="L20" s="7"/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2</v>
      </c>
      <c r="S20" s="9">
        <f t="shared" si="6"/>
        <v>0</v>
      </c>
      <c r="T20" s="9">
        <f t="shared" si="7"/>
        <v>1.1428571428571429E-2</v>
      </c>
      <c r="U20" s="9">
        <f>R20 / _xlfn.XLOOKUP(A20, Jungle!A:A, Jungle!AA:AA)</f>
        <v>1.020408163265306E-2</v>
      </c>
      <c r="V20" s="1"/>
      <c r="W20" s="1"/>
    </row>
    <row r="21" spans="1:23" x14ac:dyDescent="0.25">
      <c r="A21" s="1" t="s">
        <v>28</v>
      </c>
      <c r="B21" s="6"/>
      <c r="C21" s="7"/>
      <c r="D21" s="8">
        <f t="shared" si="0"/>
        <v>0</v>
      </c>
      <c r="E21" s="6"/>
      <c r="F21" s="7"/>
      <c r="G21" s="8">
        <f t="shared" si="1"/>
        <v>0</v>
      </c>
      <c r="H21" s="6">
        <v>1</v>
      </c>
      <c r="I21" s="7">
        <v>0</v>
      </c>
      <c r="J21" s="8">
        <f t="shared" si="2"/>
        <v>0</v>
      </c>
      <c r="K21" s="6"/>
      <c r="L21" s="7"/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1</v>
      </c>
      <c r="S21" s="9">
        <f t="shared" si="6"/>
        <v>0</v>
      </c>
      <c r="T21" s="9">
        <f t="shared" si="7"/>
        <v>5.7142857142857143E-3</v>
      </c>
      <c r="U21" s="9">
        <f>R21 / _xlfn.XLOOKUP(A21, Jungle!A:A, Jungle!AA:AA)</f>
        <v>1.4285714285714285E-2</v>
      </c>
      <c r="V21" s="1"/>
      <c r="W21" s="1"/>
    </row>
    <row r="22" spans="1:23" x14ac:dyDescent="0.25">
      <c r="A22" s="1" t="s">
        <v>95</v>
      </c>
      <c r="B22" s="6"/>
      <c r="C22" s="7"/>
      <c r="D22" s="8">
        <f t="shared" si="0"/>
        <v>0</v>
      </c>
      <c r="E22" s="6">
        <v>1</v>
      </c>
      <c r="F22" s="7">
        <v>0</v>
      </c>
      <c r="G22" s="8">
        <f t="shared" si="1"/>
        <v>0</v>
      </c>
      <c r="H22" s="6"/>
      <c r="I22" s="7"/>
      <c r="J22" s="8">
        <f t="shared" si="2"/>
        <v>0</v>
      </c>
      <c r="K22" s="6"/>
      <c r="L22" s="7"/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1</v>
      </c>
      <c r="S22" s="9">
        <f t="shared" si="6"/>
        <v>0</v>
      </c>
      <c r="T22" s="9">
        <f t="shared" si="7"/>
        <v>5.7142857142857143E-3</v>
      </c>
      <c r="U22" s="9">
        <f>R22 / _xlfn.XLOOKUP(A22, Jungle!A:A, Jungle!AA:AA)</f>
        <v>5.9880239520958087E-3</v>
      </c>
      <c r="V22" s="1"/>
      <c r="W22" s="1"/>
    </row>
    <row r="23" spans="1:23" x14ac:dyDescent="0.25">
      <c r="A23" s="1" t="s">
        <v>87</v>
      </c>
      <c r="B23" s="6"/>
      <c r="C23" s="7"/>
      <c r="D23" s="8">
        <f t="shared" si="0"/>
        <v>0</v>
      </c>
      <c r="E23" s="6"/>
      <c r="F23" s="7"/>
      <c r="G23" s="8">
        <f t="shared" si="1"/>
        <v>0</v>
      </c>
      <c r="H23" s="6">
        <v>1</v>
      </c>
      <c r="I23" s="7">
        <v>0</v>
      </c>
      <c r="J23" s="8">
        <f t="shared" si="2"/>
        <v>0</v>
      </c>
      <c r="K23" s="6"/>
      <c r="L23" s="7"/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1</v>
      </c>
      <c r="S23" s="9">
        <f t="shared" si="6"/>
        <v>0</v>
      </c>
      <c r="T23" s="9">
        <f t="shared" si="7"/>
        <v>5.7142857142857143E-3</v>
      </c>
      <c r="U23" s="9">
        <f>R23 / _xlfn.XLOOKUP(A23, Jungle!A:A, Jungle!AA:AA)</f>
        <v>4.5454545454545456E-2</v>
      </c>
      <c r="V23" s="1"/>
      <c r="W23" s="1"/>
    </row>
    <row r="24" spans="1:23" x14ac:dyDescent="0.25">
      <c r="A24" s="1" t="s">
        <v>58</v>
      </c>
      <c r="B24" s="6">
        <v>1</v>
      </c>
      <c r="C24" s="7">
        <v>0</v>
      </c>
      <c r="D24" s="8">
        <f t="shared" si="0"/>
        <v>0</v>
      </c>
      <c r="E24" s="6"/>
      <c r="F24" s="7"/>
      <c r="G24" s="8">
        <f t="shared" si="1"/>
        <v>0</v>
      </c>
      <c r="H24" s="6"/>
      <c r="I24" s="7"/>
      <c r="J24" s="8">
        <f t="shared" si="2"/>
        <v>0</v>
      </c>
      <c r="K24" s="6"/>
      <c r="L24" s="7"/>
      <c r="M24" s="8">
        <f t="shared" si="3"/>
        <v>0</v>
      </c>
      <c r="N24" s="6"/>
      <c r="O24" s="7"/>
      <c r="P24" s="8">
        <f t="shared" si="4"/>
        <v>0</v>
      </c>
      <c r="Q24" s="1"/>
      <c r="R24" s="6">
        <f t="shared" si="5"/>
        <v>1</v>
      </c>
      <c r="S24" s="9">
        <f t="shared" si="6"/>
        <v>0</v>
      </c>
      <c r="T24" s="9">
        <f t="shared" si="7"/>
        <v>5.7142857142857143E-3</v>
      </c>
      <c r="U24" s="9">
        <f>R24 / _xlfn.XLOOKUP(A24, Jungle!A:A, Jungle!AA:AA)</f>
        <v>2.1739130434782608E-2</v>
      </c>
      <c r="V24" s="1"/>
      <c r="W24" s="1"/>
    </row>
    <row r="25" spans="1:23" x14ac:dyDescent="0.25">
      <c r="A25" s="1" t="s">
        <v>70</v>
      </c>
      <c r="B25" s="6"/>
      <c r="C25" s="7"/>
      <c r="D25" s="8">
        <f t="shared" si="0"/>
        <v>0</v>
      </c>
      <c r="E25" s="6"/>
      <c r="F25" s="7"/>
      <c r="G25" s="8">
        <f t="shared" si="1"/>
        <v>0</v>
      </c>
      <c r="H25" s="6">
        <v>1</v>
      </c>
      <c r="I25" s="7">
        <v>0</v>
      </c>
      <c r="J25" s="8">
        <f t="shared" si="2"/>
        <v>0</v>
      </c>
      <c r="K25" s="6"/>
      <c r="L25" s="7"/>
      <c r="M25" s="8">
        <f t="shared" si="3"/>
        <v>0</v>
      </c>
      <c r="N25" s="6"/>
      <c r="O25" s="7"/>
      <c r="P25" s="8">
        <f t="shared" si="4"/>
        <v>0</v>
      </c>
      <c r="Q25" s="1"/>
      <c r="R25" s="6">
        <f t="shared" si="5"/>
        <v>1</v>
      </c>
      <c r="S25" s="9">
        <f t="shared" si="6"/>
        <v>0</v>
      </c>
      <c r="T25" s="9">
        <f t="shared" si="7"/>
        <v>5.7142857142857143E-3</v>
      </c>
      <c r="U25" s="9">
        <f>R25 / _xlfn.XLOOKUP(A25, Jungle!A:A, Jungle!AA:AA)</f>
        <v>2.012072434607646E-3</v>
      </c>
      <c r="V25" s="1"/>
      <c r="W25" s="1"/>
    </row>
    <row r="26" spans="1:23" x14ac:dyDescent="0.25">
      <c r="A26" s="1" t="s">
        <v>195</v>
      </c>
      <c r="B26" s="6"/>
      <c r="C26" s="7"/>
      <c r="D26" s="8">
        <f t="shared" si="0"/>
        <v>0</v>
      </c>
      <c r="E26" s="6"/>
      <c r="F26" s="7"/>
      <c r="G26" s="8">
        <f t="shared" si="1"/>
        <v>0</v>
      </c>
      <c r="H26" s="6">
        <v>1</v>
      </c>
      <c r="I26" s="7">
        <v>0</v>
      </c>
      <c r="J26" s="8">
        <f t="shared" si="2"/>
        <v>0</v>
      </c>
      <c r="K26" s="6"/>
      <c r="L26" s="7"/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1</v>
      </c>
      <c r="S26" s="9">
        <f t="shared" si="6"/>
        <v>0</v>
      </c>
      <c r="T26" s="9">
        <f t="shared" si="7"/>
        <v>5.7142857142857143E-3</v>
      </c>
      <c r="U26" s="9">
        <f>R26 / _xlfn.XLOOKUP(A26, Jungle!A:A, Jungle!AA:AA)</f>
        <v>1.6666666666666666E-2</v>
      </c>
      <c r="V26" s="1"/>
      <c r="W26" s="1"/>
    </row>
    <row r="27" spans="1:23" x14ac:dyDescent="0.25">
      <c r="B27" s="6"/>
      <c r="C27" s="7"/>
      <c r="D27" s="8">
        <f t="shared" ref="D27:D29" si="8">B27*C27</f>
        <v>0</v>
      </c>
      <c r="E27" s="6"/>
      <c r="F27" s="7"/>
      <c r="G27" s="8">
        <f t="shared" ref="G27:G29" si="9">E27*F27</f>
        <v>0</v>
      </c>
      <c r="H27" s="6"/>
      <c r="I27" s="7"/>
      <c r="J27" s="8">
        <f t="shared" ref="J27:J29" si="10">H27*I27</f>
        <v>0</v>
      </c>
      <c r="K27" s="6"/>
      <c r="L27" s="7"/>
      <c r="M27" s="8">
        <f t="shared" ref="M27:M29" si="11">K27*L27</f>
        <v>0</v>
      </c>
      <c r="N27" s="6"/>
      <c r="O27" s="7"/>
      <c r="P27" s="8">
        <f t="shared" ref="P27:P48" si="12">N27*O27</f>
        <v>0</v>
      </c>
      <c r="Q27" s="1"/>
      <c r="R27" s="6">
        <f t="shared" ref="R27:R48" si="13">B27+E27+H27+K27+N27</f>
        <v>0</v>
      </c>
      <c r="S27" s="9" t="e">
        <f t="shared" ref="S27:S48" si="14">(D27+G27+J27+M27+P27)/R27</f>
        <v>#DIV/0!</v>
      </c>
      <c r="T27" s="9">
        <f t="shared" ref="T27:T48" si="15">R27/$V$3</f>
        <v>0</v>
      </c>
      <c r="U27" s="9" t="e">
        <f>R27 / _xlfn.XLOOKUP(A27, Jungle!A:A, Jungle!AA:AA)</f>
        <v>#DIV/0!</v>
      </c>
      <c r="V27" s="1"/>
      <c r="W27" s="1"/>
    </row>
    <row r="28" spans="1:23" x14ac:dyDescent="0.25">
      <c r="B28" s="6"/>
      <c r="C28" s="7"/>
      <c r="D28" s="8">
        <f t="shared" si="8"/>
        <v>0</v>
      </c>
      <c r="E28" s="6"/>
      <c r="F28" s="7"/>
      <c r="G28" s="8">
        <f t="shared" si="9"/>
        <v>0</v>
      </c>
      <c r="H28" s="6"/>
      <c r="I28" s="7"/>
      <c r="J28" s="8">
        <f t="shared" si="10"/>
        <v>0</v>
      </c>
      <c r="K28" s="6"/>
      <c r="L28" s="7"/>
      <c r="M28" s="8">
        <f t="shared" si="11"/>
        <v>0</v>
      </c>
      <c r="N28" s="6"/>
      <c r="O28" s="7"/>
      <c r="P28" s="8">
        <f t="shared" si="12"/>
        <v>0</v>
      </c>
      <c r="Q28" s="1"/>
      <c r="R28" s="6">
        <f t="shared" si="13"/>
        <v>0</v>
      </c>
      <c r="S28" s="9" t="e">
        <f t="shared" si="14"/>
        <v>#DIV/0!</v>
      </c>
      <c r="T28" s="9">
        <f t="shared" si="15"/>
        <v>0</v>
      </c>
      <c r="U28" s="9" t="e">
        <f>R28 / _xlfn.XLOOKUP(A28, Jungle!A:A, Jungle!AA:AA)</f>
        <v>#DIV/0!</v>
      </c>
      <c r="V28" s="1"/>
      <c r="W28" s="1"/>
    </row>
    <row r="29" spans="1:23" x14ac:dyDescent="0.25">
      <c r="B29" s="6"/>
      <c r="C29" s="7"/>
      <c r="D29" s="8">
        <f t="shared" si="8"/>
        <v>0</v>
      </c>
      <c r="E29" s="6"/>
      <c r="F29" s="7"/>
      <c r="G29" s="8">
        <f t="shared" si="9"/>
        <v>0</v>
      </c>
      <c r="H29" s="6"/>
      <c r="I29" s="7"/>
      <c r="J29" s="8">
        <f t="shared" si="10"/>
        <v>0</v>
      </c>
      <c r="K29" s="6"/>
      <c r="L29" s="7"/>
      <c r="M29" s="8">
        <f t="shared" si="11"/>
        <v>0</v>
      </c>
      <c r="N29" s="6"/>
      <c r="O29" s="7"/>
      <c r="P29" s="8">
        <f t="shared" si="12"/>
        <v>0</v>
      </c>
      <c r="Q29" s="1"/>
      <c r="R29" s="6">
        <f t="shared" si="13"/>
        <v>0</v>
      </c>
      <c r="S29" s="9" t="e">
        <f t="shared" si="14"/>
        <v>#DIV/0!</v>
      </c>
      <c r="T29" s="9">
        <f t="shared" si="15"/>
        <v>0</v>
      </c>
      <c r="U29" s="9" t="e">
        <f>R29 / _xlfn.XLOOKUP(A29, Jungle!A:A, Jungle!AA:AA)</f>
        <v>#DIV/0!</v>
      </c>
      <c r="V29" s="1"/>
      <c r="W29" s="1"/>
    </row>
    <row r="30" spans="1:23" x14ac:dyDescent="0.25">
      <c r="N30" s="6"/>
      <c r="O30" s="7"/>
      <c r="P30" s="8">
        <f t="shared" si="12"/>
        <v>0</v>
      </c>
      <c r="Q30" s="1"/>
      <c r="R30" s="6">
        <f t="shared" si="13"/>
        <v>0</v>
      </c>
      <c r="S30" s="9" t="e">
        <f t="shared" si="14"/>
        <v>#DIV/0!</v>
      </c>
      <c r="T30" s="9">
        <f t="shared" si="15"/>
        <v>0</v>
      </c>
      <c r="U30" s="9" t="e">
        <f>R30 / _xlfn.XLOOKUP(A30, Jungle!A:A, Jungle!AA:AA)</f>
        <v>#DIV/0!</v>
      </c>
      <c r="V30" s="1"/>
      <c r="W30" s="1"/>
    </row>
    <row r="31" spans="1:23" x14ac:dyDescent="0.25">
      <c r="N31" s="6"/>
      <c r="O31" s="7"/>
      <c r="P31" s="8">
        <f t="shared" si="12"/>
        <v>0</v>
      </c>
      <c r="Q31" s="1"/>
      <c r="R31" s="6">
        <f t="shared" si="13"/>
        <v>0</v>
      </c>
      <c r="S31" s="9" t="e">
        <f t="shared" si="14"/>
        <v>#DIV/0!</v>
      </c>
      <c r="T31" s="9">
        <f t="shared" si="15"/>
        <v>0</v>
      </c>
      <c r="U31" s="9" t="e">
        <f>R31 / _xlfn.XLOOKUP(A31, Jungle!A:A, Jungle!AA:AA)</f>
        <v>#DIV/0!</v>
      </c>
      <c r="V31" s="1"/>
      <c r="W31" s="1"/>
    </row>
    <row r="32" spans="1:23" x14ac:dyDescent="0.25">
      <c r="N32" s="6"/>
      <c r="O32" s="7"/>
      <c r="P32" s="8">
        <f t="shared" si="12"/>
        <v>0</v>
      </c>
      <c r="Q32" s="1"/>
      <c r="R32" s="6">
        <f t="shared" si="13"/>
        <v>0</v>
      </c>
      <c r="S32" s="9" t="e">
        <f t="shared" si="14"/>
        <v>#DIV/0!</v>
      </c>
      <c r="T32" s="9">
        <f t="shared" si="15"/>
        <v>0</v>
      </c>
      <c r="U32" s="9" t="e">
        <f>R32 / _xlfn.XLOOKUP(A32, Jungle!A:A, Jungle!AA:AA)</f>
        <v>#DIV/0!</v>
      </c>
    </row>
    <row r="33" spans="14:21" x14ac:dyDescent="0.25">
      <c r="N33" s="6"/>
      <c r="O33" s="7"/>
      <c r="P33" s="8">
        <f t="shared" si="12"/>
        <v>0</v>
      </c>
      <c r="Q33" s="1"/>
      <c r="R33" s="6">
        <f t="shared" si="13"/>
        <v>0</v>
      </c>
      <c r="S33" s="9" t="e">
        <f t="shared" si="14"/>
        <v>#DIV/0!</v>
      </c>
      <c r="T33" s="9">
        <f t="shared" si="15"/>
        <v>0</v>
      </c>
      <c r="U33" s="9" t="e">
        <f>R33 / _xlfn.XLOOKUP(A33, Jungle!A:A, Jungle!AA:AA)</f>
        <v>#DIV/0!</v>
      </c>
    </row>
    <row r="34" spans="14:21" x14ac:dyDescent="0.25">
      <c r="N34" s="6"/>
      <c r="O34" s="7"/>
      <c r="P34" s="8">
        <f t="shared" si="12"/>
        <v>0</v>
      </c>
      <c r="Q34" s="1"/>
      <c r="R34" s="6">
        <f t="shared" si="13"/>
        <v>0</v>
      </c>
      <c r="S34" s="9" t="e">
        <f t="shared" si="14"/>
        <v>#DIV/0!</v>
      </c>
      <c r="T34" s="9">
        <f t="shared" si="15"/>
        <v>0</v>
      </c>
      <c r="U34" s="9" t="e">
        <f>R34 / _xlfn.XLOOKUP(A34, Jungle!A:A, Jungle!AA:AA)</f>
        <v>#DIV/0!</v>
      </c>
    </row>
    <row r="35" spans="14:21" x14ac:dyDescent="0.25">
      <c r="N35" s="6"/>
      <c r="O35" s="7"/>
      <c r="P35" s="8">
        <f t="shared" si="12"/>
        <v>0</v>
      </c>
      <c r="Q35" s="1"/>
      <c r="R35" s="6">
        <f t="shared" si="13"/>
        <v>0</v>
      </c>
      <c r="S35" s="9" t="e">
        <f t="shared" si="14"/>
        <v>#DIV/0!</v>
      </c>
      <c r="T35" s="9">
        <f t="shared" si="15"/>
        <v>0</v>
      </c>
      <c r="U35" s="9" t="e">
        <f>R35 / _xlfn.XLOOKUP(A35, Jungle!A:A, Jungle!AA:AA)</f>
        <v>#DIV/0!</v>
      </c>
    </row>
    <row r="36" spans="14:21" x14ac:dyDescent="0.25">
      <c r="N36" s="6"/>
      <c r="O36" s="7"/>
      <c r="P36" s="8">
        <f t="shared" si="12"/>
        <v>0</v>
      </c>
      <c r="Q36" s="1"/>
      <c r="R36" s="6">
        <f t="shared" si="13"/>
        <v>0</v>
      </c>
      <c r="S36" s="9" t="e">
        <f t="shared" si="14"/>
        <v>#DIV/0!</v>
      </c>
      <c r="T36" s="9">
        <f t="shared" si="15"/>
        <v>0</v>
      </c>
      <c r="U36" s="9" t="e">
        <f>R36 / _xlfn.XLOOKUP(A36, Jungle!A:A, Jungle!AA:AA)</f>
        <v>#DIV/0!</v>
      </c>
    </row>
    <row r="37" spans="14:21" x14ac:dyDescent="0.25">
      <c r="N37" s="6"/>
      <c r="O37" s="7"/>
      <c r="P37" s="8">
        <f t="shared" si="12"/>
        <v>0</v>
      </c>
      <c r="Q37" s="1"/>
      <c r="R37" s="6">
        <f t="shared" si="13"/>
        <v>0</v>
      </c>
      <c r="S37" s="9" t="e">
        <f t="shared" si="14"/>
        <v>#DIV/0!</v>
      </c>
      <c r="T37" s="9">
        <f t="shared" si="15"/>
        <v>0</v>
      </c>
      <c r="U37" s="9" t="e">
        <f>R37 / _xlfn.XLOOKUP(A37, Jungle!A:A, Jungle!AA:AA)</f>
        <v>#DIV/0!</v>
      </c>
    </row>
    <row r="38" spans="14:21" x14ac:dyDescent="0.25">
      <c r="N38" s="6"/>
      <c r="O38" s="7"/>
      <c r="P38" s="8">
        <f t="shared" si="12"/>
        <v>0</v>
      </c>
      <c r="Q38" s="1"/>
      <c r="R38" s="6">
        <f t="shared" si="13"/>
        <v>0</v>
      </c>
      <c r="S38" s="9" t="e">
        <f t="shared" si="14"/>
        <v>#DIV/0!</v>
      </c>
      <c r="T38" s="9">
        <f t="shared" si="15"/>
        <v>0</v>
      </c>
      <c r="U38" s="9" t="e">
        <f>R38 / _xlfn.XLOOKUP(A38, Jungle!A:A, Jungle!AA:AA)</f>
        <v>#DIV/0!</v>
      </c>
    </row>
    <row r="39" spans="14:21" x14ac:dyDescent="0.25">
      <c r="N39" s="6"/>
      <c r="O39" s="7"/>
      <c r="P39" s="8">
        <f t="shared" si="12"/>
        <v>0</v>
      </c>
      <c r="Q39" s="1"/>
      <c r="R39" s="6">
        <f t="shared" si="13"/>
        <v>0</v>
      </c>
      <c r="S39" s="9" t="e">
        <f t="shared" si="14"/>
        <v>#DIV/0!</v>
      </c>
      <c r="T39" s="9">
        <f t="shared" si="15"/>
        <v>0</v>
      </c>
      <c r="U39" s="9" t="e">
        <f>R39 / _xlfn.XLOOKUP(A39, Jungle!A:A, Jungle!AA:AA)</f>
        <v>#DIV/0!</v>
      </c>
    </row>
    <row r="40" spans="14:21" x14ac:dyDescent="0.25">
      <c r="N40" s="6"/>
      <c r="O40" s="7"/>
      <c r="P40" s="8">
        <f t="shared" si="12"/>
        <v>0</v>
      </c>
      <c r="Q40" s="1"/>
      <c r="R40" s="6">
        <f t="shared" si="13"/>
        <v>0</v>
      </c>
      <c r="S40" s="9" t="e">
        <f t="shared" si="14"/>
        <v>#DIV/0!</v>
      </c>
      <c r="T40" s="9">
        <f t="shared" si="15"/>
        <v>0</v>
      </c>
      <c r="U40" s="9" t="e">
        <f>R40 / _xlfn.XLOOKUP(A40, Jungle!A:A, Jungle!AA:AA)</f>
        <v>#DIV/0!</v>
      </c>
    </row>
    <row r="41" spans="14:21" x14ac:dyDescent="0.25">
      <c r="N41" s="6"/>
      <c r="O41" s="7"/>
      <c r="P41" s="8">
        <f t="shared" si="12"/>
        <v>0</v>
      </c>
      <c r="Q41" s="1"/>
      <c r="R41" s="6">
        <f t="shared" si="13"/>
        <v>0</v>
      </c>
      <c r="S41" s="9" t="e">
        <f t="shared" si="14"/>
        <v>#DIV/0!</v>
      </c>
      <c r="T41" s="9">
        <f t="shared" si="15"/>
        <v>0</v>
      </c>
      <c r="U41" s="9" t="e">
        <f>R41 / _xlfn.XLOOKUP(A41, Jungle!A:A, Jungle!AA:AA)</f>
        <v>#DIV/0!</v>
      </c>
    </row>
    <row r="42" spans="14:21" x14ac:dyDescent="0.25">
      <c r="N42" s="6"/>
      <c r="O42" s="7"/>
      <c r="P42" s="8">
        <f t="shared" si="12"/>
        <v>0</v>
      </c>
      <c r="Q42" s="1"/>
      <c r="R42" s="6">
        <f t="shared" si="13"/>
        <v>0</v>
      </c>
      <c r="S42" s="9" t="e">
        <f t="shared" si="14"/>
        <v>#DIV/0!</v>
      </c>
      <c r="T42" s="9">
        <f t="shared" si="15"/>
        <v>0</v>
      </c>
      <c r="U42" s="9" t="e">
        <f>R42 / _xlfn.XLOOKUP(A42, Jungle!A:A, Jungle!AA:AA)</f>
        <v>#DIV/0!</v>
      </c>
    </row>
    <row r="43" spans="14:21" x14ac:dyDescent="0.25">
      <c r="N43" s="6"/>
      <c r="O43" s="7"/>
      <c r="P43" s="8">
        <f t="shared" si="12"/>
        <v>0</v>
      </c>
      <c r="Q43" s="1"/>
      <c r="R43" s="6">
        <f t="shared" si="13"/>
        <v>0</v>
      </c>
      <c r="S43" s="9" t="e">
        <f t="shared" si="14"/>
        <v>#DIV/0!</v>
      </c>
      <c r="T43" s="9">
        <f t="shared" si="15"/>
        <v>0</v>
      </c>
      <c r="U43" s="9" t="e">
        <f>R43 / _xlfn.XLOOKUP(A43, Jungle!A:A, Jungle!AA:AA)</f>
        <v>#DIV/0!</v>
      </c>
    </row>
    <row r="44" spans="14:21" x14ac:dyDescent="0.25">
      <c r="N44" s="6"/>
      <c r="O44" s="7"/>
      <c r="P44" s="8">
        <f t="shared" si="12"/>
        <v>0</v>
      </c>
      <c r="Q44" s="1"/>
      <c r="R44" s="6">
        <f t="shared" si="13"/>
        <v>0</v>
      </c>
      <c r="S44" s="9" t="e">
        <f t="shared" si="14"/>
        <v>#DIV/0!</v>
      </c>
      <c r="T44" s="9">
        <f t="shared" si="15"/>
        <v>0</v>
      </c>
      <c r="U44" s="9" t="e">
        <f>R44 / _xlfn.XLOOKUP(A44, Jungle!A:A, Jungle!AA:AA)</f>
        <v>#DIV/0!</v>
      </c>
    </row>
    <row r="45" spans="14:21" x14ac:dyDescent="0.25">
      <c r="N45" s="6"/>
      <c r="O45" s="7"/>
      <c r="P45" s="8">
        <f t="shared" si="12"/>
        <v>0</v>
      </c>
      <c r="Q45" s="1"/>
      <c r="R45" s="6">
        <f t="shared" si="13"/>
        <v>0</v>
      </c>
      <c r="S45" s="9" t="e">
        <f t="shared" si="14"/>
        <v>#DIV/0!</v>
      </c>
      <c r="T45" s="9">
        <f t="shared" si="15"/>
        <v>0</v>
      </c>
      <c r="U45" s="9" t="e">
        <f>R45 / _xlfn.XLOOKUP(A45, Jungle!A:A, Jungle!AA:AA)</f>
        <v>#DIV/0!</v>
      </c>
    </row>
    <row r="46" spans="14:21" x14ac:dyDescent="0.25">
      <c r="N46" s="6"/>
      <c r="O46" s="7"/>
      <c r="P46" s="8">
        <f t="shared" si="12"/>
        <v>0</v>
      </c>
      <c r="Q46" s="1"/>
      <c r="R46" s="6">
        <f t="shared" si="13"/>
        <v>0</v>
      </c>
      <c r="S46" s="9" t="e">
        <f t="shared" si="14"/>
        <v>#DIV/0!</v>
      </c>
      <c r="T46" s="9">
        <f t="shared" si="15"/>
        <v>0</v>
      </c>
      <c r="U46" s="9" t="e">
        <f>R46 / _xlfn.XLOOKUP(A46, Jungle!A:A, Jungle!AA:AA)</f>
        <v>#DIV/0!</v>
      </c>
    </row>
    <row r="47" spans="14:21" x14ac:dyDescent="0.25">
      <c r="N47" s="6"/>
      <c r="O47" s="7"/>
      <c r="P47" s="8">
        <f t="shared" si="12"/>
        <v>0</v>
      </c>
      <c r="Q47" s="1"/>
      <c r="R47" s="6">
        <f t="shared" si="13"/>
        <v>0</v>
      </c>
      <c r="S47" s="9" t="e">
        <f t="shared" si="14"/>
        <v>#DIV/0!</v>
      </c>
      <c r="T47" s="9">
        <f t="shared" si="15"/>
        <v>0</v>
      </c>
      <c r="U47" s="9" t="e">
        <f>R47 / _xlfn.XLOOKUP(A47, Jungle!A:A, Jungle!AA:AA)</f>
        <v>#DIV/0!</v>
      </c>
    </row>
    <row r="48" spans="14:21" x14ac:dyDescent="0.25">
      <c r="N48" s="6"/>
      <c r="O48" s="7"/>
      <c r="P48" s="8">
        <f t="shared" si="12"/>
        <v>0</v>
      </c>
      <c r="Q48" s="1"/>
      <c r="R48" s="6">
        <f t="shared" si="13"/>
        <v>0</v>
      </c>
      <c r="S48" s="9" t="e">
        <f t="shared" si="14"/>
        <v>#DIV/0!</v>
      </c>
      <c r="T48" s="9">
        <f t="shared" si="15"/>
        <v>0</v>
      </c>
      <c r="U48" s="9" t="e">
        <f>R48 / _xlfn.XLOOKUP(A48, Jungle!A:A, Jungle!AA:AA)</f>
        <v>#DIV/0!</v>
      </c>
    </row>
  </sheetData>
  <sortState xmlns:xlrd2="http://schemas.microsoft.com/office/spreadsheetml/2017/richdata2" ref="A3:U26">
    <sortCondition descending="1" ref="S3:S26"/>
  </sortState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810B3-75D7-4E54-B434-1869FCB86D67}">
  <sheetPr>
    <tabColor theme="6" tint="0.59999389629810485"/>
  </sheetPr>
  <dimension ref="A1:W48"/>
  <sheetViews>
    <sheetView workbookViewId="0">
      <selection activeCell="U3" sqref="U3:U26"/>
    </sheetView>
  </sheetViews>
  <sheetFormatPr baseColWidth="10" defaultRowHeight="15" x14ac:dyDescent="0.25"/>
  <sheetData>
    <row r="1" spans="1:23" ht="15.75" x14ac:dyDescent="0.25">
      <c r="A1" s="2" t="s">
        <v>102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92</v>
      </c>
      <c r="B3" s="6"/>
      <c r="C3" s="7"/>
      <c r="D3" s="8">
        <f t="shared" ref="D3:D26" si="0">B3*C3</f>
        <v>0</v>
      </c>
      <c r="E3" s="6"/>
      <c r="F3" s="7"/>
      <c r="G3" s="8">
        <f t="shared" ref="G3:G26" si="1">E3*F3</f>
        <v>0</v>
      </c>
      <c r="H3" s="6"/>
      <c r="I3" s="7"/>
      <c r="J3" s="8">
        <f t="shared" ref="J3:J26" si="2">H3*I3</f>
        <v>0</v>
      </c>
      <c r="K3" s="6"/>
      <c r="L3" s="7"/>
      <c r="M3" s="8">
        <f t="shared" ref="M3:M26" si="3">K3*L3</f>
        <v>0</v>
      </c>
      <c r="N3" s="6"/>
      <c r="O3" s="7"/>
      <c r="P3" s="8">
        <f t="shared" ref="P3:P26" si="4">N3*O3</f>
        <v>0</v>
      </c>
      <c r="Q3" s="1"/>
      <c r="R3" s="6">
        <f t="shared" ref="R3:R26" si="5">B3+E3+H3+K3+N3</f>
        <v>0</v>
      </c>
      <c r="S3" s="9" t="e">
        <f t="shared" ref="S3:S26" si="6">(D3+G3+J3+M3+P3)/R3</f>
        <v>#DIV/0!</v>
      </c>
      <c r="T3" s="9">
        <f t="shared" ref="T3:T26" si="7">R3/$V$3</f>
        <v>0</v>
      </c>
      <c r="U3" s="9">
        <f>R3 / _xlfn.XLOOKUP(A3, Jungle!A:A, Jungle!AA:AA)</f>
        <v>0</v>
      </c>
      <c r="V3" s="11">
        <f>SUM(R3:R62)</f>
        <v>192</v>
      </c>
      <c r="W3" s="12">
        <f>(SUM(D3:D92)+SUM(G3:G92)+SUM(J3:J92)+SUM(M3:M92)+SUM(P3:P92)) / V3</f>
        <v>0.33334375000000005</v>
      </c>
    </row>
    <row r="4" spans="1:23" x14ac:dyDescent="0.25">
      <c r="A4" s="1" t="s">
        <v>72</v>
      </c>
      <c r="B4" s="6"/>
      <c r="C4" s="7"/>
      <c r="D4" s="8">
        <f t="shared" si="0"/>
        <v>0</v>
      </c>
      <c r="E4" s="6"/>
      <c r="F4" s="7"/>
      <c r="G4" s="8">
        <f t="shared" si="1"/>
        <v>0</v>
      </c>
      <c r="H4" s="6"/>
      <c r="I4" s="7"/>
      <c r="J4" s="8">
        <f t="shared" si="2"/>
        <v>0</v>
      </c>
      <c r="K4" s="6">
        <v>1</v>
      </c>
      <c r="L4" s="7">
        <v>1</v>
      </c>
      <c r="M4" s="8">
        <f t="shared" si="3"/>
        <v>1</v>
      </c>
      <c r="N4" s="6"/>
      <c r="O4" s="7"/>
      <c r="P4" s="8">
        <f t="shared" si="4"/>
        <v>0</v>
      </c>
      <c r="Q4" s="1"/>
      <c r="R4" s="6">
        <f t="shared" si="5"/>
        <v>1</v>
      </c>
      <c r="S4" s="9">
        <f t="shared" si="6"/>
        <v>1</v>
      </c>
      <c r="T4" s="9">
        <f t="shared" si="7"/>
        <v>5.208333333333333E-3</v>
      </c>
      <c r="U4" s="9">
        <f>R4 / _xlfn.XLOOKUP(A4, Jungle!A:A, Jungle!AA:AA)</f>
        <v>5.5248618784530384E-3</v>
      </c>
      <c r="V4" s="1"/>
      <c r="W4" s="1"/>
    </row>
    <row r="5" spans="1:23" x14ac:dyDescent="0.25">
      <c r="A5" s="1" t="s">
        <v>75</v>
      </c>
      <c r="B5" s="6">
        <v>3</v>
      </c>
      <c r="C5" s="7">
        <v>0.66700000000000004</v>
      </c>
      <c r="D5" s="8">
        <f t="shared" si="0"/>
        <v>2.0010000000000003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3</v>
      </c>
      <c r="S5" s="9">
        <f t="shared" si="6"/>
        <v>0.66700000000000015</v>
      </c>
      <c r="T5" s="9">
        <f t="shared" si="7"/>
        <v>1.5625E-2</v>
      </c>
      <c r="U5" s="9">
        <f>R5 / _xlfn.XLOOKUP(A5, Jungle!A:A, Jungle!AA:AA)</f>
        <v>4.9180327868852458E-2</v>
      </c>
      <c r="V5" s="1"/>
      <c r="W5" s="1"/>
    </row>
    <row r="6" spans="1:23" x14ac:dyDescent="0.25">
      <c r="A6" s="1" t="s">
        <v>83</v>
      </c>
      <c r="B6" s="6">
        <v>1</v>
      </c>
      <c r="C6" s="7">
        <v>0</v>
      </c>
      <c r="D6" s="8">
        <f t="shared" si="0"/>
        <v>0</v>
      </c>
      <c r="E6" s="6">
        <v>3</v>
      </c>
      <c r="F6" s="7">
        <v>1</v>
      </c>
      <c r="G6" s="8">
        <f t="shared" si="1"/>
        <v>3</v>
      </c>
      <c r="H6" s="6">
        <v>1</v>
      </c>
      <c r="I6" s="7">
        <v>0</v>
      </c>
      <c r="J6" s="8">
        <f t="shared" si="2"/>
        <v>0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1"/>
      <c r="R6" s="6">
        <f t="shared" si="5"/>
        <v>5</v>
      </c>
      <c r="S6" s="9">
        <f t="shared" si="6"/>
        <v>0.6</v>
      </c>
      <c r="T6" s="9">
        <f t="shared" si="7"/>
        <v>2.6041666666666668E-2</v>
      </c>
      <c r="U6" s="9">
        <f>R6 / _xlfn.XLOOKUP(A6, Jungle!A:A, Jungle!AA:AA)</f>
        <v>6.097560975609756E-2</v>
      </c>
      <c r="V6" s="1"/>
      <c r="W6" s="1"/>
    </row>
    <row r="7" spans="1:23" x14ac:dyDescent="0.25">
      <c r="A7" s="1" t="s">
        <v>95</v>
      </c>
      <c r="B7" s="6"/>
      <c r="C7" s="7"/>
      <c r="D7" s="8">
        <f t="shared" si="0"/>
        <v>0</v>
      </c>
      <c r="E7" s="6">
        <v>4</v>
      </c>
      <c r="F7" s="7">
        <v>0.75</v>
      </c>
      <c r="G7" s="8">
        <f t="shared" si="1"/>
        <v>3</v>
      </c>
      <c r="H7" s="6"/>
      <c r="I7" s="7"/>
      <c r="J7" s="8">
        <f t="shared" si="2"/>
        <v>0</v>
      </c>
      <c r="K7" s="6">
        <v>1</v>
      </c>
      <c r="L7" s="7">
        <v>0</v>
      </c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5</v>
      </c>
      <c r="S7" s="9">
        <f t="shared" si="6"/>
        <v>0.6</v>
      </c>
      <c r="T7" s="9">
        <f t="shared" si="7"/>
        <v>2.6041666666666668E-2</v>
      </c>
      <c r="U7" s="9">
        <f>R7 / _xlfn.XLOOKUP(A7, Jungle!A:A, Jungle!AA:AA)</f>
        <v>2.9940119760479042E-2</v>
      </c>
      <c r="V7" s="1"/>
      <c r="W7" s="1"/>
    </row>
    <row r="8" spans="1:23" x14ac:dyDescent="0.25">
      <c r="A8" s="1" t="s">
        <v>84</v>
      </c>
      <c r="B8" s="6">
        <v>2</v>
      </c>
      <c r="C8" s="7">
        <v>0.5</v>
      </c>
      <c r="D8" s="8">
        <f t="shared" si="0"/>
        <v>1</v>
      </c>
      <c r="E8" s="6"/>
      <c r="F8" s="7"/>
      <c r="G8" s="8">
        <f t="shared" si="1"/>
        <v>0</v>
      </c>
      <c r="H8" s="6"/>
      <c r="I8" s="7"/>
      <c r="J8" s="8">
        <f t="shared" si="2"/>
        <v>0</v>
      </c>
      <c r="K8" s="6"/>
      <c r="L8" s="7"/>
      <c r="M8" s="8">
        <f t="shared" si="3"/>
        <v>0</v>
      </c>
      <c r="N8" s="6"/>
      <c r="O8" s="7"/>
      <c r="P8" s="8">
        <f t="shared" si="4"/>
        <v>0</v>
      </c>
      <c r="Q8" s="1"/>
      <c r="R8" s="6">
        <f t="shared" si="5"/>
        <v>2</v>
      </c>
      <c r="S8" s="9">
        <f t="shared" si="6"/>
        <v>0.5</v>
      </c>
      <c r="T8" s="9">
        <f t="shared" si="7"/>
        <v>1.0416666666666666E-2</v>
      </c>
      <c r="U8" s="9">
        <f>R8 / _xlfn.XLOOKUP(A8, Jungle!A:A, Jungle!AA:AA)</f>
        <v>8.6956521739130432E-2</v>
      </c>
      <c r="V8" s="1"/>
      <c r="W8" s="1"/>
    </row>
    <row r="9" spans="1:23" x14ac:dyDescent="0.25">
      <c r="A9" s="1" t="s">
        <v>31</v>
      </c>
      <c r="B9" s="6">
        <v>14</v>
      </c>
      <c r="C9" s="7">
        <v>0.5</v>
      </c>
      <c r="D9" s="8">
        <f t="shared" si="0"/>
        <v>7</v>
      </c>
      <c r="E9" s="6">
        <v>10</v>
      </c>
      <c r="F9" s="7">
        <v>0.4</v>
      </c>
      <c r="G9" s="8">
        <f t="shared" si="1"/>
        <v>4</v>
      </c>
      <c r="H9" s="6">
        <v>1</v>
      </c>
      <c r="I9" s="7">
        <v>1</v>
      </c>
      <c r="J9" s="8">
        <f t="shared" si="2"/>
        <v>1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1"/>
      <c r="R9" s="6">
        <f t="shared" si="5"/>
        <v>25</v>
      </c>
      <c r="S9" s="9">
        <f t="shared" si="6"/>
        <v>0.48</v>
      </c>
      <c r="T9" s="9">
        <f t="shared" si="7"/>
        <v>0.13020833333333334</v>
      </c>
      <c r="U9" s="9">
        <f>R9 / _xlfn.XLOOKUP(A9, Jungle!A:A, Jungle!AA:AA)</f>
        <v>9.5419847328244281E-2</v>
      </c>
      <c r="V9" s="1"/>
      <c r="W9" s="1"/>
    </row>
    <row r="10" spans="1:23" x14ac:dyDescent="0.25">
      <c r="A10" s="1" t="s">
        <v>30</v>
      </c>
      <c r="B10" s="6"/>
      <c r="C10" s="7"/>
      <c r="D10" s="8">
        <f t="shared" si="0"/>
        <v>0</v>
      </c>
      <c r="E10" s="6">
        <v>12</v>
      </c>
      <c r="F10" s="7">
        <v>0.41699999999999998</v>
      </c>
      <c r="G10" s="8">
        <f t="shared" si="1"/>
        <v>5.0039999999999996</v>
      </c>
      <c r="H10" s="6">
        <v>1</v>
      </c>
      <c r="I10" s="7">
        <v>0</v>
      </c>
      <c r="J10" s="8">
        <f t="shared" si="2"/>
        <v>0</v>
      </c>
      <c r="K10" s="6">
        <v>3</v>
      </c>
      <c r="L10" s="7">
        <v>0.66700000000000004</v>
      </c>
      <c r="M10" s="8">
        <f t="shared" si="3"/>
        <v>2.0010000000000003</v>
      </c>
      <c r="N10" s="6"/>
      <c r="O10" s="7"/>
      <c r="P10" s="8">
        <f t="shared" si="4"/>
        <v>0</v>
      </c>
      <c r="Q10" s="4"/>
      <c r="R10" s="6">
        <f t="shared" si="5"/>
        <v>16</v>
      </c>
      <c r="S10" s="9">
        <f t="shared" si="6"/>
        <v>0.43781249999999999</v>
      </c>
      <c r="T10" s="9">
        <f t="shared" si="7"/>
        <v>8.3333333333333329E-2</v>
      </c>
      <c r="U10" s="9">
        <f>R10 / _xlfn.XLOOKUP(A10, Jungle!A:A, Jungle!AA:AA)</f>
        <v>3.9900249376558602E-2</v>
      </c>
      <c r="V10" s="1"/>
      <c r="W10" s="1"/>
    </row>
    <row r="11" spans="1:23" x14ac:dyDescent="0.25">
      <c r="A11" s="1" t="s">
        <v>70</v>
      </c>
      <c r="B11" s="6">
        <v>17</v>
      </c>
      <c r="C11" s="7">
        <v>0.47099999999999997</v>
      </c>
      <c r="D11" s="8">
        <f t="shared" si="0"/>
        <v>8.0069999999999997</v>
      </c>
      <c r="E11" s="6"/>
      <c r="F11" s="7"/>
      <c r="G11" s="8">
        <f t="shared" si="1"/>
        <v>0</v>
      </c>
      <c r="H11" s="6">
        <v>1</v>
      </c>
      <c r="I11" s="7">
        <v>0</v>
      </c>
      <c r="J11" s="8">
        <f t="shared" si="2"/>
        <v>0</v>
      </c>
      <c r="K11" s="6">
        <v>1</v>
      </c>
      <c r="L11" s="7">
        <v>0</v>
      </c>
      <c r="M11" s="8">
        <f t="shared" si="3"/>
        <v>0</v>
      </c>
      <c r="N11" s="6"/>
      <c r="O11" s="7"/>
      <c r="P11" s="8">
        <f t="shared" si="4"/>
        <v>0</v>
      </c>
      <c r="Q11" s="4"/>
      <c r="R11" s="6">
        <f t="shared" si="5"/>
        <v>19</v>
      </c>
      <c r="S11" s="9">
        <f t="shared" si="6"/>
        <v>0.42142105263157892</v>
      </c>
      <c r="T11" s="9">
        <f t="shared" si="7"/>
        <v>9.8958333333333329E-2</v>
      </c>
      <c r="U11" s="9">
        <f>R11 / _xlfn.XLOOKUP(A11, Jungle!A:A, Jungle!AA:AA)</f>
        <v>3.8229376257545272E-2</v>
      </c>
      <c r="V11" s="1"/>
      <c r="W11" s="1"/>
    </row>
    <row r="12" spans="1:23" x14ac:dyDescent="0.25">
      <c r="A12" s="1" t="s">
        <v>26</v>
      </c>
      <c r="B12" s="6"/>
      <c r="C12" s="7"/>
      <c r="D12" s="8">
        <f t="shared" si="0"/>
        <v>0</v>
      </c>
      <c r="E12" s="6">
        <v>17</v>
      </c>
      <c r="F12" s="7">
        <v>0.29399999999999998</v>
      </c>
      <c r="G12" s="8">
        <f t="shared" si="1"/>
        <v>4.9979999999999993</v>
      </c>
      <c r="H12" s="6">
        <v>2</v>
      </c>
      <c r="I12" s="7">
        <v>1</v>
      </c>
      <c r="J12" s="8">
        <f t="shared" si="2"/>
        <v>2</v>
      </c>
      <c r="K12" s="6">
        <v>1</v>
      </c>
      <c r="L12" s="7">
        <v>0</v>
      </c>
      <c r="M12" s="8">
        <f t="shared" si="3"/>
        <v>0</v>
      </c>
      <c r="N12" s="6"/>
      <c r="O12" s="7"/>
      <c r="P12" s="8">
        <f t="shared" si="4"/>
        <v>0</v>
      </c>
      <c r="Q12" s="1"/>
      <c r="R12" s="6">
        <f t="shared" si="5"/>
        <v>20</v>
      </c>
      <c r="S12" s="9">
        <f t="shared" si="6"/>
        <v>0.34989999999999999</v>
      </c>
      <c r="T12" s="9">
        <f t="shared" si="7"/>
        <v>0.10416666666666667</v>
      </c>
      <c r="U12" s="9">
        <f>R12 / _xlfn.XLOOKUP(A12, Jungle!A:A, Jungle!AA:AA)</f>
        <v>3.1496062992125984E-2</v>
      </c>
      <c r="V12" s="1"/>
      <c r="W12" s="1"/>
    </row>
    <row r="13" spans="1:23" x14ac:dyDescent="0.25">
      <c r="A13" s="1" t="s">
        <v>38</v>
      </c>
      <c r="B13" s="6"/>
      <c r="C13" s="7"/>
      <c r="D13" s="8">
        <f t="shared" si="0"/>
        <v>0</v>
      </c>
      <c r="E13" s="6">
        <v>1</v>
      </c>
      <c r="F13" s="7">
        <v>0</v>
      </c>
      <c r="G13" s="8">
        <f t="shared" si="1"/>
        <v>0</v>
      </c>
      <c r="H13" s="6">
        <v>2</v>
      </c>
      <c r="I13" s="7">
        <v>0.5</v>
      </c>
      <c r="J13" s="8">
        <f t="shared" si="2"/>
        <v>1</v>
      </c>
      <c r="K13" s="6"/>
      <c r="L13" s="7"/>
      <c r="M13" s="8">
        <f t="shared" si="3"/>
        <v>0</v>
      </c>
      <c r="N13" s="6"/>
      <c r="O13" s="7"/>
      <c r="P13" s="8">
        <f t="shared" si="4"/>
        <v>0</v>
      </c>
      <c r="Q13" s="13"/>
      <c r="R13" s="6">
        <f t="shared" si="5"/>
        <v>3</v>
      </c>
      <c r="S13" s="9">
        <f t="shared" si="6"/>
        <v>0.33333333333333331</v>
      </c>
      <c r="T13" s="9">
        <f t="shared" si="7"/>
        <v>1.5625E-2</v>
      </c>
      <c r="U13" s="9">
        <f>R13 / _xlfn.XLOOKUP(A13, Jungle!A:A, Jungle!AA:AA)</f>
        <v>0.2</v>
      </c>
      <c r="V13" s="1"/>
      <c r="W13" s="1"/>
    </row>
    <row r="14" spans="1:23" x14ac:dyDescent="0.25">
      <c r="A14" s="1" t="s">
        <v>81</v>
      </c>
      <c r="B14" s="6"/>
      <c r="C14" s="7"/>
      <c r="D14" s="8">
        <f t="shared" si="0"/>
        <v>0</v>
      </c>
      <c r="E14" s="6">
        <v>3</v>
      </c>
      <c r="F14" s="7">
        <v>0.33300000000000002</v>
      </c>
      <c r="G14" s="8">
        <f t="shared" si="1"/>
        <v>0.99900000000000011</v>
      </c>
      <c r="H14" s="6"/>
      <c r="I14" s="7"/>
      <c r="J14" s="8">
        <f t="shared" si="2"/>
        <v>0</v>
      </c>
      <c r="K14" s="6"/>
      <c r="L14" s="7"/>
      <c r="M14" s="8">
        <f t="shared" si="3"/>
        <v>0</v>
      </c>
      <c r="N14" s="6"/>
      <c r="O14" s="7"/>
      <c r="P14" s="8">
        <f t="shared" si="4"/>
        <v>0</v>
      </c>
      <c r="Q14" s="1"/>
      <c r="R14" s="6">
        <f t="shared" si="5"/>
        <v>3</v>
      </c>
      <c r="S14" s="9">
        <f t="shared" si="6"/>
        <v>0.33300000000000002</v>
      </c>
      <c r="T14" s="9">
        <f t="shared" si="7"/>
        <v>1.5625E-2</v>
      </c>
      <c r="U14" s="9">
        <f>R14 / _xlfn.XLOOKUP(A14, Jungle!A:A, Jungle!AA:AA)</f>
        <v>8.3333333333333329E-2</v>
      </c>
      <c r="V14" s="1"/>
      <c r="W14" s="1"/>
    </row>
    <row r="15" spans="1:23" x14ac:dyDescent="0.25">
      <c r="A15" s="1" t="s">
        <v>57</v>
      </c>
      <c r="B15" s="6">
        <v>15</v>
      </c>
      <c r="C15" s="7">
        <v>0.33300000000000002</v>
      </c>
      <c r="D15" s="8">
        <f t="shared" si="0"/>
        <v>4.9950000000000001</v>
      </c>
      <c r="E15" s="6">
        <v>10</v>
      </c>
      <c r="F15" s="7">
        <v>0.3</v>
      </c>
      <c r="G15" s="8">
        <f t="shared" si="1"/>
        <v>3</v>
      </c>
      <c r="H15" s="6">
        <v>2</v>
      </c>
      <c r="I15" s="7">
        <v>0</v>
      </c>
      <c r="J15" s="8">
        <f t="shared" si="2"/>
        <v>0</v>
      </c>
      <c r="K15" s="6"/>
      <c r="L15" s="7"/>
      <c r="M15" s="8">
        <f t="shared" si="3"/>
        <v>0</v>
      </c>
      <c r="N15" s="6"/>
      <c r="O15" s="7"/>
      <c r="P15" s="8">
        <f t="shared" si="4"/>
        <v>0</v>
      </c>
      <c r="Q15" s="1"/>
      <c r="R15" s="6">
        <f t="shared" si="5"/>
        <v>27</v>
      </c>
      <c r="S15" s="9">
        <f t="shared" si="6"/>
        <v>0.2961111111111111</v>
      </c>
      <c r="T15" s="9">
        <f t="shared" si="7"/>
        <v>0.140625</v>
      </c>
      <c r="U15" s="9">
        <f>R15 / _xlfn.XLOOKUP(A15, Jungle!A:A, Jungle!AA:AA)</f>
        <v>6.0674157303370786E-2</v>
      </c>
      <c r="V15" s="1"/>
      <c r="W15" s="1"/>
    </row>
    <row r="16" spans="1:23" x14ac:dyDescent="0.25">
      <c r="A16" s="1" t="s">
        <v>69</v>
      </c>
      <c r="B16" s="6">
        <v>9</v>
      </c>
      <c r="C16" s="7">
        <v>0.33300000000000002</v>
      </c>
      <c r="D16" s="8">
        <f t="shared" si="0"/>
        <v>2.9970000000000003</v>
      </c>
      <c r="E16" s="6">
        <v>3</v>
      </c>
      <c r="F16" s="7">
        <v>0</v>
      </c>
      <c r="G16" s="8">
        <f t="shared" si="1"/>
        <v>0</v>
      </c>
      <c r="H16" s="6"/>
      <c r="I16" s="7"/>
      <c r="J16" s="8">
        <f t="shared" si="2"/>
        <v>0</v>
      </c>
      <c r="K16" s="6"/>
      <c r="L16" s="7"/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12</v>
      </c>
      <c r="S16" s="9">
        <f t="shared" si="6"/>
        <v>0.24975000000000003</v>
      </c>
      <c r="T16" s="9">
        <f t="shared" si="7"/>
        <v>6.25E-2</v>
      </c>
      <c r="U16" s="9">
        <f>R16 / _xlfn.XLOOKUP(A16, Jungle!A:A, Jungle!AA:AA)</f>
        <v>2.6726057906458798E-2</v>
      </c>
      <c r="V16" s="1"/>
      <c r="W16" s="1"/>
    </row>
    <row r="17" spans="1:23" x14ac:dyDescent="0.25">
      <c r="A17" s="1" t="s">
        <v>73</v>
      </c>
      <c r="B17" s="6">
        <v>2</v>
      </c>
      <c r="C17" s="7">
        <v>0</v>
      </c>
      <c r="D17" s="8">
        <f t="shared" si="0"/>
        <v>0</v>
      </c>
      <c r="E17" s="6">
        <v>16</v>
      </c>
      <c r="F17" s="7">
        <v>0.25</v>
      </c>
      <c r="G17" s="8">
        <f t="shared" si="1"/>
        <v>4</v>
      </c>
      <c r="H17" s="6">
        <v>1</v>
      </c>
      <c r="I17" s="7">
        <v>0</v>
      </c>
      <c r="J17" s="8">
        <f t="shared" si="2"/>
        <v>0</v>
      </c>
      <c r="K17" s="6">
        <v>1</v>
      </c>
      <c r="L17" s="7">
        <v>0</v>
      </c>
      <c r="M17" s="8">
        <f t="shared" si="3"/>
        <v>0</v>
      </c>
      <c r="N17" s="6"/>
      <c r="O17" s="7"/>
      <c r="P17" s="8">
        <f t="shared" si="4"/>
        <v>0</v>
      </c>
      <c r="Q17" s="1"/>
      <c r="R17" s="6">
        <f t="shared" si="5"/>
        <v>20</v>
      </c>
      <c r="S17" s="9">
        <f t="shared" si="6"/>
        <v>0.2</v>
      </c>
      <c r="T17" s="9">
        <f t="shared" si="7"/>
        <v>0.10416666666666667</v>
      </c>
      <c r="U17" s="9">
        <f>R17 / _xlfn.XLOOKUP(A17, Jungle!A:A, Jungle!AA:AA)</f>
        <v>3.5971223021582732E-2</v>
      </c>
      <c r="V17" s="1"/>
      <c r="W17" s="1"/>
    </row>
    <row r="18" spans="1:23" x14ac:dyDescent="0.25">
      <c r="A18" s="1" t="s">
        <v>71</v>
      </c>
      <c r="B18" s="6">
        <v>15</v>
      </c>
      <c r="C18" s="7">
        <v>0.2</v>
      </c>
      <c r="D18" s="8">
        <f t="shared" si="0"/>
        <v>3</v>
      </c>
      <c r="E18" s="6">
        <v>6</v>
      </c>
      <c r="F18" s="7">
        <v>0</v>
      </c>
      <c r="G18" s="8">
        <f t="shared" si="1"/>
        <v>0</v>
      </c>
      <c r="H18" s="6"/>
      <c r="I18" s="7"/>
      <c r="J18" s="8">
        <f t="shared" si="2"/>
        <v>0</v>
      </c>
      <c r="K18" s="6"/>
      <c r="L18" s="7"/>
      <c r="M18" s="8">
        <f t="shared" si="3"/>
        <v>0</v>
      </c>
      <c r="N18" s="6"/>
      <c r="O18" s="7"/>
      <c r="P18" s="8">
        <f t="shared" si="4"/>
        <v>0</v>
      </c>
      <c r="Q18" s="4"/>
      <c r="R18" s="6">
        <f t="shared" si="5"/>
        <v>21</v>
      </c>
      <c r="S18" s="9">
        <f t="shared" si="6"/>
        <v>0.14285714285714285</v>
      </c>
      <c r="T18" s="9">
        <f t="shared" si="7"/>
        <v>0.109375</v>
      </c>
      <c r="U18" s="9">
        <f>R18 / _xlfn.XLOOKUP(A18, Jungle!A:A, Jungle!AA:AA)</f>
        <v>3.7906137184115521E-2</v>
      </c>
      <c r="V18" s="1"/>
      <c r="W18" s="1"/>
    </row>
    <row r="19" spans="1:23" x14ac:dyDescent="0.25">
      <c r="A19" s="1" t="s">
        <v>28</v>
      </c>
      <c r="B19" s="6">
        <v>2</v>
      </c>
      <c r="C19" s="7">
        <v>0</v>
      </c>
      <c r="D19" s="8">
        <f t="shared" si="0"/>
        <v>0</v>
      </c>
      <c r="E19" s="6"/>
      <c r="F19" s="7"/>
      <c r="G19" s="8">
        <f t="shared" si="1"/>
        <v>0</v>
      </c>
      <c r="H19" s="6"/>
      <c r="I19" s="7"/>
      <c r="J19" s="8">
        <f t="shared" si="2"/>
        <v>0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1"/>
      <c r="R19" s="6">
        <f t="shared" si="5"/>
        <v>2</v>
      </c>
      <c r="S19" s="9">
        <f t="shared" si="6"/>
        <v>0</v>
      </c>
      <c r="T19" s="9">
        <f t="shared" si="7"/>
        <v>1.0416666666666666E-2</v>
      </c>
      <c r="U19" s="9">
        <f>R19 / _xlfn.XLOOKUP(A19, Jungle!A:A, Jungle!AA:AA)</f>
        <v>2.8571428571428571E-2</v>
      </c>
      <c r="V19" s="1"/>
      <c r="W19" s="1"/>
    </row>
    <row r="20" spans="1:23" x14ac:dyDescent="0.25">
      <c r="A20" s="1" t="s">
        <v>82</v>
      </c>
      <c r="B20" s="6"/>
      <c r="C20" s="7"/>
      <c r="D20" s="8">
        <f t="shared" si="0"/>
        <v>0</v>
      </c>
      <c r="E20" s="6">
        <v>1</v>
      </c>
      <c r="F20" s="7">
        <v>0</v>
      </c>
      <c r="G20" s="8">
        <f t="shared" si="1"/>
        <v>0</v>
      </c>
      <c r="H20" s="6"/>
      <c r="I20" s="7"/>
      <c r="J20" s="8">
        <f t="shared" si="2"/>
        <v>0</v>
      </c>
      <c r="K20" s="6">
        <v>1</v>
      </c>
      <c r="L20" s="7">
        <v>0</v>
      </c>
      <c r="M20" s="8">
        <f t="shared" si="3"/>
        <v>0</v>
      </c>
      <c r="N20" s="6"/>
      <c r="O20" s="7"/>
      <c r="P20" s="8">
        <f t="shared" si="4"/>
        <v>0</v>
      </c>
      <c r="Q20" s="4"/>
      <c r="R20" s="6">
        <f t="shared" si="5"/>
        <v>2</v>
      </c>
      <c r="S20" s="9">
        <f t="shared" si="6"/>
        <v>0</v>
      </c>
      <c r="T20" s="9">
        <f t="shared" si="7"/>
        <v>1.0416666666666666E-2</v>
      </c>
      <c r="U20" s="9">
        <f>R20 / _xlfn.XLOOKUP(A20, Jungle!A:A, Jungle!AA:AA)</f>
        <v>3.1746031746031744E-2</v>
      </c>
      <c r="V20" s="1"/>
      <c r="W20" s="1"/>
    </row>
    <row r="21" spans="1:23" x14ac:dyDescent="0.25">
      <c r="A21" s="1" t="s">
        <v>45</v>
      </c>
      <c r="B21" s="6">
        <v>1</v>
      </c>
      <c r="C21" s="7">
        <v>0</v>
      </c>
      <c r="D21" s="8">
        <f t="shared" si="0"/>
        <v>0</v>
      </c>
      <c r="E21" s="6"/>
      <c r="F21" s="7"/>
      <c r="G21" s="8">
        <f t="shared" si="1"/>
        <v>0</v>
      </c>
      <c r="H21" s="6"/>
      <c r="I21" s="7"/>
      <c r="J21" s="8">
        <f t="shared" si="2"/>
        <v>0</v>
      </c>
      <c r="K21" s="6"/>
      <c r="L21" s="7"/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1</v>
      </c>
      <c r="S21" s="9">
        <f t="shared" si="6"/>
        <v>0</v>
      </c>
      <c r="T21" s="9">
        <f t="shared" si="7"/>
        <v>5.208333333333333E-3</v>
      </c>
      <c r="U21" s="9">
        <f>R21 / _xlfn.XLOOKUP(A21, Jungle!A:A, Jungle!AA:AA)</f>
        <v>4.1493775933609959E-3</v>
      </c>
      <c r="V21" s="1"/>
      <c r="W21" s="1"/>
    </row>
    <row r="22" spans="1:23" x14ac:dyDescent="0.25">
      <c r="A22" s="1" t="s">
        <v>91</v>
      </c>
      <c r="B22" s="6"/>
      <c r="C22" s="7"/>
      <c r="D22" s="8">
        <f t="shared" si="0"/>
        <v>0</v>
      </c>
      <c r="E22" s="6">
        <v>1</v>
      </c>
      <c r="F22" s="7">
        <v>0</v>
      </c>
      <c r="G22" s="8">
        <f t="shared" si="1"/>
        <v>0</v>
      </c>
      <c r="H22" s="6"/>
      <c r="I22" s="7"/>
      <c r="J22" s="8">
        <f t="shared" si="2"/>
        <v>0</v>
      </c>
      <c r="K22" s="6"/>
      <c r="L22" s="7"/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1</v>
      </c>
      <c r="S22" s="9">
        <f t="shared" si="6"/>
        <v>0</v>
      </c>
      <c r="T22" s="9">
        <f t="shared" si="7"/>
        <v>5.208333333333333E-3</v>
      </c>
      <c r="U22" s="9">
        <f>R22 / _xlfn.XLOOKUP(A22, Jungle!A:A, Jungle!AA:AA)</f>
        <v>0.25</v>
      </c>
      <c r="V22" s="1"/>
      <c r="W22" s="1"/>
    </row>
    <row r="23" spans="1:23" x14ac:dyDescent="0.25">
      <c r="A23" s="1" t="s">
        <v>77</v>
      </c>
      <c r="B23" s="6"/>
      <c r="C23" s="7"/>
      <c r="D23" s="8">
        <f t="shared" si="0"/>
        <v>0</v>
      </c>
      <c r="E23" s="6"/>
      <c r="F23" s="7"/>
      <c r="G23" s="8">
        <f t="shared" si="1"/>
        <v>0</v>
      </c>
      <c r="H23" s="6"/>
      <c r="I23" s="7"/>
      <c r="J23" s="8">
        <f t="shared" si="2"/>
        <v>0</v>
      </c>
      <c r="K23" s="6">
        <v>1</v>
      </c>
      <c r="L23" s="7">
        <v>0</v>
      </c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1</v>
      </c>
      <c r="S23" s="9">
        <f t="shared" si="6"/>
        <v>0</v>
      </c>
      <c r="T23" s="9">
        <f t="shared" si="7"/>
        <v>5.208333333333333E-3</v>
      </c>
      <c r="U23" s="9">
        <f>R23 / _xlfn.XLOOKUP(A23, Jungle!A:A, Jungle!AA:AA)</f>
        <v>7.2992700729927005E-3</v>
      </c>
      <c r="V23" s="1"/>
      <c r="W23" s="1"/>
    </row>
    <row r="24" spans="1:23" x14ac:dyDescent="0.25">
      <c r="A24" s="1" t="s">
        <v>80</v>
      </c>
      <c r="B24" s="6"/>
      <c r="C24" s="7"/>
      <c r="D24" s="8">
        <f t="shared" si="0"/>
        <v>0</v>
      </c>
      <c r="E24" s="6">
        <v>1</v>
      </c>
      <c r="F24" s="7">
        <v>0</v>
      </c>
      <c r="G24" s="8">
        <f t="shared" si="1"/>
        <v>0</v>
      </c>
      <c r="H24" s="6"/>
      <c r="I24" s="7"/>
      <c r="J24" s="8">
        <f t="shared" si="2"/>
        <v>0</v>
      </c>
      <c r="K24" s="6"/>
      <c r="L24" s="7"/>
      <c r="M24" s="8">
        <f t="shared" si="3"/>
        <v>0</v>
      </c>
      <c r="N24" s="6"/>
      <c r="O24" s="7"/>
      <c r="P24" s="8">
        <f t="shared" si="4"/>
        <v>0</v>
      </c>
      <c r="Q24" s="1"/>
      <c r="R24" s="6">
        <f t="shared" si="5"/>
        <v>1</v>
      </c>
      <c r="S24" s="9">
        <f t="shared" si="6"/>
        <v>0</v>
      </c>
      <c r="T24" s="9">
        <f t="shared" si="7"/>
        <v>5.208333333333333E-3</v>
      </c>
      <c r="U24" s="9">
        <f>R24 / _xlfn.XLOOKUP(A24, Jungle!A:A, Jungle!AA:AA)</f>
        <v>1.0869565217391304E-2</v>
      </c>
      <c r="V24" s="1"/>
      <c r="W24" s="1"/>
    </row>
    <row r="25" spans="1:23" x14ac:dyDescent="0.25">
      <c r="A25" s="1" t="s">
        <v>58</v>
      </c>
      <c r="B25" s="6">
        <v>1</v>
      </c>
      <c r="C25" s="7">
        <v>0</v>
      </c>
      <c r="D25" s="8">
        <f t="shared" si="0"/>
        <v>0</v>
      </c>
      <c r="E25" s="6"/>
      <c r="F25" s="7"/>
      <c r="G25" s="8">
        <f t="shared" si="1"/>
        <v>0</v>
      </c>
      <c r="H25" s="6"/>
      <c r="I25" s="7"/>
      <c r="J25" s="8">
        <f t="shared" si="2"/>
        <v>0</v>
      </c>
      <c r="K25" s="6"/>
      <c r="L25" s="7"/>
      <c r="M25" s="8">
        <f t="shared" si="3"/>
        <v>0</v>
      </c>
      <c r="N25" s="6"/>
      <c r="O25" s="7"/>
      <c r="P25" s="8">
        <f t="shared" si="4"/>
        <v>0</v>
      </c>
      <c r="Q25" s="1"/>
      <c r="R25" s="6">
        <f t="shared" si="5"/>
        <v>1</v>
      </c>
      <c r="S25" s="9">
        <f t="shared" si="6"/>
        <v>0</v>
      </c>
      <c r="T25" s="9">
        <f t="shared" si="7"/>
        <v>5.208333333333333E-3</v>
      </c>
      <c r="U25" s="9">
        <f>R25 / _xlfn.XLOOKUP(A25, Jungle!A:A, Jungle!AA:AA)</f>
        <v>2.1739130434782608E-2</v>
      </c>
      <c r="V25" s="1"/>
      <c r="W25" s="1"/>
    </row>
    <row r="26" spans="1:23" x14ac:dyDescent="0.25">
      <c r="A26" s="1" t="s">
        <v>10</v>
      </c>
      <c r="B26" s="6"/>
      <c r="C26" s="7"/>
      <c r="D26" s="8">
        <f t="shared" si="0"/>
        <v>0</v>
      </c>
      <c r="E26" s="6">
        <v>1</v>
      </c>
      <c r="F26" s="7">
        <v>0</v>
      </c>
      <c r="G26" s="8">
        <f t="shared" si="1"/>
        <v>0</v>
      </c>
      <c r="H26" s="6"/>
      <c r="I26" s="7"/>
      <c r="J26" s="8">
        <f t="shared" si="2"/>
        <v>0</v>
      </c>
      <c r="K26" s="6"/>
      <c r="L26" s="7"/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1</v>
      </c>
      <c r="S26" s="9">
        <f t="shared" si="6"/>
        <v>0</v>
      </c>
      <c r="T26" s="9">
        <f t="shared" si="7"/>
        <v>5.208333333333333E-3</v>
      </c>
      <c r="U26" s="9">
        <f>R26 / _xlfn.XLOOKUP(A26, Jungle!A:A, Jungle!AA:AA)</f>
        <v>0.125</v>
      </c>
      <c r="V26" s="1"/>
      <c r="W26" s="1"/>
    </row>
    <row r="27" spans="1:23" x14ac:dyDescent="0.25">
      <c r="N27" s="6"/>
      <c r="O27" s="7"/>
      <c r="P27" s="8">
        <f t="shared" ref="P27:P48" si="8">N27*O27</f>
        <v>0</v>
      </c>
      <c r="Q27" s="1"/>
      <c r="R27" s="6">
        <f t="shared" ref="R27:R48" si="9">B27+E27+H27+K27+N27</f>
        <v>0</v>
      </c>
      <c r="S27" s="9" t="e">
        <f t="shared" ref="S27:S48" si="10">(D27+G27+J27+M27+P27)/R27</f>
        <v>#DIV/0!</v>
      </c>
      <c r="T27" s="9">
        <f t="shared" ref="T27:T48" si="11">R27/$V$3</f>
        <v>0</v>
      </c>
      <c r="U27" s="9" t="e">
        <f>R27 / _xlfn.XLOOKUP(A27, Jungle!A:A, Jungle!AA:AA)</f>
        <v>#DIV/0!</v>
      </c>
      <c r="V27" s="1"/>
      <c r="W27" s="1"/>
    </row>
    <row r="28" spans="1:23" x14ac:dyDescent="0.25">
      <c r="N28" s="6"/>
      <c r="O28" s="7"/>
      <c r="P28" s="8">
        <f t="shared" si="8"/>
        <v>0</v>
      </c>
      <c r="Q28" s="1"/>
      <c r="R28" s="6">
        <f t="shared" si="9"/>
        <v>0</v>
      </c>
      <c r="S28" s="9" t="e">
        <f t="shared" si="10"/>
        <v>#DIV/0!</v>
      </c>
      <c r="T28" s="9">
        <f t="shared" si="11"/>
        <v>0</v>
      </c>
      <c r="U28" s="9" t="e">
        <f>R28 / _xlfn.XLOOKUP(A28, Jungle!A:A, Jungle!AA:AA)</f>
        <v>#DIV/0!</v>
      </c>
      <c r="V28" s="1"/>
      <c r="W28" s="1"/>
    </row>
    <row r="29" spans="1:23" x14ac:dyDescent="0.25">
      <c r="N29" s="6"/>
      <c r="O29" s="7"/>
      <c r="P29" s="8">
        <f t="shared" si="8"/>
        <v>0</v>
      </c>
      <c r="Q29" s="1"/>
      <c r="R29" s="6">
        <f t="shared" si="9"/>
        <v>0</v>
      </c>
      <c r="S29" s="9" t="e">
        <f t="shared" si="10"/>
        <v>#DIV/0!</v>
      </c>
      <c r="T29" s="9">
        <f t="shared" si="11"/>
        <v>0</v>
      </c>
      <c r="U29" s="9" t="e">
        <f>R29 / _xlfn.XLOOKUP(A29, Jungle!A:A, Jungle!AA:AA)</f>
        <v>#DIV/0!</v>
      </c>
      <c r="V29" s="1"/>
      <c r="W29" s="1"/>
    </row>
    <row r="30" spans="1:23" x14ac:dyDescent="0.25">
      <c r="N30" s="6"/>
      <c r="O30" s="7"/>
      <c r="P30" s="8">
        <f t="shared" si="8"/>
        <v>0</v>
      </c>
      <c r="Q30" s="1"/>
      <c r="R30" s="6">
        <f t="shared" si="9"/>
        <v>0</v>
      </c>
      <c r="S30" s="9" t="e">
        <f t="shared" si="10"/>
        <v>#DIV/0!</v>
      </c>
      <c r="T30" s="9">
        <f t="shared" si="11"/>
        <v>0</v>
      </c>
      <c r="U30" s="9" t="e">
        <f>R30 / _xlfn.XLOOKUP(A30, Jungle!A:A, Jungle!AA:AA)</f>
        <v>#DIV/0!</v>
      </c>
      <c r="V30" s="1"/>
      <c r="W30" s="1"/>
    </row>
    <row r="31" spans="1:23" x14ac:dyDescent="0.25">
      <c r="N31" s="6"/>
      <c r="O31" s="7"/>
      <c r="P31" s="8">
        <f t="shared" si="8"/>
        <v>0</v>
      </c>
      <c r="Q31" s="1"/>
      <c r="R31" s="6">
        <f t="shared" si="9"/>
        <v>0</v>
      </c>
      <c r="S31" s="9" t="e">
        <f t="shared" si="10"/>
        <v>#DIV/0!</v>
      </c>
      <c r="T31" s="9">
        <f t="shared" si="11"/>
        <v>0</v>
      </c>
      <c r="U31" s="9" t="e">
        <f>R31 / _xlfn.XLOOKUP(A31, Jungle!A:A, Jungle!AA:AA)</f>
        <v>#DIV/0!</v>
      </c>
      <c r="V31" s="1"/>
      <c r="W31" s="1"/>
    </row>
    <row r="32" spans="1:23" x14ac:dyDescent="0.25">
      <c r="N32" s="6"/>
      <c r="O32" s="7"/>
      <c r="P32" s="8">
        <f t="shared" si="8"/>
        <v>0</v>
      </c>
      <c r="Q32" s="1"/>
      <c r="R32" s="6">
        <f t="shared" si="9"/>
        <v>0</v>
      </c>
      <c r="S32" s="9" t="e">
        <f t="shared" si="10"/>
        <v>#DIV/0!</v>
      </c>
      <c r="T32" s="9">
        <f t="shared" si="11"/>
        <v>0</v>
      </c>
      <c r="U32" s="9" t="e">
        <f>R32 / _xlfn.XLOOKUP(A32, Jungle!A:A, Jungle!AA:AA)</f>
        <v>#DIV/0!</v>
      </c>
    </row>
    <row r="33" spans="14:21" x14ac:dyDescent="0.25">
      <c r="N33" s="6"/>
      <c r="O33" s="7"/>
      <c r="P33" s="8">
        <f t="shared" si="8"/>
        <v>0</v>
      </c>
      <c r="Q33" s="1"/>
      <c r="R33" s="6">
        <f t="shared" si="9"/>
        <v>0</v>
      </c>
      <c r="S33" s="9" t="e">
        <f t="shared" si="10"/>
        <v>#DIV/0!</v>
      </c>
      <c r="T33" s="9">
        <f t="shared" si="11"/>
        <v>0</v>
      </c>
      <c r="U33" s="9" t="e">
        <f>R33 / _xlfn.XLOOKUP(A33, Jungle!A:A, Jungle!AA:AA)</f>
        <v>#DIV/0!</v>
      </c>
    </row>
    <row r="34" spans="14:21" x14ac:dyDescent="0.25">
      <c r="N34" s="6"/>
      <c r="O34" s="7"/>
      <c r="P34" s="8">
        <f t="shared" si="8"/>
        <v>0</v>
      </c>
      <c r="Q34" s="1"/>
      <c r="R34" s="6">
        <f t="shared" si="9"/>
        <v>0</v>
      </c>
      <c r="S34" s="9" t="e">
        <f t="shared" si="10"/>
        <v>#DIV/0!</v>
      </c>
      <c r="T34" s="9">
        <f t="shared" si="11"/>
        <v>0</v>
      </c>
      <c r="U34" s="9" t="e">
        <f>R34 / _xlfn.XLOOKUP(A34, Jungle!A:A, Jungle!AA:AA)</f>
        <v>#DIV/0!</v>
      </c>
    </row>
    <row r="35" spans="14:21" x14ac:dyDescent="0.25">
      <c r="N35" s="6"/>
      <c r="O35" s="7"/>
      <c r="P35" s="8">
        <f t="shared" si="8"/>
        <v>0</v>
      </c>
      <c r="Q35" s="1"/>
      <c r="R35" s="6">
        <f t="shared" si="9"/>
        <v>0</v>
      </c>
      <c r="S35" s="9" t="e">
        <f t="shared" si="10"/>
        <v>#DIV/0!</v>
      </c>
      <c r="T35" s="9">
        <f t="shared" si="11"/>
        <v>0</v>
      </c>
      <c r="U35" s="9" t="e">
        <f>R35 / _xlfn.XLOOKUP(A35, Jungle!A:A, Jungle!AA:AA)</f>
        <v>#DIV/0!</v>
      </c>
    </row>
    <row r="36" spans="14:21" x14ac:dyDescent="0.25">
      <c r="N36" s="6"/>
      <c r="O36" s="7"/>
      <c r="P36" s="8">
        <f t="shared" si="8"/>
        <v>0</v>
      </c>
      <c r="Q36" s="1"/>
      <c r="R36" s="6">
        <f t="shared" si="9"/>
        <v>0</v>
      </c>
      <c r="S36" s="9" t="e">
        <f t="shared" si="10"/>
        <v>#DIV/0!</v>
      </c>
      <c r="T36" s="9">
        <f t="shared" si="11"/>
        <v>0</v>
      </c>
      <c r="U36" s="9" t="e">
        <f>R36 / _xlfn.XLOOKUP(A36, Jungle!A:A, Jungle!AA:AA)</f>
        <v>#DIV/0!</v>
      </c>
    </row>
    <row r="37" spans="14:21" x14ac:dyDescent="0.25">
      <c r="N37" s="6"/>
      <c r="O37" s="7"/>
      <c r="P37" s="8">
        <f t="shared" si="8"/>
        <v>0</v>
      </c>
      <c r="Q37" s="1"/>
      <c r="R37" s="6">
        <f t="shared" si="9"/>
        <v>0</v>
      </c>
      <c r="S37" s="9" t="e">
        <f t="shared" si="10"/>
        <v>#DIV/0!</v>
      </c>
      <c r="T37" s="9">
        <f t="shared" si="11"/>
        <v>0</v>
      </c>
      <c r="U37" s="9" t="e">
        <f>R37 / _xlfn.XLOOKUP(A37, Jungle!A:A, Jungle!AA:AA)</f>
        <v>#DIV/0!</v>
      </c>
    </row>
    <row r="38" spans="14:21" x14ac:dyDescent="0.25">
      <c r="N38" s="6"/>
      <c r="O38" s="7"/>
      <c r="P38" s="8">
        <f t="shared" si="8"/>
        <v>0</v>
      </c>
      <c r="Q38" s="1"/>
      <c r="R38" s="6">
        <f t="shared" si="9"/>
        <v>0</v>
      </c>
      <c r="S38" s="9" t="e">
        <f t="shared" si="10"/>
        <v>#DIV/0!</v>
      </c>
      <c r="T38" s="9">
        <f t="shared" si="11"/>
        <v>0</v>
      </c>
      <c r="U38" s="9" t="e">
        <f>R38 / _xlfn.XLOOKUP(A38, Jungle!A:A, Jungle!AA:AA)</f>
        <v>#DIV/0!</v>
      </c>
    </row>
    <row r="39" spans="14:21" x14ac:dyDescent="0.25">
      <c r="N39" s="6"/>
      <c r="O39" s="7"/>
      <c r="P39" s="8">
        <f t="shared" si="8"/>
        <v>0</v>
      </c>
      <c r="Q39" s="1"/>
      <c r="R39" s="6">
        <f t="shared" si="9"/>
        <v>0</v>
      </c>
      <c r="S39" s="9" t="e">
        <f t="shared" si="10"/>
        <v>#DIV/0!</v>
      </c>
      <c r="T39" s="9">
        <f t="shared" si="11"/>
        <v>0</v>
      </c>
      <c r="U39" s="9" t="e">
        <f>R39 / _xlfn.XLOOKUP(A39, Jungle!A:A, Jungle!AA:AA)</f>
        <v>#DIV/0!</v>
      </c>
    </row>
    <row r="40" spans="14:21" x14ac:dyDescent="0.25">
      <c r="N40" s="6"/>
      <c r="O40" s="7"/>
      <c r="P40" s="8">
        <f t="shared" si="8"/>
        <v>0</v>
      </c>
      <c r="Q40" s="1"/>
      <c r="R40" s="6">
        <f t="shared" si="9"/>
        <v>0</v>
      </c>
      <c r="S40" s="9" t="e">
        <f t="shared" si="10"/>
        <v>#DIV/0!</v>
      </c>
      <c r="T40" s="9">
        <f t="shared" si="11"/>
        <v>0</v>
      </c>
      <c r="U40" s="9" t="e">
        <f>R40 / _xlfn.XLOOKUP(A40, Jungle!A:A, Jungle!AA:AA)</f>
        <v>#DIV/0!</v>
      </c>
    </row>
    <row r="41" spans="14:21" x14ac:dyDescent="0.25">
      <c r="N41" s="6"/>
      <c r="O41" s="7"/>
      <c r="P41" s="8">
        <f t="shared" si="8"/>
        <v>0</v>
      </c>
      <c r="Q41" s="1"/>
      <c r="R41" s="6">
        <f t="shared" si="9"/>
        <v>0</v>
      </c>
      <c r="S41" s="9" t="e">
        <f t="shared" si="10"/>
        <v>#DIV/0!</v>
      </c>
      <c r="T41" s="9">
        <f t="shared" si="11"/>
        <v>0</v>
      </c>
      <c r="U41" s="9" t="e">
        <f>R41 / _xlfn.XLOOKUP(A41, Jungle!A:A, Jungle!AA:AA)</f>
        <v>#DIV/0!</v>
      </c>
    </row>
    <row r="42" spans="14:21" x14ac:dyDescent="0.25">
      <c r="N42" s="6"/>
      <c r="O42" s="7"/>
      <c r="P42" s="8">
        <f t="shared" si="8"/>
        <v>0</v>
      </c>
      <c r="Q42" s="1"/>
      <c r="R42" s="6">
        <f t="shared" si="9"/>
        <v>0</v>
      </c>
      <c r="S42" s="9" t="e">
        <f t="shared" si="10"/>
        <v>#DIV/0!</v>
      </c>
      <c r="T42" s="9">
        <f t="shared" si="11"/>
        <v>0</v>
      </c>
      <c r="U42" s="9" t="e">
        <f>R42 / _xlfn.XLOOKUP(A42, Jungle!A:A, Jungle!AA:AA)</f>
        <v>#DIV/0!</v>
      </c>
    </row>
    <row r="43" spans="14:21" x14ac:dyDescent="0.25">
      <c r="N43" s="6"/>
      <c r="O43" s="7"/>
      <c r="P43" s="8">
        <f t="shared" si="8"/>
        <v>0</v>
      </c>
      <c r="Q43" s="1"/>
      <c r="R43" s="6">
        <f t="shared" si="9"/>
        <v>0</v>
      </c>
      <c r="S43" s="9" t="e">
        <f t="shared" si="10"/>
        <v>#DIV/0!</v>
      </c>
      <c r="T43" s="9">
        <f t="shared" si="11"/>
        <v>0</v>
      </c>
      <c r="U43" s="9" t="e">
        <f>R43 / _xlfn.XLOOKUP(A43, Jungle!A:A, Jungle!AA:AA)</f>
        <v>#DIV/0!</v>
      </c>
    </row>
    <row r="44" spans="14:21" x14ac:dyDescent="0.25">
      <c r="N44" s="6"/>
      <c r="O44" s="7"/>
      <c r="P44" s="8">
        <f t="shared" si="8"/>
        <v>0</v>
      </c>
      <c r="Q44" s="1"/>
      <c r="R44" s="6">
        <f t="shared" si="9"/>
        <v>0</v>
      </c>
      <c r="S44" s="9" t="e">
        <f t="shared" si="10"/>
        <v>#DIV/0!</v>
      </c>
      <c r="T44" s="9">
        <f t="shared" si="11"/>
        <v>0</v>
      </c>
      <c r="U44" s="9" t="e">
        <f>R44 / _xlfn.XLOOKUP(A44, Jungle!A:A, Jungle!AA:AA)</f>
        <v>#DIV/0!</v>
      </c>
    </row>
    <row r="45" spans="14:21" x14ac:dyDescent="0.25">
      <c r="N45" s="6"/>
      <c r="O45" s="7"/>
      <c r="P45" s="8">
        <f t="shared" si="8"/>
        <v>0</v>
      </c>
      <c r="Q45" s="1"/>
      <c r="R45" s="6">
        <f t="shared" si="9"/>
        <v>0</v>
      </c>
      <c r="S45" s="9" t="e">
        <f t="shared" si="10"/>
        <v>#DIV/0!</v>
      </c>
      <c r="T45" s="9">
        <f t="shared" si="11"/>
        <v>0</v>
      </c>
      <c r="U45" s="9" t="e">
        <f>R45 / _xlfn.XLOOKUP(A45, Jungle!A:A, Jungle!AA:AA)</f>
        <v>#DIV/0!</v>
      </c>
    </row>
    <row r="46" spans="14:21" x14ac:dyDescent="0.25">
      <c r="N46" s="6"/>
      <c r="O46" s="7"/>
      <c r="P46" s="8">
        <f t="shared" si="8"/>
        <v>0</v>
      </c>
      <c r="Q46" s="1"/>
      <c r="R46" s="6">
        <f t="shared" si="9"/>
        <v>0</v>
      </c>
      <c r="S46" s="9" t="e">
        <f t="shared" si="10"/>
        <v>#DIV/0!</v>
      </c>
      <c r="T46" s="9">
        <f t="shared" si="11"/>
        <v>0</v>
      </c>
      <c r="U46" s="9" t="e">
        <f>R46 / _xlfn.XLOOKUP(A46, Jungle!A:A, Jungle!AA:AA)</f>
        <v>#DIV/0!</v>
      </c>
    </row>
    <row r="47" spans="14:21" x14ac:dyDescent="0.25">
      <c r="N47" s="6"/>
      <c r="O47" s="7"/>
      <c r="P47" s="8">
        <f t="shared" si="8"/>
        <v>0</v>
      </c>
      <c r="Q47" s="1"/>
      <c r="R47" s="6">
        <f t="shared" si="9"/>
        <v>0</v>
      </c>
      <c r="S47" s="9" t="e">
        <f t="shared" si="10"/>
        <v>#DIV/0!</v>
      </c>
      <c r="T47" s="9">
        <f t="shared" si="11"/>
        <v>0</v>
      </c>
      <c r="U47" s="9" t="e">
        <f>R47 / _xlfn.XLOOKUP(A47, Jungle!A:A, Jungle!AA:AA)</f>
        <v>#DIV/0!</v>
      </c>
    </row>
    <row r="48" spans="14:21" x14ac:dyDescent="0.25">
      <c r="N48" s="6"/>
      <c r="O48" s="7"/>
      <c r="P48" s="8">
        <f t="shared" si="8"/>
        <v>0</v>
      </c>
      <c r="Q48" s="1"/>
      <c r="R48" s="6">
        <f t="shared" si="9"/>
        <v>0</v>
      </c>
      <c r="S48" s="9" t="e">
        <f t="shared" si="10"/>
        <v>#DIV/0!</v>
      </c>
      <c r="T48" s="9">
        <f t="shared" si="11"/>
        <v>0</v>
      </c>
      <c r="U48" s="9" t="e">
        <f>R48 / _xlfn.XLOOKUP(A48, Jungle!A:A, Jungle!AA:AA)</f>
        <v>#DIV/0!</v>
      </c>
    </row>
  </sheetData>
  <sortState xmlns:xlrd2="http://schemas.microsoft.com/office/spreadsheetml/2017/richdata2" ref="A3:U26">
    <sortCondition descending="1" ref="S3:S26"/>
  </sortState>
  <pageMargins left="0.7" right="0.7" top="0.78740157499999996" bottom="0.78740157499999996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20AD0-1115-44F4-A8CE-1D53888F0E94}">
  <sheetPr>
    <tabColor theme="6" tint="0.59999389629810485"/>
  </sheetPr>
  <dimension ref="A1:W33"/>
  <sheetViews>
    <sheetView workbookViewId="0">
      <selection activeCell="M23" sqref="M23"/>
    </sheetView>
  </sheetViews>
  <sheetFormatPr baseColWidth="10" defaultRowHeight="15" x14ac:dyDescent="0.25"/>
  <sheetData>
    <row r="1" spans="1:23" ht="15.75" x14ac:dyDescent="0.25">
      <c r="A1" s="2" t="s">
        <v>103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84</v>
      </c>
      <c r="B3" s="6"/>
      <c r="C3" s="7"/>
      <c r="D3" s="8">
        <f t="shared" ref="D3:D23" si="0">B3*C3</f>
        <v>0</v>
      </c>
      <c r="E3" s="6"/>
      <c r="F3" s="7"/>
      <c r="G3" s="8">
        <f t="shared" ref="G3:G23" si="1">E3*F3</f>
        <v>0</v>
      </c>
      <c r="H3" s="6"/>
      <c r="I3" s="7"/>
      <c r="J3" s="8">
        <f t="shared" ref="J3:J23" si="2">H3*I3</f>
        <v>0</v>
      </c>
      <c r="K3" s="6"/>
      <c r="L3" s="7"/>
      <c r="M3" s="8">
        <f t="shared" ref="M3:M23" si="3">K3*L3</f>
        <v>0</v>
      </c>
      <c r="N3" s="6"/>
      <c r="O3" s="7"/>
      <c r="P3" s="8">
        <f t="shared" ref="P3:P23" si="4">N3*O3</f>
        <v>0</v>
      </c>
      <c r="Q3" s="1"/>
      <c r="R3" s="6">
        <f t="shared" ref="R3:R23" si="5">B3+E3+H3+K3+N3</f>
        <v>0</v>
      </c>
      <c r="S3" s="9" t="e">
        <f t="shared" ref="S3:S23" si="6">(D3+G3+J3+M3+P3)/R3</f>
        <v>#DIV/0!</v>
      </c>
      <c r="T3" s="9">
        <f t="shared" ref="T3:T23" si="7">R3/$V$3</f>
        <v>0</v>
      </c>
      <c r="U3" s="9">
        <f>R3 / _xlfn.XLOOKUP(A3, Jungle!A:A, Jungle!AA:AA)</f>
        <v>0</v>
      </c>
      <c r="V3" s="11">
        <f>SUM(R3:R47)</f>
        <v>140</v>
      </c>
      <c r="W3" s="12">
        <f>(SUM(D3:D77)+SUM(G3:G77)+SUM(J3:J77)+SUM(M3:M77)+SUM(P3:P77)) / V3</f>
        <v>0.39297142857142858</v>
      </c>
    </row>
    <row r="4" spans="1:23" x14ac:dyDescent="0.25">
      <c r="A4" s="1" t="s">
        <v>10</v>
      </c>
      <c r="B4" s="6"/>
      <c r="C4" s="7"/>
      <c r="D4" s="8">
        <f t="shared" si="0"/>
        <v>0</v>
      </c>
      <c r="E4" s="6"/>
      <c r="F4" s="7"/>
      <c r="G4" s="8">
        <f t="shared" si="1"/>
        <v>0</v>
      </c>
      <c r="H4" s="6">
        <v>1</v>
      </c>
      <c r="I4" s="7">
        <v>1</v>
      </c>
      <c r="J4" s="8">
        <f t="shared" si="2"/>
        <v>1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4"/>
      <c r="R4" s="6">
        <f t="shared" si="5"/>
        <v>1</v>
      </c>
      <c r="S4" s="9">
        <f t="shared" si="6"/>
        <v>1</v>
      </c>
      <c r="T4" s="9">
        <f t="shared" si="7"/>
        <v>7.1428571428571426E-3</v>
      </c>
      <c r="U4" s="9">
        <f>R4 / _xlfn.XLOOKUP(A4, Jungle!A:A, Jungle!AA:AA)</f>
        <v>0.125</v>
      </c>
      <c r="V4" s="1"/>
      <c r="W4" s="1"/>
    </row>
    <row r="5" spans="1:23" x14ac:dyDescent="0.25">
      <c r="A5" s="1" t="s">
        <v>71</v>
      </c>
      <c r="B5" s="6"/>
      <c r="C5" s="7"/>
      <c r="D5" s="8">
        <f t="shared" si="0"/>
        <v>0</v>
      </c>
      <c r="E5" s="6">
        <v>24</v>
      </c>
      <c r="F5" s="7">
        <v>0.66700000000000004</v>
      </c>
      <c r="G5" s="8">
        <f t="shared" si="1"/>
        <v>16.008000000000003</v>
      </c>
      <c r="H5" s="6">
        <v>2</v>
      </c>
      <c r="I5" s="7">
        <v>0.5</v>
      </c>
      <c r="J5" s="8">
        <f t="shared" si="2"/>
        <v>1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26</v>
      </c>
      <c r="S5" s="9">
        <f t="shared" si="6"/>
        <v>0.65415384615384631</v>
      </c>
      <c r="T5" s="9">
        <f t="shared" si="7"/>
        <v>0.18571428571428572</v>
      </c>
      <c r="U5" s="9">
        <f>R5 / _xlfn.XLOOKUP(A5, Jungle!A:A, Jungle!AA:AA)</f>
        <v>4.6931407942238268E-2</v>
      </c>
      <c r="V5" s="1"/>
      <c r="W5" s="1"/>
    </row>
    <row r="6" spans="1:23" x14ac:dyDescent="0.25">
      <c r="A6" s="1" t="s">
        <v>30</v>
      </c>
      <c r="B6" s="6"/>
      <c r="C6" s="7"/>
      <c r="D6" s="8">
        <f t="shared" si="0"/>
        <v>0</v>
      </c>
      <c r="E6" s="6">
        <v>10</v>
      </c>
      <c r="F6" s="7">
        <v>0.6</v>
      </c>
      <c r="G6" s="8">
        <f t="shared" si="1"/>
        <v>6</v>
      </c>
      <c r="H6" s="6">
        <v>4</v>
      </c>
      <c r="I6" s="7">
        <v>0.75</v>
      </c>
      <c r="J6" s="8">
        <f t="shared" si="2"/>
        <v>3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1"/>
      <c r="R6" s="6">
        <f t="shared" si="5"/>
        <v>14</v>
      </c>
      <c r="S6" s="9">
        <f t="shared" si="6"/>
        <v>0.6428571428571429</v>
      </c>
      <c r="T6" s="9">
        <f t="shared" si="7"/>
        <v>0.1</v>
      </c>
      <c r="U6" s="9">
        <f>R6 / _xlfn.XLOOKUP(A6, Jungle!A:A, Jungle!AA:AA)</f>
        <v>3.4912718204488775E-2</v>
      </c>
      <c r="V6" s="1"/>
      <c r="W6" s="1"/>
    </row>
    <row r="7" spans="1:23" x14ac:dyDescent="0.25">
      <c r="A7" s="1" t="s">
        <v>16</v>
      </c>
      <c r="B7" s="6"/>
      <c r="C7" s="7"/>
      <c r="D7" s="8">
        <f t="shared" si="0"/>
        <v>0</v>
      </c>
      <c r="E7" s="6"/>
      <c r="F7" s="7"/>
      <c r="G7" s="8">
        <f t="shared" si="1"/>
        <v>0</v>
      </c>
      <c r="H7" s="6">
        <v>5</v>
      </c>
      <c r="I7" s="7">
        <v>0.6</v>
      </c>
      <c r="J7" s="8">
        <f t="shared" si="2"/>
        <v>3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5</v>
      </c>
      <c r="S7" s="9">
        <f t="shared" si="6"/>
        <v>0.6</v>
      </c>
      <c r="T7" s="9">
        <f t="shared" si="7"/>
        <v>3.5714285714285712E-2</v>
      </c>
      <c r="U7" s="9">
        <f>R7 / _xlfn.XLOOKUP(A7, Jungle!A:A, Jungle!AA:AA)</f>
        <v>0.21739130434782608</v>
      </c>
      <c r="V7" s="1"/>
      <c r="W7" s="1"/>
    </row>
    <row r="8" spans="1:23" x14ac:dyDescent="0.25">
      <c r="A8" s="1" t="s">
        <v>70</v>
      </c>
      <c r="B8" s="6">
        <v>2</v>
      </c>
      <c r="C8" s="7">
        <v>0.5</v>
      </c>
      <c r="D8" s="8">
        <f t="shared" si="0"/>
        <v>1</v>
      </c>
      <c r="E8" s="6"/>
      <c r="F8" s="7"/>
      <c r="G8" s="8">
        <f t="shared" si="1"/>
        <v>0</v>
      </c>
      <c r="H8" s="6">
        <v>5</v>
      </c>
      <c r="I8" s="7">
        <v>0.6</v>
      </c>
      <c r="J8" s="8">
        <f t="shared" si="2"/>
        <v>3</v>
      </c>
      <c r="K8" s="6"/>
      <c r="L8" s="7"/>
      <c r="M8" s="8">
        <f t="shared" si="3"/>
        <v>0</v>
      </c>
      <c r="N8" s="6"/>
      <c r="O8" s="7"/>
      <c r="P8" s="8">
        <f t="shared" si="4"/>
        <v>0</v>
      </c>
      <c r="Q8" s="1"/>
      <c r="R8" s="6">
        <f t="shared" si="5"/>
        <v>7</v>
      </c>
      <c r="S8" s="9">
        <f t="shared" si="6"/>
        <v>0.5714285714285714</v>
      </c>
      <c r="T8" s="9">
        <f t="shared" si="7"/>
        <v>0.05</v>
      </c>
      <c r="U8" s="9">
        <f>R8 / _xlfn.XLOOKUP(A8, Jungle!A:A, Jungle!AA:AA)</f>
        <v>1.4084507042253521E-2</v>
      </c>
      <c r="V8" s="1"/>
      <c r="W8" s="1"/>
    </row>
    <row r="9" spans="1:23" x14ac:dyDescent="0.25">
      <c r="A9" s="1" t="s">
        <v>92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>
        <v>2</v>
      </c>
      <c r="I9" s="7">
        <v>0.5</v>
      </c>
      <c r="J9" s="8">
        <f t="shared" si="2"/>
        <v>1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1"/>
      <c r="R9" s="6">
        <f t="shared" si="5"/>
        <v>2</v>
      </c>
      <c r="S9" s="9">
        <f t="shared" si="6"/>
        <v>0.5</v>
      </c>
      <c r="T9" s="9">
        <f t="shared" si="7"/>
        <v>1.4285714285714285E-2</v>
      </c>
      <c r="U9" s="9">
        <f>R9 / _xlfn.XLOOKUP(A9, Jungle!A:A, Jungle!AA:AA)</f>
        <v>0.08</v>
      </c>
      <c r="V9" s="1"/>
      <c r="W9" s="1"/>
    </row>
    <row r="10" spans="1:23" x14ac:dyDescent="0.25">
      <c r="A10" s="1" t="s">
        <v>26</v>
      </c>
      <c r="B10" s="6"/>
      <c r="C10" s="7"/>
      <c r="D10" s="8">
        <f t="shared" si="0"/>
        <v>0</v>
      </c>
      <c r="E10" s="6">
        <v>22</v>
      </c>
      <c r="F10" s="7">
        <v>0.36399999999999999</v>
      </c>
      <c r="G10" s="8">
        <f t="shared" si="1"/>
        <v>8.0079999999999991</v>
      </c>
      <c r="H10" s="6">
        <v>4</v>
      </c>
      <c r="I10" s="7">
        <v>0.25</v>
      </c>
      <c r="J10" s="8">
        <f t="shared" si="2"/>
        <v>1</v>
      </c>
      <c r="K10" s="6"/>
      <c r="L10" s="7"/>
      <c r="M10" s="8">
        <f t="shared" si="3"/>
        <v>0</v>
      </c>
      <c r="N10" s="6"/>
      <c r="O10" s="7"/>
      <c r="P10" s="8">
        <f t="shared" si="4"/>
        <v>0</v>
      </c>
      <c r="Q10" s="4"/>
      <c r="R10" s="6">
        <f t="shared" si="5"/>
        <v>26</v>
      </c>
      <c r="S10" s="9">
        <f t="shared" si="6"/>
        <v>0.34646153846153843</v>
      </c>
      <c r="T10" s="9">
        <f t="shared" si="7"/>
        <v>0.18571428571428572</v>
      </c>
      <c r="U10" s="9">
        <f>R10 / _xlfn.XLOOKUP(A10, Jungle!A:A, Jungle!AA:AA)</f>
        <v>4.0944881889763779E-2</v>
      </c>
      <c r="V10" s="1"/>
      <c r="W10" s="1"/>
    </row>
    <row r="11" spans="1:23" x14ac:dyDescent="0.25">
      <c r="A11" s="1" t="s">
        <v>28</v>
      </c>
      <c r="B11" s="6"/>
      <c r="C11" s="7"/>
      <c r="D11" s="8">
        <f t="shared" si="0"/>
        <v>0</v>
      </c>
      <c r="E11" s="6">
        <v>1</v>
      </c>
      <c r="F11" s="7">
        <v>1</v>
      </c>
      <c r="G11" s="8">
        <f t="shared" si="1"/>
        <v>1</v>
      </c>
      <c r="H11" s="6">
        <v>2</v>
      </c>
      <c r="I11" s="7">
        <v>0</v>
      </c>
      <c r="J11" s="8">
        <f t="shared" si="2"/>
        <v>0</v>
      </c>
      <c r="K11" s="6"/>
      <c r="L11" s="7"/>
      <c r="M11" s="8">
        <f t="shared" si="3"/>
        <v>0</v>
      </c>
      <c r="N11" s="6"/>
      <c r="O11" s="7"/>
      <c r="P11" s="8">
        <f t="shared" si="4"/>
        <v>0</v>
      </c>
      <c r="Q11" s="1"/>
      <c r="R11" s="6">
        <f t="shared" si="5"/>
        <v>3</v>
      </c>
      <c r="S11" s="9">
        <f t="shared" si="6"/>
        <v>0.33333333333333331</v>
      </c>
      <c r="T11" s="9">
        <f t="shared" si="7"/>
        <v>2.1428571428571429E-2</v>
      </c>
      <c r="U11" s="9">
        <f>R11 / _xlfn.XLOOKUP(A11, Jungle!A:A, Jungle!AA:AA)</f>
        <v>4.2857142857142858E-2</v>
      </c>
      <c r="V11" s="1"/>
      <c r="W11" s="1"/>
    </row>
    <row r="12" spans="1:23" x14ac:dyDescent="0.25">
      <c r="A12" s="1" t="s">
        <v>81</v>
      </c>
      <c r="B12" s="6"/>
      <c r="C12" s="7"/>
      <c r="D12" s="8">
        <f t="shared" si="0"/>
        <v>0</v>
      </c>
      <c r="E12" s="6">
        <v>3</v>
      </c>
      <c r="F12" s="7">
        <v>0.33300000000000002</v>
      </c>
      <c r="G12" s="8">
        <f t="shared" si="1"/>
        <v>0.99900000000000011</v>
      </c>
      <c r="H12" s="6"/>
      <c r="I12" s="7"/>
      <c r="J12" s="8">
        <f t="shared" si="2"/>
        <v>0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1"/>
      <c r="R12" s="6">
        <f t="shared" si="5"/>
        <v>3</v>
      </c>
      <c r="S12" s="9">
        <f t="shared" si="6"/>
        <v>0.33300000000000002</v>
      </c>
      <c r="T12" s="9">
        <f t="shared" si="7"/>
        <v>2.1428571428571429E-2</v>
      </c>
      <c r="U12" s="9">
        <f>R12 / _xlfn.XLOOKUP(A12, Jungle!A:A, Jungle!AA:AA)</f>
        <v>8.3333333333333329E-2</v>
      </c>
      <c r="V12" s="1"/>
      <c r="W12" s="1"/>
    </row>
    <row r="13" spans="1:23" x14ac:dyDescent="0.25">
      <c r="A13" s="1" t="s">
        <v>57</v>
      </c>
      <c r="B13" s="6">
        <v>2</v>
      </c>
      <c r="C13" s="7">
        <v>0</v>
      </c>
      <c r="D13" s="8">
        <f t="shared" si="0"/>
        <v>0</v>
      </c>
      <c r="E13" s="6">
        <v>7</v>
      </c>
      <c r="F13" s="7">
        <v>0.42899999999999999</v>
      </c>
      <c r="G13" s="8">
        <f t="shared" si="1"/>
        <v>3.0030000000000001</v>
      </c>
      <c r="H13" s="6">
        <v>4</v>
      </c>
      <c r="I13" s="7">
        <v>0</v>
      </c>
      <c r="J13" s="8">
        <f t="shared" si="2"/>
        <v>0</v>
      </c>
      <c r="K13" s="6"/>
      <c r="L13" s="7"/>
      <c r="M13" s="8">
        <f t="shared" si="3"/>
        <v>0</v>
      </c>
      <c r="N13" s="6"/>
      <c r="O13" s="7"/>
      <c r="P13" s="8">
        <f t="shared" si="4"/>
        <v>0</v>
      </c>
      <c r="Q13" s="4"/>
      <c r="R13" s="6">
        <f t="shared" si="5"/>
        <v>13</v>
      </c>
      <c r="S13" s="9">
        <f t="shared" si="6"/>
        <v>0.23100000000000001</v>
      </c>
      <c r="T13" s="9">
        <f t="shared" si="7"/>
        <v>9.285714285714286E-2</v>
      </c>
      <c r="U13" s="9">
        <f>R13 / _xlfn.XLOOKUP(A13, Jungle!A:A, Jungle!AA:AA)</f>
        <v>2.9213483146067417E-2</v>
      </c>
      <c r="V13" s="1"/>
      <c r="W13" s="1"/>
    </row>
    <row r="14" spans="1:23" x14ac:dyDescent="0.25">
      <c r="A14" s="1" t="s">
        <v>73</v>
      </c>
      <c r="B14" s="6"/>
      <c r="C14" s="7"/>
      <c r="D14" s="8">
        <f t="shared" si="0"/>
        <v>0</v>
      </c>
      <c r="E14" s="6">
        <v>9</v>
      </c>
      <c r="F14" s="7">
        <v>0.111</v>
      </c>
      <c r="G14" s="8">
        <f t="shared" si="1"/>
        <v>0.999</v>
      </c>
      <c r="H14" s="6">
        <v>4</v>
      </c>
      <c r="I14" s="7">
        <v>0.5</v>
      </c>
      <c r="J14" s="8">
        <f t="shared" si="2"/>
        <v>2</v>
      </c>
      <c r="K14" s="6"/>
      <c r="L14" s="7"/>
      <c r="M14" s="8">
        <f t="shared" si="3"/>
        <v>0</v>
      </c>
      <c r="N14" s="6"/>
      <c r="O14" s="7"/>
      <c r="P14" s="8">
        <f t="shared" si="4"/>
        <v>0</v>
      </c>
      <c r="Q14" s="1"/>
      <c r="R14" s="6">
        <f t="shared" si="5"/>
        <v>13</v>
      </c>
      <c r="S14" s="9">
        <f t="shared" si="6"/>
        <v>0.2306923076923077</v>
      </c>
      <c r="T14" s="9">
        <f t="shared" si="7"/>
        <v>9.285714285714286E-2</v>
      </c>
      <c r="U14" s="9">
        <f>R14 / _xlfn.XLOOKUP(A14, Jungle!A:A, Jungle!AA:AA)</f>
        <v>2.3381294964028777E-2</v>
      </c>
      <c r="V14" s="1"/>
      <c r="W14" s="1"/>
    </row>
    <row r="15" spans="1:23" x14ac:dyDescent="0.25">
      <c r="A15" s="1" t="s">
        <v>72</v>
      </c>
      <c r="B15" s="6"/>
      <c r="C15" s="7"/>
      <c r="D15" s="8">
        <f t="shared" si="0"/>
        <v>0</v>
      </c>
      <c r="E15" s="6">
        <v>5</v>
      </c>
      <c r="F15" s="7">
        <v>0.4</v>
      </c>
      <c r="G15" s="8">
        <f t="shared" si="1"/>
        <v>2</v>
      </c>
      <c r="H15" s="6">
        <v>4</v>
      </c>
      <c r="I15" s="7">
        <v>0</v>
      </c>
      <c r="J15" s="8">
        <f t="shared" si="2"/>
        <v>0</v>
      </c>
      <c r="K15" s="6"/>
      <c r="L15" s="7"/>
      <c r="M15" s="8">
        <f t="shared" si="3"/>
        <v>0</v>
      </c>
      <c r="N15" s="6"/>
      <c r="O15" s="7"/>
      <c r="P15" s="8">
        <f t="shared" si="4"/>
        <v>0</v>
      </c>
      <c r="Q15" s="1"/>
      <c r="R15" s="6">
        <f t="shared" si="5"/>
        <v>9</v>
      </c>
      <c r="S15" s="9">
        <f t="shared" si="6"/>
        <v>0.22222222222222221</v>
      </c>
      <c r="T15" s="9">
        <f t="shared" si="7"/>
        <v>6.4285714285714279E-2</v>
      </c>
      <c r="U15" s="9">
        <f>R15 / _xlfn.XLOOKUP(A15, Jungle!A:A, Jungle!AA:AA)</f>
        <v>4.9723756906077346E-2</v>
      </c>
      <c r="V15" s="1"/>
      <c r="W15" s="1"/>
    </row>
    <row r="16" spans="1:23" x14ac:dyDescent="0.25">
      <c r="A16" s="1" t="s">
        <v>69</v>
      </c>
      <c r="B16" s="6">
        <v>1</v>
      </c>
      <c r="C16" s="7">
        <v>0</v>
      </c>
      <c r="D16" s="8">
        <f t="shared" si="0"/>
        <v>0</v>
      </c>
      <c r="E16" s="6">
        <v>4</v>
      </c>
      <c r="F16" s="7">
        <v>0</v>
      </c>
      <c r="G16" s="8">
        <f t="shared" si="1"/>
        <v>0</v>
      </c>
      <c r="H16" s="6">
        <v>3</v>
      </c>
      <c r="I16" s="7">
        <v>0.33300000000000002</v>
      </c>
      <c r="J16" s="8">
        <f t="shared" si="2"/>
        <v>0.99900000000000011</v>
      </c>
      <c r="K16" s="6"/>
      <c r="L16" s="7"/>
      <c r="M16" s="8">
        <f t="shared" si="3"/>
        <v>0</v>
      </c>
      <c r="N16" s="6"/>
      <c r="O16" s="7"/>
      <c r="P16" s="8">
        <f t="shared" si="4"/>
        <v>0</v>
      </c>
      <c r="Q16" s="13"/>
      <c r="R16" s="6">
        <f t="shared" si="5"/>
        <v>8</v>
      </c>
      <c r="S16" s="9">
        <f t="shared" si="6"/>
        <v>0.12487500000000001</v>
      </c>
      <c r="T16" s="9">
        <f t="shared" si="7"/>
        <v>5.7142857142857141E-2</v>
      </c>
      <c r="U16" s="9">
        <f>R16 / _xlfn.XLOOKUP(A16, Jungle!A:A, Jungle!AA:AA)</f>
        <v>1.7817371937639197E-2</v>
      </c>
      <c r="V16" s="1"/>
      <c r="W16" s="1"/>
    </row>
    <row r="17" spans="1:21" x14ac:dyDescent="0.25">
      <c r="A17" s="1" t="s">
        <v>75</v>
      </c>
      <c r="B17" s="6">
        <v>1</v>
      </c>
      <c r="C17" s="7">
        <v>0</v>
      </c>
      <c r="D17" s="8">
        <f t="shared" si="0"/>
        <v>0</v>
      </c>
      <c r="E17" s="6"/>
      <c r="F17" s="7"/>
      <c r="G17" s="8">
        <f t="shared" si="1"/>
        <v>0</v>
      </c>
      <c r="H17" s="6"/>
      <c r="I17" s="7"/>
      <c r="J17" s="8">
        <f t="shared" si="2"/>
        <v>0</v>
      </c>
      <c r="K17" s="6"/>
      <c r="L17" s="7"/>
      <c r="M17" s="8">
        <f t="shared" si="3"/>
        <v>0</v>
      </c>
      <c r="N17" s="6"/>
      <c r="O17" s="7"/>
      <c r="P17" s="8">
        <f t="shared" si="4"/>
        <v>0</v>
      </c>
      <c r="Q17" s="1"/>
      <c r="R17" s="6">
        <f t="shared" si="5"/>
        <v>1</v>
      </c>
      <c r="S17" s="9">
        <f t="shared" si="6"/>
        <v>0</v>
      </c>
      <c r="T17" s="9">
        <f t="shared" si="7"/>
        <v>7.1428571428571426E-3</v>
      </c>
      <c r="U17" s="9">
        <f>R17 / _xlfn.XLOOKUP(A17, Jungle!A:A, Jungle!AA:AA)</f>
        <v>1.6393442622950821E-2</v>
      </c>
    </row>
    <row r="18" spans="1:21" x14ac:dyDescent="0.25">
      <c r="A18" s="1" t="s">
        <v>82</v>
      </c>
      <c r="B18" s="6"/>
      <c r="C18" s="7"/>
      <c r="D18" s="8">
        <f t="shared" si="0"/>
        <v>0</v>
      </c>
      <c r="E18" s="6">
        <v>1</v>
      </c>
      <c r="F18" s="7">
        <v>0</v>
      </c>
      <c r="G18" s="8">
        <f t="shared" si="1"/>
        <v>0</v>
      </c>
      <c r="H18" s="6"/>
      <c r="I18" s="7"/>
      <c r="J18" s="8">
        <f t="shared" si="2"/>
        <v>0</v>
      </c>
      <c r="K18" s="6"/>
      <c r="L18" s="7"/>
      <c r="M18" s="8">
        <f t="shared" si="3"/>
        <v>0</v>
      </c>
      <c r="N18" s="6"/>
      <c r="O18" s="7"/>
      <c r="P18" s="8">
        <f t="shared" si="4"/>
        <v>0</v>
      </c>
      <c r="Q18" s="1"/>
      <c r="R18" s="6">
        <f t="shared" si="5"/>
        <v>1</v>
      </c>
      <c r="S18" s="9">
        <f t="shared" si="6"/>
        <v>0</v>
      </c>
      <c r="T18" s="9">
        <f t="shared" si="7"/>
        <v>7.1428571428571426E-3</v>
      </c>
      <c r="U18" s="9">
        <f>R18 / _xlfn.XLOOKUP(A18, Jungle!A:A, Jungle!AA:AA)</f>
        <v>1.5873015873015872E-2</v>
      </c>
    </row>
    <row r="19" spans="1:21" x14ac:dyDescent="0.25">
      <c r="A19" s="1" t="s">
        <v>79</v>
      </c>
      <c r="B19" s="6"/>
      <c r="C19" s="7"/>
      <c r="D19" s="8">
        <f t="shared" si="0"/>
        <v>0</v>
      </c>
      <c r="E19" s="6">
        <v>1</v>
      </c>
      <c r="F19" s="7">
        <v>0</v>
      </c>
      <c r="G19" s="8">
        <f t="shared" si="1"/>
        <v>0</v>
      </c>
      <c r="H19" s="6"/>
      <c r="I19" s="7"/>
      <c r="J19" s="8">
        <f t="shared" si="2"/>
        <v>0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1"/>
      <c r="R19" s="6">
        <f t="shared" si="5"/>
        <v>1</v>
      </c>
      <c r="S19" s="9">
        <f t="shared" si="6"/>
        <v>0</v>
      </c>
      <c r="T19" s="9">
        <f t="shared" si="7"/>
        <v>7.1428571428571426E-3</v>
      </c>
      <c r="U19" s="9">
        <f>R19 / _xlfn.XLOOKUP(A19, Jungle!A:A, Jungle!AA:AA)</f>
        <v>0.02</v>
      </c>
    </row>
    <row r="20" spans="1:21" x14ac:dyDescent="0.25">
      <c r="A20" s="25" t="s">
        <v>230</v>
      </c>
      <c r="B20" s="6"/>
      <c r="C20" s="7"/>
      <c r="D20" s="8">
        <f t="shared" si="0"/>
        <v>0</v>
      </c>
      <c r="E20" s="6">
        <v>1</v>
      </c>
      <c r="F20" s="7">
        <v>0</v>
      </c>
      <c r="G20" s="8">
        <f t="shared" si="1"/>
        <v>0</v>
      </c>
      <c r="H20" s="6"/>
      <c r="I20" s="7"/>
      <c r="J20" s="8">
        <f t="shared" si="2"/>
        <v>0</v>
      </c>
      <c r="K20" s="6"/>
      <c r="L20" s="7"/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1</v>
      </c>
      <c r="S20" s="9">
        <f t="shared" si="6"/>
        <v>0</v>
      </c>
      <c r="T20" s="9">
        <f t="shared" si="7"/>
        <v>7.1428571428571426E-3</v>
      </c>
      <c r="U20" s="9">
        <f>R20 / _xlfn.XLOOKUP(A20, Jungle!A:A, Jungle!AA:AA)</f>
        <v>2.564102564102564E-2</v>
      </c>
    </row>
    <row r="21" spans="1:21" x14ac:dyDescent="0.25">
      <c r="A21" s="1" t="s">
        <v>31</v>
      </c>
      <c r="B21" s="6"/>
      <c r="C21" s="7"/>
      <c r="D21" s="8">
        <f t="shared" si="0"/>
        <v>0</v>
      </c>
      <c r="E21" s="6">
        <v>3</v>
      </c>
      <c r="F21" s="7">
        <v>0</v>
      </c>
      <c r="G21" s="8">
        <f t="shared" si="1"/>
        <v>0</v>
      </c>
      <c r="H21" s="6">
        <v>1</v>
      </c>
      <c r="I21" s="7">
        <v>0</v>
      </c>
      <c r="J21" s="8">
        <f t="shared" si="2"/>
        <v>0</v>
      </c>
      <c r="K21" s="6"/>
      <c r="L21" s="7"/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4</v>
      </c>
      <c r="S21" s="9">
        <f t="shared" si="6"/>
        <v>0</v>
      </c>
      <c r="T21" s="9">
        <f t="shared" si="7"/>
        <v>2.8571428571428571E-2</v>
      </c>
      <c r="U21" s="9">
        <f>R21 / _xlfn.XLOOKUP(A21, Jungle!A:A, Jungle!AA:AA)</f>
        <v>1.5267175572519083E-2</v>
      </c>
    </row>
    <row r="22" spans="1:21" x14ac:dyDescent="0.25">
      <c r="A22" s="1" t="s">
        <v>80</v>
      </c>
      <c r="B22" s="6"/>
      <c r="C22" s="7"/>
      <c r="D22" s="8">
        <f t="shared" si="0"/>
        <v>0</v>
      </c>
      <c r="E22" s="6"/>
      <c r="F22" s="7"/>
      <c r="G22" s="8">
        <f t="shared" si="1"/>
        <v>0</v>
      </c>
      <c r="H22" s="6">
        <v>1</v>
      </c>
      <c r="I22" s="7">
        <v>0</v>
      </c>
      <c r="J22" s="8">
        <f t="shared" si="2"/>
        <v>0</v>
      </c>
      <c r="K22" s="6"/>
      <c r="L22" s="7"/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1</v>
      </c>
      <c r="S22" s="9">
        <f t="shared" si="6"/>
        <v>0</v>
      </c>
      <c r="T22" s="9">
        <f t="shared" si="7"/>
        <v>7.1428571428571426E-3</v>
      </c>
      <c r="U22" s="9">
        <f>R22 / _xlfn.XLOOKUP(A22, Jungle!A:A, Jungle!AA:AA)</f>
        <v>1.0869565217391304E-2</v>
      </c>
    </row>
    <row r="23" spans="1:21" x14ac:dyDescent="0.25">
      <c r="A23" s="1" t="s">
        <v>23</v>
      </c>
      <c r="B23" s="6"/>
      <c r="C23" s="7"/>
      <c r="D23" s="8">
        <f t="shared" si="0"/>
        <v>0</v>
      </c>
      <c r="E23" s="6"/>
      <c r="F23" s="7"/>
      <c r="G23" s="8">
        <f t="shared" si="1"/>
        <v>0</v>
      </c>
      <c r="H23" s="6">
        <v>1</v>
      </c>
      <c r="I23" s="7">
        <v>0</v>
      </c>
      <c r="J23" s="8">
        <f t="shared" si="2"/>
        <v>0</v>
      </c>
      <c r="K23" s="6"/>
      <c r="L23" s="7"/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1</v>
      </c>
      <c r="S23" s="9">
        <f t="shared" si="6"/>
        <v>0</v>
      </c>
      <c r="T23" s="9">
        <f t="shared" si="7"/>
        <v>7.1428571428571426E-3</v>
      </c>
      <c r="U23" s="9">
        <f>R23 / _xlfn.XLOOKUP(A23, Jungle!A:A, Jungle!AA:AA)</f>
        <v>0.33333333333333331</v>
      </c>
    </row>
    <row r="24" spans="1:21" x14ac:dyDescent="0.25">
      <c r="N24" s="6"/>
      <c r="O24" s="7"/>
      <c r="P24" s="8">
        <f t="shared" ref="P24:P33" si="8">N24*O24</f>
        <v>0</v>
      </c>
      <c r="Q24" s="1"/>
      <c r="R24" s="6">
        <f t="shared" ref="R24:R33" si="9">B24+E24+H24+K24+N24</f>
        <v>0</v>
      </c>
      <c r="S24" s="9" t="e">
        <f t="shared" ref="S24:S33" si="10">(D24+G24+J24+M24+P24)/R24</f>
        <v>#DIV/0!</v>
      </c>
      <c r="T24" s="9">
        <f t="shared" ref="T24:T33" si="11">R24/$V$3</f>
        <v>0</v>
      </c>
      <c r="U24" s="9" t="e">
        <f>R24 / _xlfn.XLOOKUP(A24, Jungle!A:A, Jungle!AA:AA)</f>
        <v>#DIV/0!</v>
      </c>
    </row>
    <row r="25" spans="1:21" x14ac:dyDescent="0.25">
      <c r="N25" s="6"/>
      <c r="O25" s="7"/>
      <c r="P25" s="8">
        <f t="shared" si="8"/>
        <v>0</v>
      </c>
      <c r="Q25" s="1"/>
      <c r="R25" s="6">
        <f t="shared" si="9"/>
        <v>0</v>
      </c>
      <c r="S25" s="9" t="e">
        <f t="shared" si="10"/>
        <v>#DIV/0!</v>
      </c>
      <c r="T25" s="9">
        <f t="shared" si="11"/>
        <v>0</v>
      </c>
      <c r="U25" s="9" t="e">
        <f>R25 / _xlfn.XLOOKUP(A25, Jungle!A:A, Jungle!AA:AA)</f>
        <v>#DIV/0!</v>
      </c>
    </row>
    <row r="26" spans="1:21" x14ac:dyDescent="0.25">
      <c r="N26" s="6"/>
      <c r="O26" s="7"/>
      <c r="P26" s="8">
        <f t="shared" si="8"/>
        <v>0</v>
      </c>
      <c r="Q26" s="1"/>
      <c r="R26" s="6">
        <f t="shared" si="9"/>
        <v>0</v>
      </c>
      <c r="S26" s="9" t="e">
        <f t="shared" si="10"/>
        <v>#DIV/0!</v>
      </c>
      <c r="T26" s="9">
        <f t="shared" si="11"/>
        <v>0</v>
      </c>
      <c r="U26" s="9" t="e">
        <f>R26 / _xlfn.XLOOKUP(A26, Jungle!A:A, Jungle!AA:AA)</f>
        <v>#DIV/0!</v>
      </c>
    </row>
    <row r="27" spans="1:21" x14ac:dyDescent="0.25">
      <c r="N27" s="6"/>
      <c r="O27" s="7"/>
      <c r="P27" s="8">
        <f t="shared" si="8"/>
        <v>0</v>
      </c>
      <c r="Q27" s="1"/>
      <c r="R27" s="6">
        <f t="shared" si="9"/>
        <v>0</v>
      </c>
      <c r="S27" s="9" t="e">
        <f t="shared" si="10"/>
        <v>#DIV/0!</v>
      </c>
      <c r="T27" s="9">
        <f t="shared" si="11"/>
        <v>0</v>
      </c>
      <c r="U27" s="9" t="e">
        <f>R27 / _xlfn.XLOOKUP(A27, Jungle!A:A, Jungle!AA:AA)</f>
        <v>#DIV/0!</v>
      </c>
    </row>
    <row r="28" spans="1:21" x14ac:dyDescent="0.25">
      <c r="N28" s="6"/>
      <c r="O28" s="7"/>
      <c r="P28" s="8">
        <f t="shared" si="8"/>
        <v>0</v>
      </c>
      <c r="Q28" s="1"/>
      <c r="R28" s="6">
        <f t="shared" si="9"/>
        <v>0</v>
      </c>
      <c r="S28" s="9" t="e">
        <f t="shared" si="10"/>
        <v>#DIV/0!</v>
      </c>
      <c r="T28" s="9">
        <f t="shared" si="11"/>
        <v>0</v>
      </c>
      <c r="U28" s="9" t="e">
        <f>R28 / _xlfn.XLOOKUP(A28, Jungle!A:A, Jungle!AA:AA)</f>
        <v>#DIV/0!</v>
      </c>
    </row>
    <row r="29" spans="1:21" x14ac:dyDescent="0.25">
      <c r="N29" s="6"/>
      <c r="O29" s="7"/>
      <c r="P29" s="8">
        <f t="shared" si="8"/>
        <v>0</v>
      </c>
      <c r="Q29" s="1"/>
      <c r="R29" s="6">
        <f t="shared" si="9"/>
        <v>0</v>
      </c>
      <c r="S29" s="9" t="e">
        <f t="shared" si="10"/>
        <v>#DIV/0!</v>
      </c>
      <c r="T29" s="9">
        <f t="shared" si="11"/>
        <v>0</v>
      </c>
      <c r="U29" s="9" t="e">
        <f>R29 / _xlfn.XLOOKUP(A29, Jungle!A:A, Jungle!AA:AA)</f>
        <v>#DIV/0!</v>
      </c>
    </row>
    <row r="30" spans="1:21" x14ac:dyDescent="0.25">
      <c r="N30" s="6"/>
      <c r="O30" s="7"/>
      <c r="P30" s="8">
        <f t="shared" si="8"/>
        <v>0</v>
      </c>
      <c r="Q30" s="1"/>
      <c r="R30" s="6">
        <f t="shared" si="9"/>
        <v>0</v>
      </c>
      <c r="S30" s="9" t="e">
        <f t="shared" si="10"/>
        <v>#DIV/0!</v>
      </c>
      <c r="T30" s="9">
        <f t="shared" si="11"/>
        <v>0</v>
      </c>
      <c r="U30" s="9" t="e">
        <f>R30 / _xlfn.XLOOKUP(A30, Jungle!A:A, Jungle!AA:AA)</f>
        <v>#DIV/0!</v>
      </c>
    </row>
    <row r="31" spans="1:21" x14ac:dyDescent="0.25">
      <c r="N31" s="6"/>
      <c r="O31" s="7"/>
      <c r="P31" s="8">
        <f t="shared" si="8"/>
        <v>0</v>
      </c>
      <c r="Q31" s="1"/>
      <c r="R31" s="6">
        <f t="shared" si="9"/>
        <v>0</v>
      </c>
      <c r="S31" s="9" t="e">
        <f t="shared" si="10"/>
        <v>#DIV/0!</v>
      </c>
      <c r="T31" s="9">
        <f t="shared" si="11"/>
        <v>0</v>
      </c>
      <c r="U31" s="9" t="e">
        <f>R31 / _xlfn.XLOOKUP(A31, Jungle!A:A, Jungle!AA:AA)</f>
        <v>#DIV/0!</v>
      </c>
    </row>
    <row r="32" spans="1:21" x14ac:dyDescent="0.25">
      <c r="N32" s="6"/>
      <c r="O32" s="7"/>
      <c r="P32" s="8">
        <f t="shared" si="8"/>
        <v>0</v>
      </c>
      <c r="Q32" s="1"/>
      <c r="R32" s="6">
        <f t="shared" si="9"/>
        <v>0</v>
      </c>
      <c r="S32" s="9" t="e">
        <f t="shared" si="10"/>
        <v>#DIV/0!</v>
      </c>
      <c r="T32" s="9">
        <f t="shared" si="11"/>
        <v>0</v>
      </c>
      <c r="U32" s="9" t="e">
        <f>R32 / _xlfn.XLOOKUP(A32, Jungle!A:A, Jungle!AA:AA)</f>
        <v>#DIV/0!</v>
      </c>
    </row>
    <row r="33" spans="14:21" x14ac:dyDescent="0.25">
      <c r="N33" s="6"/>
      <c r="O33" s="7"/>
      <c r="P33" s="8">
        <f t="shared" si="8"/>
        <v>0</v>
      </c>
      <c r="Q33" s="1"/>
      <c r="R33" s="6">
        <f t="shared" si="9"/>
        <v>0</v>
      </c>
      <c r="S33" s="9" t="e">
        <f t="shared" si="10"/>
        <v>#DIV/0!</v>
      </c>
      <c r="T33" s="9">
        <f t="shared" si="11"/>
        <v>0</v>
      </c>
      <c r="U33" s="9" t="e">
        <f>R33 / _xlfn.XLOOKUP(A33, Jungle!A:A, Jungle!AA:AA)</f>
        <v>#DIV/0!</v>
      </c>
    </row>
  </sheetData>
  <sortState xmlns:xlrd2="http://schemas.microsoft.com/office/spreadsheetml/2017/richdata2" ref="A3:U23">
    <sortCondition descending="1" ref="S3:S23"/>
  </sortState>
  <pageMargins left="0.7" right="0.7" top="0.78740157499999996" bottom="0.78740157499999996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5A22D-40C6-4A1A-B464-6D8D95D5B807}">
  <sheetPr>
    <tabColor theme="6" tint="0.59999389629810485"/>
  </sheetPr>
  <dimension ref="A1:W46"/>
  <sheetViews>
    <sheetView workbookViewId="0">
      <selection activeCell="M25" sqref="M25"/>
    </sheetView>
  </sheetViews>
  <sheetFormatPr baseColWidth="10" defaultRowHeight="15" x14ac:dyDescent="0.25"/>
  <sheetData>
    <row r="1" spans="1:23" ht="15.75" x14ac:dyDescent="0.25">
      <c r="A1" s="2" t="s">
        <v>204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84</v>
      </c>
      <c r="B3" s="6"/>
      <c r="C3" s="7"/>
      <c r="D3" s="8">
        <f t="shared" ref="D3:D22" si="0">B3*C3</f>
        <v>0</v>
      </c>
      <c r="E3" s="6"/>
      <c r="F3" s="7"/>
      <c r="G3" s="8">
        <f t="shared" ref="G3:G22" si="1">E3*F3</f>
        <v>0</v>
      </c>
      <c r="H3" s="6"/>
      <c r="I3" s="7"/>
      <c r="J3" s="8">
        <f t="shared" ref="J3:J22" si="2">H3*I3</f>
        <v>0</v>
      </c>
      <c r="K3" s="6"/>
      <c r="L3" s="7"/>
      <c r="M3" s="8">
        <f t="shared" ref="M3:M22" si="3">K3*L3</f>
        <v>0</v>
      </c>
      <c r="N3" s="6"/>
      <c r="O3" s="7"/>
      <c r="P3" s="8">
        <f t="shared" ref="P3:P22" si="4">N3*O3</f>
        <v>0</v>
      </c>
      <c r="Q3" s="1"/>
      <c r="R3" s="6">
        <f t="shared" ref="R3:R22" si="5">B3+E3+H3+K3+N3</f>
        <v>0</v>
      </c>
      <c r="S3" s="9" t="e">
        <f t="shared" ref="S3:S22" si="6">(D3+G3+J3+M3+P3)/R3</f>
        <v>#DIV/0!</v>
      </c>
      <c r="T3" s="9">
        <f t="shared" ref="T3:T22" si="7">R3/$V$3</f>
        <v>0</v>
      </c>
      <c r="U3" s="9">
        <f>R3 / _xlfn.XLOOKUP(A3, Jungle!A:A, Jungle!AA:AA)</f>
        <v>0</v>
      </c>
      <c r="V3" s="11">
        <f>SUM(R3:R60)</f>
        <v>123</v>
      </c>
      <c r="W3" s="12">
        <f>(SUM(D3:D90)+SUM(G3:G90)+SUM(J3:J90)+SUM(M3:M90)+SUM(P3:P90)) / V3</f>
        <v>0.27647967479674795</v>
      </c>
    </row>
    <row r="4" spans="1:23" x14ac:dyDescent="0.25">
      <c r="A4" s="1" t="s">
        <v>58</v>
      </c>
      <c r="B4" s="6"/>
      <c r="C4" s="7"/>
      <c r="D4" s="8">
        <f t="shared" si="0"/>
        <v>0</v>
      </c>
      <c r="E4" s="6">
        <v>3</v>
      </c>
      <c r="F4" s="7">
        <v>1</v>
      </c>
      <c r="G4" s="8">
        <f t="shared" si="1"/>
        <v>3</v>
      </c>
      <c r="H4" s="6"/>
      <c r="I4" s="7"/>
      <c r="J4" s="8">
        <f t="shared" si="2"/>
        <v>0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3</v>
      </c>
      <c r="S4" s="9">
        <f t="shared" si="6"/>
        <v>1</v>
      </c>
      <c r="T4" s="9">
        <f t="shared" si="7"/>
        <v>2.4390243902439025E-2</v>
      </c>
      <c r="U4" s="9">
        <f>R4 / _xlfn.XLOOKUP(A4, Jungle!A:A, Jungle!AA:AA)</f>
        <v>6.5217391304347824E-2</v>
      </c>
      <c r="V4" s="1"/>
      <c r="W4" s="1"/>
    </row>
    <row r="5" spans="1:23" x14ac:dyDescent="0.25">
      <c r="A5" s="1" t="s">
        <v>73</v>
      </c>
      <c r="B5" s="6"/>
      <c r="C5" s="7"/>
      <c r="D5" s="8">
        <f t="shared" si="0"/>
        <v>0</v>
      </c>
      <c r="E5" s="6">
        <v>2</v>
      </c>
      <c r="F5" s="7">
        <v>1</v>
      </c>
      <c r="G5" s="8">
        <f t="shared" si="1"/>
        <v>2</v>
      </c>
      <c r="H5" s="6"/>
      <c r="I5" s="7"/>
      <c r="J5" s="8">
        <f t="shared" si="2"/>
        <v>0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2</v>
      </c>
      <c r="S5" s="9">
        <f t="shared" si="6"/>
        <v>1</v>
      </c>
      <c r="T5" s="9">
        <f t="shared" si="7"/>
        <v>1.6260162601626018E-2</v>
      </c>
      <c r="U5" s="9">
        <f>R5 / _xlfn.XLOOKUP(A5, Jungle!A:A, Jungle!AA:AA)</f>
        <v>3.5971223021582736E-3</v>
      </c>
      <c r="V5" s="1"/>
      <c r="W5" s="1"/>
    </row>
    <row r="6" spans="1:23" x14ac:dyDescent="0.25">
      <c r="A6" s="1" t="s">
        <v>57</v>
      </c>
      <c r="B6" s="6">
        <v>1</v>
      </c>
      <c r="C6" s="7">
        <v>0</v>
      </c>
      <c r="D6" s="8">
        <f t="shared" si="0"/>
        <v>0</v>
      </c>
      <c r="E6" s="6">
        <v>4</v>
      </c>
      <c r="F6" s="7">
        <v>0.75</v>
      </c>
      <c r="G6" s="8">
        <f t="shared" si="1"/>
        <v>3</v>
      </c>
      <c r="H6" s="6"/>
      <c r="I6" s="7"/>
      <c r="J6" s="8">
        <f t="shared" si="2"/>
        <v>0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4"/>
      <c r="R6" s="6">
        <f t="shared" si="5"/>
        <v>5</v>
      </c>
      <c r="S6" s="9">
        <f t="shared" si="6"/>
        <v>0.6</v>
      </c>
      <c r="T6" s="9">
        <f t="shared" si="7"/>
        <v>4.065040650406504E-2</v>
      </c>
      <c r="U6" s="9">
        <f>R6 / _xlfn.XLOOKUP(A6, Jungle!A:A, Jungle!AA:AA)</f>
        <v>1.1235955056179775E-2</v>
      </c>
      <c r="V6" s="1"/>
      <c r="W6" s="1"/>
    </row>
    <row r="7" spans="1:23" x14ac:dyDescent="0.25">
      <c r="A7" s="1" t="s">
        <v>70</v>
      </c>
      <c r="B7" s="6">
        <v>2</v>
      </c>
      <c r="C7" s="7">
        <v>1</v>
      </c>
      <c r="D7" s="8">
        <f t="shared" si="0"/>
        <v>2</v>
      </c>
      <c r="E7" s="6"/>
      <c r="F7" s="7"/>
      <c r="G7" s="8">
        <f t="shared" si="1"/>
        <v>0</v>
      </c>
      <c r="H7" s="6">
        <v>2</v>
      </c>
      <c r="I7" s="7">
        <v>0</v>
      </c>
      <c r="J7" s="8">
        <f t="shared" si="2"/>
        <v>0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4</v>
      </c>
      <c r="S7" s="9">
        <f t="shared" si="6"/>
        <v>0.5</v>
      </c>
      <c r="T7" s="9">
        <f t="shared" si="7"/>
        <v>3.2520325203252036E-2</v>
      </c>
      <c r="U7" s="9">
        <f>R7 / _xlfn.XLOOKUP(A7, Jungle!A:A, Jungle!AA:AA)</f>
        <v>8.0482897384305842E-3</v>
      </c>
      <c r="V7" s="1"/>
      <c r="W7" s="1"/>
    </row>
    <row r="8" spans="1:23" x14ac:dyDescent="0.25">
      <c r="A8" s="1" t="s">
        <v>87</v>
      </c>
      <c r="B8" s="6"/>
      <c r="C8" s="7"/>
      <c r="D8" s="8">
        <f t="shared" si="0"/>
        <v>0</v>
      </c>
      <c r="E8" s="6"/>
      <c r="F8" s="7"/>
      <c r="G8" s="8">
        <f t="shared" si="1"/>
        <v>0</v>
      </c>
      <c r="H8" s="6">
        <v>6</v>
      </c>
      <c r="I8" s="7">
        <v>0.33300000000000002</v>
      </c>
      <c r="J8" s="8">
        <f t="shared" si="2"/>
        <v>1.9980000000000002</v>
      </c>
      <c r="K8" s="6"/>
      <c r="L8" s="7"/>
      <c r="M8" s="8">
        <f t="shared" si="3"/>
        <v>0</v>
      </c>
      <c r="N8" s="6"/>
      <c r="O8" s="7"/>
      <c r="P8" s="8">
        <f t="shared" si="4"/>
        <v>0</v>
      </c>
      <c r="Q8" s="1"/>
      <c r="R8" s="6">
        <f t="shared" si="5"/>
        <v>6</v>
      </c>
      <c r="S8" s="9">
        <f t="shared" si="6"/>
        <v>0.33300000000000002</v>
      </c>
      <c r="T8" s="9">
        <f t="shared" si="7"/>
        <v>4.878048780487805E-2</v>
      </c>
      <c r="U8" s="9">
        <f>R8 / _xlfn.XLOOKUP(A8, Jungle!A:A, Jungle!AA:AA)</f>
        <v>0.27272727272727271</v>
      </c>
      <c r="V8" s="1"/>
      <c r="W8" s="1"/>
    </row>
    <row r="9" spans="1:23" x14ac:dyDescent="0.25">
      <c r="A9" s="1" t="s">
        <v>26</v>
      </c>
      <c r="B9" s="6"/>
      <c r="C9" s="7"/>
      <c r="D9" s="8">
        <f t="shared" si="0"/>
        <v>0</v>
      </c>
      <c r="E9" s="6">
        <v>32</v>
      </c>
      <c r="F9" s="7">
        <v>0.375</v>
      </c>
      <c r="G9" s="8">
        <f t="shared" si="1"/>
        <v>12</v>
      </c>
      <c r="H9" s="6">
        <v>8</v>
      </c>
      <c r="I9" s="7">
        <v>0.125</v>
      </c>
      <c r="J9" s="8">
        <f t="shared" si="2"/>
        <v>1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1"/>
      <c r="R9" s="6">
        <f t="shared" si="5"/>
        <v>40</v>
      </c>
      <c r="S9" s="9">
        <f t="shared" si="6"/>
        <v>0.32500000000000001</v>
      </c>
      <c r="T9" s="9">
        <f t="shared" si="7"/>
        <v>0.32520325203252032</v>
      </c>
      <c r="U9" s="9">
        <f>R9 / _xlfn.XLOOKUP(A9, Jungle!A:A, Jungle!AA:AA)</f>
        <v>6.2992125984251968E-2</v>
      </c>
      <c r="V9" s="1"/>
      <c r="W9" s="1"/>
    </row>
    <row r="10" spans="1:23" x14ac:dyDescent="0.25">
      <c r="A10" s="1" t="s">
        <v>71</v>
      </c>
      <c r="B10" s="6"/>
      <c r="C10" s="7"/>
      <c r="D10" s="8">
        <f t="shared" si="0"/>
        <v>0</v>
      </c>
      <c r="E10" s="6">
        <v>15</v>
      </c>
      <c r="F10" s="7">
        <v>0.26700000000000002</v>
      </c>
      <c r="G10" s="8">
        <f t="shared" si="1"/>
        <v>4.0049999999999999</v>
      </c>
      <c r="H10" s="6"/>
      <c r="I10" s="7"/>
      <c r="J10" s="8">
        <f t="shared" si="2"/>
        <v>0</v>
      </c>
      <c r="K10" s="6"/>
      <c r="L10" s="7"/>
      <c r="M10" s="8">
        <f t="shared" si="3"/>
        <v>0</v>
      </c>
      <c r="N10" s="6"/>
      <c r="O10" s="7"/>
      <c r="P10" s="8">
        <f t="shared" si="4"/>
        <v>0</v>
      </c>
      <c r="Q10" s="4"/>
      <c r="R10" s="6">
        <f t="shared" si="5"/>
        <v>15</v>
      </c>
      <c r="S10" s="9">
        <f t="shared" si="6"/>
        <v>0.26700000000000002</v>
      </c>
      <c r="T10" s="9">
        <f t="shared" si="7"/>
        <v>0.12195121951219512</v>
      </c>
      <c r="U10" s="9">
        <f>R10 / _xlfn.XLOOKUP(A10, Jungle!A:A, Jungle!AA:AA)</f>
        <v>2.7075812274368231E-2</v>
      </c>
      <c r="V10" s="1"/>
      <c r="W10" s="1"/>
    </row>
    <row r="11" spans="1:23" x14ac:dyDescent="0.25">
      <c r="A11" s="1" t="s">
        <v>69</v>
      </c>
      <c r="B11" s="6"/>
      <c r="C11" s="7"/>
      <c r="D11" s="8">
        <f t="shared" si="0"/>
        <v>0</v>
      </c>
      <c r="E11" s="6">
        <v>6</v>
      </c>
      <c r="F11" s="7">
        <v>0.16700000000000001</v>
      </c>
      <c r="G11" s="8">
        <f t="shared" si="1"/>
        <v>1.002</v>
      </c>
      <c r="H11" s="6">
        <v>4</v>
      </c>
      <c r="I11" s="7">
        <v>0.25</v>
      </c>
      <c r="J11" s="8">
        <f t="shared" si="2"/>
        <v>1</v>
      </c>
      <c r="K11" s="6"/>
      <c r="L11" s="7"/>
      <c r="M11" s="8">
        <f t="shared" si="3"/>
        <v>0</v>
      </c>
      <c r="N11" s="6"/>
      <c r="O11" s="7"/>
      <c r="P11" s="8">
        <f t="shared" si="4"/>
        <v>0</v>
      </c>
      <c r="Q11" s="1"/>
      <c r="R11" s="6">
        <f t="shared" si="5"/>
        <v>10</v>
      </c>
      <c r="S11" s="9">
        <f t="shared" si="6"/>
        <v>0.20019999999999999</v>
      </c>
      <c r="T11" s="9">
        <f t="shared" si="7"/>
        <v>8.1300813008130079E-2</v>
      </c>
      <c r="U11" s="9">
        <f>R11 / _xlfn.XLOOKUP(A11, Jungle!A:A, Jungle!AA:AA)</f>
        <v>2.2271714922048998E-2</v>
      </c>
      <c r="V11" s="1"/>
      <c r="W11" s="1"/>
    </row>
    <row r="12" spans="1:23" x14ac:dyDescent="0.25">
      <c r="A12" s="1" t="s">
        <v>30</v>
      </c>
      <c r="B12" s="6"/>
      <c r="C12" s="7"/>
      <c r="D12" s="8">
        <f t="shared" si="0"/>
        <v>0</v>
      </c>
      <c r="E12" s="6">
        <v>13</v>
      </c>
      <c r="F12" s="7">
        <v>0.154</v>
      </c>
      <c r="G12" s="8">
        <f t="shared" si="1"/>
        <v>2.0019999999999998</v>
      </c>
      <c r="H12" s="6">
        <v>4</v>
      </c>
      <c r="I12" s="7">
        <v>0.25</v>
      </c>
      <c r="J12" s="8">
        <f t="shared" si="2"/>
        <v>1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1"/>
      <c r="R12" s="6">
        <f t="shared" si="5"/>
        <v>17</v>
      </c>
      <c r="S12" s="9">
        <f t="shared" si="6"/>
        <v>0.17658823529411763</v>
      </c>
      <c r="T12" s="9">
        <f t="shared" si="7"/>
        <v>0.13821138211382114</v>
      </c>
      <c r="U12" s="9">
        <f>R12 / _xlfn.XLOOKUP(A12, Jungle!A:A, Jungle!AA:AA)</f>
        <v>4.2394014962593519E-2</v>
      </c>
      <c r="V12" s="1"/>
      <c r="W12" s="1"/>
    </row>
    <row r="13" spans="1:23" x14ac:dyDescent="0.25">
      <c r="A13" s="1" t="s">
        <v>72</v>
      </c>
      <c r="B13" s="6"/>
      <c r="C13" s="7"/>
      <c r="D13" s="8">
        <f t="shared" si="0"/>
        <v>0</v>
      </c>
      <c r="E13" s="6">
        <v>1</v>
      </c>
      <c r="F13" s="7">
        <v>0</v>
      </c>
      <c r="G13" s="8">
        <f t="shared" si="1"/>
        <v>0</v>
      </c>
      <c r="H13" s="6"/>
      <c r="I13" s="7"/>
      <c r="J13" s="8">
        <f t="shared" si="2"/>
        <v>0</v>
      </c>
      <c r="K13" s="6"/>
      <c r="L13" s="7"/>
      <c r="M13" s="8">
        <f t="shared" si="3"/>
        <v>0</v>
      </c>
      <c r="N13" s="6"/>
      <c r="O13" s="7"/>
      <c r="P13" s="8">
        <f t="shared" si="4"/>
        <v>0</v>
      </c>
      <c r="Q13" s="4"/>
      <c r="R13" s="6">
        <f t="shared" si="5"/>
        <v>1</v>
      </c>
      <c r="S13" s="9">
        <f t="shared" si="6"/>
        <v>0</v>
      </c>
      <c r="T13" s="9">
        <f t="shared" si="7"/>
        <v>8.130081300813009E-3</v>
      </c>
      <c r="U13" s="9">
        <f>R13 / _xlfn.XLOOKUP(A13, Jungle!A:A, Jungle!AA:AA)</f>
        <v>5.5248618784530384E-3</v>
      </c>
      <c r="V13" s="1"/>
      <c r="W13" s="1"/>
    </row>
    <row r="14" spans="1:23" x14ac:dyDescent="0.25">
      <c r="A14" s="1" t="s">
        <v>92</v>
      </c>
      <c r="B14" s="6"/>
      <c r="C14" s="7"/>
      <c r="D14" s="8">
        <f t="shared" si="0"/>
        <v>0</v>
      </c>
      <c r="E14" s="6"/>
      <c r="F14" s="7"/>
      <c r="G14" s="8">
        <f t="shared" si="1"/>
        <v>0</v>
      </c>
      <c r="H14" s="6">
        <v>1</v>
      </c>
      <c r="I14" s="7">
        <v>0</v>
      </c>
      <c r="J14" s="8">
        <f t="shared" si="2"/>
        <v>0</v>
      </c>
      <c r="K14" s="6"/>
      <c r="L14" s="7"/>
      <c r="M14" s="8">
        <f t="shared" si="3"/>
        <v>0</v>
      </c>
      <c r="N14" s="6"/>
      <c r="O14" s="7"/>
      <c r="P14" s="8">
        <f t="shared" si="4"/>
        <v>0</v>
      </c>
      <c r="Q14" s="1"/>
      <c r="R14" s="6">
        <f t="shared" si="5"/>
        <v>1</v>
      </c>
      <c r="S14" s="9">
        <f t="shared" si="6"/>
        <v>0</v>
      </c>
      <c r="T14" s="9">
        <f t="shared" si="7"/>
        <v>8.130081300813009E-3</v>
      </c>
      <c r="U14" s="9">
        <f>R14 / _xlfn.XLOOKUP(A14, Jungle!A:A, Jungle!AA:AA)</f>
        <v>0.04</v>
      </c>
      <c r="V14" s="1"/>
      <c r="W14" s="1"/>
    </row>
    <row r="15" spans="1:23" x14ac:dyDescent="0.25">
      <c r="A15" s="1" t="s">
        <v>45</v>
      </c>
      <c r="B15" s="6">
        <v>1</v>
      </c>
      <c r="C15" s="7">
        <v>0</v>
      </c>
      <c r="D15" s="8">
        <f t="shared" si="0"/>
        <v>0</v>
      </c>
      <c r="E15" s="6"/>
      <c r="F15" s="7"/>
      <c r="G15" s="8">
        <f t="shared" si="1"/>
        <v>0</v>
      </c>
      <c r="H15" s="6"/>
      <c r="I15" s="7"/>
      <c r="J15" s="8">
        <f t="shared" si="2"/>
        <v>0</v>
      </c>
      <c r="K15" s="6"/>
      <c r="L15" s="7"/>
      <c r="M15" s="8">
        <f t="shared" si="3"/>
        <v>0</v>
      </c>
      <c r="N15" s="6"/>
      <c r="O15" s="7"/>
      <c r="P15" s="8">
        <f t="shared" si="4"/>
        <v>0</v>
      </c>
      <c r="Q15" s="13"/>
      <c r="R15" s="6">
        <f t="shared" si="5"/>
        <v>1</v>
      </c>
      <c r="S15" s="9">
        <f t="shared" si="6"/>
        <v>0</v>
      </c>
      <c r="T15" s="9">
        <f t="shared" si="7"/>
        <v>8.130081300813009E-3</v>
      </c>
      <c r="U15" s="9">
        <f>R15 / _xlfn.XLOOKUP(A15, Jungle!A:A, Jungle!AA:AA)</f>
        <v>4.1493775933609959E-3</v>
      </c>
      <c r="V15" s="1"/>
      <c r="W15" s="1"/>
    </row>
    <row r="16" spans="1:23" x14ac:dyDescent="0.25">
      <c r="A16" s="1" t="s">
        <v>79</v>
      </c>
      <c r="B16" s="6"/>
      <c r="C16" s="7"/>
      <c r="D16" s="8">
        <f t="shared" si="0"/>
        <v>0</v>
      </c>
      <c r="E16" s="6">
        <v>2</v>
      </c>
      <c r="F16" s="7">
        <v>0</v>
      </c>
      <c r="G16" s="8">
        <f t="shared" si="1"/>
        <v>0</v>
      </c>
      <c r="H16" s="6"/>
      <c r="I16" s="7"/>
      <c r="J16" s="8">
        <f t="shared" si="2"/>
        <v>0</v>
      </c>
      <c r="K16" s="6"/>
      <c r="L16" s="7"/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2</v>
      </c>
      <c r="S16" s="9">
        <f t="shared" si="6"/>
        <v>0</v>
      </c>
      <c r="T16" s="9">
        <f t="shared" si="7"/>
        <v>1.6260162601626018E-2</v>
      </c>
      <c r="U16" s="9">
        <f>R16 / _xlfn.XLOOKUP(A16, Jungle!A:A, Jungle!AA:AA)</f>
        <v>0.04</v>
      </c>
      <c r="V16" s="1"/>
      <c r="W16" s="1"/>
    </row>
    <row r="17" spans="1:23" x14ac:dyDescent="0.25">
      <c r="A17" s="1" t="s">
        <v>83</v>
      </c>
      <c r="B17" s="6"/>
      <c r="C17" s="7"/>
      <c r="D17" s="8">
        <f t="shared" si="0"/>
        <v>0</v>
      </c>
      <c r="E17" s="6"/>
      <c r="F17" s="7"/>
      <c r="G17" s="8">
        <f t="shared" si="1"/>
        <v>0</v>
      </c>
      <c r="H17" s="6">
        <v>5</v>
      </c>
      <c r="I17" s="7">
        <v>0</v>
      </c>
      <c r="J17" s="8">
        <f t="shared" si="2"/>
        <v>0</v>
      </c>
      <c r="K17" s="6"/>
      <c r="L17" s="7"/>
      <c r="M17" s="8">
        <f t="shared" si="3"/>
        <v>0</v>
      </c>
      <c r="N17" s="6"/>
      <c r="O17" s="7"/>
      <c r="P17" s="8">
        <f t="shared" si="4"/>
        <v>0</v>
      </c>
      <c r="Q17" s="1"/>
      <c r="R17" s="6">
        <f t="shared" si="5"/>
        <v>5</v>
      </c>
      <c r="S17" s="9">
        <f t="shared" si="6"/>
        <v>0</v>
      </c>
      <c r="T17" s="9">
        <f t="shared" si="7"/>
        <v>4.065040650406504E-2</v>
      </c>
      <c r="U17" s="9">
        <f>R17 / _xlfn.XLOOKUP(A17, Jungle!A:A, Jungle!AA:AA)</f>
        <v>6.097560975609756E-2</v>
      </c>
      <c r="V17" s="1"/>
      <c r="W17" s="1"/>
    </row>
    <row r="18" spans="1:23" x14ac:dyDescent="0.25">
      <c r="A18" s="1" t="s">
        <v>76</v>
      </c>
      <c r="B18" s="6"/>
      <c r="C18" s="7"/>
      <c r="D18" s="8">
        <f t="shared" si="0"/>
        <v>0</v>
      </c>
      <c r="E18" s="6"/>
      <c r="F18" s="7"/>
      <c r="G18" s="8">
        <f t="shared" si="1"/>
        <v>0</v>
      </c>
      <c r="H18" s="6">
        <v>1</v>
      </c>
      <c r="I18" s="7">
        <v>0</v>
      </c>
      <c r="J18" s="8">
        <f t="shared" si="2"/>
        <v>0</v>
      </c>
      <c r="K18" s="6"/>
      <c r="L18" s="7"/>
      <c r="M18" s="8">
        <f t="shared" si="3"/>
        <v>0</v>
      </c>
      <c r="N18" s="6"/>
      <c r="O18" s="7"/>
      <c r="P18" s="8">
        <f t="shared" si="4"/>
        <v>0</v>
      </c>
      <c r="Q18" s="1"/>
      <c r="R18" s="6">
        <f t="shared" si="5"/>
        <v>1</v>
      </c>
      <c r="S18" s="9">
        <f t="shared" si="6"/>
        <v>0</v>
      </c>
      <c r="T18" s="9">
        <f t="shared" si="7"/>
        <v>8.130081300813009E-3</v>
      </c>
      <c r="U18" s="9">
        <f>R18 / _xlfn.XLOOKUP(A18, Jungle!A:A, Jungle!AA:AA)</f>
        <v>7.5187969924812026E-3</v>
      </c>
      <c r="V18" s="1"/>
      <c r="W18" s="1"/>
    </row>
    <row r="19" spans="1:23" x14ac:dyDescent="0.25">
      <c r="A19" s="1" t="s">
        <v>31</v>
      </c>
      <c r="B19" s="6">
        <v>1</v>
      </c>
      <c r="C19" s="7">
        <v>0</v>
      </c>
      <c r="D19" s="8">
        <f t="shared" si="0"/>
        <v>0</v>
      </c>
      <c r="E19" s="6">
        <v>3</v>
      </c>
      <c r="F19" s="7">
        <v>0</v>
      </c>
      <c r="G19" s="8">
        <f t="shared" si="1"/>
        <v>0</v>
      </c>
      <c r="H19" s="6">
        <v>1</v>
      </c>
      <c r="I19" s="7">
        <v>0</v>
      </c>
      <c r="J19" s="8">
        <f t="shared" si="2"/>
        <v>0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4"/>
      <c r="R19" s="6">
        <f t="shared" si="5"/>
        <v>5</v>
      </c>
      <c r="S19" s="9">
        <f t="shared" si="6"/>
        <v>0</v>
      </c>
      <c r="T19" s="9">
        <f t="shared" si="7"/>
        <v>4.065040650406504E-2</v>
      </c>
      <c r="U19" s="9">
        <f>R19 / _xlfn.XLOOKUP(A19, Jungle!A:A, Jungle!AA:AA)</f>
        <v>1.9083969465648856E-2</v>
      </c>
      <c r="V19" s="1"/>
      <c r="W19" s="1"/>
    </row>
    <row r="20" spans="1:23" x14ac:dyDescent="0.25">
      <c r="A20" s="1" t="s">
        <v>80</v>
      </c>
      <c r="B20" s="6"/>
      <c r="C20" s="7"/>
      <c r="D20" s="8">
        <f t="shared" si="0"/>
        <v>0</v>
      </c>
      <c r="E20" s="6">
        <v>2</v>
      </c>
      <c r="F20" s="7">
        <v>0</v>
      </c>
      <c r="G20" s="8">
        <f t="shared" si="1"/>
        <v>0</v>
      </c>
      <c r="H20" s="6"/>
      <c r="I20" s="7"/>
      <c r="J20" s="8">
        <f t="shared" si="2"/>
        <v>0</v>
      </c>
      <c r="K20" s="6"/>
      <c r="L20" s="7"/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2</v>
      </c>
      <c r="S20" s="9">
        <f t="shared" si="6"/>
        <v>0</v>
      </c>
      <c r="T20" s="9">
        <f t="shared" si="7"/>
        <v>1.6260162601626018E-2</v>
      </c>
      <c r="U20" s="9">
        <f>R20 / _xlfn.XLOOKUP(A20, Jungle!A:A, Jungle!AA:AA)</f>
        <v>2.1739130434782608E-2</v>
      </c>
      <c r="V20" s="1"/>
      <c r="W20" s="1"/>
    </row>
    <row r="21" spans="1:23" x14ac:dyDescent="0.25">
      <c r="A21" s="1" t="s">
        <v>195</v>
      </c>
      <c r="B21" s="6"/>
      <c r="C21" s="7"/>
      <c r="D21" s="8">
        <f t="shared" si="0"/>
        <v>0</v>
      </c>
      <c r="E21" s="6"/>
      <c r="F21" s="7"/>
      <c r="G21" s="8">
        <f t="shared" si="1"/>
        <v>0</v>
      </c>
      <c r="H21" s="6">
        <v>2</v>
      </c>
      <c r="I21" s="7">
        <v>0</v>
      </c>
      <c r="J21" s="8">
        <f t="shared" si="2"/>
        <v>0</v>
      </c>
      <c r="K21" s="6"/>
      <c r="L21" s="7"/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2</v>
      </c>
      <c r="S21" s="9">
        <f t="shared" si="6"/>
        <v>0</v>
      </c>
      <c r="T21" s="9">
        <f t="shared" si="7"/>
        <v>1.6260162601626018E-2</v>
      </c>
      <c r="U21" s="9">
        <f>R21 / _xlfn.XLOOKUP(A21, Jungle!A:A, Jungle!AA:AA)</f>
        <v>3.3333333333333333E-2</v>
      </c>
      <c r="V21" s="1"/>
      <c r="W21" s="1"/>
    </row>
    <row r="22" spans="1:23" x14ac:dyDescent="0.25">
      <c r="A22" s="1" t="s">
        <v>100</v>
      </c>
      <c r="B22" s="6"/>
      <c r="C22" s="7"/>
      <c r="D22" s="8">
        <f t="shared" si="0"/>
        <v>0</v>
      </c>
      <c r="E22" s="6"/>
      <c r="F22" s="7"/>
      <c r="G22" s="8">
        <f t="shared" si="1"/>
        <v>0</v>
      </c>
      <c r="H22" s="6">
        <v>1</v>
      </c>
      <c r="I22" s="7">
        <v>0</v>
      </c>
      <c r="J22" s="8">
        <f t="shared" si="2"/>
        <v>0</v>
      </c>
      <c r="K22" s="6"/>
      <c r="L22" s="7"/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1</v>
      </c>
      <c r="S22" s="9">
        <f t="shared" si="6"/>
        <v>0</v>
      </c>
      <c r="T22" s="9">
        <f t="shared" si="7"/>
        <v>8.130081300813009E-3</v>
      </c>
      <c r="U22" s="9">
        <f>R22 / _xlfn.XLOOKUP(A22, Jungle!A:A, Jungle!AA:AA)</f>
        <v>0.1</v>
      </c>
      <c r="V22" s="1"/>
      <c r="W22" s="1"/>
    </row>
    <row r="23" spans="1:23" x14ac:dyDescent="0.25">
      <c r="B23" s="6"/>
      <c r="C23" s="7"/>
      <c r="D23" s="8">
        <f t="shared" ref="D23:D24" si="8">B23*C23</f>
        <v>0</v>
      </c>
      <c r="E23" s="6"/>
      <c r="F23" s="7"/>
      <c r="G23" s="8">
        <f t="shared" ref="G23:G24" si="9">E23*F23</f>
        <v>0</v>
      </c>
      <c r="H23" s="6"/>
      <c r="I23" s="7"/>
      <c r="J23" s="8">
        <f t="shared" ref="J23:J24" si="10">H23*I23</f>
        <v>0</v>
      </c>
      <c r="K23" s="6"/>
      <c r="L23" s="7"/>
      <c r="M23" s="8">
        <f t="shared" ref="M23:M24" si="11">K23*L23</f>
        <v>0</v>
      </c>
      <c r="N23" s="6"/>
      <c r="O23" s="7"/>
      <c r="P23" s="8">
        <f t="shared" ref="P23:P24" si="12">N23*O23</f>
        <v>0</v>
      </c>
      <c r="Q23" s="1"/>
      <c r="R23" s="6">
        <f t="shared" ref="R23:R24" si="13">B23+E23+H23+K23+N23</f>
        <v>0</v>
      </c>
      <c r="S23" s="9" t="e">
        <f t="shared" ref="S23:S24" si="14">(D23+G23+J23+M23+P23)/R23</f>
        <v>#DIV/0!</v>
      </c>
      <c r="T23" s="9">
        <f t="shared" ref="T23:T24" si="15">R23/$V$3</f>
        <v>0</v>
      </c>
      <c r="U23" s="9" t="e">
        <f>R23 / _xlfn.XLOOKUP(A23, Jungle!A:A, Jungle!AA:AA)</f>
        <v>#DIV/0!</v>
      </c>
      <c r="V23" s="1"/>
      <c r="W23" s="1"/>
    </row>
    <row r="24" spans="1:23" x14ac:dyDescent="0.25">
      <c r="B24" s="6"/>
      <c r="C24" s="7"/>
      <c r="D24" s="8">
        <f t="shared" si="8"/>
        <v>0</v>
      </c>
      <c r="E24" s="6"/>
      <c r="F24" s="7"/>
      <c r="G24" s="8">
        <f t="shared" si="9"/>
        <v>0</v>
      </c>
      <c r="H24" s="6"/>
      <c r="I24" s="7"/>
      <c r="J24" s="8">
        <f t="shared" si="10"/>
        <v>0</v>
      </c>
      <c r="K24" s="6"/>
      <c r="L24" s="7"/>
      <c r="M24" s="8">
        <f t="shared" si="11"/>
        <v>0</v>
      </c>
      <c r="N24" s="6"/>
      <c r="O24" s="7"/>
      <c r="P24" s="8">
        <f t="shared" si="12"/>
        <v>0</v>
      </c>
      <c r="Q24" s="1"/>
      <c r="R24" s="6">
        <f t="shared" si="13"/>
        <v>0</v>
      </c>
      <c r="S24" s="9" t="e">
        <f t="shared" si="14"/>
        <v>#DIV/0!</v>
      </c>
      <c r="T24" s="9">
        <f t="shared" si="15"/>
        <v>0</v>
      </c>
      <c r="U24" s="9" t="e">
        <f>R24 / _xlfn.XLOOKUP(A24, Jungle!A:A, Jungle!AA:AA)</f>
        <v>#DIV/0!</v>
      </c>
      <c r="V24" s="1"/>
      <c r="W24" s="1"/>
    </row>
    <row r="25" spans="1:23" x14ac:dyDescent="0.25">
      <c r="N25" s="6"/>
      <c r="O25" s="7"/>
      <c r="P25" s="8">
        <f t="shared" ref="P25:P46" si="16">N25*O25</f>
        <v>0</v>
      </c>
      <c r="Q25" s="1"/>
      <c r="R25" s="6">
        <f t="shared" ref="R25:R46" si="17">B25+E25+H25+K25+N25</f>
        <v>0</v>
      </c>
      <c r="S25" s="9" t="e">
        <f t="shared" ref="S25:S46" si="18">(D25+G25+J25+M25+P25)/R25</f>
        <v>#DIV/0!</v>
      </c>
      <c r="T25" s="9">
        <f t="shared" ref="T25:T46" si="19">R25/$V$3</f>
        <v>0</v>
      </c>
      <c r="U25" s="9" t="e">
        <f>R25 / _xlfn.XLOOKUP(A25, Jungle!A:A, Jungle!AA:AA)</f>
        <v>#DIV/0!</v>
      </c>
      <c r="V25" s="1"/>
      <c r="W25" s="1"/>
    </row>
    <row r="26" spans="1:23" x14ac:dyDescent="0.25">
      <c r="N26" s="6"/>
      <c r="O26" s="7"/>
      <c r="P26" s="8">
        <f t="shared" si="16"/>
        <v>0</v>
      </c>
      <c r="Q26" s="1"/>
      <c r="R26" s="6">
        <f t="shared" si="17"/>
        <v>0</v>
      </c>
      <c r="S26" s="9" t="e">
        <f t="shared" si="18"/>
        <v>#DIV/0!</v>
      </c>
      <c r="T26" s="9">
        <f t="shared" si="19"/>
        <v>0</v>
      </c>
      <c r="U26" s="9" t="e">
        <f>R26 / _xlfn.XLOOKUP(A26, Jungle!A:A, Jungle!AA:AA)</f>
        <v>#DIV/0!</v>
      </c>
      <c r="V26" s="1"/>
      <c r="W26" s="1"/>
    </row>
    <row r="27" spans="1:23" x14ac:dyDescent="0.25">
      <c r="N27" s="6"/>
      <c r="O27" s="7"/>
      <c r="P27" s="8">
        <f t="shared" si="16"/>
        <v>0</v>
      </c>
      <c r="Q27" s="1"/>
      <c r="R27" s="6">
        <f t="shared" si="17"/>
        <v>0</v>
      </c>
      <c r="S27" s="9" t="e">
        <f t="shared" si="18"/>
        <v>#DIV/0!</v>
      </c>
      <c r="T27" s="9">
        <f t="shared" si="19"/>
        <v>0</v>
      </c>
      <c r="U27" s="9" t="e">
        <f>R27 / _xlfn.XLOOKUP(A27, Jungle!A:A, Jungle!AA:AA)</f>
        <v>#DIV/0!</v>
      </c>
      <c r="V27" s="1"/>
      <c r="W27" s="1"/>
    </row>
    <row r="28" spans="1:23" x14ac:dyDescent="0.25">
      <c r="N28" s="6"/>
      <c r="O28" s="7"/>
      <c r="P28" s="8">
        <f t="shared" si="16"/>
        <v>0</v>
      </c>
      <c r="Q28" s="1"/>
      <c r="R28" s="6">
        <f t="shared" si="17"/>
        <v>0</v>
      </c>
      <c r="S28" s="9" t="e">
        <f t="shared" si="18"/>
        <v>#DIV/0!</v>
      </c>
      <c r="T28" s="9">
        <f t="shared" si="19"/>
        <v>0</v>
      </c>
      <c r="U28" s="9" t="e">
        <f>R28 / _xlfn.XLOOKUP(A28, Jungle!A:A, Jungle!AA:AA)</f>
        <v>#DIV/0!</v>
      </c>
      <c r="V28" s="1"/>
      <c r="W28" s="1"/>
    </row>
    <row r="29" spans="1:23" x14ac:dyDescent="0.25">
      <c r="N29" s="6"/>
      <c r="O29" s="7"/>
      <c r="P29" s="8">
        <f t="shared" si="16"/>
        <v>0</v>
      </c>
      <c r="Q29" s="1"/>
      <c r="R29" s="6">
        <f t="shared" si="17"/>
        <v>0</v>
      </c>
      <c r="S29" s="9" t="e">
        <f t="shared" si="18"/>
        <v>#DIV/0!</v>
      </c>
      <c r="T29" s="9">
        <f t="shared" si="19"/>
        <v>0</v>
      </c>
      <c r="U29" s="9" t="e">
        <f>R29 / _xlfn.XLOOKUP(A29, Jungle!A:A, Jungle!AA:AA)</f>
        <v>#DIV/0!</v>
      </c>
      <c r="V29" s="1"/>
      <c r="W29" s="1"/>
    </row>
    <row r="30" spans="1:23" x14ac:dyDescent="0.25">
      <c r="N30" s="6"/>
      <c r="O30" s="7"/>
      <c r="P30" s="8">
        <f t="shared" si="16"/>
        <v>0</v>
      </c>
      <c r="Q30" s="1"/>
      <c r="R30" s="6">
        <f t="shared" si="17"/>
        <v>0</v>
      </c>
      <c r="S30" s="9" t="e">
        <f t="shared" si="18"/>
        <v>#DIV/0!</v>
      </c>
      <c r="T30" s="9">
        <f t="shared" si="19"/>
        <v>0</v>
      </c>
      <c r="U30" s="9" t="e">
        <f>R30 / _xlfn.XLOOKUP(A30, Jungle!A:A, Jungle!AA:AA)</f>
        <v>#DIV/0!</v>
      </c>
    </row>
    <row r="31" spans="1:23" x14ac:dyDescent="0.25">
      <c r="N31" s="6"/>
      <c r="O31" s="7"/>
      <c r="P31" s="8">
        <f t="shared" si="16"/>
        <v>0</v>
      </c>
      <c r="Q31" s="1"/>
      <c r="R31" s="6">
        <f t="shared" si="17"/>
        <v>0</v>
      </c>
      <c r="S31" s="9" t="e">
        <f t="shared" si="18"/>
        <v>#DIV/0!</v>
      </c>
      <c r="T31" s="9">
        <f t="shared" si="19"/>
        <v>0</v>
      </c>
      <c r="U31" s="9" t="e">
        <f>R31 / _xlfn.XLOOKUP(A31, Jungle!A:A, Jungle!AA:AA)</f>
        <v>#DIV/0!</v>
      </c>
    </row>
    <row r="32" spans="1:23" x14ac:dyDescent="0.25">
      <c r="N32" s="6"/>
      <c r="O32" s="7"/>
      <c r="P32" s="8">
        <f t="shared" si="16"/>
        <v>0</v>
      </c>
      <c r="Q32" s="1"/>
      <c r="R32" s="6">
        <f t="shared" si="17"/>
        <v>0</v>
      </c>
      <c r="S32" s="9" t="e">
        <f t="shared" si="18"/>
        <v>#DIV/0!</v>
      </c>
      <c r="T32" s="9">
        <f t="shared" si="19"/>
        <v>0</v>
      </c>
      <c r="U32" s="9" t="e">
        <f>R32 / _xlfn.XLOOKUP(A32, Jungle!A:A, Jungle!AA:AA)</f>
        <v>#DIV/0!</v>
      </c>
    </row>
    <row r="33" spans="14:21" x14ac:dyDescent="0.25">
      <c r="N33" s="6"/>
      <c r="O33" s="7"/>
      <c r="P33" s="8">
        <f t="shared" si="16"/>
        <v>0</v>
      </c>
      <c r="Q33" s="1"/>
      <c r="R33" s="6">
        <f t="shared" si="17"/>
        <v>0</v>
      </c>
      <c r="S33" s="9" t="e">
        <f t="shared" si="18"/>
        <v>#DIV/0!</v>
      </c>
      <c r="T33" s="9">
        <f t="shared" si="19"/>
        <v>0</v>
      </c>
      <c r="U33" s="9" t="e">
        <f>R33 / _xlfn.XLOOKUP(A33, Jungle!A:A, Jungle!AA:AA)</f>
        <v>#DIV/0!</v>
      </c>
    </row>
    <row r="34" spans="14:21" x14ac:dyDescent="0.25">
      <c r="N34" s="6"/>
      <c r="O34" s="7"/>
      <c r="P34" s="8">
        <f t="shared" si="16"/>
        <v>0</v>
      </c>
      <c r="Q34" s="1"/>
      <c r="R34" s="6">
        <f t="shared" si="17"/>
        <v>0</v>
      </c>
      <c r="S34" s="9" t="e">
        <f t="shared" si="18"/>
        <v>#DIV/0!</v>
      </c>
      <c r="T34" s="9">
        <f t="shared" si="19"/>
        <v>0</v>
      </c>
      <c r="U34" s="9" t="e">
        <f>R34 / _xlfn.XLOOKUP(A34, Jungle!A:A, Jungle!AA:AA)</f>
        <v>#DIV/0!</v>
      </c>
    </row>
    <row r="35" spans="14:21" x14ac:dyDescent="0.25">
      <c r="N35" s="6"/>
      <c r="O35" s="7"/>
      <c r="P35" s="8">
        <f t="shared" si="16"/>
        <v>0</v>
      </c>
      <c r="Q35" s="1"/>
      <c r="R35" s="6">
        <f t="shared" si="17"/>
        <v>0</v>
      </c>
      <c r="S35" s="9" t="e">
        <f t="shared" si="18"/>
        <v>#DIV/0!</v>
      </c>
      <c r="T35" s="9">
        <f t="shared" si="19"/>
        <v>0</v>
      </c>
      <c r="U35" s="9" t="e">
        <f>R35 / _xlfn.XLOOKUP(A35, Jungle!A:A, Jungle!AA:AA)</f>
        <v>#DIV/0!</v>
      </c>
    </row>
    <row r="36" spans="14:21" x14ac:dyDescent="0.25">
      <c r="N36" s="6"/>
      <c r="O36" s="7"/>
      <c r="P36" s="8">
        <f t="shared" si="16"/>
        <v>0</v>
      </c>
      <c r="Q36" s="1"/>
      <c r="R36" s="6">
        <f t="shared" si="17"/>
        <v>0</v>
      </c>
      <c r="S36" s="9" t="e">
        <f t="shared" si="18"/>
        <v>#DIV/0!</v>
      </c>
      <c r="T36" s="9">
        <f t="shared" si="19"/>
        <v>0</v>
      </c>
      <c r="U36" s="9" t="e">
        <f>R36 / _xlfn.XLOOKUP(A36, Jungle!A:A, Jungle!AA:AA)</f>
        <v>#DIV/0!</v>
      </c>
    </row>
    <row r="37" spans="14:21" x14ac:dyDescent="0.25">
      <c r="N37" s="6"/>
      <c r="O37" s="7"/>
      <c r="P37" s="8">
        <f t="shared" si="16"/>
        <v>0</v>
      </c>
      <c r="Q37" s="1"/>
      <c r="R37" s="6">
        <f t="shared" si="17"/>
        <v>0</v>
      </c>
      <c r="S37" s="9" t="e">
        <f t="shared" si="18"/>
        <v>#DIV/0!</v>
      </c>
      <c r="T37" s="9">
        <f t="shared" si="19"/>
        <v>0</v>
      </c>
      <c r="U37" s="9" t="e">
        <f>R37 / _xlfn.XLOOKUP(A37, Jungle!A:A, Jungle!AA:AA)</f>
        <v>#DIV/0!</v>
      </c>
    </row>
    <row r="38" spans="14:21" x14ac:dyDescent="0.25">
      <c r="N38" s="6"/>
      <c r="O38" s="7"/>
      <c r="P38" s="8">
        <f t="shared" si="16"/>
        <v>0</v>
      </c>
      <c r="Q38" s="1"/>
      <c r="R38" s="6">
        <f t="shared" si="17"/>
        <v>0</v>
      </c>
      <c r="S38" s="9" t="e">
        <f t="shared" si="18"/>
        <v>#DIV/0!</v>
      </c>
      <c r="T38" s="9">
        <f t="shared" si="19"/>
        <v>0</v>
      </c>
      <c r="U38" s="9" t="e">
        <f>R38 / _xlfn.XLOOKUP(A38, Jungle!A:A, Jungle!AA:AA)</f>
        <v>#DIV/0!</v>
      </c>
    </row>
    <row r="39" spans="14:21" x14ac:dyDescent="0.25">
      <c r="N39" s="6"/>
      <c r="O39" s="7"/>
      <c r="P39" s="8">
        <f t="shared" si="16"/>
        <v>0</v>
      </c>
      <c r="Q39" s="1"/>
      <c r="R39" s="6">
        <f t="shared" si="17"/>
        <v>0</v>
      </c>
      <c r="S39" s="9" t="e">
        <f t="shared" si="18"/>
        <v>#DIV/0!</v>
      </c>
      <c r="T39" s="9">
        <f t="shared" si="19"/>
        <v>0</v>
      </c>
      <c r="U39" s="9" t="e">
        <f>R39 / _xlfn.XLOOKUP(A39, Jungle!A:A, Jungle!AA:AA)</f>
        <v>#DIV/0!</v>
      </c>
    </row>
    <row r="40" spans="14:21" x14ac:dyDescent="0.25">
      <c r="N40" s="6"/>
      <c r="O40" s="7"/>
      <c r="P40" s="8">
        <f t="shared" si="16"/>
        <v>0</v>
      </c>
      <c r="Q40" s="1"/>
      <c r="R40" s="6">
        <f t="shared" si="17"/>
        <v>0</v>
      </c>
      <c r="S40" s="9" t="e">
        <f t="shared" si="18"/>
        <v>#DIV/0!</v>
      </c>
      <c r="T40" s="9">
        <f t="shared" si="19"/>
        <v>0</v>
      </c>
      <c r="U40" s="9" t="e">
        <f>R40 / _xlfn.XLOOKUP(A40, Jungle!A:A, Jungle!AA:AA)</f>
        <v>#DIV/0!</v>
      </c>
    </row>
    <row r="41" spans="14:21" x14ac:dyDescent="0.25">
      <c r="N41" s="6"/>
      <c r="O41" s="7"/>
      <c r="P41" s="8">
        <f t="shared" si="16"/>
        <v>0</v>
      </c>
      <c r="Q41" s="1"/>
      <c r="R41" s="6">
        <f t="shared" si="17"/>
        <v>0</v>
      </c>
      <c r="S41" s="9" t="e">
        <f t="shared" si="18"/>
        <v>#DIV/0!</v>
      </c>
      <c r="T41" s="9">
        <f t="shared" si="19"/>
        <v>0</v>
      </c>
      <c r="U41" s="9" t="e">
        <f>R41 / _xlfn.XLOOKUP(A41, Jungle!A:A, Jungle!AA:AA)</f>
        <v>#DIV/0!</v>
      </c>
    </row>
    <row r="42" spans="14:21" x14ac:dyDescent="0.25">
      <c r="N42" s="6"/>
      <c r="O42" s="7"/>
      <c r="P42" s="8">
        <f t="shared" si="16"/>
        <v>0</v>
      </c>
      <c r="Q42" s="1"/>
      <c r="R42" s="6">
        <f t="shared" si="17"/>
        <v>0</v>
      </c>
      <c r="S42" s="9" t="e">
        <f t="shared" si="18"/>
        <v>#DIV/0!</v>
      </c>
      <c r="T42" s="9">
        <f t="shared" si="19"/>
        <v>0</v>
      </c>
      <c r="U42" s="9" t="e">
        <f>R42 / _xlfn.XLOOKUP(A42, Jungle!A:A, Jungle!AA:AA)</f>
        <v>#DIV/0!</v>
      </c>
    </row>
    <row r="43" spans="14:21" x14ac:dyDescent="0.25">
      <c r="N43" s="6"/>
      <c r="O43" s="7"/>
      <c r="P43" s="8">
        <f t="shared" si="16"/>
        <v>0</v>
      </c>
      <c r="Q43" s="1"/>
      <c r="R43" s="6">
        <f t="shared" si="17"/>
        <v>0</v>
      </c>
      <c r="S43" s="9" t="e">
        <f t="shared" si="18"/>
        <v>#DIV/0!</v>
      </c>
      <c r="T43" s="9">
        <f t="shared" si="19"/>
        <v>0</v>
      </c>
      <c r="U43" s="9" t="e">
        <f>R43 / _xlfn.XLOOKUP(A43, Jungle!A:A, Jungle!AA:AA)</f>
        <v>#DIV/0!</v>
      </c>
    </row>
    <row r="44" spans="14:21" x14ac:dyDescent="0.25">
      <c r="N44" s="6"/>
      <c r="O44" s="7"/>
      <c r="P44" s="8">
        <f t="shared" si="16"/>
        <v>0</v>
      </c>
      <c r="Q44" s="1"/>
      <c r="R44" s="6">
        <f t="shared" si="17"/>
        <v>0</v>
      </c>
      <c r="S44" s="9" t="e">
        <f t="shared" si="18"/>
        <v>#DIV/0!</v>
      </c>
      <c r="T44" s="9">
        <f t="shared" si="19"/>
        <v>0</v>
      </c>
      <c r="U44" s="9" t="e">
        <f>R44 / _xlfn.XLOOKUP(A44, Jungle!A:A, Jungle!AA:AA)</f>
        <v>#DIV/0!</v>
      </c>
    </row>
    <row r="45" spans="14:21" x14ac:dyDescent="0.25">
      <c r="N45" s="6"/>
      <c r="O45" s="7"/>
      <c r="P45" s="8">
        <f t="shared" si="16"/>
        <v>0</v>
      </c>
      <c r="Q45" s="1"/>
      <c r="R45" s="6">
        <f t="shared" si="17"/>
        <v>0</v>
      </c>
      <c r="S45" s="9" t="e">
        <f t="shared" si="18"/>
        <v>#DIV/0!</v>
      </c>
      <c r="T45" s="9">
        <f t="shared" si="19"/>
        <v>0</v>
      </c>
      <c r="U45" s="9" t="e">
        <f>R45 / _xlfn.XLOOKUP(A45, Jungle!A:A, Jungle!AA:AA)</f>
        <v>#DIV/0!</v>
      </c>
    </row>
    <row r="46" spans="14:21" x14ac:dyDescent="0.25">
      <c r="N46" s="6"/>
      <c r="O46" s="7"/>
      <c r="P46" s="8">
        <f t="shared" si="16"/>
        <v>0</v>
      </c>
      <c r="Q46" s="1"/>
      <c r="R46" s="6">
        <f t="shared" si="17"/>
        <v>0</v>
      </c>
      <c r="S46" s="9" t="e">
        <f t="shared" si="18"/>
        <v>#DIV/0!</v>
      </c>
      <c r="T46" s="9">
        <f t="shared" si="19"/>
        <v>0</v>
      </c>
      <c r="U46" s="9" t="e">
        <f>R46 / _xlfn.XLOOKUP(A46, Jungle!A:A, Jungle!AA:AA)</f>
        <v>#DIV/0!</v>
      </c>
    </row>
  </sheetData>
  <sortState xmlns:xlrd2="http://schemas.microsoft.com/office/spreadsheetml/2017/richdata2" ref="A3:U22">
    <sortCondition descending="1" ref="S3:S22"/>
  </sortState>
  <pageMargins left="0.7" right="0.7" top="0.78740157499999996" bottom="0.78740157499999996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B85B-EFC5-4C3A-951B-322666C1EBDF}">
  <sheetPr>
    <tabColor theme="7" tint="0.59999389629810485"/>
  </sheetPr>
  <dimension ref="A1:W49"/>
  <sheetViews>
    <sheetView topLeftCell="A10" workbookViewId="0">
      <selection activeCell="U3" sqref="U3:U43"/>
    </sheetView>
  </sheetViews>
  <sheetFormatPr baseColWidth="10" defaultRowHeight="15" x14ac:dyDescent="0.25"/>
  <sheetData>
    <row r="1" spans="1:23" ht="15.75" x14ac:dyDescent="0.25">
      <c r="A1" s="2" t="s">
        <v>131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9</v>
      </c>
      <c r="B3" s="6"/>
      <c r="C3" s="7"/>
      <c r="D3" s="8">
        <f t="shared" ref="D3:D23" si="0">B3*C3</f>
        <v>0</v>
      </c>
      <c r="E3" s="6"/>
      <c r="F3" s="7"/>
      <c r="G3" s="8">
        <f t="shared" ref="G3:G23" si="1">E3*F3</f>
        <v>0</v>
      </c>
      <c r="H3" s="6"/>
      <c r="I3" s="7"/>
      <c r="J3" s="8">
        <f t="shared" ref="J3:J23" si="2">H3*I3</f>
        <v>0</v>
      </c>
      <c r="K3" s="6"/>
      <c r="L3" s="7"/>
      <c r="M3" s="8">
        <f t="shared" ref="M3:M23" si="3">K3*L3</f>
        <v>0</v>
      </c>
      <c r="N3" s="6"/>
      <c r="O3" s="7"/>
      <c r="P3" s="8">
        <f t="shared" ref="P3:P23" si="4">N3*O3</f>
        <v>0</v>
      </c>
      <c r="Q3" s="1"/>
      <c r="R3" s="6">
        <f t="shared" ref="R3:R23" si="5">B3+E3+H3+K3+N3</f>
        <v>0</v>
      </c>
      <c r="S3" s="9" t="e">
        <f t="shared" ref="S3:S23" si="6">(D3+G3+J3+M3+P3)/R3</f>
        <v>#DIV/0!</v>
      </c>
      <c r="T3" s="9">
        <f t="shared" ref="T3:T23" si="7">R3/$V$3</f>
        <v>0</v>
      </c>
      <c r="U3" s="9">
        <f>R3 / _xlfn.XLOOKUP(A3, Mid!A:A, Mid!AA:AA)</f>
        <v>0</v>
      </c>
      <c r="V3" s="11">
        <f>SUM(R3:R59)</f>
        <v>446</v>
      </c>
      <c r="W3" s="12">
        <f>(SUM(D3:D89)+SUM(G3:G89)+SUM(J3:J89)+SUM(M3:M89)+SUM(P3:P89)) / V3</f>
        <v>0.53135874439461883</v>
      </c>
    </row>
    <row r="4" spans="1:23" x14ac:dyDescent="0.25">
      <c r="A4" s="1" t="s">
        <v>24</v>
      </c>
      <c r="B4" s="6"/>
      <c r="C4" s="7"/>
      <c r="D4" s="8">
        <f t="shared" si="0"/>
        <v>0</v>
      </c>
      <c r="E4" s="6">
        <v>1</v>
      </c>
      <c r="F4" s="7">
        <v>1</v>
      </c>
      <c r="G4" s="8">
        <f t="shared" si="1"/>
        <v>1</v>
      </c>
      <c r="H4" s="6"/>
      <c r="I4" s="7"/>
      <c r="J4" s="8">
        <f t="shared" si="2"/>
        <v>0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4"/>
      <c r="R4" s="6">
        <f t="shared" si="5"/>
        <v>1</v>
      </c>
      <c r="S4" s="9">
        <f t="shared" si="6"/>
        <v>1</v>
      </c>
      <c r="T4" s="9">
        <f t="shared" si="7"/>
        <v>2.242152466367713E-3</v>
      </c>
      <c r="U4" s="9">
        <f>R4 / _xlfn.XLOOKUP(A4, Mid!A:A, Mid!AA:AA)</f>
        <v>0.1</v>
      </c>
      <c r="V4" s="1"/>
      <c r="W4" s="1"/>
    </row>
    <row r="5" spans="1:23" x14ac:dyDescent="0.25">
      <c r="A5" s="1" t="s">
        <v>111</v>
      </c>
      <c r="B5" s="6">
        <v>1</v>
      </c>
      <c r="C5" s="7">
        <v>1</v>
      </c>
      <c r="D5" s="8">
        <f t="shared" si="0"/>
        <v>1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1</v>
      </c>
      <c r="S5" s="9">
        <f t="shared" si="6"/>
        <v>1</v>
      </c>
      <c r="T5" s="9">
        <f t="shared" si="7"/>
        <v>2.242152466367713E-3</v>
      </c>
      <c r="U5" s="9">
        <f>R5 / _xlfn.XLOOKUP(A5, Mid!A:A, Mid!AA:AA)</f>
        <v>1.7241379310344827E-2</v>
      </c>
      <c r="V5" s="1"/>
      <c r="W5" s="1"/>
    </row>
    <row r="6" spans="1:23" x14ac:dyDescent="0.25">
      <c r="A6" s="25" t="s">
        <v>233</v>
      </c>
      <c r="B6" s="6"/>
      <c r="C6" s="7"/>
      <c r="D6" s="8">
        <f t="shared" si="0"/>
        <v>0</v>
      </c>
      <c r="E6" s="6"/>
      <c r="F6" s="7"/>
      <c r="G6" s="8">
        <f t="shared" si="1"/>
        <v>0</v>
      </c>
      <c r="H6" s="6"/>
      <c r="I6" s="7"/>
      <c r="J6" s="8">
        <f t="shared" si="2"/>
        <v>0</v>
      </c>
      <c r="K6" s="6">
        <v>1</v>
      </c>
      <c r="L6" s="7">
        <v>1</v>
      </c>
      <c r="M6" s="8">
        <f t="shared" si="3"/>
        <v>1</v>
      </c>
      <c r="N6" s="6"/>
      <c r="O6" s="7"/>
      <c r="P6" s="8">
        <f t="shared" si="4"/>
        <v>0</v>
      </c>
      <c r="Q6" s="1"/>
      <c r="R6" s="6">
        <f t="shared" si="5"/>
        <v>1</v>
      </c>
      <c r="S6" s="9">
        <f t="shared" si="6"/>
        <v>1</v>
      </c>
      <c r="T6" s="9">
        <f t="shared" si="7"/>
        <v>2.242152466367713E-3</v>
      </c>
      <c r="U6" s="9">
        <f>R6 / _xlfn.XLOOKUP(A6, Mid!A:A, Mid!AA:AA)</f>
        <v>0.125</v>
      </c>
      <c r="V6" s="1"/>
      <c r="W6" s="1"/>
    </row>
    <row r="7" spans="1:23" x14ac:dyDescent="0.25">
      <c r="A7" s="1" t="s">
        <v>91</v>
      </c>
      <c r="B7" s="6"/>
      <c r="C7" s="7"/>
      <c r="D7" s="8">
        <f t="shared" si="0"/>
        <v>0</v>
      </c>
      <c r="E7" s="6">
        <v>9</v>
      </c>
      <c r="F7" s="7">
        <v>0.88900000000000001</v>
      </c>
      <c r="G7" s="8">
        <f t="shared" si="1"/>
        <v>8.0009999999999994</v>
      </c>
      <c r="H7" s="6"/>
      <c r="I7" s="7"/>
      <c r="J7" s="8">
        <f t="shared" si="2"/>
        <v>0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9</v>
      </c>
      <c r="S7" s="9">
        <f t="shared" si="6"/>
        <v>0.8889999999999999</v>
      </c>
      <c r="T7" s="9">
        <f t="shared" si="7"/>
        <v>2.0179372197309416E-2</v>
      </c>
      <c r="U7" s="9">
        <f>R7 / _xlfn.XLOOKUP(A7, Mid!A:A, Mid!AA:AA)</f>
        <v>0.13636363636363635</v>
      </c>
      <c r="V7" s="1"/>
      <c r="W7" s="1"/>
    </row>
    <row r="8" spans="1:23" x14ac:dyDescent="0.25">
      <c r="A8" s="1" t="s">
        <v>115</v>
      </c>
      <c r="B8" s="6">
        <v>3</v>
      </c>
      <c r="C8" s="7">
        <v>0.66700000000000004</v>
      </c>
      <c r="D8" s="8">
        <f t="shared" si="0"/>
        <v>2.0010000000000003</v>
      </c>
      <c r="E8" s="6">
        <v>12</v>
      </c>
      <c r="F8" s="7">
        <v>0.66700000000000004</v>
      </c>
      <c r="G8" s="8">
        <f t="shared" si="1"/>
        <v>8.0040000000000013</v>
      </c>
      <c r="H8" s="6">
        <v>3</v>
      </c>
      <c r="I8" s="7">
        <v>0.66700000000000004</v>
      </c>
      <c r="J8" s="8">
        <f t="shared" si="2"/>
        <v>2.0010000000000003</v>
      </c>
      <c r="K8" s="6"/>
      <c r="L8" s="7"/>
      <c r="M8" s="8">
        <f t="shared" si="3"/>
        <v>0</v>
      </c>
      <c r="N8" s="6"/>
      <c r="O8" s="7"/>
      <c r="P8" s="8">
        <f t="shared" si="4"/>
        <v>0</v>
      </c>
      <c r="Q8" s="1"/>
      <c r="R8" s="6">
        <f t="shared" si="5"/>
        <v>18</v>
      </c>
      <c r="S8" s="9">
        <f t="shared" si="6"/>
        <v>0.66700000000000026</v>
      </c>
      <c r="T8" s="9">
        <f t="shared" si="7"/>
        <v>4.0358744394618833E-2</v>
      </c>
      <c r="U8" s="9">
        <f>R8 / _xlfn.XLOOKUP(A8, Mid!A:A, Mid!AA:AA)</f>
        <v>0.35294117647058826</v>
      </c>
      <c r="V8" s="1"/>
      <c r="W8" s="1"/>
    </row>
    <row r="9" spans="1:23" x14ac:dyDescent="0.25">
      <c r="A9" s="25" t="s">
        <v>201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/>
      <c r="I9" s="7"/>
      <c r="J9" s="8">
        <f t="shared" si="2"/>
        <v>0</v>
      </c>
      <c r="K9" s="6">
        <v>6</v>
      </c>
      <c r="L9" s="7">
        <v>0.66700000000000004</v>
      </c>
      <c r="M9" s="8">
        <f t="shared" si="3"/>
        <v>4.0020000000000007</v>
      </c>
      <c r="N9" s="6"/>
      <c r="O9" s="7"/>
      <c r="P9" s="8">
        <f t="shared" si="4"/>
        <v>0</v>
      </c>
      <c r="Q9" s="1"/>
      <c r="R9" s="6">
        <f t="shared" si="5"/>
        <v>6</v>
      </c>
      <c r="S9" s="9">
        <f t="shared" si="6"/>
        <v>0.66700000000000015</v>
      </c>
      <c r="T9" s="9">
        <f t="shared" si="7"/>
        <v>1.3452914798206279E-2</v>
      </c>
      <c r="U9" s="9">
        <f>R9 / _xlfn.XLOOKUP(A9, Mid!A:A, Mid!AA:AA)</f>
        <v>4.7619047619047616E-2</v>
      </c>
      <c r="V9" s="1"/>
      <c r="W9" s="1"/>
    </row>
    <row r="10" spans="1:23" x14ac:dyDescent="0.25">
      <c r="A10" s="1" t="s">
        <v>12</v>
      </c>
      <c r="B10" s="6">
        <v>1</v>
      </c>
      <c r="C10" s="7">
        <v>0</v>
      </c>
      <c r="D10" s="8">
        <f t="shared" si="0"/>
        <v>0</v>
      </c>
      <c r="E10" s="6">
        <v>4</v>
      </c>
      <c r="F10" s="7">
        <v>1</v>
      </c>
      <c r="G10" s="8">
        <f t="shared" si="1"/>
        <v>4</v>
      </c>
      <c r="H10" s="6">
        <v>8</v>
      </c>
      <c r="I10" s="7">
        <v>0.5</v>
      </c>
      <c r="J10" s="8">
        <f t="shared" si="2"/>
        <v>4</v>
      </c>
      <c r="K10" s="6">
        <v>10</v>
      </c>
      <c r="L10" s="7">
        <v>0.7</v>
      </c>
      <c r="M10" s="8">
        <f t="shared" si="3"/>
        <v>7</v>
      </c>
      <c r="N10" s="6"/>
      <c r="O10" s="7"/>
      <c r="P10" s="8">
        <f t="shared" si="4"/>
        <v>0</v>
      </c>
      <c r="Q10" s="1"/>
      <c r="R10" s="6">
        <f t="shared" si="5"/>
        <v>23</v>
      </c>
      <c r="S10" s="9">
        <f t="shared" si="6"/>
        <v>0.65217391304347827</v>
      </c>
      <c r="T10" s="9">
        <f t="shared" si="7"/>
        <v>5.1569506726457402E-2</v>
      </c>
      <c r="U10" s="9">
        <f>R10 / _xlfn.XLOOKUP(A10, Mid!A:A, Mid!AA:AA)</f>
        <v>8.7786259541984726E-2</v>
      </c>
      <c r="V10" s="1"/>
      <c r="W10" s="1"/>
    </row>
    <row r="11" spans="1:23" x14ac:dyDescent="0.25">
      <c r="A11" s="1" t="s">
        <v>113</v>
      </c>
      <c r="B11" s="6"/>
      <c r="C11" s="7"/>
      <c r="D11" s="8">
        <f t="shared" si="0"/>
        <v>0</v>
      </c>
      <c r="E11" s="6">
        <v>12</v>
      </c>
      <c r="F11" s="7">
        <v>0.83299999999999996</v>
      </c>
      <c r="G11" s="8">
        <f t="shared" si="1"/>
        <v>9.9959999999999987</v>
      </c>
      <c r="H11" s="6">
        <v>2</v>
      </c>
      <c r="I11" s="7">
        <v>0.5</v>
      </c>
      <c r="J11" s="8">
        <f t="shared" si="2"/>
        <v>1</v>
      </c>
      <c r="K11" s="6">
        <v>10</v>
      </c>
      <c r="L11" s="7">
        <v>0.4</v>
      </c>
      <c r="M11" s="8">
        <f t="shared" si="3"/>
        <v>4</v>
      </c>
      <c r="N11" s="6"/>
      <c r="O11" s="7"/>
      <c r="P11" s="8">
        <f t="shared" si="4"/>
        <v>0</v>
      </c>
      <c r="Q11" s="4"/>
      <c r="R11" s="6">
        <f t="shared" si="5"/>
        <v>24</v>
      </c>
      <c r="S11" s="9">
        <f t="shared" si="6"/>
        <v>0.62483333333333324</v>
      </c>
      <c r="T11" s="9">
        <f t="shared" si="7"/>
        <v>5.3811659192825115E-2</v>
      </c>
      <c r="U11" s="9">
        <f>R11 / _xlfn.XLOOKUP(A11, Mid!A:A, Mid!AA:AA)</f>
        <v>0.12972972972972974</v>
      </c>
      <c r="V11" s="1"/>
      <c r="W11" s="1"/>
    </row>
    <row r="12" spans="1:23" x14ac:dyDescent="0.25">
      <c r="A12" s="1" t="s">
        <v>39</v>
      </c>
      <c r="B12" s="6"/>
      <c r="C12" s="7"/>
      <c r="D12" s="8">
        <f t="shared" si="0"/>
        <v>0</v>
      </c>
      <c r="E12" s="6">
        <v>5</v>
      </c>
      <c r="F12" s="7">
        <v>0.6</v>
      </c>
      <c r="G12" s="8">
        <f t="shared" si="1"/>
        <v>3</v>
      </c>
      <c r="H12" s="6">
        <v>6</v>
      </c>
      <c r="I12" s="7">
        <v>0.5</v>
      </c>
      <c r="J12" s="8">
        <f t="shared" si="2"/>
        <v>3</v>
      </c>
      <c r="K12" s="6">
        <v>2</v>
      </c>
      <c r="L12" s="7">
        <v>1</v>
      </c>
      <c r="M12" s="8">
        <f t="shared" si="3"/>
        <v>2</v>
      </c>
      <c r="N12" s="6"/>
      <c r="O12" s="7"/>
      <c r="P12" s="8">
        <f t="shared" si="4"/>
        <v>0</v>
      </c>
      <c r="Q12" s="1"/>
      <c r="R12" s="6">
        <f t="shared" si="5"/>
        <v>13</v>
      </c>
      <c r="S12" s="9">
        <f t="shared" si="6"/>
        <v>0.61538461538461542</v>
      </c>
      <c r="T12" s="9">
        <f t="shared" si="7"/>
        <v>2.914798206278027E-2</v>
      </c>
      <c r="U12" s="9">
        <f>R12 / _xlfn.XLOOKUP(A12, Mid!A:A, Mid!AA:AA)</f>
        <v>5.7777777777777775E-2</v>
      </c>
      <c r="V12" s="1"/>
      <c r="W12" s="1"/>
    </row>
    <row r="13" spans="1:23" x14ac:dyDescent="0.25">
      <c r="A13" s="1" t="s">
        <v>110</v>
      </c>
      <c r="B13" s="6">
        <v>2</v>
      </c>
      <c r="C13" s="7">
        <v>0.5</v>
      </c>
      <c r="D13" s="8">
        <f t="shared" si="0"/>
        <v>1</v>
      </c>
      <c r="E13" s="6">
        <v>2</v>
      </c>
      <c r="F13" s="7">
        <v>0.5</v>
      </c>
      <c r="G13" s="8">
        <f t="shared" si="1"/>
        <v>1</v>
      </c>
      <c r="H13" s="6">
        <v>14</v>
      </c>
      <c r="I13" s="7">
        <v>0.64300000000000002</v>
      </c>
      <c r="J13" s="8">
        <f t="shared" si="2"/>
        <v>9.0020000000000007</v>
      </c>
      <c r="K13" s="6">
        <v>5</v>
      </c>
      <c r="L13" s="7">
        <v>0.6</v>
      </c>
      <c r="M13" s="8">
        <f t="shared" si="3"/>
        <v>3</v>
      </c>
      <c r="N13" s="6"/>
      <c r="O13" s="7"/>
      <c r="P13" s="8">
        <f t="shared" si="4"/>
        <v>0</v>
      </c>
      <c r="Q13" s="1"/>
      <c r="R13" s="6">
        <f t="shared" si="5"/>
        <v>23</v>
      </c>
      <c r="S13" s="9">
        <f t="shared" si="6"/>
        <v>0.60878260869565215</v>
      </c>
      <c r="T13" s="9">
        <f t="shared" si="7"/>
        <v>5.1569506726457402E-2</v>
      </c>
      <c r="U13" s="9">
        <f>R13 / _xlfn.XLOOKUP(A13, Mid!A:A, Mid!AA:AA)</f>
        <v>7.5657894736842105E-2</v>
      </c>
      <c r="V13" s="1"/>
      <c r="W13" s="1"/>
    </row>
    <row r="14" spans="1:23" x14ac:dyDescent="0.25">
      <c r="A14" s="1" t="s">
        <v>114</v>
      </c>
      <c r="B14" s="6">
        <v>3</v>
      </c>
      <c r="C14" s="7">
        <v>0.66700000000000004</v>
      </c>
      <c r="D14" s="8">
        <f t="shared" si="0"/>
        <v>2.0010000000000003</v>
      </c>
      <c r="E14" s="6">
        <v>1</v>
      </c>
      <c r="F14" s="7">
        <v>0</v>
      </c>
      <c r="G14" s="8">
        <f t="shared" si="1"/>
        <v>0</v>
      </c>
      <c r="H14" s="6"/>
      <c r="I14" s="7"/>
      <c r="J14" s="8">
        <f t="shared" si="2"/>
        <v>0</v>
      </c>
      <c r="K14" s="6">
        <v>1</v>
      </c>
      <c r="L14" s="7">
        <v>1</v>
      </c>
      <c r="M14" s="8">
        <f t="shared" si="3"/>
        <v>1</v>
      </c>
      <c r="N14" s="6"/>
      <c r="O14" s="7"/>
      <c r="P14" s="8">
        <f t="shared" si="4"/>
        <v>0</v>
      </c>
      <c r="Q14" s="1"/>
      <c r="R14" s="6">
        <f t="shared" si="5"/>
        <v>5</v>
      </c>
      <c r="S14" s="9">
        <f t="shared" si="6"/>
        <v>0.60020000000000007</v>
      </c>
      <c r="T14" s="9">
        <f t="shared" si="7"/>
        <v>1.1210762331838564E-2</v>
      </c>
      <c r="U14" s="9">
        <f>R14 / _xlfn.XLOOKUP(A14, Mid!A:A, Mid!AA:AA)</f>
        <v>5.4945054945054944E-2</v>
      </c>
      <c r="V14" s="1"/>
      <c r="W14" s="1"/>
    </row>
    <row r="15" spans="1:23" x14ac:dyDescent="0.25">
      <c r="A15" s="1" t="s">
        <v>18</v>
      </c>
      <c r="B15" s="6">
        <v>3</v>
      </c>
      <c r="C15" s="7">
        <v>0.33300000000000002</v>
      </c>
      <c r="D15" s="8">
        <f t="shared" si="0"/>
        <v>0.99900000000000011</v>
      </c>
      <c r="E15" s="6">
        <v>11</v>
      </c>
      <c r="F15" s="7">
        <v>0.72699999999999998</v>
      </c>
      <c r="G15" s="8">
        <f t="shared" si="1"/>
        <v>7.9969999999999999</v>
      </c>
      <c r="H15" s="6"/>
      <c r="I15" s="7"/>
      <c r="J15" s="8">
        <f t="shared" si="2"/>
        <v>0</v>
      </c>
      <c r="K15" s="6">
        <v>1</v>
      </c>
      <c r="L15" s="7">
        <v>0</v>
      </c>
      <c r="M15" s="8">
        <f t="shared" si="3"/>
        <v>0</v>
      </c>
      <c r="N15" s="6"/>
      <c r="O15" s="7"/>
      <c r="P15" s="8">
        <f t="shared" si="4"/>
        <v>0</v>
      </c>
      <c r="Q15" s="1"/>
      <c r="R15" s="6">
        <f t="shared" si="5"/>
        <v>15</v>
      </c>
      <c r="S15" s="9">
        <f t="shared" si="6"/>
        <v>0.59973333333333334</v>
      </c>
      <c r="T15" s="9">
        <f t="shared" si="7"/>
        <v>3.3632286995515695E-2</v>
      </c>
      <c r="U15" s="9">
        <f>R15 / _xlfn.XLOOKUP(A15, Mid!A:A, Mid!AA:AA)</f>
        <v>0.15789473684210525</v>
      </c>
      <c r="V15" s="1"/>
      <c r="W15" s="1"/>
    </row>
    <row r="16" spans="1:23" x14ac:dyDescent="0.25">
      <c r="A16" s="1" t="s">
        <v>64</v>
      </c>
      <c r="B16" s="6">
        <v>16</v>
      </c>
      <c r="C16" s="7">
        <v>0.313</v>
      </c>
      <c r="D16" s="8">
        <f t="shared" si="0"/>
        <v>5.008</v>
      </c>
      <c r="E16" s="6">
        <v>27</v>
      </c>
      <c r="F16" s="7">
        <v>0.81499999999999995</v>
      </c>
      <c r="G16" s="8">
        <f t="shared" si="1"/>
        <v>22.004999999999999</v>
      </c>
      <c r="H16" s="6">
        <v>15</v>
      </c>
      <c r="I16" s="7">
        <v>0.53300000000000003</v>
      </c>
      <c r="J16" s="8">
        <f t="shared" si="2"/>
        <v>7.9950000000000001</v>
      </c>
      <c r="K16" s="6">
        <v>10</v>
      </c>
      <c r="L16" s="7">
        <v>0.5</v>
      </c>
      <c r="M16" s="8">
        <f t="shared" si="3"/>
        <v>5</v>
      </c>
      <c r="N16" s="6"/>
      <c r="O16" s="7"/>
      <c r="P16" s="8">
        <f t="shared" si="4"/>
        <v>0</v>
      </c>
      <c r="Q16" s="1"/>
      <c r="R16" s="6">
        <f t="shared" si="5"/>
        <v>68</v>
      </c>
      <c r="S16" s="9">
        <f t="shared" si="6"/>
        <v>0.58835294117647052</v>
      </c>
      <c r="T16" s="9">
        <f t="shared" si="7"/>
        <v>0.15246636771300448</v>
      </c>
      <c r="U16" s="9">
        <f>R16 / _xlfn.XLOOKUP(A16, Mid!A:A, Mid!AA:AA)</f>
        <v>8.9121887287024901E-2</v>
      </c>
      <c r="V16" s="1"/>
      <c r="W16" s="1"/>
    </row>
    <row r="17" spans="1:23" x14ac:dyDescent="0.25">
      <c r="A17" s="1" t="s">
        <v>32</v>
      </c>
      <c r="B17" s="6">
        <v>2</v>
      </c>
      <c r="C17" s="7">
        <v>0.5</v>
      </c>
      <c r="D17" s="8">
        <f t="shared" si="0"/>
        <v>1</v>
      </c>
      <c r="E17" s="6">
        <v>2</v>
      </c>
      <c r="F17" s="7">
        <v>1</v>
      </c>
      <c r="G17" s="8">
        <f t="shared" si="1"/>
        <v>2</v>
      </c>
      <c r="H17" s="6"/>
      <c r="I17" s="7"/>
      <c r="J17" s="8">
        <f t="shared" si="2"/>
        <v>0</v>
      </c>
      <c r="K17" s="6">
        <v>3</v>
      </c>
      <c r="L17" s="7">
        <v>0.33300000000000002</v>
      </c>
      <c r="M17" s="8">
        <f t="shared" si="3"/>
        <v>0.99900000000000011</v>
      </c>
      <c r="N17" s="6"/>
      <c r="O17" s="7"/>
      <c r="P17" s="8">
        <f t="shared" si="4"/>
        <v>0</v>
      </c>
      <c r="Q17" s="1"/>
      <c r="R17" s="6">
        <f t="shared" si="5"/>
        <v>7</v>
      </c>
      <c r="S17" s="9">
        <f t="shared" si="6"/>
        <v>0.57128571428571429</v>
      </c>
      <c r="T17" s="9">
        <f t="shared" si="7"/>
        <v>1.5695067264573991E-2</v>
      </c>
      <c r="U17" s="9">
        <f>R17 / _xlfn.XLOOKUP(A17, Mid!A:A, Mid!AA:AA)</f>
        <v>2.3972602739726026E-2</v>
      </c>
      <c r="V17" s="1"/>
      <c r="W17" s="1"/>
    </row>
    <row r="18" spans="1:23" x14ac:dyDescent="0.25">
      <c r="A18" s="1" t="s">
        <v>107</v>
      </c>
      <c r="B18" s="6">
        <v>8</v>
      </c>
      <c r="C18" s="7">
        <v>0.5</v>
      </c>
      <c r="D18" s="8">
        <f t="shared" si="0"/>
        <v>4</v>
      </c>
      <c r="E18" s="6">
        <v>6</v>
      </c>
      <c r="F18" s="7">
        <v>0.83299999999999996</v>
      </c>
      <c r="G18" s="8">
        <f t="shared" si="1"/>
        <v>4.9979999999999993</v>
      </c>
      <c r="H18" s="6">
        <v>2</v>
      </c>
      <c r="I18" s="7">
        <v>0.5</v>
      </c>
      <c r="J18" s="8">
        <f t="shared" si="2"/>
        <v>1</v>
      </c>
      <c r="K18" s="6">
        <v>14</v>
      </c>
      <c r="L18" s="7">
        <v>0.42899999999999999</v>
      </c>
      <c r="M18" s="8">
        <f t="shared" si="3"/>
        <v>6.0060000000000002</v>
      </c>
      <c r="N18" s="6"/>
      <c r="O18" s="7"/>
      <c r="P18" s="8">
        <f t="shared" si="4"/>
        <v>0</v>
      </c>
      <c r="Q18" s="1"/>
      <c r="R18" s="6">
        <f t="shared" si="5"/>
        <v>30</v>
      </c>
      <c r="S18" s="9">
        <f t="shared" si="6"/>
        <v>0.53346666666666664</v>
      </c>
      <c r="T18" s="9">
        <f t="shared" si="7"/>
        <v>6.726457399103139E-2</v>
      </c>
      <c r="U18" s="9">
        <f>R18 / _xlfn.XLOOKUP(A18, Mid!A:A, Mid!AA:AA)</f>
        <v>5.7915057915057917E-2</v>
      </c>
      <c r="V18" s="1"/>
      <c r="W18" s="1"/>
    </row>
    <row r="19" spans="1:23" x14ac:dyDescent="0.25">
      <c r="A19" s="1" t="s">
        <v>87</v>
      </c>
      <c r="B19" s="6">
        <v>3</v>
      </c>
      <c r="C19" s="7">
        <v>0.33300000000000002</v>
      </c>
      <c r="D19" s="8">
        <f t="shared" si="0"/>
        <v>0.99900000000000011</v>
      </c>
      <c r="E19" s="6">
        <v>13</v>
      </c>
      <c r="F19" s="7">
        <v>0.61499999999999999</v>
      </c>
      <c r="G19" s="8">
        <f t="shared" si="1"/>
        <v>7.9950000000000001</v>
      </c>
      <c r="H19" s="6">
        <v>17</v>
      </c>
      <c r="I19" s="7">
        <v>0.58799999999999997</v>
      </c>
      <c r="J19" s="8">
        <f t="shared" si="2"/>
        <v>9.9959999999999987</v>
      </c>
      <c r="K19" s="6">
        <v>18</v>
      </c>
      <c r="L19" s="7">
        <v>0.44400000000000001</v>
      </c>
      <c r="M19" s="8">
        <f t="shared" si="3"/>
        <v>7.992</v>
      </c>
      <c r="N19" s="6"/>
      <c r="O19" s="7"/>
      <c r="P19" s="8">
        <f t="shared" si="4"/>
        <v>0</v>
      </c>
      <c r="Q19" s="4"/>
      <c r="R19" s="6">
        <f t="shared" si="5"/>
        <v>51</v>
      </c>
      <c r="S19" s="9">
        <f t="shared" si="6"/>
        <v>0.5290588235294118</v>
      </c>
      <c r="T19" s="9">
        <f t="shared" si="7"/>
        <v>0.11434977578475336</v>
      </c>
      <c r="U19" s="9">
        <f>R19 / _xlfn.XLOOKUP(A19, Mid!A:A, Mid!AA:AA)</f>
        <v>0.10559006211180125</v>
      </c>
      <c r="V19" s="1"/>
      <c r="W19" s="1"/>
    </row>
    <row r="20" spans="1:23" x14ac:dyDescent="0.25">
      <c r="A20" s="1" t="s">
        <v>48</v>
      </c>
      <c r="B20" s="6">
        <v>10</v>
      </c>
      <c r="C20" s="7">
        <v>0.4</v>
      </c>
      <c r="D20" s="8">
        <f t="shared" si="0"/>
        <v>4</v>
      </c>
      <c r="E20" s="6">
        <v>5</v>
      </c>
      <c r="F20" s="7">
        <v>0.4</v>
      </c>
      <c r="G20" s="8">
        <f t="shared" si="1"/>
        <v>2</v>
      </c>
      <c r="H20" s="6"/>
      <c r="I20" s="7"/>
      <c r="J20" s="8">
        <f t="shared" si="2"/>
        <v>0</v>
      </c>
      <c r="K20" s="6">
        <v>21</v>
      </c>
      <c r="L20" s="7">
        <v>0.61899999999999999</v>
      </c>
      <c r="M20" s="8">
        <f t="shared" si="3"/>
        <v>12.999000000000001</v>
      </c>
      <c r="N20" s="6"/>
      <c r="O20" s="7"/>
      <c r="P20" s="8">
        <f t="shared" si="4"/>
        <v>0</v>
      </c>
      <c r="Q20" s="1"/>
      <c r="R20" s="6">
        <f t="shared" si="5"/>
        <v>36</v>
      </c>
      <c r="S20" s="9">
        <f t="shared" si="6"/>
        <v>0.52775000000000005</v>
      </c>
      <c r="T20" s="9">
        <f t="shared" si="7"/>
        <v>8.0717488789237665E-2</v>
      </c>
      <c r="U20" s="9">
        <f>R20 / _xlfn.XLOOKUP(A20, Mid!A:A, Mid!AA:AA)</f>
        <v>0.12587412587412589</v>
      </c>
      <c r="V20" s="1"/>
      <c r="W20" s="1"/>
    </row>
    <row r="21" spans="1:23" x14ac:dyDescent="0.25">
      <c r="A21" s="1" t="s">
        <v>128</v>
      </c>
      <c r="B21" s="6">
        <v>6</v>
      </c>
      <c r="C21" s="7">
        <v>0.16700000000000001</v>
      </c>
      <c r="D21" s="8">
        <f t="shared" si="0"/>
        <v>1.002</v>
      </c>
      <c r="E21" s="6">
        <v>5</v>
      </c>
      <c r="F21" s="7">
        <v>0.2</v>
      </c>
      <c r="G21" s="8">
        <f t="shared" si="1"/>
        <v>1</v>
      </c>
      <c r="H21" s="6">
        <v>3</v>
      </c>
      <c r="I21" s="7">
        <v>1</v>
      </c>
      <c r="J21" s="8">
        <f t="shared" si="2"/>
        <v>3</v>
      </c>
      <c r="K21" s="6">
        <v>4</v>
      </c>
      <c r="L21" s="7">
        <v>1</v>
      </c>
      <c r="M21" s="8">
        <f t="shared" si="3"/>
        <v>4</v>
      </c>
      <c r="N21" s="6"/>
      <c r="O21" s="7"/>
      <c r="P21" s="8">
        <f t="shared" si="4"/>
        <v>0</v>
      </c>
      <c r="Q21" s="13"/>
      <c r="R21" s="6">
        <f t="shared" si="5"/>
        <v>18</v>
      </c>
      <c r="S21" s="9">
        <f t="shared" si="6"/>
        <v>0.50011111111111106</v>
      </c>
      <c r="T21" s="9">
        <f t="shared" si="7"/>
        <v>4.0358744394618833E-2</v>
      </c>
      <c r="U21" s="9">
        <f>R21 / _xlfn.XLOOKUP(A21, Mid!A:A, Mid!AA:AA)</f>
        <v>0.14754098360655737</v>
      </c>
      <c r="V21" s="1"/>
      <c r="W21" s="1"/>
    </row>
    <row r="22" spans="1:23" x14ac:dyDescent="0.25">
      <c r="A22" s="1" t="s">
        <v>8</v>
      </c>
      <c r="B22" s="6"/>
      <c r="C22" s="7"/>
      <c r="D22" s="8">
        <f t="shared" si="0"/>
        <v>0</v>
      </c>
      <c r="E22" s="6">
        <v>2</v>
      </c>
      <c r="F22" s="7">
        <v>0.5</v>
      </c>
      <c r="G22" s="8">
        <f t="shared" si="1"/>
        <v>1</v>
      </c>
      <c r="H22" s="6">
        <v>2</v>
      </c>
      <c r="I22" s="7">
        <v>0.5</v>
      </c>
      <c r="J22" s="8">
        <f t="shared" si="2"/>
        <v>1</v>
      </c>
      <c r="K22" s="6"/>
      <c r="L22" s="7"/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4</v>
      </c>
      <c r="S22" s="9">
        <f t="shared" si="6"/>
        <v>0.5</v>
      </c>
      <c r="T22" s="9">
        <f t="shared" si="7"/>
        <v>8.9686098654708519E-3</v>
      </c>
      <c r="U22" s="9">
        <f>R22 / _xlfn.XLOOKUP(A22, Mid!A:A, Mid!AA:AA)</f>
        <v>3.6036036036036036E-2</v>
      </c>
      <c r="V22" s="1"/>
      <c r="W22" s="1"/>
    </row>
    <row r="23" spans="1:23" x14ac:dyDescent="0.25">
      <c r="A23" s="15" t="s">
        <v>35</v>
      </c>
      <c r="B23" s="6"/>
      <c r="C23" s="7"/>
      <c r="D23" s="8">
        <f t="shared" si="0"/>
        <v>0</v>
      </c>
      <c r="E23" s="6"/>
      <c r="F23" s="7"/>
      <c r="G23" s="8">
        <f t="shared" si="1"/>
        <v>0</v>
      </c>
      <c r="H23" s="6">
        <v>4</v>
      </c>
      <c r="I23" s="7">
        <v>0.5</v>
      </c>
      <c r="J23" s="8">
        <f t="shared" si="2"/>
        <v>2</v>
      </c>
      <c r="K23" s="6"/>
      <c r="L23" s="7"/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4</v>
      </c>
      <c r="S23" s="9">
        <f t="shared" si="6"/>
        <v>0.5</v>
      </c>
      <c r="T23" s="9">
        <f t="shared" si="7"/>
        <v>8.9686098654708519E-3</v>
      </c>
      <c r="U23" s="9">
        <f>R23 / _xlfn.XLOOKUP(A23, Mid!A:A, Mid!AA:AA)</f>
        <v>0.13793103448275862</v>
      </c>
      <c r="V23" s="1"/>
      <c r="W23" s="1"/>
    </row>
    <row r="24" spans="1:23" x14ac:dyDescent="0.25">
      <c r="A24" s="1" t="s">
        <v>116</v>
      </c>
      <c r="B24" s="6"/>
      <c r="C24" s="7"/>
      <c r="D24" s="8">
        <f t="shared" ref="D24:D43" si="8">B24*C24</f>
        <v>0</v>
      </c>
      <c r="E24" s="6">
        <v>2</v>
      </c>
      <c r="F24" s="7">
        <v>0.5</v>
      </c>
      <c r="G24" s="8">
        <f t="shared" ref="G24:G43" si="9">E24*F24</f>
        <v>1</v>
      </c>
      <c r="H24" s="6"/>
      <c r="I24" s="7"/>
      <c r="J24" s="8">
        <f t="shared" ref="J24:J43" si="10">H24*I24</f>
        <v>0</v>
      </c>
      <c r="K24" s="6"/>
      <c r="L24" s="7"/>
      <c r="M24" s="8">
        <f t="shared" ref="M24:M43" si="11">K24*L24</f>
        <v>0</v>
      </c>
      <c r="N24" s="6"/>
      <c r="O24" s="7"/>
      <c r="P24" s="8">
        <f t="shared" ref="P24:P43" si="12">N24*O24</f>
        <v>0</v>
      </c>
      <c r="Q24" s="1"/>
      <c r="R24" s="6">
        <f t="shared" ref="R24:R43" si="13">B24+E24+H24+K24+N24</f>
        <v>2</v>
      </c>
      <c r="S24" s="9">
        <f t="shared" ref="S24:S43" si="14">(D24+G24+J24+M24+P24)/R24</f>
        <v>0.5</v>
      </c>
      <c r="T24" s="9">
        <f t="shared" ref="T24:T43" si="15">R24/$V$3</f>
        <v>4.4843049327354259E-3</v>
      </c>
      <c r="U24" s="9">
        <f>R24 / _xlfn.XLOOKUP(A24, Mid!A:A, Mid!AA:AA)</f>
        <v>6.6666666666666666E-2</v>
      </c>
      <c r="V24" s="1"/>
      <c r="W24" s="1"/>
    </row>
    <row r="25" spans="1:23" x14ac:dyDescent="0.25">
      <c r="A25" s="1" t="s">
        <v>122</v>
      </c>
      <c r="B25" s="6">
        <v>2</v>
      </c>
      <c r="C25" s="7">
        <v>0.5</v>
      </c>
      <c r="D25" s="8">
        <f t="shared" si="8"/>
        <v>1</v>
      </c>
      <c r="E25" s="6"/>
      <c r="F25" s="7"/>
      <c r="G25" s="8">
        <f t="shared" si="9"/>
        <v>0</v>
      </c>
      <c r="H25" s="6"/>
      <c r="I25" s="7"/>
      <c r="J25" s="8">
        <f t="shared" si="10"/>
        <v>0</v>
      </c>
      <c r="K25" s="6"/>
      <c r="L25" s="7"/>
      <c r="M25" s="8">
        <f t="shared" si="11"/>
        <v>0</v>
      </c>
      <c r="N25" s="6"/>
      <c r="O25" s="7"/>
      <c r="P25" s="8">
        <f t="shared" si="12"/>
        <v>0</v>
      </c>
      <c r="Q25" s="1"/>
      <c r="R25" s="6">
        <f t="shared" si="13"/>
        <v>2</v>
      </c>
      <c r="S25" s="9">
        <f t="shared" si="14"/>
        <v>0.5</v>
      </c>
      <c r="T25" s="9">
        <f t="shared" si="15"/>
        <v>4.4843049327354259E-3</v>
      </c>
      <c r="U25" s="9">
        <f>R25 / _xlfn.XLOOKUP(A25, Mid!A:A, Mid!AA:AA)</f>
        <v>0.15384615384615385</v>
      </c>
      <c r="V25" s="1"/>
      <c r="W25" s="1"/>
    </row>
    <row r="26" spans="1:23" x14ac:dyDescent="0.25">
      <c r="A26" s="1" t="s">
        <v>124</v>
      </c>
      <c r="B26" s="6"/>
      <c r="C26" s="7"/>
      <c r="D26" s="8">
        <f t="shared" si="8"/>
        <v>0</v>
      </c>
      <c r="E26" s="6">
        <v>2</v>
      </c>
      <c r="F26" s="7">
        <v>0.5</v>
      </c>
      <c r="G26" s="8">
        <f t="shared" si="9"/>
        <v>1</v>
      </c>
      <c r="H26" s="6"/>
      <c r="I26" s="7"/>
      <c r="J26" s="8">
        <f t="shared" si="10"/>
        <v>0</v>
      </c>
      <c r="K26" s="6"/>
      <c r="L26" s="7"/>
      <c r="M26" s="8">
        <f t="shared" si="11"/>
        <v>0</v>
      </c>
      <c r="N26" s="6"/>
      <c r="O26" s="7"/>
      <c r="P26" s="8">
        <f t="shared" si="12"/>
        <v>0</v>
      </c>
      <c r="Q26" s="1"/>
      <c r="R26" s="6">
        <f t="shared" si="13"/>
        <v>2</v>
      </c>
      <c r="S26" s="9">
        <f t="shared" si="14"/>
        <v>0.5</v>
      </c>
      <c r="T26" s="9">
        <f t="shared" si="15"/>
        <v>4.4843049327354259E-3</v>
      </c>
      <c r="U26" s="9">
        <f>R26 / _xlfn.XLOOKUP(A26, Mid!A:A, Mid!AA:AA)</f>
        <v>0.22222222222222221</v>
      </c>
      <c r="V26" s="1"/>
      <c r="W26" s="1"/>
    </row>
    <row r="27" spans="1:23" x14ac:dyDescent="0.25">
      <c r="A27" s="1" t="s">
        <v>125</v>
      </c>
      <c r="B27" s="6">
        <v>1</v>
      </c>
      <c r="C27" s="7">
        <v>0</v>
      </c>
      <c r="D27" s="8">
        <f t="shared" si="8"/>
        <v>0</v>
      </c>
      <c r="E27" s="6"/>
      <c r="F27" s="7"/>
      <c r="G27" s="8">
        <f t="shared" si="9"/>
        <v>0</v>
      </c>
      <c r="H27" s="6"/>
      <c r="I27" s="7"/>
      <c r="J27" s="8">
        <f t="shared" si="10"/>
        <v>0</v>
      </c>
      <c r="K27" s="6">
        <v>6</v>
      </c>
      <c r="L27" s="7">
        <v>0.5</v>
      </c>
      <c r="M27" s="8">
        <f t="shared" si="11"/>
        <v>3</v>
      </c>
      <c r="N27" s="6"/>
      <c r="O27" s="7"/>
      <c r="P27" s="8">
        <f t="shared" si="12"/>
        <v>0</v>
      </c>
      <c r="Q27" s="1"/>
      <c r="R27" s="6">
        <f t="shared" si="13"/>
        <v>7</v>
      </c>
      <c r="S27" s="9">
        <f t="shared" si="14"/>
        <v>0.42857142857142855</v>
      </c>
      <c r="T27" s="9">
        <f t="shared" si="15"/>
        <v>1.5695067264573991E-2</v>
      </c>
      <c r="U27" s="9">
        <f>R27 / _xlfn.XLOOKUP(A27, Mid!A:A, Mid!AA:AA)</f>
        <v>0.12727272727272726</v>
      </c>
      <c r="V27" s="1"/>
      <c r="W27" s="1"/>
    </row>
    <row r="28" spans="1:23" x14ac:dyDescent="0.25">
      <c r="A28" s="1" t="s">
        <v>27</v>
      </c>
      <c r="B28" s="6">
        <v>1</v>
      </c>
      <c r="C28" s="7">
        <v>1</v>
      </c>
      <c r="D28" s="8">
        <f t="shared" si="8"/>
        <v>1</v>
      </c>
      <c r="E28" s="6">
        <v>2</v>
      </c>
      <c r="F28" s="7">
        <v>0.5</v>
      </c>
      <c r="G28" s="8">
        <f t="shared" si="9"/>
        <v>1</v>
      </c>
      <c r="H28" s="6">
        <v>1</v>
      </c>
      <c r="I28" s="7">
        <v>0</v>
      </c>
      <c r="J28" s="8">
        <f t="shared" si="10"/>
        <v>0</v>
      </c>
      <c r="K28" s="6">
        <v>1</v>
      </c>
      <c r="L28" s="7">
        <v>0</v>
      </c>
      <c r="M28" s="8">
        <f t="shared" si="11"/>
        <v>0</v>
      </c>
      <c r="N28" s="6"/>
      <c r="O28" s="7"/>
      <c r="P28" s="8">
        <f t="shared" si="12"/>
        <v>0</v>
      </c>
      <c r="Q28" s="1"/>
      <c r="R28" s="6">
        <f t="shared" si="13"/>
        <v>5</v>
      </c>
      <c r="S28" s="9">
        <f t="shared" si="14"/>
        <v>0.4</v>
      </c>
      <c r="T28" s="9">
        <f t="shared" si="15"/>
        <v>1.1210762331838564E-2</v>
      </c>
      <c r="U28" s="9">
        <f>R28 / _xlfn.XLOOKUP(A28, Mid!A:A, Mid!AA:AA)</f>
        <v>2.336448598130841E-2</v>
      </c>
      <c r="V28" s="1"/>
      <c r="W28" s="1"/>
    </row>
    <row r="29" spans="1:23" x14ac:dyDescent="0.25">
      <c r="A29" s="1" t="s">
        <v>120</v>
      </c>
      <c r="B29" s="6">
        <v>3</v>
      </c>
      <c r="C29" s="7">
        <v>0</v>
      </c>
      <c r="D29" s="8">
        <f t="shared" si="8"/>
        <v>0</v>
      </c>
      <c r="E29" s="6"/>
      <c r="F29" s="7"/>
      <c r="G29" s="8">
        <f t="shared" si="9"/>
        <v>0</v>
      </c>
      <c r="H29" s="6"/>
      <c r="I29" s="7"/>
      <c r="J29" s="8">
        <f t="shared" si="10"/>
        <v>0</v>
      </c>
      <c r="K29" s="6">
        <v>2</v>
      </c>
      <c r="L29" s="7">
        <v>1</v>
      </c>
      <c r="M29" s="8">
        <f t="shared" si="11"/>
        <v>2</v>
      </c>
      <c r="N29" s="6"/>
      <c r="O29" s="7"/>
      <c r="P29" s="8">
        <f t="shared" si="12"/>
        <v>0</v>
      </c>
      <c r="Q29" s="1"/>
      <c r="R29" s="6">
        <f t="shared" si="13"/>
        <v>5</v>
      </c>
      <c r="S29" s="9">
        <f t="shared" si="14"/>
        <v>0.4</v>
      </c>
      <c r="T29" s="9">
        <f t="shared" si="15"/>
        <v>1.1210762331838564E-2</v>
      </c>
      <c r="U29" s="9">
        <f>R29 / _xlfn.XLOOKUP(A29, Mid!A:A, Mid!AA:AA)</f>
        <v>0.10204081632653061</v>
      </c>
    </row>
    <row r="30" spans="1:23" x14ac:dyDescent="0.25">
      <c r="A30" s="1" t="s">
        <v>108</v>
      </c>
      <c r="B30" s="6">
        <v>5</v>
      </c>
      <c r="C30" s="7">
        <v>0</v>
      </c>
      <c r="D30" s="8">
        <f t="shared" si="8"/>
        <v>0</v>
      </c>
      <c r="E30" s="6"/>
      <c r="F30" s="7"/>
      <c r="G30" s="8">
        <f t="shared" si="9"/>
        <v>0</v>
      </c>
      <c r="H30" s="6">
        <v>18</v>
      </c>
      <c r="I30" s="7">
        <v>0.44400000000000001</v>
      </c>
      <c r="J30" s="8">
        <f t="shared" si="10"/>
        <v>7.992</v>
      </c>
      <c r="K30" s="6">
        <v>3</v>
      </c>
      <c r="L30" s="7">
        <v>0.33300000000000002</v>
      </c>
      <c r="M30" s="8">
        <f t="shared" si="11"/>
        <v>0.99900000000000011</v>
      </c>
      <c r="N30" s="6"/>
      <c r="O30" s="7"/>
      <c r="P30" s="8">
        <f t="shared" si="12"/>
        <v>0</v>
      </c>
      <c r="Q30" s="4"/>
      <c r="R30" s="6">
        <f t="shared" si="13"/>
        <v>26</v>
      </c>
      <c r="S30" s="9">
        <f t="shared" si="14"/>
        <v>0.34580769230769232</v>
      </c>
      <c r="T30" s="9">
        <f t="shared" si="15"/>
        <v>5.829596412556054E-2</v>
      </c>
      <c r="U30" s="9">
        <f>R30 / _xlfn.XLOOKUP(A30, Mid!A:A, Mid!AA:AA)</f>
        <v>8.2539682539682538E-2</v>
      </c>
    </row>
    <row r="31" spans="1:23" x14ac:dyDescent="0.25">
      <c r="A31" s="15" t="s">
        <v>59</v>
      </c>
      <c r="B31" s="6"/>
      <c r="C31" s="7"/>
      <c r="D31" s="8">
        <f t="shared" si="8"/>
        <v>0</v>
      </c>
      <c r="E31" s="6"/>
      <c r="F31" s="7"/>
      <c r="G31" s="8">
        <f t="shared" si="9"/>
        <v>0</v>
      </c>
      <c r="H31" s="6">
        <v>5</v>
      </c>
      <c r="I31" s="7">
        <v>0.4</v>
      </c>
      <c r="J31" s="8">
        <f t="shared" si="10"/>
        <v>2</v>
      </c>
      <c r="K31" s="6">
        <v>1</v>
      </c>
      <c r="L31" s="7">
        <v>0</v>
      </c>
      <c r="M31" s="8">
        <f t="shared" si="11"/>
        <v>0</v>
      </c>
      <c r="N31" s="6"/>
      <c r="O31" s="7"/>
      <c r="P31" s="8">
        <f t="shared" si="12"/>
        <v>0</v>
      </c>
      <c r="Q31" s="1"/>
      <c r="R31" s="6">
        <f t="shared" si="13"/>
        <v>6</v>
      </c>
      <c r="S31" s="9">
        <f t="shared" si="14"/>
        <v>0.33333333333333331</v>
      </c>
      <c r="T31" s="9">
        <f t="shared" si="15"/>
        <v>1.3452914798206279E-2</v>
      </c>
      <c r="U31" s="9">
        <f>R31 / _xlfn.XLOOKUP(A31, Mid!A:A, Mid!AA:AA)</f>
        <v>0.15789473684210525</v>
      </c>
    </row>
    <row r="32" spans="1:23" x14ac:dyDescent="0.25">
      <c r="A32" s="1" t="s">
        <v>61</v>
      </c>
      <c r="B32" s="6">
        <v>2</v>
      </c>
      <c r="C32" s="7">
        <v>0.5</v>
      </c>
      <c r="D32" s="8">
        <f t="shared" si="8"/>
        <v>1</v>
      </c>
      <c r="E32" s="6"/>
      <c r="F32" s="7"/>
      <c r="G32" s="8">
        <f t="shared" si="9"/>
        <v>0</v>
      </c>
      <c r="H32" s="6"/>
      <c r="I32" s="7"/>
      <c r="J32" s="8">
        <f t="shared" si="10"/>
        <v>0</v>
      </c>
      <c r="K32" s="6">
        <v>1</v>
      </c>
      <c r="L32" s="7">
        <v>0</v>
      </c>
      <c r="M32" s="8">
        <f t="shared" si="11"/>
        <v>0</v>
      </c>
      <c r="N32" s="6"/>
      <c r="O32" s="7"/>
      <c r="P32" s="8">
        <f t="shared" si="12"/>
        <v>0</v>
      </c>
      <c r="Q32" s="1"/>
      <c r="R32" s="6">
        <f t="shared" si="13"/>
        <v>3</v>
      </c>
      <c r="S32" s="9">
        <f t="shared" si="14"/>
        <v>0.33333333333333331</v>
      </c>
      <c r="T32" s="9">
        <f t="shared" si="15"/>
        <v>6.7264573991031393E-3</v>
      </c>
      <c r="U32" s="9">
        <f>R32 / _xlfn.XLOOKUP(A32, Mid!A:A, Mid!AA:AA)</f>
        <v>9.375E-2</v>
      </c>
    </row>
    <row r="33" spans="1:21" x14ac:dyDescent="0.25">
      <c r="A33" s="1" t="s">
        <v>109</v>
      </c>
      <c r="B33" s="6">
        <v>9</v>
      </c>
      <c r="C33" s="7">
        <v>0.33300000000000002</v>
      </c>
      <c r="D33" s="8">
        <f t="shared" si="8"/>
        <v>2.9970000000000003</v>
      </c>
      <c r="E33" s="6"/>
      <c r="F33" s="7"/>
      <c r="G33" s="8">
        <f t="shared" si="9"/>
        <v>0</v>
      </c>
      <c r="H33" s="6"/>
      <c r="I33" s="7"/>
      <c r="J33" s="8">
        <f t="shared" si="10"/>
        <v>0</v>
      </c>
      <c r="K33" s="6">
        <v>5</v>
      </c>
      <c r="L33" s="7">
        <v>0.2</v>
      </c>
      <c r="M33" s="8">
        <f t="shared" si="11"/>
        <v>1</v>
      </c>
      <c r="N33" s="6"/>
      <c r="O33" s="7"/>
      <c r="P33" s="8">
        <f t="shared" si="12"/>
        <v>0</v>
      </c>
      <c r="Q33" s="1"/>
      <c r="R33" s="6">
        <f t="shared" si="13"/>
        <v>14</v>
      </c>
      <c r="S33" s="9">
        <f t="shared" si="14"/>
        <v>0.28550000000000003</v>
      </c>
      <c r="T33" s="9">
        <f t="shared" si="15"/>
        <v>3.1390134529147982E-2</v>
      </c>
      <c r="U33" s="9">
        <f>R33 / _xlfn.XLOOKUP(A33, Mid!A:A, Mid!AA:AA)</f>
        <v>5.6451612903225805E-2</v>
      </c>
    </row>
    <row r="34" spans="1:21" x14ac:dyDescent="0.25">
      <c r="A34" s="1" t="s">
        <v>29</v>
      </c>
      <c r="B34" s="6"/>
      <c r="C34" s="7"/>
      <c r="D34" s="8">
        <f t="shared" si="8"/>
        <v>0</v>
      </c>
      <c r="E34" s="6">
        <v>2</v>
      </c>
      <c r="F34" s="7">
        <v>0</v>
      </c>
      <c r="G34" s="8">
        <f t="shared" si="9"/>
        <v>0</v>
      </c>
      <c r="H34" s="6">
        <v>2</v>
      </c>
      <c r="I34" s="7">
        <v>0.5</v>
      </c>
      <c r="J34" s="8">
        <f t="shared" si="10"/>
        <v>1</v>
      </c>
      <c r="K34" s="6"/>
      <c r="L34" s="7"/>
      <c r="M34" s="8">
        <f t="shared" si="11"/>
        <v>0</v>
      </c>
      <c r="N34" s="6"/>
      <c r="O34" s="7"/>
      <c r="P34" s="8">
        <f t="shared" si="12"/>
        <v>0</v>
      </c>
      <c r="Q34" s="1"/>
      <c r="R34" s="6">
        <f t="shared" si="13"/>
        <v>4</v>
      </c>
      <c r="S34" s="9">
        <f t="shared" si="14"/>
        <v>0.25</v>
      </c>
      <c r="T34" s="9">
        <f t="shared" si="15"/>
        <v>8.9686098654708519E-3</v>
      </c>
      <c r="U34" s="9">
        <f>R34 / _xlfn.XLOOKUP(A34, Mid!A:A, Mid!AA:AA)</f>
        <v>0.10526315789473684</v>
      </c>
    </row>
    <row r="35" spans="1:21" x14ac:dyDescent="0.25">
      <c r="A35" s="1" t="s">
        <v>112</v>
      </c>
      <c r="B35" s="6"/>
      <c r="C35" s="7"/>
      <c r="D35" s="8">
        <f t="shared" si="8"/>
        <v>0</v>
      </c>
      <c r="E35" s="6"/>
      <c r="F35" s="7"/>
      <c r="G35" s="8">
        <f t="shared" si="9"/>
        <v>0</v>
      </c>
      <c r="H35" s="6"/>
      <c r="I35" s="7"/>
      <c r="J35" s="8">
        <f t="shared" si="10"/>
        <v>0</v>
      </c>
      <c r="K35" s="6">
        <v>2</v>
      </c>
      <c r="L35" s="7">
        <v>0</v>
      </c>
      <c r="M35" s="8">
        <f t="shared" si="11"/>
        <v>0</v>
      </c>
      <c r="N35" s="6"/>
      <c r="O35" s="7"/>
      <c r="P35" s="8">
        <f t="shared" si="12"/>
        <v>0</v>
      </c>
      <c r="Q35" s="1"/>
      <c r="R35" s="6">
        <f t="shared" si="13"/>
        <v>2</v>
      </c>
      <c r="S35" s="9">
        <f t="shared" si="14"/>
        <v>0</v>
      </c>
      <c r="T35" s="9">
        <f t="shared" si="15"/>
        <v>4.4843049327354259E-3</v>
      </c>
      <c r="U35" s="9">
        <f>R35 / _xlfn.XLOOKUP(A35, Mid!A:A, Mid!AA:AA)</f>
        <v>1.1299435028248588E-2</v>
      </c>
    </row>
    <row r="36" spans="1:21" x14ac:dyDescent="0.25">
      <c r="A36" s="1" t="s">
        <v>10</v>
      </c>
      <c r="B36" s="6"/>
      <c r="C36" s="7"/>
      <c r="D36" s="8">
        <f t="shared" si="8"/>
        <v>0</v>
      </c>
      <c r="E36" s="6">
        <v>2</v>
      </c>
      <c r="F36" s="7">
        <v>0</v>
      </c>
      <c r="G36" s="8">
        <f t="shared" si="9"/>
        <v>0</v>
      </c>
      <c r="H36" s="6"/>
      <c r="I36" s="7"/>
      <c r="J36" s="8">
        <f t="shared" si="10"/>
        <v>0</v>
      </c>
      <c r="K36" s="6"/>
      <c r="L36" s="7"/>
      <c r="M36" s="8">
        <f t="shared" si="11"/>
        <v>0</v>
      </c>
      <c r="N36" s="6"/>
      <c r="O36" s="7"/>
      <c r="P36" s="8">
        <f t="shared" si="12"/>
        <v>0</v>
      </c>
      <c r="Q36" s="1"/>
      <c r="R36" s="6">
        <f t="shared" si="13"/>
        <v>2</v>
      </c>
      <c r="S36" s="9">
        <f t="shared" si="14"/>
        <v>0</v>
      </c>
      <c r="T36" s="9">
        <f t="shared" si="15"/>
        <v>4.4843049327354259E-3</v>
      </c>
      <c r="U36" s="9">
        <f>R36 / _xlfn.XLOOKUP(A36, Mid!A:A, Mid!AA:AA)</f>
        <v>6.0606060606060608E-2</v>
      </c>
    </row>
    <row r="37" spans="1:21" x14ac:dyDescent="0.25">
      <c r="A37" s="1" t="s">
        <v>52</v>
      </c>
      <c r="B37" s="6"/>
      <c r="C37" s="7"/>
      <c r="D37" s="8">
        <f t="shared" si="8"/>
        <v>0</v>
      </c>
      <c r="E37" s="6">
        <v>1</v>
      </c>
      <c r="F37" s="7">
        <v>0</v>
      </c>
      <c r="G37" s="8">
        <f t="shared" si="9"/>
        <v>0</v>
      </c>
      <c r="H37" s="6">
        <v>1</v>
      </c>
      <c r="I37" s="7">
        <v>0</v>
      </c>
      <c r="J37" s="8">
        <f t="shared" si="10"/>
        <v>0</v>
      </c>
      <c r="K37" s="6"/>
      <c r="L37" s="7"/>
      <c r="M37" s="8">
        <f t="shared" si="11"/>
        <v>0</v>
      </c>
      <c r="N37" s="6"/>
      <c r="O37" s="7"/>
      <c r="P37" s="8">
        <f t="shared" si="12"/>
        <v>0</v>
      </c>
      <c r="Q37" s="1"/>
      <c r="R37" s="6">
        <f t="shared" si="13"/>
        <v>2</v>
      </c>
      <c r="S37" s="9">
        <f t="shared" si="14"/>
        <v>0</v>
      </c>
      <c r="T37" s="9">
        <f t="shared" si="15"/>
        <v>4.4843049327354259E-3</v>
      </c>
      <c r="U37" s="9">
        <f>R37 / _xlfn.XLOOKUP(A37, Mid!A:A, Mid!AA:AA)</f>
        <v>9.0497737556561094E-3</v>
      </c>
    </row>
    <row r="38" spans="1:21" x14ac:dyDescent="0.25">
      <c r="A38" s="15" t="s">
        <v>139</v>
      </c>
      <c r="B38" s="6"/>
      <c r="C38" s="7"/>
      <c r="D38" s="8">
        <f t="shared" si="8"/>
        <v>0</v>
      </c>
      <c r="E38" s="6"/>
      <c r="F38" s="7"/>
      <c r="G38" s="8">
        <f t="shared" si="9"/>
        <v>0</v>
      </c>
      <c r="H38" s="6">
        <v>1</v>
      </c>
      <c r="I38" s="7">
        <v>0</v>
      </c>
      <c r="J38" s="8">
        <f t="shared" si="10"/>
        <v>0</v>
      </c>
      <c r="K38" s="6">
        <v>1</v>
      </c>
      <c r="L38" s="7">
        <v>0</v>
      </c>
      <c r="M38" s="8">
        <f t="shared" si="11"/>
        <v>0</v>
      </c>
      <c r="N38" s="6"/>
      <c r="O38" s="7"/>
      <c r="P38" s="8">
        <f t="shared" si="12"/>
        <v>0</v>
      </c>
      <c r="Q38" s="1"/>
      <c r="R38" s="6">
        <f t="shared" si="13"/>
        <v>2</v>
      </c>
      <c r="S38" s="9">
        <f t="shared" si="14"/>
        <v>0</v>
      </c>
      <c r="T38" s="9">
        <f t="shared" si="15"/>
        <v>4.4843049327354259E-3</v>
      </c>
      <c r="U38" s="9">
        <f>R38 / _xlfn.XLOOKUP(A38, Mid!A:A, Mid!AA:AA)</f>
        <v>0.1111111111111111</v>
      </c>
    </row>
    <row r="39" spans="1:21" x14ac:dyDescent="0.25">
      <c r="A39" s="1" t="s">
        <v>117</v>
      </c>
      <c r="B39" s="6"/>
      <c r="C39" s="7"/>
      <c r="D39" s="8">
        <f t="shared" si="8"/>
        <v>0</v>
      </c>
      <c r="E39" s="6"/>
      <c r="F39" s="7"/>
      <c r="G39" s="8">
        <f t="shared" si="9"/>
        <v>0</v>
      </c>
      <c r="H39" s="6">
        <v>1</v>
      </c>
      <c r="I39" s="7">
        <v>0</v>
      </c>
      <c r="J39" s="8">
        <f t="shared" si="10"/>
        <v>0</v>
      </c>
      <c r="K39" s="6"/>
      <c r="L39" s="7"/>
      <c r="M39" s="8">
        <f t="shared" si="11"/>
        <v>0</v>
      </c>
      <c r="N39" s="6"/>
      <c r="O39" s="7"/>
      <c r="P39" s="8">
        <f t="shared" si="12"/>
        <v>0</v>
      </c>
      <c r="Q39" s="1"/>
      <c r="R39" s="6">
        <f t="shared" si="13"/>
        <v>1</v>
      </c>
      <c r="S39" s="9">
        <f t="shared" si="14"/>
        <v>0</v>
      </c>
      <c r="T39" s="9">
        <f t="shared" si="15"/>
        <v>2.242152466367713E-3</v>
      </c>
      <c r="U39" s="9">
        <f>R39 / _xlfn.XLOOKUP(A39, Mid!A:A, Mid!AA:AA)</f>
        <v>2.3255813953488372E-2</v>
      </c>
    </row>
    <row r="40" spans="1:21" x14ac:dyDescent="0.25">
      <c r="A40" s="1" t="s">
        <v>118</v>
      </c>
      <c r="B40" s="6"/>
      <c r="C40" s="7"/>
      <c r="D40" s="8">
        <f t="shared" si="8"/>
        <v>0</v>
      </c>
      <c r="E40" s="6"/>
      <c r="F40" s="7"/>
      <c r="G40" s="8">
        <f t="shared" si="9"/>
        <v>0</v>
      </c>
      <c r="H40" s="6"/>
      <c r="I40" s="7"/>
      <c r="J40" s="8">
        <f t="shared" si="10"/>
        <v>0</v>
      </c>
      <c r="K40" s="6">
        <v>1</v>
      </c>
      <c r="L40" s="7">
        <v>0</v>
      </c>
      <c r="M40" s="8">
        <f t="shared" si="11"/>
        <v>0</v>
      </c>
      <c r="N40" s="6"/>
      <c r="O40" s="7"/>
      <c r="P40" s="8">
        <f t="shared" si="12"/>
        <v>0</v>
      </c>
      <c r="Q40" s="1"/>
      <c r="R40" s="6">
        <f t="shared" si="13"/>
        <v>1</v>
      </c>
      <c r="S40" s="9">
        <f t="shared" si="14"/>
        <v>0</v>
      </c>
      <c r="T40" s="9">
        <f t="shared" si="15"/>
        <v>2.242152466367713E-3</v>
      </c>
      <c r="U40" s="9">
        <f>R40 / _xlfn.XLOOKUP(A40, Mid!A:A, Mid!AA:AA)</f>
        <v>1.4285714285714285E-2</v>
      </c>
    </row>
    <row r="41" spans="1:21" x14ac:dyDescent="0.25">
      <c r="A41" s="25" t="s">
        <v>252</v>
      </c>
      <c r="B41" s="6"/>
      <c r="C41" s="7"/>
      <c r="D41" s="8">
        <f t="shared" si="8"/>
        <v>0</v>
      </c>
      <c r="E41" s="6">
        <v>1</v>
      </c>
      <c r="F41" s="7">
        <v>0</v>
      </c>
      <c r="G41" s="8">
        <f t="shared" si="9"/>
        <v>0</v>
      </c>
      <c r="H41" s="6"/>
      <c r="I41" s="7"/>
      <c r="J41" s="8">
        <f t="shared" si="10"/>
        <v>0</v>
      </c>
      <c r="K41" s="6"/>
      <c r="L41" s="7"/>
      <c r="M41" s="8">
        <f t="shared" si="11"/>
        <v>0</v>
      </c>
      <c r="N41" s="6"/>
      <c r="O41" s="7"/>
      <c r="P41" s="8">
        <f t="shared" si="12"/>
        <v>0</v>
      </c>
      <c r="Q41" s="1"/>
      <c r="R41" s="6">
        <f t="shared" si="13"/>
        <v>1</v>
      </c>
      <c r="S41" s="9">
        <f t="shared" si="14"/>
        <v>0</v>
      </c>
      <c r="T41" s="9">
        <f t="shared" si="15"/>
        <v>2.242152466367713E-3</v>
      </c>
      <c r="U41" s="9">
        <f>R41 / _xlfn.XLOOKUP(A41, Mid!A:A, Mid!AA:AA)</f>
        <v>0.04</v>
      </c>
    </row>
    <row r="42" spans="1:21" x14ac:dyDescent="0.25">
      <c r="A42" s="1" t="s">
        <v>129</v>
      </c>
      <c r="B42" s="6"/>
      <c r="C42" s="7"/>
      <c r="D42" s="8">
        <f t="shared" si="8"/>
        <v>0</v>
      </c>
      <c r="E42" s="6"/>
      <c r="F42" s="7"/>
      <c r="G42" s="8">
        <f t="shared" si="9"/>
        <v>0</v>
      </c>
      <c r="H42" s="6"/>
      <c r="I42" s="7"/>
      <c r="J42" s="8">
        <f t="shared" si="10"/>
        <v>0</v>
      </c>
      <c r="K42" s="6">
        <v>1</v>
      </c>
      <c r="L42" s="7">
        <v>0</v>
      </c>
      <c r="M42" s="8">
        <f t="shared" si="11"/>
        <v>0</v>
      </c>
      <c r="N42" s="6"/>
      <c r="O42" s="7"/>
      <c r="P42" s="8">
        <f t="shared" si="12"/>
        <v>0</v>
      </c>
      <c r="Q42" s="1"/>
      <c r="R42" s="6">
        <f t="shared" si="13"/>
        <v>1</v>
      </c>
      <c r="S42" s="9">
        <f t="shared" si="14"/>
        <v>0</v>
      </c>
      <c r="T42" s="9">
        <f t="shared" si="15"/>
        <v>2.242152466367713E-3</v>
      </c>
      <c r="U42" s="9">
        <f>R42 / _xlfn.XLOOKUP(A42, Mid!A:A, Mid!AA:AA)</f>
        <v>0.25</v>
      </c>
    </row>
    <row r="43" spans="1:21" x14ac:dyDescent="0.25">
      <c r="A43" s="1" t="s">
        <v>127</v>
      </c>
      <c r="B43" s="6">
        <v>1</v>
      </c>
      <c r="C43" s="7">
        <v>0</v>
      </c>
      <c r="D43" s="8">
        <f t="shared" si="8"/>
        <v>0</v>
      </c>
      <c r="E43" s="6"/>
      <c r="F43" s="7"/>
      <c r="G43" s="8">
        <f t="shared" si="9"/>
        <v>0</v>
      </c>
      <c r="H43" s="6"/>
      <c r="I43" s="7"/>
      <c r="J43" s="8">
        <f t="shared" si="10"/>
        <v>0</v>
      </c>
      <c r="K43" s="6"/>
      <c r="L43" s="7"/>
      <c r="M43" s="8">
        <f t="shared" si="11"/>
        <v>0</v>
      </c>
      <c r="N43" s="6"/>
      <c r="O43" s="7"/>
      <c r="P43" s="8">
        <f t="shared" si="12"/>
        <v>0</v>
      </c>
      <c r="Q43" s="1"/>
      <c r="R43" s="6">
        <f t="shared" si="13"/>
        <v>1</v>
      </c>
      <c r="S43" s="9">
        <f t="shared" si="14"/>
        <v>0</v>
      </c>
      <c r="T43" s="9">
        <f t="shared" si="15"/>
        <v>2.242152466367713E-3</v>
      </c>
      <c r="U43" s="9">
        <f>R43 / _xlfn.XLOOKUP(A43, Mid!A:A, Mid!AA:AA)</f>
        <v>0.14285714285714285</v>
      </c>
    </row>
    <row r="44" spans="1:21" x14ac:dyDescent="0.25">
      <c r="A44" s="1"/>
      <c r="B44" s="6"/>
      <c r="C44" s="7"/>
      <c r="D44" s="8">
        <f t="shared" ref="D44:D45" si="16">B44*C44</f>
        <v>0</v>
      </c>
      <c r="E44" s="6"/>
      <c r="F44" s="7"/>
      <c r="G44" s="8">
        <f t="shared" ref="G44:G45" si="17">E44*F44</f>
        <v>0</v>
      </c>
      <c r="H44" s="6"/>
      <c r="I44" s="7"/>
      <c r="J44" s="8">
        <f t="shared" ref="J44:J45" si="18">H44*I44</f>
        <v>0</v>
      </c>
      <c r="K44" s="6"/>
      <c r="L44" s="7"/>
      <c r="M44" s="8">
        <f t="shared" ref="M44:M45" si="19">K44*L44</f>
        <v>0</v>
      </c>
      <c r="N44" s="6"/>
      <c r="O44" s="7"/>
      <c r="P44" s="8">
        <f t="shared" ref="P44:P45" si="20">N44*O44</f>
        <v>0</v>
      </c>
      <c r="Q44" s="1"/>
      <c r="R44" s="6">
        <f t="shared" ref="R44:R45" si="21">B44+E44+H44+K44+N44</f>
        <v>0</v>
      </c>
      <c r="S44" s="9" t="e">
        <f t="shared" ref="S44:S45" si="22">(D44+G44+J44+M44+P44)/R44</f>
        <v>#DIV/0!</v>
      </c>
      <c r="T44" s="9">
        <f t="shared" ref="T44:T45" si="23">R44/$V$3</f>
        <v>0</v>
      </c>
      <c r="U44" s="9" t="e">
        <f>R44 / _xlfn.XLOOKUP(A44, Mid!A:A, Mid!AA:AA)</f>
        <v>#DIV/0!</v>
      </c>
    </row>
    <row r="45" spans="1:21" x14ac:dyDescent="0.25">
      <c r="A45" s="1"/>
      <c r="B45" s="6"/>
      <c r="C45" s="7"/>
      <c r="D45" s="8">
        <f t="shared" si="16"/>
        <v>0</v>
      </c>
      <c r="E45" s="6"/>
      <c r="F45" s="7"/>
      <c r="G45" s="8">
        <f t="shared" si="17"/>
        <v>0</v>
      </c>
      <c r="H45" s="6"/>
      <c r="I45" s="7"/>
      <c r="J45" s="8">
        <f t="shared" si="18"/>
        <v>0</v>
      </c>
      <c r="K45" s="6"/>
      <c r="L45" s="7"/>
      <c r="M45" s="8">
        <f t="shared" si="19"/>
        <v>0</v>
      </c>
      <c r="N45" s="6"/>
      <c r="O45" s="7"/>
      <c r="P45" s="8">
        <f t="shared" si="20"/>
        <v>0</v>
      </c>
      <c r="Q45" s="1"/>
      <c r="R45" s="6">
        <f t="shared" si="21"/>
        <v>0</v>
      </c>
      <c r="S45" s="9" t="e">
        <f t="shared" si="22"/>
        <v>#DIV/0!</v>
      </c>
      <c r="T45" s="9">
        <f t="shared" si="23"/>
        <v>0</v>
      </c>
      <c r="U45" s="9" t="e">
        <f>R45 / _xlfn.XLOOKUP(A45, Mid!A:A, Mid!AA:AA)</f>
        <v>#DIV/0!</v>
      </c>
    </row>
    <row r="46" spans="1:21" x14ac:dyDescent="0.25">
      <c r="A46" s="1"/>
      <c r="B46" s="6"/>
      <c r="C46" s="7"/>
      <c r="D46" s="31"/>
      <c r="E46" s="6"/>
      <c r="F46" s="7"/>
      <c r="G46" s="31"/>
      <c r="H46" s="6"/>
      <c r="I46" s="7"/>
      <c r="J46" s="31"/>
      <c r="K46" s="6"/>
      <c r="L46" s="7"/>
      <c r="M46" s="31"/>
      <c r="N46" s="1"/>
      <c r="O46" s="1"/>
      <c r="P46" s="1"/>
      <c r="Q46" s="1"/>
      <c r="R46" s="6"/>
      <c r="S46" s="9"/>
      <c r="T46" s="10"/>
    </row>
    <row r="47" spans="1:21" x14ac:dyDescent="0.25">
      <c r="A47" s="1"/>
      <c r="B47" s="6"/>
      <c r="C47" s="7"/>
      <c r="D47" s="31"/>
      <c r="E47" s="6"/>
      <c r="F47" s="7"/>
      <c r="G47" s="31"/>
      <c r="H47" s="6"/>
      <c r="I47" s="7"/>
      <c r="J47" s="31"/>
      <c r="K47" s="6"/>
      <c r="L47" s="7"/>
      <c r="M47" s="31"/>
      <c r="N47" s="1"/>
      <c r="O47" s="1"/>
      <c r="P47" s="1"/>
      <c r="Q47" s="1"/>
      <c r="R47" s="6"/>
      <c r="S47" s="9"/>
      <c r="T47" s="10"/>
    </row>
    <row r="48" spans="1:21" x14ac:dyDescent="0.25">
      <c r="A48" s="1"/>
      <c r="B48" s="6"/>
      <c r="C48" s="7"/>
      <c r="D48" s="31"/>
      <c r="E48" s="6"/>
      <c r="F48" s="7"/>
      <c r="G48" s="31"/>
      <c r="H48" s="6"/>
      <c r="I48" s="7"/>
      <c r="J48" s="31"/>
      <c r="K48" s="6"/>
      <c r="L48" s="7"/>
      <c r="M48" s="31"/>
      <c r="N48" s="1"/>
      <c r="O48" s="1"/>
      <c r="P48" s="1"/>
      <c r="Q48" s="1"/>
      <c r="R48" s="6"/>
      <c r="S48" s="9"/>
      <c r="T48" s="10"/>
    </row>
    <row r="49" spans="1:20" x14ac:dyDescent="0.25">
      <c r="A49" s="1"/>
      <c r="B49" s="6"/>
      <c r="C49" s="7"/>
      <c r="D49" s="31"/>
      <c r="E49" s="6"/>
      <c r="F49" s="7"/>
      <c r="G49" s="31"/>
      <c r="H49" s="6"/>
      <c r="I49" s="7"/>
      <c r="J49" s="31"/>
      <c r="K49" s="6"/>
      <c r="L49" s="7"/>
      <c r="M49" s="31"/>
      <c r="N49" s="1"/>
      <c r="O49" s="1"/>
      <c r="P49" s="1"/>
      <c r="Q49" s="1"/>
      <c r="R49" s="6"/>
      <c r="S49" s="9"/>
      <c r="T49" s="10"/>
    </row>
  </sheetData>
  <sortState xmlns:xlrd2="http://schemas.microsoft.com/office/spreadsheetml/2017/richdata2" ref="A3:U43">
    <sortCondition descending="1" ref="S3:S43"/>
  </sortState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65679-AB54-436C-99FF-EE4430CC491C}">
  <sheetPr>
    <tabColor theme="7" tint="0.59999389629810485"/>
  </sheetPr>
  <dimension ref="A1:W55"/>
  <sheetViews>
    <sheetView workbookViewId="0">
      <selection activeCell="U3" sqref="U3:U35"/>
    </sheetView>
  </sheetViews>
  <sheetFormatPr baseColWidth="10" defaultRowHeight="15" x14ac:dyDescent="0.25"/>
  <sheetData>
    <row r="1" spans="1:23" ht="15.75" x14ac:dyDescent="0.25">
      <c r="A1" s="2" t="s">
        <v>133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34</v>
      </c>
      <c r="B3" s="6"/>
      <c r="C3" s="7"/>
      <c r="D3" s="8">
        <f t="shared" ref="D3:D35" si="0">B3*C3</f>
        <v>0</v>
      </c>
      <c r="E3" s="6"/>
      <c r="F3" s="7"/>
      <c r="G3" s="8">
        <f t="shared" ref="G3:G35" si="1">E3*F3</f>
        <v>0</v>
      </c>
      <c r="H3" s="6"/>
      <c r="I3" s="7"/>
      <c r="J3" s="8">
        <f t="shared" ref="J3:J35" si="2">H3*I3</f>
        <v>0</v>
      </c>
      <c r="K3" s="6"/>
      <c r="L3" s="7"/>
      <c r="M3" s="8">
        <f t="shared" ref="M3:M35" si="3">K3*L3</f>
        <v>0</v>
      </c>
      <c r="N3" s="6"/>
      <c r="O3" s="7"/>
      <c r="P3" s="8">
        <f t="shared" ref="P3:P35" si="4">N3*O3</f>
        <v>0</v>
      </c>
      <c r="Q3" s="1"/>
      <c r="R3" s="6">
        <f t="shared" ref="R3:R35" si="5">B3+E3+H3+K3+N3</f>
        <v>0</v>
      </c>
      <c r="S3" s="9" t="e">
        <f t="shared" ref="S3:S35" si="6">(D3+G3+J3+M3+P3)/R3</f>
        <v>#DIV/0!</v>
      </c>
      <c r="T3" s="9">
        <f t="shared" ref="T3:T35" si="7">R3/$V$3</f>
        <v>0</v>
      </c>
      <c r="U3" s="9">
        <f>R3 / _xlfn.XLOOKUP(A3, Mid!A:A, Mid!AA:AA)</f>
        <v>0</v>
      </c>
      <c r="V3" s="11">
        <f>SUM(R3:R69)</f>
        <v>249</v>
      </c>
      <c r="W3" s="12">
        <f>(SUM(D3:D99)+SUM(G3:G99)+SUM(J3:J99)+SUM(M3:M99)+SUM(P3:P99)) / V3</f>
        <v>0.34148594377510039</v>
      </c>
    </row>
    <row r="4" spans="1:23" x14ac:dyDescent="0.25">
      <c r="A4" s="1" t="s">
        <v>128</v>
      </c>
      <c r="B4" s="6"/>
      <c r="C4" s="7"/>
      <c r="D4" s="8">
        <f t="shared" si="0"/>
        <v>0</v>
      </c>
      <c r="E4" s="6"/>
      <c r="F4" s="7"/>
      <c r="G4" s="8">
        <f t="shared" si="1"/>
        <v>0</v>
      </c>
      <c r="H4" s="6">
        <v>2</v>
      </c>
      <c r="I4" s="7">
        <v>1</v>
      </c>
      <c r="J4" s="8">
        <f t="shared" si="2"/>
        <v>2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2</v>
      </c>
      <c r="S4" s="9">
        <f t="shared" si="6"/>
        <v>1</v>
      </c>
      <c r="T4" s="9">
        <f t="shared" si="7"/>
        <v>8.0321285140562242E-3</v>
      </c>
      <c r="U4" s="9">
        <f>R4 / _xlfn.XLOOKUP(A4, Mid!A:A, Mid!AA:AA)</f>
        <v>1.6393442622950821E-2</v>
      </c>
      <c r="W4" s="1"/>
    </row>
    <row r="5" spans="1:23" x14ac:dyDescent="0.25">
      <c r="A5" s="1" t="s">
        <v>91</v>
      </c>
      <c r="B5" s="6"/>
      <c r="C5" s="7"/>
      <c r="D5" s="8">
        <f t="shared" si="0"/>
        <v>0</v>
      </c>
      <c r="E5" s="6">
        <v>1</v>
      </c>
      <c r="F5" s="7">
        <v>1</v>
      </c>
      <c r="G5" s="8">
        <f t="shared" si="1"/>
        <v>1</v>
      </c>
      <c r="H5" s="6"/>
      <c r="I5" s="7"/>
      <c r="J5" s="8">
        <f t="shared" si="2"/>
        <v>0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1</v>
      </c>
      <c r="S5" s="9">
        <f t="shared" si="6"/>
        <v>1</v>
      </c>
      <c r="T5" s="9">
        <f t="shared" si="7"/>
        <v>4.0160642570281121E-3</v>
      </c>
      <c r="U5" s="9">
        <f>R5 / _xlfn.XLOOKUP(A5, Mid!A:A, Mid!AA:AA)</f>
        <v>1.5151515151515152E-2</v>
      </c>
      <c r="W5" s="1"/>
    </row>
    <row r="6" spans="1:23" x14ac:dyDescent="0.25">
      <c r="A6" s="1" t="s">
        <v>115</v>
      </c>
      <c r="B6" s="6"/>
      <c r="C6" s="7"/>
      <c r="D6" s="8">
        <f t="shared" si="0"/>
        <v>0</v>
      </c>
      <c r="E6" s="6">
        <v>1</v>
      </c>
      <c r="F6" s="7">
        <v>1</v>
      </c>
      <c r="G6" s="8">
        <f t="shared" si="1"/>
        <v>1</v>
      </c>
      <c r="H6" s="6"/>
      <c r="I6" s="7"/>
      <c r="J6" s="8">
        <f t="shared" si="2"/>
        <v>0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1"/>
      <c r="R6" s="6">
        <f t="shared" si="5"/>
        <v>1</v>
      </c>
      <c r="S6" s="9">
        <f t="shared" si="6"/>
        <v>1</v>
      </c>
      <c r="T6" s="9">
        <f t="shared" si="7"/>
        <v>4.0160642570281121E-3</v>
      </c>
      <c r="U6" s="9">
        <f>R6 / _xlfn.XLOOKUP(A6, Mid!A:A, Mid!AA:AA)</f>
        <v>1.9607843137254902E-2</v>
      </c>
      <c r="V6" s="1"/>
      <c r="W6" s="1"/>
    </row>
    <row r="7" spans="1:23" x14ac:dyDescent="0.25">
      <c r="A7" s="23" t="s">
        <v>59</v>
      </c>
      <c r="B7" s="6"/>
      <c r="C7" s="7"/>
      <c r="D7" s="8">
        <f t="shared" si="0"/>
        <v>0</v>
      </c>
      <c r="E7" s="6"/>
      <c r="F7" s="7"/>
      <c r="G7" s="8">
        <f t="shared" si="1"/>
        <v>0</v>
      </c>
      <c r="H7" s="6"/>
      <c r="I7" s="7"/>
      <c r="J7" s="8">
        <f t="shared" si="2"/>
        <v>0</v>
      </c>
      <c r="K7" s="6">
        <v>1</v>
      </c>
      <c r="L7" s="7">
        <v>1</v>
      </c>
      <c r="M7" s="8">
        <f t="shared" si="3"/>
        <v>1</v>
      </c>
      <c r="N7" s="6"/>
      <c r="O7" s="7"/>
      <c r="P7" s="8">
        <f t="shared" si="4"/>
        <v>0</v>
      </c>
      <c r="Q7" s="1"/>
      <c r="R7" s="6">
        <f t="shared" si="5"/>
        <v>1</v>
      </c>
      <c r="S7" s="9">
        <f t="shared" si="6"/>
        <v>1</v>
      </c>
      <c r="T7" s="9">
        <f t="shared" si="7"/>
        <v>4.0160642570281121E-3</v>
      </c>
      <c r="U7" s="9">
        <f>R7 / _xlfn.XLOOKUP(A7, Mid!A:A, Mid!AA:AA)</f>
        <v>2.6315789473684209E-2</v>
      </c>
      <c r="V7" s="1"/>
      <c r="W7" s="1"/>
    </row>
    <row r="8" spans="1:23" x14ac:dyDescent="0.25">
      <c r="A8" s="15" t="s">
        <v>154</v>
      </c>
      <c r="B8" s="6"/>
      <c r="C8" s="7"/>
      <c r="D8" s="8">
        <f t="shared" si="0"/>
        <v>0</v>
      </c>
      <c r="E8" s="6"/>
      <c r="F8" s="7"/>
      <c r="G8" s="8">
        <f t="shared" si="1"/>
        <v>0</v>
      </c>
      <c r="H8" s="6">
        <v>2</v>
      </c>
      <c r="I8" s="7">
        <v>0.5</v>
      </c>
      <c r="J8" s="8">
        <f t="shared" si="2"/>
        <v>1</v>
      </c>
      <c r="K8" s="6">
        <v>1</v>
      </c>
      <c r="L8" s="7">
        <v>1</v>
      </c>
      <c r="M8" s="8">
        <f t="shared" si="3"/>
        <v>1</v>
      </c>
      <c r="N8" s="6"/>
      <c r="O8" s="7"/>
      <c r="P8" s="8">
        <f t="shared" si="4"/>
        <v>0</v>
      </c>
      <c r="Q8" s="1"/>
      <c r="R8" s="6">
        <f t="shared" si="5"/>
        <v>3</v>
      </c>
      <c r="S8" s="9">
        <f t="shared" si="6"/>
        <v>0.66666666666666663</v>
      </c>
      <c r="T8" s="9">
        <f t="shared" si="7"/>
        <v>1.2048192771084338E-2</v>
      </c>
      <c r="U8" s="9">
        <f>R8 / _xlfn.XLOOKUP(A8, Mid!A:A, Mid!AA:AA)</f>
        <v>0.25</v>
      </c>
      <c r="V8" s="1"/>
      <c r="W8" s="1"/>
    </row>
    <row r="9" spans="1:23" x14ac:dyDescent="0.25">
      <c r="A9" s="1" t="s">
        <v>113</v>
      </c>
      <c r="B9" s="6"/>
      <c r="C9" s="7"/>
      <c r="D9" s="8">
        <f t="shared" si="0"/>
        <v>0</v>
      </c>
      <c r="E9" s="6">
        <v>3</v>
      </c>
      <c r="F9" s="7">
        <v>0.33300000000000002</v>
      </c>
      <c r="G9" s="8">
        <f t="shared" si="1"/>
        <v>0.99900000000000011</v>
      </c>
      <c r="H9" s="6"/>
      <c r="I9" s="7"/>
      <c r="J9" s="8">
        <f t="shared" si="2"/>
        <v>0</v>
      </c>
      <c r="K9" s="6">
        <v>3</v>
      </c>
      <c r="L9" s="7">
        <v>1</v>
      </c>
      <c r="M9" s="8">
        <f t="shared" si="3"/>
        <v>3</v>
      </c>
      <c r="N9" s="6"/>
      <c r="O9" s="7"/>
      <c r="P9" s="8">
        <f t="shared" si="4"/>
        <v>0</v>
      </c>
      <c r="Q9" s="1"/>
      <c r="R9" s="6">
        <f t="shared" si="5"/>
        <v>6</v>
      </c>
      <c r="S9" s="9">
        <f t="shared" si="6"/>
        <v>0.66649999999999998</v>
      </c>
      <c r="T9" s="9">
        <f t="shared" si="7"/>
        <v>2.4096385542168676E-2</v>
      </c>
      <c r="U9" s="9">
        <f>R9 / _xlfn.XLOOKUP(A9, Mid!A:A, Mid!AA:AA)</f>
        <v>3.2432432432432434E-2</v>
      </c>
      <c r="V9" s="1"/>
      <c r="W9" s="1"/>
    </row>
    <row r="10" spans="1:23" x14ac:dyDescent="0.25">
      <c r="A10" s="1" t="s">
        <v>39</v>
      </c>
      <c r="B10" s="6"/>
      <c r="C10" s="7"/>
      <c r="D10" s="8">
        <f t="shared" si="0"/>
        <v>0</v>
      </c>
      <c r="E10" s="6">
        <v>8</v>
      </c>
      <c r="F10" s="7">
        <v>0.375</v>
      </c>
      <c r="G10" s="8">
        <f t="shared" si="1"/>
        <v>3</v>
      </c>
      <c r="H10" s="6">
        <v>9</v>
      </c>
      <c r="I10" s="7">
        <v>0.88900000000000001</v>
      </c>
      <c r="J10" s="8">
        <f t="shared" si="2"/>
        <v>8.0009999999999994</v>
      </c>
      <c r="K10" s="6"/>
      <c r="L10" s="7"/>
      <c r="M10" s="8">
        <f t="shared" si="3"/>
        <v>0</v>
      </c>
      <c r="N10" s="6"/>
      <c r="O10" s="7"/>
      <c r="P10" s="8">
        <f t="shared" si="4"/>
        <v>0</v>
      </c>
      <c r="Q10" s="1"/>
      <c r="R10" s="6">
        <f t="shared" si="5"/>
        <v>17</v>
      </c>
      <c r="S10" s="9">
        <f t="shared" si="6"/>
        <v>0.64711764705882346</v>
      </c>
      <c r="T10" s="9">
        <f t="shared" si="7"/>
        <v>6.8273092369477914E-2</v>
      </c>
      <c r="U10" s="9">
        <f>R10 / _xlfn.XLOOKUP(A10, Mid!A:A, Mid!AA:AA)</f>
        <v>7.5555555555555556E-2</v>
      </c>
      <c r="V10" s="1"/>
      <c r="W10" s="1"/>
    </row>
    <row r="11" spans="1:23" x14ac:dyDescent="0.25">
      <c r="A11" s="1" t="s">
        <v>10</v>
      </c>
      <c r="B11" s="6"/>
      <c r="C11" s="7"/>
      <c r="D11" s="8">
        <f t="shared" si="0"/>
        <v>0</v>
      </c>
      <c r="E11" s="6">
        <v>2</v>
      </c>
      <c r="F11" s="7">
        <v>0.5</v>
      </c>
      <c r="G11" s="8">
        <f t="shared" si="1"/>
        <v>1</v>
      </c>
      <c r="H11" s="6"/>
      <c r="I11" s="7"/>
      <c r="J11" s="8">
        <f t="shared" si="2"/>
        <v>0</v>
      </c>
      <c r="K11" s="6"/>
      <c r="L11" s="7"/>
      <c r="M11" s="8">
        <f t="shared" si="3"/>
        <v>0</v>
      </c>
      <c r="N11" s="6"/>
      <c r="O11" s="7"/>
      <c r="P11" s="8">
        <f t="shared" si="4"/>
        <v>0</v>
      </c>
      <c r="Q11" s="1"/>
      <c r="R11" s="6">
        <f t="shared" si="5"/>
        <v>2</v>
      </c>
      <c r="S11" s="9">
        <f t="shared" si="6"/>
        <v>0.5</v>
      </c>
      <c r="T11" s="9">
        <f t="shared" si="7"/>
        <v>8.0321285140562242E-3</v>
      </c>
      <c r="U11" s="9">
        <f>R11 / _xlfn.XLOOKUP(A11, Mid!A:A, Mid!AA:AA)</f>
        <v>6.0606060606060608E-2</v>
      </c>
      <c r="V11" s="1"/>
      <c r="W11" s="1"/>
    </row>
    <row r="12" spans="1:23" x14ac:dyDescent="0.25">
      <c r="A12" s="1" t="s">
        <v>8</v>
      </c>
      <c r="B12" s="6"/>
      <c r="C12" s="7"/>
      <c r="D12" s="8">
        <f t="shared" si="0"/>
        <v>0</v>
      </c>
      <c r="E12" s="6">
        <v>2</v>
      </c>
      <c r="F12" s="7">
        <v>0.5</v>
      </c>
      <c r="G12" s="8">
        <f t="shared" si="1"/>
        <v>1</v>
      </c>
      <c r="H12" s="6"/>
      <c r="I12" s="7"/>
      <c r="J12" s="8">
        <f t="shared" si="2"/>
        <v>0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1"/>
      <c r="R12" s="6">
        <f t="shared" si="5"/>
        <v>2</v>
      </c>
      <c r="S12" s="9">
        <f t="shared" si="6"/>
        <v>0.5</v>
      </c>
      <c r="T12" s="9">
        <f t="shared" si="7"/>
        <v>8.0321285140562242E-3</v>
      </c>
      <c r="U12" s="9">
        <f>R12 / _xlfn.XLOOKUP(A12, Mid!A:A, Mid!AA:AA)</f>
        <v>1.8018018018018018E-2</v>
      </c>
      <c r="V12" s="1"/>
      <c r="W12" s="1"/>
    </row>
    <row r="13" spans="1:23" x14ac:dyDescent="0.25">
      <c r="A13" s="1" t="s">
        <v>12</v>
      </c>
      <c r="B13" s="6"/>
      <c r="C13" s="7"/>
      <c r="D13" s="8">
        <f t="shared" si="0"/>
        <v>0</v>
      </c>
      <c r="E13" s="6">
        <v>4</v>
      </c>
      <c r="F13" s="7">
        <v>0.75</v>
      </c>
      <c r="G13" s="8">
        <f t="shared" si="1"/>
        <v>3</v>
      </c>
      <c r="H13" s="6">
        <v>7</v>
      </c>
      <c r="I13" s="7">
        <v>0.42899999999999999</v>
      </c>
      <c r="J13" s="8">
        <f t="shared" si="2"/>
        <v>3.0030000000000001</v>
      </c>
      <c r="K13" s="6">
        <v>2</v>
      </c>
      <c r="L13" s="7">
        <v>0</v>
      </c>
      <c r="M13" s="8">
        <f t="shared" si="3"/>
        <v>0</v>
      </c>
      <c r="N13" s="6"/>
      <c r="O13" s="7"/>
      <c r="P13" s="8">
        <f t="shared" si="4"/>
        <v>0</v>
      </c>
      <c r="Q13" s="4"/>
      <c r="R13" s="6">
        <f t="shared" si="5"/>
        <v>13</v>
      </c>
      <c r="S13" s="9">
        <f t="shared" si="6"/>
        <v>0.46176923076923077</v>
      </c>
      <c r="T13" s="9">
        <f t="shared" si="7"/>
        <v>5.2208835341365459E-2</v>
      </c>
      <c r="U13" s="9">
        <f>R13 / _xlfn.XLOOKUP(A13, Mid!A:A, Mid!AA:AA)</f>
        <v>4.9618320610687022E-2</v>
      </c>
      <c r="V13" s="1"/>
      <c r="W13" s="1"/>
    </row>
    <row r="14" spans="1:23" x14ac:dyDescent="0.25">
      <c r="A14" s="1" t="s">
        <v>48</v>
      </c>
      <c r="B14" s="6"/>
      <c r="C14" s="7"/>
      <c r="D14" s="8">
        <f t="shared" si="0"/>
        <v>0</v>
      </c>
      <c r="E14" s="6"/>
      <c r="F14" s="7"/>
      <c r="G14" s="8">
        <f t="shared" si="1"/>
        <v>0</v>
      </c>
      <c r="H14" s="6"/>
      <c r="I14" s="7"/>
      <c r="J14" s="8">
        <f t="shared" si="2"/>
        <v>0</v>
      </c>
      <c r="K14" s="6">
        <v>5</v>
      </c>
      <c r="L14" s="7">
        <v>0.4</v>
      </c>
      <c r="M14" s="8">
        <f t="shared" si="3"/>
        <v>2</v>
      </c>
      <c r="N14" s="6"/>
      <c r="O14" s="7"/>
      <c r="P14" s="8">
        <f t="shared" si="4"/>
        <v>0</v>
      </c>
      <c r="Q14" s="1"/>
      <c r="R14" s="6">
        <f t="shared" si="5"/>
        <v>5</v>
      </c>
      <c r="S14" s="9">
        <f t="shared" si="6"/>
        <v>0.4</v>
      </c>
      <c r="T14" s="9">
        <f t="shared" si="7"/>
        <v>2.0080321285140562E-2</v>
      </c>
      <c r="U14" s="9">
        <f>R14 / _xlfn.XLOOKUP(A14, Mid!A:A, Mid!AA:AA)</f>
        <v>1.7482517482517484E-2</v>
      </c>
      <c r="V14" s="1"/>
      <c r="W14" s="1"/>
    </row>
    <row r="15" spans="1:23" x14ac:dyDescent="0.25">
      <c r="A15" s="15" t="s">
        <v>201</v>
      </c>
      <c r="B15" s="6"/>
      <c r="C15" s="7"/>
      <c r="D15" s="8">
        <f t="shared" si="0"/>
        <v>0</v>
      </c>
      <c r="E15" s="6"/>
      <c r="F15" s="7"/>
      <c r="G15" s="8">
        <f t="shared" si="1"/>
        <v>0</v>
      </c>
      <c r="H15" s="6">
        <v>4</v>
      </c>
      <c r="I15" s="7">
        <v>0.5</v>
      </c>
      <c r="J15" s="8">
        <f t="shared" si="2"/>
        <v>2</v>
      </c>
      <c r="K15" s="6">
        <v>4</v>
      </c>
      <c r="L15" s="7">
        <v>0.25</v>
      </c>
      <c r="M15" s="8">
        <f t="shared" si="3"/>
        <v>1</v>
      </c>
      <c r="N15" s="6"/>
      <c r="O15" s="7"/>
      <c r="P15" s="8">
        <f t="shared" si="4"/>
        <v>0</v>
      </c>
      <c r="Q15" s="1"/>
      <c r="R15" s="6">
        <f t="shared" si="5"/>
        <v>8</v>
      </c>
      <c r="S15" s="9">
        <f t="shared" si="6"/>
        <v>0.375</v>
      </c>
      <c r="T15" s="9">
        <f t="shared" si="7"/>
        <v>3.2128514056224897E-2</v>
      </c>
      <c r="U15" s="9">
        <f>R15 / _xlfn.XLOOKUP(A15, Mid!A:A, Mid!AA:AA)</f>
        <v>6.3492063492063489E-2</v>
      </c>
      <c r="V15" s="1"/>
      <c r="W15" s="1"/>
    </row>
    <row r="16" spans="1:23" x14ac:dyDescent="0.25">
      <c r="A16" s="1" t="s">
        <v>108</v>
      </c>
      <c r="B16" s="6"/>
      <c r="C16" s="7"/>
      <c r="D16" s="8">
        <f t="shared" si="0"/>
        <v>0</v>
      </c>
      <c r="E16" s="6"/>
      <c r="F16" s="7"/>
      <c r="G16" s="8">
        <f t="shared" si="1"/>
        <v>0</v>
      </c>
      <c r="H16" s="6">
        <v>17</v>
      </c>
      <c r="I16" s="7">
        <v>0.41199999999999998</v>
      </c>
      <c r="J16" s="8">
        <f t="shared" si="2"/>
        <v>7.0039999999999996</v>
      </c>
      <c r="K16" s="6">
        <v>2</v>
      </c>
      <c r="L16" s="7">
        <v>0</v>
      </c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19</v>
      </c>
      <c r="S16" s="9">
        <f t="shared" si="6"/>
        <v>0.36863157894736842</v>
      </c>
      <c r="T16" s="9">
        <f t="shared" si="7"/>
        <v>7.6305220883534142E-2</v>
      </c>
      <c r="U16" s="9">
        <f>R16 / _xlfn.XLOOKUP(A16, Mid!A:A, Mid!AA:AA)</f>
        <v>6.0317460317460318E-2</v>
      </c>
      <c r="V16" s="1"/>
      <c r="W16" s="1"/>
    </row>
    <row r="17" spans="1:23" x14ac:dyDescent="0.25">
      <c r="A17" s="1" t="s">
        <v>64</v>
      </c>
      <c r="B17" s="6"/>
      <c r="C17" s="7"/>
      <c r="D17" s="8">
        <f t="shared" si="0"/>
        <v>0</v>
      </c>
      <c r="E17" s="6">
        <v>13</v>
      </c>
      <c r="F17" s="7">
        <v>0.308</v>
      </c>
      <c r="G17" s="8">
        <f t="shared" si="1"/>
        <v>4.0039999999999996</v>
      </c>
      <c r="H17" s="6">
        <v>9</v>
      </c>
      <c r="I17" s="7">
        <v>0.55600000000000005</v>
      </c>
      <c r="J17" s="8">
        <f t="shared" si="2"/>
        <v>5.0040000000000004</v>
      </c>
      <c r="K17" s="6">
        <v>10</v>
      </c>
      <c r="L17" s="7">
        <v>0.2</v>
      </c>
      <c r="M17" s="8">
        <f t="shared" si="3"/>
        <v>2</v>
      </c>
      <c r="N17" s="6"/>
      <c r="O17" s="7"/>
      <c r="P17" s="8">
        <f t="shared" si="4"/>
        <v>0</v>
      </c>
      <c r="Q17" s="4"/>
      <c r="R17" s="6">
        <f t="shared" si="5"/>
        <v>32</v>
      </c>
      <c r="S17" s="9">
        <f t="shared" si="6"/>
        <v>0.34399999999999997</v>
      </c>
      <c r="T17" s="9">
        <f t="shared" si="7"/>
        <v>0.12851405622489959</v>
      </c>
      <c r="U17" s="9">
        <f>R17 / _xlfn.XLOOKUP(A17, Mid!A:A, Mid!AA:AA)</f>
        <v>4.1939711664482307E-2</v>
      </c>
      <c r="V17" s="1"/>
      <c r="W17" s="1"/>
    </row>
    <row r="18" spans="1:23" x14ac:dyDescent="0.25">
      <c r="A18" s="1" t="s">
        <v>87</v>
      </c>
      <c r="B18" s="6"/>
      <c r="C18" s="7"/>
      <c r="D18" s="8">
        <f t="shared" si="0"/>
        <v>0</v>
      </c>
      <c r="E18" s="6">
        <v>12</v>
      </c>
      <c r="F18" s="7">
        <v>0.41699999999999998</v>
      </c>
      <c r="G18" s="8">
        <f t="shared" si="1"/>
        <v>5.0039999999999996</v>
      </c>
      <c r="H18" s="6">
        <v>8</v>
      </c>
      <c r="I18" s="7">
        <v>0.375</v>
      </c>
      <c r="J18" s="8">
        <f t="shared" si="2"/>
        <v>3</v>
      </c>
      <c r="K18" s="6">
        <v>15</v>
      </c>
      <c r="L18" s="7">
        <v>0.26700000000000002</v>
      </c>
      <c r="M18" s="8">
        <f t="shared" si="3"/>
        <v>4.0049999999999999</v>
      </c>
      <c r="N18" s="6"/>
      <c r="O18" s="7"/>
      <c r="P18" s="8">
        <f t="shared" si="4"/>
        <v>0</v>
      </c>
      <c r="Q18" s="1"/>
      <c r="R18" s="6">
        <f t="shared" si="5"/>
        <v>35</v>
      </c>
      <c r="S18" s="9">
        <f t="shared" si="6"/>
        <v>0.3431142857142857</v>
      </c>
      <c r="T18" s="9">
        <f t="shared" si="7"/>
        <v>0.14056224899598393</v>
      </c>
      <c r="U18" s="9">
        <f>R18 / _xlfn.XLOOKUP(A18, Mid!A:A, Mid!AA:AA)</f>
        <v>7.2463768115942032E-2</v>
      </c>
      <c r="V18" s="1"/>
      <c r="W18" s="1"/>
    </row>
    <row r="19" spans="1:23" x14ac:dyDescent="0.25">
      <c r="A19" s="1" t="s">
        <v>29</v>
      </c>
      <c r="B19" s="6"/>
      <c r="C19" s="7"/>
      <c r="D19" s="8">
        <f t="shared" si="0"/>
        <v>0</v>
      </c>
      <c r="E19" s="6">
        <v>1</v>
      </c>
      <c r="F19" s="7">
        <v>0</v>
      </c>
      <c r="G19" s="8">
        <f t="shared" si="1"/>
        <v>0</v>
      </c>
      <c r="H19" s="6">
        <v>2</v>
      </c>
      <c r="I19" s="7">
        <v>0.5</v>
      </c>
      <c r="J19" s="8">
        <f t="shared" si="2"/>
        <v>1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4"/>
      <c r="R19" s="6">
        <f t="shared" si="5"/>
        <v>3</v>
      </c>
      <c r="S19" s="9">
        <f t="shared" si="6"/>
        <v>0.33333333333333331</v>
      </c>
      <c r="T19" s="9">
        <f t="shared" si="7"/>
        <v>1.2048192771084338E-2</v>
      </c>
      <c r="U19" s="9">
        <f>R19 / _xlfn.XLOOKUP(A19, Mid!A:A, Mid!AA:AA)</f>
        <v>7.8947368421052627E-2</v>
      </c>
      <c r="V19" s="1"/>
      <c r="W19" s="1"/>
    </row>
    <row r="20" spans="1:23" x14ac:dyDescent="0.25">
      <c r="A20" s="1" t="s">
        <v>117</v>
      </c>
      <c r="B20" s="6"/>
      <c r="C20" s="7"/>
      <c r="D20" s="8">
        <f t="shared" si="0"/>
        <v>0</v>
      </c>
      <c r="E20" s="6">
        <v>3</v>
      </c>
      <c r="F20" s="7">
        <v>0.33300000000000002</v>
      </c>
      <c r="G20" s="8">
        <f t="shared" si="1"/>
        <v>0.99900000000000011</v>
      </c>
      <c r="H20" s="6">
        <v>7</v>
      </c>
      <c r="I20" s="7">
        <v>0.28599999999999998</v>
      </c>
      <c r="J20" s="8">
        <f t="shared" si="2"/>
        <v>2.0019999999999998</v>
      </c>
      <c r="K20" s="6"/>
      <c r="L20" s="7"/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10</v>
      </c>
      <c r="S20" s="9">
        <f t="shared" si="6"/>
        <v>0.30009999999999998</v>
      </c>
      <c r="T20" s="9">
        <f t="shared" si="7"/>
        <v>4.0160642570281124E-2</v>
      </c>
      <c r="U20" s="9">
        <f>R20 / _xlfn.XLOOKUP(A20, Mid!A:A, Mid!AA:AA)</f>
        <v>0.23255813953488372</v>
      </c>
      <c r="V20" s="1"/>
      <c r="W20" s="1"/>
    </row>
    <row r="21" spans="1:23" x14ac:dyDescent="0.25">
      <c r="A21" s="1" t="s">
        <v>112</v>
      </c>
      <c r="B21" s="6"/>
      <c r="C21" s="7"/>
      <c r="D21" s="8">
        <f t="shared" si="0"/>
        <v>0</v>
      </c>
      <c r="E21" s="6"/>
      <c r="F21" s="7"/>
      <c r="G21" s="8">
        <f t="shared" si="1"/>
        <v>0</v>
      </c>
      <c r="H21" s="6"/>
      <c r="I21" s="7"/>
      <c r="J21" s="8">
        <f t="shared" si="2"/>
        <v>0</v>
      </c>
      <c r="K21" s="6">
        <v>7</v>
      </c>
      <c r="L21" s="7">
        <v>0.28599999999999998</v>
      </c>
      <c r="M21" s="8">
        <f t="shared" si="3"/>
        <v>2.0019999999999998</v>
      </c>
      <c r="N21" s="6"/>
      <c r="O21" s="7"/>
      <c r="P21" s="8">
        <f t="shared" si="4"/>
        <v>0</v>
      </c>
      <c r="Q21" s="1"/>
      <c r="R21" s="6">
        <f t="shared" si="5"/>
        <v>7</v>
      </c>
      <c r="S21" s="9">
        <f t="shared" si="6"/>
        <v>0.28599999999999998</v>
      </c>
      <c r="T21" s="9">
        <f t="shared" si="7"/>
        <v>2.8112449799196786E-2</v>
      </c>
      <c r="U21" s="9">
        <f>R21 / _xlfn.XLOOKUP(A21, Mid!A:A, Mid!AA:AA)</f>
        <v>3.954802259887006E-2</v>
      </c>
      <c r="V21" s="1"/>
      <c r="W21" s="1"/>
    </row>
    <row r="22" spans="1:23" x14ac:dyDescent="0.25">
      <c r="A22" s="15" t="s">
        <v>139</v>
      </c>
      <c r="B22" s="6"/>
      <c r="C22" s="7"/>
      <c r="D22" s="8">
        <f t="shared" si="0"/>
        <v>0</v>
      </c>
      <c r="E22" s="6"/>
      <c r="F22" s="7"/>
      <c r="G22" s="8">
        <f t="shared" si="1"/>
        <v>0</v>
      </c>
      <c r="H22" s="6">
        <v>4</v>
      </c>
      <c r="I22" s="7">
        <v>0.25</v>
      </c>
      <c r="J22" s="8">
        <f t="shared" si="2"/>
        <v>1</v>
      </c>
      <c r="K22" s="6"/>
      <c r="L22" s="7"/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4</v>
      </c>
      <c r="S22" s="9">
        <f t="shared" si="6"/>
        <v>0.25</v>
      </c>
      <c r="T22" s="9">
        <f t="shared" si="7"/>
        <v>1.6064257028112448E-2</v>
      </c>
      <c r="U22" s="9">
        <f>R22 / _xlfn.XLOOKUP(A22, Mid!A:A, Mid!AA:AA)</f>
        <v>0.22222222222222221</v>
      </c>
      <c r="V22" s="1"/>
      <c r="W22" s="1"/>
    </row>
    <row r="23" spans="1:23" x14ac:dyDescent="0.25">
      <c r="A23" s="1" t="s">
        <v>110</v>
      </c>
      <c r="B23" s="6"/>
      <c r="C23" s="7"/>
      <c r="D23" s="8">
        <f t="shared" si="0"/>
        <v>0</v>
      </c>
      <c r="E23" s="6"/>
      <c r="F23" s="7"/>
      <c r="G23" s="8">
        <f t="shared" si="1"/>
        <v>0</v>
      </c>
      <c r="H23" s="6">
        <v>3</v>
      </c>
      <c r="I23" s="7">
        <v>0.33300000000000002</v>
      </c>
      <c r="J23" s="8">
        <f t="shared" si="2"/>
        <v>0.99900000000000011</v>
      </c>
      <c r="K23" s="6">
        <v>9</v>
      </c>
      <c r="L23" s="7">
        <v>0.222</v>
      </c>
      <c r="M23" s="8">
        <f t="shared" si="3"/>
        <v>1.998</v>
      </c>
      <c r="N23" s="6"/>
      <c r="O23" s="7"/>
      <c r="P23" s="8">
        <f t="shared" si="4"/>
        <v>0</v>
      </c>
      <c r="Q23" s="4"/>
      <c r="R23" s="6">
        <f t="shared" si="5"/>
        <v>12</v>
      </c>
      <c r="S23" s="9">
        <f t="shared" si="6"/>
        <v>0.24975</v>
      </c>
      <c r="T23" s="9">
        <f t="shared" si="7"/>
        <v>4.8192771084337352E-2</v>
      </c>
      <c r="U23" s="9">
        <f>R23 / _xlfn.XLOOKUP(A23, Mid!A:A, Mid!AA:AA)</f>
        <v>3.9473684210526314E-2</v>
      </c>
      <c r="V23" s="1"/>
      <c r="W23" s="1"/>
    </row>
    <row r="24" spans="1:23" x14ac:dyDescent="0.25">
      <c r="A24" s="1" t="s">
        <v>107</v>
      </c>
      <c r="B24" s="6"/>
      <c r="C24" s="7"/>
      <c r="D24" s="8">
        <f t="shared" si="0"/>
        <v>0</v>
      </c>
      <c r="E24" s="6">
        <v>2</v>
      </c>
      <c r="F24" s="7">
        <v>1</v>
      </c>
      <c r="G24" s="8">
        <f t="shared" si="1"/>
        <v>2</v>
      </c>
      <c r="H24" s="6">
        <v>1</v>
      </c>
      <c r="I24" s="7">
        <v>0</v>
      </c>
      <c r="J24" s="8">
        <f t="shared" si="2"/>
        <v>0</v>
      </c>
      <c r="K24" s="6">
        <v>6</v>
      </c>
      <c r="L24" s="7">
        <v>0</v>
      </c>
      <c r="M24" s="8">
        <f t="shared" si="3"/>
        <v>0</v>
      </c>
      <c r="N24" s="6"/>
      <c r="O24" s="7"/>
      <c r="P24" s="8">
        <f t="shared" si="4"/>
        <v>0</v>
      </c>
      <c r="Q24" s="13"/>
      <c r="R24" s="6">
        <f t="shared" si="5"/>
        <v>9</v>
      </c>
      <c r="S24" s="9">
        <f t="shared" si="6"/>
        <v>0.22222222222222221</v>
      </c>
      <c r="T24" s="9">
        <f t="shared" si="7"/>
        <v>3.614457831325301E-2</v>
      </c>
      <c r="U24" s="9">
        <f>R24 / _xlfn.XLOOKUP(A24, Mid!A:A, Mid!AA:AA)</f>
        <v>1.7374517374517374E-2</v>
      </c>
      <c r="V24" s="1"/>
      <c r="W24" s="1"/>
    </row>
    <row r="25" spans="1:23" x14ac:dyDescent="0.25">
      <c r="A25" s="1" t="s">
        <v>27</v>
      </c>
      <c r="B25" s="6"/>
      <c r="C25" s="7"/>
      <c r="D25" s="8">
        <f t="shared" si="0"/>
        <v>0</v>
      </c>
      <c r="E25" s="6">
        <v>3</v>
      </c>
      <c r="F25" s="7">
        <v>0</v>
      </c>
      <c r="G25" s="8">
        <f t="shared" si="1"/>
        <v>0</v>
      </c>
      <c r="H25" s="6">
        <v>1</v>
      </c>
      <c r="I25" s="7">
        <v>0</v>
      </c>
      <c r="J25" s="8">
        <f t="shared" si="2"/>
        <v>0</v>
      </c>
      <c r="K25" s="6">
        <v>1</v>
      </c>
      <c r="L25" s="7">
        <v>1</v>
      </c>
      <c r="M25" s="8">
        <f t="shared" si="3"/>
        <v>1</v>
      </c>
      <c r="N25" s="6"/>
      <c r="O25" s="7"/>
      <c r="P25" s="8">
        <f t="shared" si="4"/>
        <v>0</v>
      </c>
      <c r="Q25" s="1"/>
      <c r="R25" s="6">
        <f t="shared" si="5"/>
        <v>5</v>
      </c>
      <c r="S25" s="9">
        <f t="shared" si="6"/>
        <v>0.2</v>
      </c>
      <c r="T25" s="9">
        <f t="shared" si="7"/>
        <v>2.0080321285140562E-2</v>
      </c>
      <c r="U25" s="9">
        <f>R25 / _xlfn.XLOOKUP(A25, Mid!A:A, Mid!AA:AA)</f>
        <v>2.336448598130841E-2</v>
      </c>
      <c r="V25" s="1"/>
      <c r="W25" s="1"/>
    </row>
    <row r="26" spans="1:23" x14ac:dyDescent="0.25">
      <c r="A26" s="1" t="s">
        <v>32</v>
      </c>
      <c r="B26" s="6"/>
      <c r="C26" s="7"/>
      <c r="D26" s="8">
        <f t="shared" si="0"/>
        <v>0</v>
      </c>
      <c r="E26" s="6">
        <v>5</v>
      </c>
      <c r="F26" s="7">
        <v>0.2</v>
      </c>
      <c r="G26" s="8">
        <f t="shared" si="1"/>
        <v>1</v>
      </c>
      <c r="H26" s="6"/>
      <c r="I26" s="7"/>
      <c r="J26" s="8">
        <f t="shared" si="2"/>
        <v>0</v>
      </c>
      <c r="K26" s="6"/>
      <c r="L26" s="7"/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5</v>
      </c>
      <c r="S26" s="9">
        <f t="shared" si="6"/>
        <v>0.2</v>
      </c>
      <c r="T26" s="9">
        <f t="shared" si="7"/>
        <v>2.0080321285140562E-2</v>
      </c>
      <c r="U26" s="9">
        <f>R26 / _xlfn.XLOOKUP(A26, Mid!A:A, Mid!AA:AA)</f>
        <v>1.7123287671232876E-2</v>
      </c>
      <c r="V26" s="1"/>
      <c r="W26" s="1"/>
    </row>
    <row r="27" spans="1:23" x14ac:dyDescent="0.25">
      <c r="A27" s="1" t="s">
        <v>118</v>
      </c>
      <c r="B27" s="6"/>
      <c r="C27" s="7"/>
      <c r="D27" s="8">
        <f t="shared" si="0"/>
        <v>0</v>
      </c>
      <c r="E27" s="6"/>
      <c r="F27" s="7"/>
      <c r="G27" s="8">
        <f t="shared" si="1"/>
        <v>0</v>
      </c>
      <c r="H27" s="6">
        <v>13</v>
      </c>
      <c r="I27" s="7">
        <v>0.23100000000000001</v>
      </c>
      <c r="J27" s="8">
        <f t="shared" si="2"/>
        <v>3.0030000000000001</v>
      </c>
      <c r="K27" s="6">
        <v>4</v>
      </c>
      <c r="L27" s="7">
        <v>0</v>
      </c>
      <c r="M27" s="8">
        <f t="shared" si="3"/>
        <v>0</v>
      </c>
      <c r="N27" s="6"/>
      <c r="O27" s="7"/>
      <c r="P27" s="8">
        <f t="shared" si="4"/>
        <v>0</v>
      </c>
      <c r="Q27" s="1"/>
      <c r="R27" s="6">
        <f t="shared" si="5"/>
        <v>17</v>
      </c>
      <c r="S27" s="9">
        <f t="shared" si="6"/>
        <v>0.17664705882352941</v>
      </c>
      <c r="T27" s="9">
        <f t="shared" si="7"/>
        <v>6.8273092369477914E-2</v>
      </c>
      <c r="U27" s="9">
        <f>R27 / _xlfn.XLOOKUP(A27, Mid!A:A, Mid!AA:AA)</f>
        <v>0.24285714285714285</v>
      </c>
      <c r="V27" s="1"/>
      <c r="W27" s="1"/>
    </row>
    <row r="28" spans="1:23" x14ac:dyDescent="0.25">
      <c r="A28" s="1" t="s">
        <v>109</v>
      </c>
      <c r="B28" s="6"/>
      <c r="C28" s="7"/>
      <c r="D28" s="8">
        <f t="shared" si="0"/>
        <v>0</v>
      </c>
      <c r="E28" s="6">
        <v>7</v>
      </c>
      <c r="F28" s="7">
        <v>0.28599999999999998</v>
      </c>
      <c r="G28" s="8">
        <f t="shared" si="1"/>
        <v>2.0019999999999998</v>
      </c>
      <c r="H28" s="6"/>
      <c r="I28" s="7"/>
      <c r="J28" s="8">
        <f t="shared" si="2"/>
        <v>0</v>
      </c>
      <c r="K28" s="6">
        <v>5</v>
      </c>
      <c r="L28" s="7">
        <v>0</v>
      </c>
      <c r="M28" s="8">
        <f t="shared" si="3"/>
        <v>0</v>
      </c>
      <c r="N28" s="6"/>
      <c r="O28" s="7"/>
      <c r="P28" s="8">
        <f t="shared" si="4"/>
        <v>0</v>
      </c>
      <c r="Q28" s="1"/>
      <c r="R28" s="6">
        <f t="shared" si="5"/>
        <v>12</v>
      </c>
      <c r="S28" s="9">
        <f t="shared" si="6"/>
        <v>0.16683333333333331</v>
      </c>
      <c r="T28" s="9">
        <f t="shared" si="7"/>
        <v>4.8192771084337352E-2</v>
      </c>
      <c r="U28" s="9">
        <f>R28 / _xlfn.XLOOKUP(A28, Mid!A:A, Mid!AA:AA)</f>
        <v>4.8387096774193547E-2</v>
      </c>
      <c r="V28" s="1"/>
      <c r="W28" s="1"/>
    </row>
    <row r="29" spans="1:23" x14ac:dyDescent="0.25">
      <c r="A29" s="1" t="s">
        <v>52</v>
      </c>
      <c r="B29" s="6"/>
      <c r="C29" s="7"/>
      <c r="D29" s="8">
        <f t="shared" si="0"/>
        <v>0</v>
      </c>
      <c r="E29" s="6">
        <v>7</v>
      </c>
      <c r="F29" s="7">
        <v>0.14299999999999999</v>
      </c>
      <c r="G29" s="8">
        <f t="shared" si="1"/>
        <v>1.0009999999999999</v>
      </c>
      <c r="H29" s="6">
        <v>1</v>
      </c>
      <c r="I29" s="7">
        <v>0</v>
      </c>
      <c r="J29" s="8">
        <f t="shared" si="2"/>
        <v>0</v>
      </c>
      <c r="K29" s="6"/>
      <c r="L29" s="7"/>
      <c r="M29" s="8">
        <f t="shared" si="3"/>
        <v>0</v>
      </c>
      <c r="N29" s="6"/>
      <c r="O29" s="7"/>
      <c r="P29" s="8">
        <f t="shared" si="4"/>
        <v>0</v>
      </c>
      <c r="Q29" s="1"/>
      <c r="R29" s="6">
        <f t="shared" si="5"/>
        <v>8</v>
      </c>
      <c r="S29" s="9">
        <f t="shared" si="6"/>
        <v>0.12512499999999999</v>
      </c>
      <c r="T29" s="9">
        <f t="shared" si="7"/>
        <v>3.2128514056224897E-2</v>
      </c>
      <c r="U29" s="9">
        <f>R29 / _xlfn.XLOOKUP(A29, Mid!A:A, Mid!AA:AA)</f>
        <v>3.6199095022624438E-2</v>
      </c>
      <c r="V29" s="1"/>
      <c r="W29" s="1"/>
    </row>
    <row r="30" spans="1:23" x14ac:dyDescent="0.25">
      <c r="A30" s="1" t="s">
        <v>125</v>
      </c>
      <c r="B30" s="6"/>
      <c r="C30" s="7"/>
      <c r="D30" s="8">
        <f t="shared" si="0"/>
        <v>0</v>
      </c>
      <c r="E30" s="6">
        <v>2</v>
      </c>
      <c r="F30" s="7">
        <v>0</v>
      </c>
      <c r="G30" s="8">
        <f t="shared" si="1"/>
        <v>0</v>
      </c>
      <c r="H30" s="6"/>
      <c r="I30" s="7"/>
      <c r="J30" s="8">
        <f t="shared" si="2"/>
        <v>0</v>
      </c>
      <c r="K30" s="6">
        <v>1</v>
      </c>
      <c r="L30" s="7">
        <v>0</v>
      </c>
      <c r="M30" s="8">
        <f t="shared" si="3"/>
        <v>0</v>
      </c>
      <c r="N30" s="6"/>
      <c r="O30" s="7"/>
      <c r="P30" s="8">
        <f t="shared" si="4"/>
        <v>0</v>
      </c>
      <c r="Q30" s="1"/>
      <c r="R30" s="6">
        <f t="shared" si="5"/>
        <v>3</v>
      </c>
      <c r="S30" s="9">
        <f t="shared" si="6"/>
        <v>0</v>
      </c>
      <c r="T30" s="9">
        <f t="shared" si="7"/>
        <v>1.2048192771084338E-2</v>
      </c>
      <c r="U30" s="9">
        <f>R30 / _xlfn.XLOOKUP(A30, Mid!A:A, Mid!AA:AA)</f>
        <v>5.4545454545454543E-2</v>
      </c>
      <c r="V30" s="1"/>
      <c r="W30" s="1"/>
    </row>
    <row r="31" spans="1:23" x14ac:dyDescent="0.25">
      <c r="A31" s="1" t="s">
        <v>124</v>
      </c>
      <c r="B31" s="6"/>
      <c r="C31" s="7"/>
      <c r="D31" s="8">
        <f t="shared" si="0"/>
        <v>0</v>
      </c>
      <c r="E31" s="6">
        <v>3</v>
      </c>
      <c r="F31" s="7">
        <v>0</v>
      </c>
      <c r="G31" s="8">
        <f t="shared" si="1"/>
        <v>0</v>
      </c>
      <c r="H31" s="6"/>
      <c r="I31" s="7"/>
      <c r="J31" s="8">
        <f t="shared" si="2"/>
        <v>0</v>
      </c>
      <c r="K31" s="6"/>
      <c r="L31" s="7"/>
      <c r="M31" s="8">
        <f t="shared" si="3"/>
        <v>0</v>
      </c>
      <c r="N31" s="6"/>
      <c r="O31" s="7"/>
      <c r="P31" s="8">
        <f t="shared" si="4"/>
        <v>0</v>
      </c>
      <c r="Q31" s="1"/>
      <c r="R31" s="6">
        <f t="shared" si="5"/>
        <v>3</v>
      </c>
      <c r="S31" s="9">
        <f t="shared" si="6"/>
        <v>0</v>
      </c>
      <c r="T31" s="9">
        <f t="shared" si="7"/>
        <v>1.2048192771084338E-2</v>
      </c>
      <c r="U31" s="9">
        <f>R31 / _xlfn.XLOOKUP(A31, Mid!A:A, Mid!AA:AA)</f>
        <v>0.33333333333333331</v>
      </c>
      <c r="V31" s="1"/>
      <c r="W31" s="1"/>
    </row>
    <row r="32" spans="1:23" x14ac:dyDescent="0.25">
      <c r="A32" s="1" t="s">
        <v>134</v>
      </c>
      <c r="B32" s="6"/>
      <c r="C32" s="7"/>
      <c r="D32" s="8">
        <f t="shared" si="0"/>
        <v>0</v>
      </c>
      <c r="E32" s="6">
        <v>1</v>
      </c>
      <c r="F32" s="7">
        <v>0</v>
      </c>
      <c r="G32" s="8">
        <f t="shared" si="1"/>
        <v>0</v>
      </c>
      <c r="H32" s="6"/>
      <c r="I32" s="7"/>
      <c r="J32" s="8">
        <f t="shared" si="2"/>
        <v>0</v>
      </c>
      <c r="K32" s="6"/>
      <c r="L32" s="7"/>
      <c r="M32" s="8">
        <f t="shared" si="3"/>
        <v>0</v>
      </c>
      <c r="N32" s="6"/>
      <c r="O32" s="7"/>
      <c r="P32" s="8">
        <f t="shared" si="4"/>
        <v>0</v>
      </c>
      <c r="Q32" s="1"/>
      <c r="R32" s="6">
        <f t="shared" si="5"/>
        <v>1</v>
      </c>
      <c r="S32" s="9">
        <f t="shared" si="6"/>
        <v>0</v>
      </c>
      <c r="T32" s="9">
        <f t="shared" si="7"/>
        <v>4.0160642570281121E-3</v>
      </c>
      <c r="U32" s="9">
        <f>R32 / _xlfn.XLOOKUP(A32, Mid!A:A, Mid!AA:AA)</f>
        <v>0.5</v>
      </c>
      <c r="V32" s="1"/>
      <c r="W32" s="1"/>
    </row>
    <row r="33" spans="1:23" x14ac:dyDescent="0.25">
      <c r="A33" s="1" t="s">
        <v>114</v>
      </c>
      <c r="B33" s="6"/>
      <c r="C33" s="7"/>
      <c r="D33" s="8">
        <f t="shared" si="0"/>
        <v>0</v>
      </c>
      <c r="E33" s="6">
        <v>1</v>
      </c>
      <c r="F33" s="7">
        <v>0</v>
      </c>
      <c r="G33" s="8">
        <f t="shared" si="1"/>
        <v>0</v>
      </c>
      <c r="H33" s="6"/>
      <c r="I33" s="7"/>
      <c r="J33" s="8">
        <f t="shared" si="2"/>
        <v>0</v>
      </c>
      <c r="K33" s="6"/>
      <c r="L33" s="7"/>
      <c r="M33" s="8">
        <f t="shared" si="3"/>
        <v>0</v>
      </c>
      <c r="N33" s="6"/>
      <c r="O33" s="7"/>
      <c r="P33" s="8">
        <f t="shared" si="4"/>
        <v>0</v>
      </c>
      <c r="Q33" s="1"/>
      <c r="R33" s="6">
        <f t="shared" si="5"/>
        <v>1</v>
      </c>
      <c r="S33" s="9">
        <f t="shared" si="6"/>
        <v>0</v>
      </c>
      <c r="T33" s="9">
        <f t="shared" si="7"/>
        <v>4.0160642570281121E-3</v>
      </c>
      <c r="U33" s="9">
        <f>R33 / _xlfn.XLOOKUP(A33, Mid!A:A, Mid!AA:AA)</f>
        <v>1.098901098901099E-2</v>
      </c>
      <c r="V33" s="1"/>
      <c r="W33" s="1"/>
    </row>
    <row r="34" spans="1:23" x14ac:dyDescent="0.25">
      <c r="A34" s="1" t="s">
        <v>61</v>
      </c>
      <c r="B34" s="6"/>
      <c r="C34" s="7"/>
      <c r="D34" s="8">
        <f t="shared" si="0"/>
        <v>0</v>
      </c>
      <c r="E34" s="6">
        <v>1</v>
      </c>
      <c r="F34" s="7">
        <v>0</v>
      </c>
      <c r="G34" s="8">
        <f t="shared" si="1"/>
        <v>0</v>
      </c>
      <c r="H34" s="6"/>
      <c r="I34" s="7"/>
      <c r="J34" s="8">
        <f t="shared" si="2"/>
        <v>0</v>
      </c>
      <c r="K34" s="6"/>
      <c r="L34" s="7"/>
      <c r="M34" s="8">
        <f t="shared" si="3"/>
        <v>0</v>
      </c>
      <c r="N34" s="6"/>
      <c r="O34" s="7"/>
      <c r="P34" s="8">
        <f t="shared" si="4"/>
        <v>0</v>
      </c>
      <c r="Q34" s="1"/>
      <c r="R34" s="6">
        <f t="shared" si="5"/>
        <v>1</v>
      </c>
      <c r="S34" s="9">
        <f t="shared" si="6"/>
        <v>0</v>
      </c>
      <c r="T34" s="9">
        <f t="shared" si="7"/>
        <v>4.0160642570281121E-3</v>
      </c>
      <c r="U34" s="9">
        <f>R34 / _xlfn.XLOOKUP(A34, Mid!A:A, Mid!AA:AA)</f>
        <v>3.125E-2</v>
      </c>
      <c r="V34" s="1"/>
      <c r="W34" s="1"/>
    </row>
    <row r="35" spans="1:23" x14ac:dyDescent="0.25">
      <c r="A35" s="1" t="s">
        <v>120</v>
      </c>
      <c r="B35" s="6"/>
      <c r="C35" s="7"/>
      <c r="D35" s="8">
        <f t="shared" si="0"/>
        <v>0</v>
      </c>
      <c r="E35" s="6">
        <v>1</v>
      </c>
      <c r="F35" s="7">
        <v>0</v>
      </c>
      <c r="G35" s="8">
        <f t="shared" si="1"/>
        <v>0</v>
      </c>
      <c r="H35" s="6"/>
      <c r="I35" s="7"/>
      <c r="J35" s="8">
        <f t="shared" si="2"/>
        <v>0</v>
      </c>
      <c r="K35" s="6"/>
      <c r="L35" s="7"/>
      <c r="M35" s="8">
        <f t="shared" si="3"/>
        <v>0</v>
      </c>
      <c r="N35" s="6"/>
      <c r="O35" s="7"/>
      <c r="P35" s="8">
        <f t="shared" si="4"/>
        <v>0</v>
      </c>
      <c r="Q35" s="1"/>
      <c r="R35" s="6">
        <f t="shared" si="5"/>
        <v>1</v>
      </c>
      <c r="S35" s="9">
        <f t="shared" si="6"/>
        <v>0</v>
      </c>
      <c r="T35" s="9">
        <f t="shared" si="7"/>
        <v>4.0160642570281121E-3</v>
      </c>
      <c r="U35" s="9">
        <f>R35 / _xlfn.XLOOKUP(A35, Mid!A:A, Mid!AA:AA)</f>
        <v>2.0408163265306121E-2</v>
      </c>
      <c r="V35" s="1"/>
      <c r="W35" s="1"/>
    </row>
    <row r="36" spans="1:23" x14ac:dyDescent="0.25">
      <c r="A36" s="1"/>
      <c r="B36" s="6"/>
      <c r="C36" s="7"/>
      <c r="D36" s="8">
        <f t="shared" ref="D36:D41" si="8">B36*C36</f>
        <v>0</v>
      </c>
      <c r="E36" s="6"/>
      <c r="F36" s="7"/>
      <c r="G36" s="8">
        <f t="shared" ref="G36:G41" si="9">E36*F36</f>
        <v>0</v>
      </c>
      <c r="H36" s="6"/>
      <c r="I36" s="7"/>
      <c r="J36" s="8">
        <f t="shared" ref="J36:J41" si="10">H36*I36</f>
        <v>0</v>
      </c>
      <c r="K36" s="6"/>
      <c r="L36" s="7"/>
      <c r="M36" s="8">
        <f t="shared" ref="M36:M41" si="11">K36*L36</f>
        <v>0</v>
      </c>
      <c r="N36" s="6"/>
      <c r="O36" s="7"/>
      <c r="P36" s="8">
        <f t="shared" ref="P36:P55" si="12">N36*O36</f>
        <v>0</v>
      </c>
      <c r="Q36" s="1"/>
      <c r="R36" s="6">
        <f t="shared" ref="R36:R55" si="13">B36+E36+H36+K36+N36</f>
        <v>0</v>
      </c>
      <c r="S36" s="9" t="e">
        <f t="shared" ref="S36:S55" si="14">(D36+G36+J36+M36+P36)/R36</f>
        <v>#DIV/0!</v>
      </c>
      <c r="T36" s="9">
        <f t="shared" ref="T36:T55" si="15">R36/$V$3</f>
        <v>0</v>
      </c>
      <c r="U36" s="9" t="e">
        <f>R36 / _xlfn.XLOOKUP(A36, Mid!A:A, Mid!AA:AA)</f>
        <v>#DIV/0!</v>
      </c>
      <c r="V36" s="1"/>
      <c r="W36" s="1"/>
    </row>
    <row r="37" spans="1:23" x14ac:dyDescent="0.25">
      <c r="A37" s="1"/>
      <c r="B37" s="6"/>
      <c r="C37" s="7"/>
      <c r="D37" s="8">
        <f t="shared" si="8"/>
        <v>0</v>
      </c>
      <c r="E37" s="6"/>
      <c r="F37" s="7"/>
      <c r="G37" s="8">
        <f t="shared" si="9"/>
        <v>0</v>
      </c>
      <c r="H37" s="6"/>
      <c r="I37" s="7"/>
      <c r="J37" s="8">
        <f t="shared" si="10"/>
        <v>0</v>
      </c>
      <c r="K37" s="6"/>
      <c r="L37" s="7"/>
      <c r="M37" s="8">
        <f t="shared" si="11"/>
        <v>0</v>
      </c>
      <c r="N37" s="6"/>
      <c r="O37" s="7"/>
      <c r="P37" s="8">
        <f t="shared" si="12"/>
        <v>0</v>
      </c>
      <c r="Q37" s="1"/>
      <c r="R37" s="6">
        <f t="shared" si="13"/>
        <v>0</v>
      </c>
      <c r="S37" s="9" t="e">
        <f t="shared" si="14"/>
        <v>#DIV/0!</v>
      </c>
      <c r="T37" s="9">
        <f t="shared" si="15"/>
        <v>0</v>
      </c>
      <c r="U37" s="9" t="e">
        <f>R37 / _xlfn.XLOOKUP(A37, Mid!A:A, Mid!AA:AA)</f>
        <v>#DIV/0!</v>
      </c>
      <c r="V37" s="1"/>
      <c r="W37" s="1"/>
    </row>
    <row r="38" spans="1:23" x14ac:dyDescent="0.25">
      <c r="A38" s="1"/>
      <c r="B38" s="6"/>
      <c r="C38" s="7"/>
      <c r="D38" s="8">
        <f t="shared" si="8"/>
        <v>0</v>
      </c>
      <c r="E38" s="6"/>
      <c r="F38" s="7"/>
      <c r="G38" s="8">
        <f t="shared" si="9"/>
        <v>0</v>
      </c>
      <c r="H38" s="6"/>
      <c r="I38" s="7"/>
      <c r="J38" s="8">
        <f t="shared" si="10"/>
        <v>0</v>
      </c>
      <c r="K38" s="6"/>
      <c r="L38" s="7"/>
      <c r="M38" s="8">
        <f t="shared" si="11"/>
        <v>0</v>
      </c>
      <c r="N38" s="6"/>
      <c r="O38" s="7"/>
      <c r="P38" s="8">
        <f t="shared" si="12"/>
        <v>0</v>
      </c>
      <c r="Q38" s="1"/>
      <c r="R38" s="6">
        <f t="shared" si="13"/>
        <v>0</v>
      </c>
      <c r="S38" s="9" t="e">
        <f t="shared" si="14"/>
        <v>#DIV/0!</v>
      </c>
      <c r="T38" s="9">
        <f t="shared" si="15"/>
        <v>0</v>
      </c>
      <c r="U38" s="9" t="e">
        <f>R38 / _xlfn.XLOOKUP(A38, Mid!A:A, Mid!AA:AA)</f>
        <v>#DIV/0!</v>
      </c>
      <c r="V38" s="1"/>
      <c r="W38" s="1"/>
    </row>
    <row r="39" spans="1:23" x14ac:dyDescent="0.25">
      <c r="A39" s="1"/>
      <c r="B39" s="6"/>
      <c r="C39" s="7"/>
      <c r="D39" s="8">
        <f t="shared" si="8"/>
        <v>0</v>
      </c>
      <c r="E39" s="6"/>
      <c r="F39" s="7"/>
      <c r="G39" s="8">
        <f t="shared" si="9"/>
        <v>0</v>
      </c>
      <c r="H39" s="6"/>
      <c r="I39" s="7"/>
      <c r="J39" s="8">
        <f t="shared" si="10"/>
        <v>0</v>
      </c>
      <c r="K39" s="6"/>
      <c r="L39" s="7"/>
      <c r="M39" s="8">
        <f t="shared" si="11"/>
        <v>0</v>
      </c>
      <c r="N39" s="6"/>
      <c r="O39" s="7"/>
      <c r="P39" s="8">
        <f t="shared" si="12"/>
        <v>0</v>
      </c>
      <c r="Q39" s="1"/>
      <c r="R39" s="6">
        <f t="shared" si="13"/>
        <v>0</v>
      </c>
      <c r="S39" s="9" t="e">
        <f t="shared" si="14"/>
        <v>#DIV/0!</v>
      </c>
      <c r="T39" s="9">
        <f t="shared" si="15"/>
        <v>0</v>
      </c>
      <c r="U39" s="9" t="e">
        <f>R39 / _xlfn.XLOOKUP(A39, Mid!A:A, Mid!AA:AA)</f>
        <v>#DIV/0!</v>
      </c>
    </row>
    <row r="40" spans="1:23" x14ac:dyDescent="0.25">
      <c r="A40" s="1"/>
      <c r="B40" s="6"/>
      <c r="C40" s="7"/>
      <c r="D40" s="8">
        <f t="shared" si="8"/>
        <v>0</v>
      </c>
      <c r="E40" s="6"/>
      <c r="F40" s="7"/>
      <c r="G40" s="8">
        <f t="shared" si="9"/>
        <v>0</v>
      </c>
      <c r="H40" s="6"/>
      <c r="I40" s="7"/>
      <c r="J40" s="8">
        <f t="shared" si="10"/>
        <v>0</v>
      </c>
      <c r="K40" s="6"/>
      <c r="L40" s="7"/>
      <c r="M40" s="8">
        <f t="shared" si="11"/>
        <v>0</v>
      </c>
      <c r="N40" s="6"/>
      <c r="O40" s="7"/>
      <c r="P40" s="8">
        <f t="shared" si="12"/>
        <v>0</v>
      </c>
      <c r="Q40" s="1"/>
      <c r="R40" s="6">
        <f t="shared" si="13"/>
        <v>0</v>
      </c>
      <c r="S40" s="9" t="e">
        <f t="shared" si="14"/>
        <v>#DIV/0!</v>
      </c>
      <c r="T40" s="9">
        <f t="shared" si="15"/>
        <v>0</v>
      </c>
      <c r="U40" s="9" t="e">
        <f>R40 / _xlfn.XLOOKUP(A40, Mid!A:A, Mid!AA:AA)</f>
        <v>#DIV/0!</v>
      </c>
    </row>
    <row r="41" spans="1:23" x14ac:dyDescent="0.25">
      <c r="A41" s="1"/>
      <c r="B41" s="6"/>
      <c r="C41" s="7"/>
      <c r="D41" s="8">
        <f t="shared" si="8"/>
        <v>0</v>
      </c>
      <c r="E41" s="6"/>
      <c r="F41" s="7"/>
      <c r="G41" s="8">
        <f t="shared" si="9"/>
        <v>0</v>
      </c>
      <c r="H41" s="6"/>
      <c r="I41" s="7"/>
      <c r="J41" s="8">
        <f t="shared" si="10"/>
        <v>0</v>
      </c>
      <c r="K41" s="6"/>
      <c r="L41" s="7"/>
      <c r="M41" s="8">
        <f t="shared" si="11"/>
        <v>0</v>
      </c>
      <c r="N41" s="6"/>
      <c r="O41" s="7"/>
      <c r="P41" s="8">
        <f t="shared" si="12"/>
        <v>0</v>
      </c>
      <c r="Q41" s="1"/>
      <c r="R41" s="6">
        <f t="shared" si="13"/>
        <v>0</v>
      </c>
      <c r="S41" s="9" t="e">
        <f t="shared" si="14"/>
        <v>#DIV/0!</v>
      </c>
      <c r="T41" s="9">
        <f t="shared" si="15"/>
        <v>0</v>
      </c>
      <c r="U41" s="9" t="e">
        <f>R41 / _xlfn.XLOOKUP(A41, Mid!A:A, Mid!AA:AA)</f>
        <v>#DIV/0!</v>
      </c>
    </row>
    <row r="42" spans="1:23" x14ac:dyDescent="0.25">
      <c r="N42" s="6"/>
      <c r="O42" s="7"/>
      <c r="P42" s="8">
        <f t="shared" si="12"/>
        <v>0</v>
      </c>
      <c r="Q42" s="1"/>
      <c r="R42" s="6">
        <f t="shared" si="13"/>
        <v>0</v>
      </c>
      <c r="S42" s="9" t="e">
        <f t="shared" si="14"/>
        <v>#DIV/0!</v>
      </c>
      <c r="T42" s="9">
        <f t="shared" si="15"/>
        <v>0</v>
      </c>
      <c r="U42" s="9" t="e">
        <f>R42 / _xlfn.XLOOKUP(A42, Mid!A:A, Mid!AA:AA)</f>
        <v>#DIV/0!</v>
      </c>
    </row>
    <row r="43" spans="1:23" x14ac:dyDescent="0.25">
      <c r="N43" s="6"/>
      <c r="O43" s="7"/>
      <c r="P43" s="8">
        <f t="shared" si="12"/>
        <v>0</v>
      </c>
      <c r="Q43" s="1"/>
      <c r="R43" s="6">
        <f t="shared" si="13"/>
        <v>0</v>
      </c>
      <c r="S43" s="9" t="e">
        <f t="shared" si="14"/>
        <v>#DIV/0!</v>
      </c>
      <c r="T43" s="9">
        <f t="shared" si="15"/>
        <v>0</v>
      </c>
      <c r="U43" s="9" t="e">
        <f>R43 / _xlfn.XLOOKUP(A43, Mid!A:A, Mid!AA:AA)</f>
        <v>#DIV/0!</v>
      </c>
    </row>
    <row r="44" spans="1:23" x14ac:dyDescent="0.25">
      <c r="N44" s="6"/>
      <c r="O44" s="7"/>
      <c r="P44" s="8">
        <f t="shared" si="12"/>
        <v>0</v>
      </c>
      <c r="Q44" s="1"/>
      <c r="R44" s="6">
        <f t="shared" si="13"/>
        <v>0</v>
      </c>
      <c r="S44" s="9" t="e">
        <f t="shared" si="14"/>
        <v>#DIV/0!</v>
      </c>
      <c r="T44" s="9">
        <f t="shared" si="15"/>
        <v>0</v>
      </c>
      <c r="U44" s="9" t="e">
        <f>R44 / _xlfn.XLOOKUP(A44, Mid!A:A, Mid!AA:AA)</f>
        <v>#DIV/0!</v>
      </c>
    </row>
    <row r="45" spans="1:23" x14ac:dyDescent="0.25">
      <c r="N45" s="6"/>
      <c r="O45" s="7"/>
      <c r="P45" s="8">
        <f t="shared" si="12"/>
        <v>0</v>
      </c>
      <c r="Q45" s="1"/>
      <c r="R45" s="6">
        <f t="shared" si="13"/>
        <v>0</v>
      </c>
      <c r="S45" s="9" t="e">
        <f t="shared" si="14"/>
        <v>#DIV/0!</v>
      </c>
      <c r="T45" s="9">
        <f t="shared" si="15"/>
        <v>0</v>
      </c>
      <c r="U45" s="9" t="e">
        <f>R45 / _xlfn.XLOOKUP(A45, Mid!A:A, Mid!AA:AA)</f>
        <v>#DIV/0!</v>
      </c>
    </row>
    <row r="46" spans="1:23" x14ac:dyDescent="0.25">
      <c r="N46" s="6"/>
      <c r="O46" s="7"/>
      <c r="P46" s="8">
        <f t="shared" si="12"/>
        <v>0</v>
      </c>
      <c r="Q46" s="1"/>
      <c r="R46" s="6">
        <f t="shared" si="13"/>
        <v>0</v>
      </c>
      <c r="S46" s="9" t="e">
        <f t="shared" si="14"/>
        <v>#DIV/0!</v>
      </c>
      <c r="T46" s="9">
        <f t="shared" si="15"/>
        <v>0</v>
      </c>
      <c r="U46" s="9" t="e">
        <f>R46 / _xlfn.XLOOKUP(A46, Mid!A:A, Mid!AA:AA)</f>
        <v>#DIV/0!</v>
      </c>
    </row>
    <row r="47" spans="1:23" x14ac:dyDescent="0.25">
      <c r="N47" s="6"/>
      <c r="O47" s="7"/>
      <c r="P47" s="8">
        <f t="shared" si="12"/>
        <v>0</v>
      </c>
      <c r="Q47" s="1"/>
      <c r="R47" s="6">
        <f t="shared" si="13"/>
        <v>0</v>
      </c>
      <c r="S47" s="9" t="e">
        <f t="shared" si="14"/>
        <v>#DIV/0!</v>
      </c>
      <c r="T47" s="9">
        <f t="shared" si="15"/>
        <v>0</v>
      </c>
      <c r="U47" s="9" t="e">
        <f>R47 / _xlfn.XLOOKUP(A47, Mid!A:A, Mid!AA:AA)</f>
        <v>#DIV/0!</v>
      </c>
    </row>
    <row r="48" spans="1:23" x14ac:dyDescent="0.25">
      <c r="N48" s="6"/>
      <c r="O48" s="7"/>
      <c r="P48" s="8">
        <f t="shared" si="12"/>
        <v>0</v>
      </c>
      <c r="Q48" s="1"/>
      <c r="R48" s="6">
        <f t="shared" si="13"/>
        <v>0</v>
      </c>
      <c r="S48" s="9" t="e">
        <f t="shared" si="14"/>
        <v>#DIV/0!</v>
      </c>
      <c r="T48" s="9">
        <f t="shared" si="15"/>
        <v>0</v>
      </c>
      <c r="U48" s="9" t="e">
        <f>R48 / _xlfn.XLOOKUP(A48, Mid!A:A, Mid!AA:AA)</f>
        <v>#DIV/0!</v>
      </c>
    </row>
    <row r="49" spans="14:21" x14ac:dyDescent="0.25">
      <c r="N49" s="6"/>
      <c r="O49" s="7"/>
      <c r="P49" s="8">
        <f t="shared" si="12"/>
        <v>0</v>
      </c>
      <c r="Q49" s="1"/>
      <c r="R49" s="6">
        <f t="shared" si="13"/>
        <v>0</v>
      </c>
      <c r="S49" s="9" t="e">
        <f t="shared" si="14"/>
        <v>#DIV/0!</v>
      </c>
      <c r="T49" s="9">
        <f t="shared" si="15"/>
        <v>0</v>
      </c>
      <c r="U49" s="9" t="e">
        <f>R49 / _xlfn.XLOOKUP(A49, Mid!A:A, Mid!AA:AA)</f>
        <v>#DIV/0!</v>
      </c>
    </row>
    <row r="50" spans="14:21" x14ac:dyDescent="0.25">
      <c r="N50" s="6"/>
      <c r="O50" s="7"/>
      <c r="P50" s="8">
        <f t="shared" si="12"/>
        <v>0</v>
      </c>
      <c r="Q50" s="1"/>
      <c r="R50" s="6">
        <f t="shared" si="13"/>
        <v>0</v>
      </c>
      <c r="S50" s="9" t="e">
        <f t="shared" si="14"/>
        <v>#DIV/0!</v>
      </c>
      <c r="T50" s="9">
        <f t="shared" si="15"/>
        <v>0</v>
      </c>
      <c r="U50" s="9" t="e">
        <f>R50 / _xlfn.XLOOKUP(A50, Mid!A:A, Mid!AA:AA)</f>
        <v>#DIV/0!</v>
      </c>
    </row>
    <row r="51" spans="14:21" x14ac:dyDescent="0.25">
      <c r="N51" s="6"/>
      <c r="O51" s="7"/>
      <c r="P51" s="8">
        <f t="shared" si="12"/>
        <v>0</v>
      </c>
      <c r="Q51" s="1"/>
      <c r="R51" s="6">
        <f t="shared" si="13"/>
        <v>0</v>
      </c>
      <c r="S51" s="9" t="e">
        <f t="shared" si="14"/>
        <v>#DIV/0!</v>
      </c>
      <c r="T51" s="9">
        <f t="shared" si="15"/>
        <v>0</v>
      </c>
      <c r="U51" s="9" t="e">
        <f>R51 / _xlfn.XLOOKUP(A51, Mid!A:A, Mid!AA:AA)</f>
        <v>#DIV/0!</v>
      </c>
    </row>
    <row r="52" spans="14:21" x14ac:dyDescent="0.25">
      <c r="N52" s="6"/>
      <c r="O52" s="7"/>
      <c r="P52" s="8">
        <f t="shared" si="12"/>
        <v>0</v>
      </c>
      <c r="Q52" s="1"/>
      <c r="R52" s="6">
        <f t="shared" si="13"/>
        <v>0</v>
      </c>
      <c r="S52" s="9" t="e">
        <f t="shared" si="14"/>
        <v>#DIV/0!</v>
      </c>
      <c r="T52" s="9">
        <f t="shared" si="15"/>
        <v>0</v>
      </c>
      <c r="U52" s="9" t="e">
        <f>R52 / _xlfn.XLOOKUP(A52, Mid!A:A, Mid!AA:AA)</f>
        <v>#DIV/0!</v>
      </c>
    </row>
    <row r="53" spans="14:21" x14ac:dyDescent="0.25">
      <c r="N53" s="6"/>
      <c r="O53" s="7"/>
      <c r="P53" s="8">
        <f t="shared" si="12"/>
        <v>0</v>
      </c>
      <c r="Q53" s="1"/>
      <c r="R53" s="6">
        <f t="shared" si="13"/>
        <v>0</v>
      </c>
      <c r="S53" s="9" t="e">
        <f t="shared" si="14"/>
        <v>#DIV/0!</v>
      </c>
      <c r="T53" s="9">
        <f t="shared" si="15"/>
        <v>0</v>
      </c>
      <c r="U53" s="9" t="e">
        <f>R53 / _xlfn.XLOOKUP(A53, Mid!A:A, Mid!AA:AA)</f>
        <v>#DIV/0!</v>
      </c>
    </row>
    <row r="54" spans="14:21" x14ac:dyDescent="0.25">
      <c r="N54" s="6"/>
      <c r="O54" s="7"/>
      <c r="P54" s="8">
        <f t="shared" si="12"/>
        <v>0</v>
      </c>
      <c r="Q54" s="1"/>
      <c r="R54" s="6">
        <f t="shared" si="13"/>
        <v>0</v>
      </c>
      <c r="S54" s="9" t="e">
        <f t="shared" si="14"/>
        <v>#DIV/0!</v>
      </c>
      <c r="T54" s="9">
        <f t="shared" si="15"/>
        <v>0</v>
      </c>
      <c r="U54" s="9" t="e">
        <f>R54 / _xlfn.XLOOKUP(A54, Mid!A:A, Mid!AA:AA)</f>
        <v>#DIV/0!</v>
      </c>
    </row>
    <row r="55" spans="14:21" x14ac:dyDescent="0.25">
      <c r="N55" s="6"/>
      <c r="O55" s="7"/>
      <c r="P55" s="8">
        <f t="shared" si="12"/>
        <v>0</v>
      </c>
      <c r="Q55" s="1"/>
      <c r="R55" s="6">
        <f t="shared" si="13"/>
        <v>0</v>
      </c>
      <c r="S55" s="9" t="e">
        <f t="shared" si="14"/>
        <v>#DIV/0!</v>
      </c>
      <c r="T55" s="9">
        <f t="shared" si="15"/>
        <v>0</v>
      </c>
      <c r="U55" s="9" t="e">
        <f>R55 / _xlfn.XLOOKUP(A55, Mid!A:A, Mid!AA:AA)</f>
        <v>#DIV/0!</v>
      </c>
    </row>
  </sheetData>
  <sortState xmlns:xlrd2="http://schemas.microsoft.com/office/spreadsheetml/2017/richdata2" ref="A3:U35">
    <sortCondition descending="1" ref="S3:S35"/>
  </sortState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5E03C-2081-402C-83E8-FA31CE120779}">
  <sheetPr>
    <tabColor theme="7" tint="0.59999389629810485"/>
  </sheetPr>
  <dimension ref="A1:W56"/>
  <sheetViews>
    <sheetView topLeftCell="A17" workbookViewId="0">
      <selection activeCell="U3" sqref="U3:U48"/>
    </sheetView>
  </sheetViews>
  <sheetFormatPr baseColWidth="10" defaultRowHeight="15" x14ac:dyDescent="0.25"/>
  <sheetData>
    <row r="1" spans="1:23" ht="15.75" x14ac:dyDescent="0.25">
      <c r="A1" s="2" t="s">
        <v>106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111</v>
      </c>
      <c r="B3" s="6">
        <v>3</v>
      </c>
      <c r="C3" s="7">
        <v>1</v>
      </c>
      <c r="D3" s="8">
        <f t="shared" ref="D3:D48" si="0">B3*C3</f>
        <v>3</v>
      </c>
      <c r="E3" s="6">
        <v>1</v>
      </c>
      <c r="F3" s="7">
        <v>1</v>
      </c>
      <c r="G3" s="8">
        <f t="shared" ref="G3:G48" si="1">E3*F3</f>
        <v>1</v>
      </c>
      <c r="H3" s="6"/>
      <c r="I3" s="7"/>
      <c r="J3" s="8">
        <f t="shared" ref="J3:J48" si="2">H3*I3</f>
        <v>0</v>
      </c>
      <c r="K3" s="6">
        <v>1</v>
      </c>
      <c r="L3" s="7">
        <v>1</v>
      </c>
      <c r="M3" s="8">
        <f t="shared" ref="M3:M48" si="3">K3*L3</f>
        <v>1</v>
      </c>
      <c r="N3" s="6"/>
      <c r="O3" s="7"/>
      <c r="P3" s="8">
        <f t="shared" ref="P3:P48" si="4">N3*O3</f>
        <v>0</v>
      </c>
      <c r="Q3" s="1"/>
      <c r="R3" s="6">
        <f t="shared" ref="R3:R48" si="5">B3+E3+H3+K3+N3</f>
        <v>5</v>
      </c>
      <c r="S3" s="9">
        <f t="shared" ref="S3:S48" si="6">(D3+G3+J3+M3+P3)/R3</f>
        <v>1</v>
      </c>
      <c r="T3" s="9">
        <f t="shared" ref="T3:T48" si="7">R3/$V$3</f>
        <v>9.5238095238095247E-3</v>
      </c>
      <c r="U3" s="9">
        <f>R3 / _xlfn.XLOOKUP(A3, Mid!A:A, Mid!AA:AA)</f>
        <v>8.6206896551724144E-2</v>
      </c>
      <c r="V3" s="11">
        <f>SUM(R3:R70)</f>
        <v>525</v>
      </c>
      <c r="W3" s="12">
        <f>(SUM(D3:D100)+SUM(G3:G100)+SUM(J3:J100)+SUM(M3:M100)+SUM(P3:P100)) / V3</f>
        <v>0.74279047619047611</v>
      </c>
    </row>
    <row r="4" spans="1:23" x14ac:dyDescent="0.25">
      <c r="A4" s="14" t="s">
        <v>35</v>
      </c>
      <c r="B4" s="6"/>
      <c r="C4" s="7"/>
      <c r="D4" s="8">
        <f t="shared" si="0"/>
        <v>0</v>
      </c>
      <c r="E4" s="6"/>
      <c r="F4" s="7"/>
      <c r="G4" s="8">
        <f t="shared" si="1"/>
        <v>0</v>
      </c>
      <c r="H4" s="6">
        <v>4</v>
      </c>
      <c r="I4" s="7">
        <v>1</v>
      </c>
      <c r="J4" s="8">
        <f t="shared" si="2"/>
        <v>4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4</v>
      </c>
      <c r="S4" s="9">
        <f t="shared" si="6"/>
        <v>1</v>
      </c>
      <c r="T4" s="9">
        <f t="shared" si="7"/>
        <v>7.619047619047619E-3</v>
      </c>
      <c r="U4" s="9">
        <f>R4 / _xlfn.XLOOKUP(A4, Mid!A:A, Mid!AA:AA)</f>
        <v>0.13793103448275862</v>
      </c>
      <c r="V4" s="6"/>
      <c r="W4" s="9"/>
    </row>
    <row r="5" spans="1:23" x14ac:dyDescent="0.25">
      <c r="A5" s="1" t="s">
        <v>116</v>
      </c>
      <c r="B5" s="6"/>
      <c r="C5" s="7"/>
      <c r="D5" s="8">
        <f t="shared" si="0"/>
        <v>0</v>
      </c>
      <c r="E5" s="6">
        <v>1</v>
      </c>
      <c r="F5" s="7">
        <v>1</v>
      </c>
      <c r="G5" s="8">
        <f t="shared" si="1"/>
        <v>1</v>
      </c>
      <c r="H5" s="6">
        <v>2</v>
      </c>
      <c r="I5" s="7">
        <v>1</v>
      </c>
      <c r="J5" s="8">
        <f t="shared" si="2"/>
        <v>2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4"/>
      <c r="R5" s="6">
        <f t="shared" si="5"/>
        <v>3</v>
      </c>
      <c r="S5" s="9">
        <f t="shared" si="6"/>
        <v>1</v>
      </c>
      <c r="T5" s="9">
        <f t="shared" si="7"/>
        <v>5.7142857142857143E-3</v>
      </c>
      <c r="U5" s="9">
        <f>R5 / _xlfn.XLOOKUP(A5, Mid!A:A, Mid!AA:AA)</f>
        <v>0.1</v>
      </c>
      <c r="W5" s="1"/>
    </row>
    <row r="6" spans="1:23" x14ac:dyDescent="0.25">
      <c r="A6" s="1" t="s">
        <v>91</v>
      </c>
      <c r="B6" s="6"/>
      <c r="C6" s="7"/>
      <c r="D6" s="8">
        <f t="shared" si="0"/>
        <v>0</v>
      </c>
      <c r="E6" s="6">
        <v>2</v>
      </c>
      <c r="F6" s="7">
        <v>1</v>
      </c>
      <c r="G6" s="8">
        <f t="shared" si="1"/>
        <v>2</v>
      </c>
      <c r="H6" s="6">
        <v>1</v>
      </c>
      <c r="I6" s="7">
        <v>1</v>
      </c>
      <c r="J6" s="8">
        <f t="shared" si="2"/>
        <v>1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1"/>
      <c r="R6" s="6">
        <f t="shared" si="5"/>
        <v>3</v>
      </c>
      <c r="S6" s="9">
        <f t="shared" si="6"/>
        <v>1</v>
      </c>
      <c r="T6" s="9">
        <f t="shared" si="7"/>
        <v>5.7142857142857143E-3</v>
      </c>
      <c r="U6" s="9">
        <f>R6 / _xlfn.XLOOKUP(A6, Mid!A:A, Mid!AA:AA)</f>
        <v>4.5454545454545456E-2</v>
      </c>
      <c r="W6" s="1"/>
    </row>
    <row r="7" spans="1:23" x14ac:dyDescent="0.25">
      <c r="A7" s="25" t="s">
        <v>123</v>
      </c>
      <c r="B7" s="6"/>
      <c r="C7" s="7"/>
      <c r="D7" s="8">
        <f t="shared" si="0"/>
        <v>0</v>
      </c>
      <c r="E7" s="6"/>
      <c r="F7" s="7"/>
      <c r="G7" s="8">
        <f t="shared" si="1"/>
        <v>0</v>
      </c>
      <c r="H7" s="6"/>
      <c r="I7" s="7"/>
      <c r="J7" s="8">
        <f t="shared" si="2"/>
        <v>0</v>
      </c>
      <c r="K7" s="6">
        <v>2</v>
      </c>
      <c r="L7" s="7">
        <v>1</v>
      </c>
      <c r="M7" s="8">
        <f t="shared" si="3"/>
        <v>2</v>
      </c>
      <c r="N7" s="6"/>
      <c r="O7" s="7"/>
      <c r="P7" s="8">
        <f t="shared" si="4"/>
        <v>0</v>
      </c>
      <c r="Q7" s="1"/>
      <c r="R7" s="6">
        <f t="shared" si="5"/>
        <v>2</v>
      </c>
      <c r="S7" s="9">
        <f t="shared" si="6"/>
        <v>1</v>
      </c>
      <c r="T7" s="9">
        <f t="shared" si="7"/>
        <v>3.8095238095238095E-3</v>
      </c>
      <c r="U7" s="9">
        <f>R7 / _xlfn.XLOOKUP(A7, Mid!A:A, Mid!AA:AA)</f>
        <v>0.25</v>
      </c>
      <c r="V7" s="1"/>
      <c r="W7" s="1"/>
    </row>
    <row r="8" spans="1:23" x14ac:dyDescent="0.25">
      <c r="A8" s="25" t="s">
        <v>125</v>
      </c>
      <c r="B8" s="6"/>
      <c r="C8" s="7"/>
      <c r="D8" s="8">
        <f t="shared" si="0"/>
        <v>0</v>
      </c>
      <c r="E8" s="6"/>
      <c r="F8" s="7"/>
      <c r="G8" s="8">
        <f t="shared" si="1"/>
        <v>0</v>
      </c>
      <c r="H8" s="6"/>
      <c r="I8" s="7"/>
      <c r="J8" s="8">
        <f t="shared" si="2"/>
        <v>0</v>
      </c>
      <c r="K8" s="6">
        <v>2</v>
      </c>
      <c r="L8" s="7">
        <v>1</v>
      </c>
      <c r="M8" s="8">
        <f t="shared" si="3"/>
        <v>2</v>
      </c>
      <c r="N8" s="6"/>
      <c r="O8" s="7"/>
      <c r="P8" s="8">
        <f t="shared" si="4"/>
        <v>0</v>
      </c>
      <c r="Q8" s="1"/>
      <c r="R8" s="6">
        <f t="shared" si="5"/>
        <v>2</v>
      </c>
      <c r="S8" s="9">
        <f t="shared" si="6"/>
        <v>1</v>
      </c>
      <c r="T8" s="9">
        <f t="shared" si="7"/>
        <v>3.8095238095238095E-3</v>
      </c>
      <c r="U8" s="9">
        <f>R8 / _xlfn.XLOOKUP(A8, Mid!A:A, Mid!AA:AA)</f>
        <v>3.6363636363636362E-2</v>
      </c>
      <c r="V8" s="1"/>
      <c r="W8" s="1"/>
    </row>
    <row r="9" spans="1:23" x14ac:dyDescent="0.25">
      <c r="A9" s="14" t="s">
        <v>55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>
        <v>1</v>
      </c>
      <c r="I9" s="7">
        <v>1</v>
      </c>
      <c r="J9" s="8">
        <f t="shared" si="2"/>
        <v>1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1"/>
      <c r="R9" s="6">
        <f t="shared" si="5"/>
        <v>1</v>
      </c>
      <c r="S9" s="9">
        <f t="shared" si="6"/>
        <v>1</v>
      </c>
      <c r="T9" s="9">
        <f t="shared" si="7"/>
        <v>1.9047619047619048E-3</v>
      </c>
      <c r="U9" s="9">
        <f>R9 / _xlfn.XLOOKUP(A9, Mid!A:A, Mid!AA:AA)</f>
        <v>1</v>
      </c>
      <c r="V9" s="1"/>
      <c r="W9" s="1"/>
    </row>
    <row r="10" spans="1:23" x14ac:dyDescent="0.25">
      <c r="A10" s="1" t="s">
        <v>24</v>
      </c>
      <c r="B10" s="6"/>
      <c r="C10" s="7"/>
      <c r="D10" s="8">
        <f t="shared" si="0"/>
        <v>0</v>
      </c>
      <c r="E10" s="6">
        <v>1</v>
      </c>
      <c r="F10" s="7">
        <v>1</v>
      </c>
      <c r="G10" s="8">
        <f t="shared" si="1"/>
        <v>1</v>
      </c>
      <c r="H10" s="6"/>
      <c r="I10" s="7"/>
      <c r="J10" s="8">
        <f t="shared" si="2"/>
        <v>0</v>
      </c>
      <c r="K10" s="6"/>
      <c r="L10" s="7"/>
      <c r="M10" s="8">
        <f t="shared" si="3"/>
        <v>0</v>
      </c>
      <c r="N10" s="6"/>
      <c r="O10" s="7"/>
      <c r="P10" s="8">
        <f t="shared" si="4"/>
        <v>0</v>
      </c>
      <c r="Q10" s="1"/>
      <c r="R10" s="6">
        <f t="shared" si="5"/>
        <v>1</v>
      </c>
      <c r="S10" s="9">
        <f t="shared" si="6"/>
        <v>1</v>
      </c>
      <c r="T10" s="9">
        <f t="shared" si="7"/>
        <v>1.9047619047619048E-3</v>
      </c>
      <c r="U10" s="9">
        <f>R10 / _xlfn.XLOOKUP(A10, Mid!A:A, Mid!AA:AA)</f>
        <v>0.1</v>
      </c>
      <c r="V10" s="1"/>
      <c r="W10" s="1"/>
    </row>
    <row r="11" spans="1:23" x14ac:dyDescent="0.25">
      <c r="A11" s="1" t="s">
        <v>90</v>
      </c>
      <c r="B11" s="6"/>
      <c r="C11" s="7"/>
      <c r="D11" s="8">
        <f t="shared" si="0"/>
        <v>0</v>
      </c>
      <c r="E11" s="6">
        <v>1</v>
      </c>
      <c r="F11" s="7">
        <v>1</v>
      </c>
      <c r="G11" s="8">
        <f t="shared" si="1"/>
        <v>1</v>
      </c>
      <c r="H11" s="6"/>
      <c r="I11" s="7"/>
      <c r="J11" s="8">
        <f t="shared" si="2"/>
        <v>0</v>
      </c>
      <c r="K11" s="6"/>
      <c r="L11" s="7"/>
      <c r="M11" s="8">
        <f t="shared" si="3"/>
        <v>0</v>
      </c>
      <c r="N11" s="6"/>
      <c r="O11" s="7"/>
      <c r="P11" s="8">
        <f t="shared" si="4"/>
        <v>0</v>
      </c>
      <c r="Q11" s="1"/>
      <c r="R11" s="6">
        <f t="shared" si="5"/>
        <v>1</v>
      </c>
      <c r="S11" s="9">
        <f t="shared" si="6"/>
        <v>1</v>
      </c>
      <c r="T11" s="9">
        <f t="shared" si="7"/>
        <v>1.9047619047619048E-3</v>
      </c>
      <c r="U11" s="9">
        <f>R11 / _xlfn.XLOOKUP(A11, Mid!A:A, Mid!AA:AA)</f>
        <v>7.1428571428571425E-2</v>
      </c>
      <c r="V11" s="1"/>
      <c r="W11" s="1"/>
    </row>
    <row r="12" spans="1:23" x14ac:dyDescent="0.25">
      <c r="A12" s="1" t="s">
        <v>23</v>
      </c>
      <c r="B12" s="6"/>
      <c r="C12" s="7"/>
      <c r="D12" s="8">
        <f t="shared" si="0"/>
        <v>0</v>
      </c>
      <c r="E12" s="6">
        <v>1</v>
      </c>
      <c r="F12" s="7">
        <v>1</v>
      </c>
      <c r="G12" s="8">
        <f t="shared" si="1"/>
        <v>1</v>
      </c>
      <c r="H12" s="6"/>
      <c r="I12" s="7"/>
      <c r="J12" s="8">
        <f t="shared" si="2"/>
        <v>0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1"/>
      <c r="R12" s="6">
        <f t="shared" si="5"/>
        <v>1</v>
      </c>
      <c r="S12" s="9">
        <f t="shared" si="6"/>
        <v>1</v>
      </c>
      <c r="T12" s="9">
        <f t="shared" si="7"/>
        <v>1.9047619047619048E-3</v>
      </c>
      <c r="U12" s="9">
        <f>R12 / _xlfn.XLOOKUP(A12, Mid!A:A, Mid!AA:AA)</f>
        <v>1</v>
      </c>
      <c r="V12" s="1"/>
      <c r="W12" s="1"/>
    </row>
    <row r="13" spans="1:23" x14ac:dyDescent="0.25">
      <c r="A13" s="25" t="s">
        <v>69</v>
      </c>
      <c r="B13" s="6"/>
      <c r="C13" s="7"/>
      <c r="D13" s="8">
        <f t="shared" si="0"/>
        <v>0</v>
      </c>
      <c r="E13" s="6"/>
      <c r="F13" s="7"/>
      <c r="G13" s="8">
        <f t="shared" si="1"/>
        <v>0</v>
      </c>
      <c r="H13" s="6"/>
      <c r="I13" s="7"/>
      <c r="J13" s="8">
        <f t="shared" si="2"/>
        <v>0</v>
      </c>
      <c r="K13" s="6">
        <v>1</v>
      </c>
      <c r="L13" s="7">
        <v>1</v>
      </c>
      <c r="M13" s="8">
        <f t="shared" si="3"/>
        <v>1</v>
      </c>
      <c r="N13" s="6"/>
      <c r="O13" s="7"/>
      <c r="P13" s="8">
        <f t="shared" si="4"/>
        <v>0</v>
      </c>
      <c r="Q13" s="1"/>
      <c r="R13" s="6">
        <f t="shared" si="5"/>
        <v>1</v>
      </c>
      <c r="S13" s="9">
        <f t="shared" si="6"/>
        <v>1</v>
      </c>
      <c r="T13" s="9">
        <f t="shared" si="7"/>
        <v>1.9047619047619048E-3</v>
      </c>
      <c r="U13" s="9">
        <f>R13 / _xlfn.XLOOKUP(A13, Mid!A:A, Mid!AA:AA)</f>
        <v>0.5</v>
      </c>
      <c r="V13" s="1"/>
      <c r="W13" s="1"/>
    </row>
    <row r="14" spans="1:23" x14ac:dyDescent="0.25">
      <c r="A14" s="25" t="s">
        <v>22</v>
      </c>
      <c r="B14" s="6"/>
      <c r="C14" s="7"/>
      <c r="D14" s="8">
        <f t="shared" si="0"/>
        <v>0</v>
      </c>
      <c r="E14" s="6"/>
      <c r="F14" s="7"/>
      <c r="G14" s="8">
        <f t="shared" si="1"/>
        <v>0</v>
      </c>
      <c r="H14" s="6"/>
      <c r="I14" s="7"/>
      <c r="J14" s="8">
        <f t="shared" si="2"/>
        <v>0</v>
      </c>
      <c r="K14" s="6">
        <v>1</v>
      </c>
      <c r="L14" s="7">
        <v>1</v>
      </c>
      <c r="M14" s="8">
        <f t="shared" si="3"/>
        <v>1</v>
      </c>
      <c r="N14" s="6"/>
      <c r="O14" s="7"/>
      <c r="P14" s="8">
        <f t="shared" si="4"/>
        <v>0</v>
      </c>
      <c r="Q14" s="1"/>
      <c r="R14" s="6">
        <f t="shared" si="5"/>
        <v>1</v>
      </c>
      <c r="S14" s="9">
        <f t="shared" si="6"/>
        <v>1</v>
      </c>
      <c r="T14" s="9">
        <f t="shared" si="7"/>
        <v>1.9047619047619048E-3</v>
      </c>
      <c r="U14" s="9">
        <f>R14 / _xlfn.XLOOKUP(A14, Mid!A:A, Mid!AA:AA)</f>
        <v>0.125</v>
      </c>
      <c r="V14" s="1"/>
      <c r="W14" s="1"/>
    </row>
    <row r="15" spans="1:23" x14ac:dyDescent="0.25">
      <c r="A15" s="25" t="s">
        <v>120</v>
      </c>
      <c r="B15" s="6"/>
      <c r="C15" s="7"/>
      <c r="D15" s="8">
        <f t="shared" si="0"/>
        <v>0</v>
      </c>
      <c r="E15" s="6"/>
      <c r="F15" s="7"/>
      <c r="G15" s="8">
        <f t="shared" si="1"/>
        <v>0</v>
      </c>
      <c r="H15" s="6"/>
      <c r="I15" s="7"/>
      <c r="J15" s="8">
        <f t="shared" si="2"/>
        <v>0</v>
      </c>
      <c r="K15" s="6">
        <v>1</v>
      </c>
      <c r="L15" s="7">
        <v>1</v>
      </c>
      <c r="M15" s="8">
        <f t="shared" si="3"/>
        <v>1</v>
      </c>
      <c r="N15" s="6"/>
      <c r="O15" s="7"/>
      <c r="P15" s="8">
        <f t="shared" si="4"/>
        <v>0</v>
      </c>
      <c r="Q15" s="1"/>
      <c r="R15" s="6">
        <f t="shared" si="5"/>
        <v>1</v>
      </c>
      <c r="S15" s="9">
        <f t="shared" si="6"/>
        <v>1</v>
      </c>
      <c r="T15" s="9">
        <f t="shared" si="7"/>
        <v>1.9047619047619048E-3</v>
      </c>
      <c r="U15" s="9">
        <f>R15 / _xlfn.XLOOKUP(A15, Mid!A:A, Mid!AA:AA)</f>
        <v>2.0408163265306121E-2</v>
      </c>
      <c r="V15" s="1"/>
      <c r="W15" s="1"/>
    </row>
    <row r="16" spans="1:23" x14ac:dyDescent="0.25">
      <c r="A16" s="1" t="s">
        <v>12</v>
      </c>
      <c r="B16" s="6">
        <v>4</v>
      </c>
      <c r="C16" s="7">
        <v>0.75</v>
      </c>
      <c r="D16" s="8">
        <f t="shared" si="0"/>
        <v>3</v>
      </c>
      <c r="E16" s="6">
        <v>8</v>
      </c>
      <c r="F16" s="7">
        <v>1</v>
      </c>
      <c r="G16" s="8">
        <f t="shared" si="1"/>
        <v>8</v>
      </c>
      <c r="H16" s="6">
        <v>9</v>
      </c>
      <c r="I16" s="7">
        <v>0.88900000000000001</v>
      </c>
      <c r="J16" s="8">
        <f t="shared" si="2"/>
        <v>8.0009999999999994</v>
      </c>
      <c r="K16" s="6">
        <v>5</v>
      </c>
      <c r="L16" s="7">
        <v>0.6</v>
      </c>
      <c r="M16" s="8">
        <f t="shared" si="3"/>
        <v>3</v>
      </c>
      <c r="N16" s="6"/>
      <c r="O16" s="7"/>
      <c r="P16" s="8">
        <f t="shared" si="4"/>
        <v>0</v>
      </c>
      <c r="Q16" s="1"/>
      <c r="R16" s="6">
        <f t="shared" si="5"/>
        <v>26</v>
      </c>
      <c r="S16" s="9">
        <f t="shared" si="6"/>
        <v>0.84619230769230758</v>
      </c>
      <c r="T16" s="9">
        <f t="shared" si="7"/>
        <v>4.9523809523809526E-2</v>
      </c>
      <c r="U16" s="9">
        <f>R16 / _xlfn.XLOOKUP(A16, Mid!A:A, Mid!AA:AA)</f>
        <v>9.9236641221374045E-2</v>
      </c>
      <c r="V16" s="1"/>
      <c r="W16" s="1"/>
    </row>
    <row r="17" spans="1:23" x14ac:dyDescent="0.25">
      <c r="A17" s="1" t="s">
        <v>112</v>
      </c>
      <c r="B17" s="6">
        <v>2</v>
      </c>
      <c r="C17" s="7">
        <v>0.5</v>
      </c>
      <c r="D17" s="8">
        <f t="shared" si="0"/>
        <v>1</v>
      </c>
      <c r="E17" s="6"/>
      <c r="F17" s="7"/>
      <c r="G17" s="8">
        <f t="shared" si="1"/>
        <v>0</v>
      </c>
      <c r="H17" s="6"/>
      <c r="I17" s="7"/>
      <c r="J17" s="8">
        <f t="shared" si="2"/>
        <v>0</v>
      </c>
      <c r="K17" s="6">
        <v>21</v>
      </c>
      <c r="L17" s="7">
        <v>0.85699999999999998</v>
      </c>
      <c r="M17" s="8">
        <f t="shared" si="3"/>
        <v>17.997</v>
      </c>
      <c r="N17" s="6"/>
      <c r="O17" s="7"/>
      <c r="P17" s="8">
        <f t="shared" si="4"/>
        <v>0</v>
      </c>
      <c r="Q17" s="1"/>
      <c r="R17" s="6">
        <f t="shared" si="5"/>
        <v>23</v>
      </c>
      <c r="S17" s="9">
        <f t="shared" si="6"/>
        <v>0.82595652173913048</v>
      </c>
      <c r="T17" s="9">
        <f t="shared" si="7"/>
        <v>4.3809523809523812E-2</v>
      </c>
      <c r="U17" s="9">
        <f>R17 / _xlfn.XLOOKUP(A17, Mid!A:A, Mid!AA:AA)</f>
        <v>0.12994350282485875</v>
      </c>
      <c r="V17" s="1"/>
      <c r="W17" s="1"/>
    </row>
    <row r="18" spans="1:23" x14ac:dyDescent="0.25">
      <c r="A18" s="1" t="s">
        <v>87</v>
      </c>
      <c r="B18" s="6"/>
      <c r="C18" s="7"/>
      <c r="D18" s="8">
        <f t="shared" si="0"/>
        <v>0</v>
      </c>
      <c r="E18" s="6">
        <v>8</v>
      </c>
      <c r="F18" s="7">
        <v>0.75</v>
      </c>
      <c r="G18" s="8">
        <f t="shared" si="1"/>
        <v>6</v>
      </c>
      <c r="H18" s="6">
        <v>6</v>
      </c>
      <c r="I18" s="7">
        <v>1</v>
      </c>
      <c r="J18" s="8">
        <f t="shared" si="2"/>
        <v>6</v>
      </c>
      <c r="K18" s="6">
        <v>14</v>
      </c>
      <c r="L18" s="7">
        <v>0.78600000000000003</v>
      </c>
      <c r="M18" s="8">
        <f t="shared" si="3"/>
        <v>11.004000000000001</v>
      </c>
      <c r="N18" s="6"/>
      <c r="O18" s="7"/>
      <c r="P18" s="8">
        <f t="shared" si="4"/>
        <v>0</v>
      </c>
      <c r="Q18" s="1"/>
      <c r="R18" s="6">
        <f t="shared" si="5"/>
        <v>28</v>
      </c>
      <c r="S18" s="9">
        <f t="shared" si="6"/>
        <v>0.82157142857142862</v>
      </c>
      <c r="T18" s="9">
        <f t="shared" si="7"/>
        <v>5.3333333333333337E-2</v>
      </c>
      <c r="U18" s="9">
        <f>R18 / _xlfn.XLOOKUP(A18, Mid!A:A, Mid!AA:AA)</f>
        <v>5.7971014492753624E-2</v>
      </c>
      <c r="V18" s="1"/>
      <c r="W18" s="1"/>
    </row>
    <row r="19" spans="1:23" x14ac:dyDescent="0.25">
      <c r="A19" s="1" t="s">
        <v>108</v>
      </c>
      <c r="B19" s="6">
        <v>12</v>
      </c>
      <c r="C19" s="7">
        <v>0.75</v>
      </c>
      <c r="D19" s="8">
        <f t="shared" si="0"/>
        <v>9</v>
      </c>
      <c r="E19" s="6">
        <v>1</v>
      </c>
      <c r="F19" s="7">
        <v>1</v>
      </c>
      <c r="G19" s="8">
        <f t="shared" si="1"/>
        <v>1</v>
      </c>
      <c r="H19" s="6">
        <v>36</v>
      </c>
      <c r="I19" s="32">
        <v>0.83299999999999996</v>
      </c>
      <c r="J19" s="8">
        <f t="shared" si="2"/>
        <v>29.988</v>
      </c>
      <c r="K19" s="6">
        <v>5</v>
      </c>
      <c r="L19" s="7">
        <v>0.8</v>
      </c>
      <c r="M19" s="8">
        <f t="shared" si="3"/>
        <v>4</v>
      </c>
      <c r="N19" s="6"/>
      <c r="O19" s="7"/>
      <c r="P19" s="8">
        <f t="shared" si="4"/>
        <v>0</v>
      </c>
      <c r="Q19" s="4"/>
      <c r="R19" s="6">
        <f t="shared" si="5"/>
        <v>54</v>
      </c>
      <c r="S19" s="9">
        <f t="shared" si="6"/>
        <v>0.81459259259259253</v>
      </c>
      <c r="T19" s="9">
        <f t="shared" si="7"/>
        <v>0.10285714285714286</v>
      </c>
      <c r="U19" s="9">
        <f>R19 / _xlfn.XLOOKUP(A19, Mid!A:A, Mid!AA:AA)</f>
        <v>0.17142857142857143</v>
      </c>
      <c r="V19" s="1"/>
      <c r="W19" s="1"/>
    </row>
    <row r="20" spans="1:23" x14ac:dyDescent="0.25">
      <c r="A20" s="14" t="s">
        <v>59</v>
      </c>
      <c r="B20" s="6"/>
      <c r="C20" s="7"/>
      <c r="D20" s="8">
        <f t="shared" si="0"/>
        <v>0</v>
      </c>
      <c r="E20" s="6"/>
      <c r="F20" s="7"/>
      <c r="G20" s="8">
        <f t="shared" si="1"/>
        <v>0</v>
      </c>
      <c r="H20" s="6">
        <v>4</v>
      </c>
      <c r="I20" s="7">
        <v>0.75</v>
      </c>
      <c r="J20" s="8">
        <f t="shared" si="2"/>
        <v>3</v>
      </c>
      <c r="K20" s="6">
        <v>1</v>
      </c>
      <c r="L20" s="7">
        <v>1</v>
      </c>
      <c r="M20" s="8">
        <f t="shared" si="3"/>
        <v>1</v>
      </c>
      <c r="N20" s="6"/>
      <c r="O20" s="7"/>
      <c r="P20" s="8">
        <f t="shared" si="4"/>
        <v>0</v>
      </c>
      <c r="Q20" s="1"/>
      <c r="R20" s="6">
        <f t="shared" si="5"/>
        <v>5</v>
      </c>
      <c r="S20" s="9">
        <f t="shared" si="6"/>
        <v>0.8</v>
      </c>
      <c r="T20" s="9">
        <f t="shared" si="7"/>
        <v>9.5238095238095247E-3</v>
      </c>
      <c r="U20" s="9">
        <f>R20 / _xlfn.XLOOKUP(A20, Mid!A:A, Mid!AA:AA)</f>
        <v>0.13157894736842105</v>
      </c>
      <c r="V20" s="1"/>
      <c r="W20" s="1"/>
    </row>
    <row r="21" spans="1:23" x14ac:dyDescent="0.25">
      <c r="A21" s="1" t="s">
        <v>39</v>
      </c>
      <c r="B21" s="6"/>
      <c r="C21" s="7"/>
      <c r="D21" s="8">
        <f t="shared" si="0"/>
        <v>0</v>
      </c>
      <c r="E21" s="6">
        <v>11</v>
      </c>
      <c r="F21" s="7">
        <v>0.72699999999999998</v>
      </c>
      <c r="G21" s="8">
        <f t="shared" si="1"/>
        <v>7.9969999999999999</v>
      </c>
      <c r="H21" s="6">
        <v>13</v>
      </c>
      <c r="I21" s="7">
        <v>0.84599999999999997</v>
      </c>
      <c r="J21" s="8">
        <f t="shared" si="2"/>
        <v>10.997999999999999</v>
      </c>
      <c r="K21" s="6"/>
      <c r="L21" s="7"/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24</v>
      </c>
      <c r="S21" s="9">
        <f t="shared" si="6"/>
        <v>0.79145833333333326</v>
      </c>
      <c r="T21" s="9">
        <f t="shared" si="7"/>
        <v>4.5714285714285714E-2</v>
      </c>
      <c r="U21" s="9">
        <f>R21 / _xlfn.XLOOKUP(A21, Mid!A:A, Mid!AA:AA)</f>
        <v>0.10666666666666667</v>
      </c>
      <c r="V21" s="1"/>
      <c r="W21" s="1"/>
    </row>
    <row r="22" spans="1:23" x14ac:dyDescent="0.25">
      <c r="A22" s="1" t="s">
        <v>107</v>
      </c>
      <c r="B22" s="6">
        <v>18</v>
      </c>
      <c r="C22" s="7">
        <v>0.94399999999999995</v>
      </c>
      <c r="D22" s="8">
        <f t="shared" si="0"/>
        <v>16.991999999999997</v>
      </c>
      <c r="E22" s="6">
        <v>15</v>
      </c>
      <c r="F22" s="7">
        <v>0.66700000000000004</v>
      </c>
      <c r="G22" s="8">
        <f t="shared" si="1"/>
        <v>10.005000000000001</v>
      </c>
      <c r="H22" s="6">
        <v>8</v>
      </c>
      <c r="I22" s="7">
        <v>0.625</v>
      </c>
      <c r="J22" s="8">
        <f t="shared" si="2"/>
        <v>5</v>
      </c>
      <c r="K22" s="6">
        <v>13</v>
      </c>
      <c r="L22" s="7">
        <v>0.76900000000000002</v>
      </c>
      <c r="M22" s="8">
        <f t="shared" si="3"/>
        <v>9.9969999999999999</v>
      </c>
      <c r="N22" s="6"/>
      <c r="O22" s="7"/>
      <c r="P22" s="8">
        <f t="shared" si="4"/>
        <v>0</v>
      </c>
      <c r="Q22" s="1"/>
      <c r="R22" s="6">
        <f t="shared" si="5"/>
        <v>54</v>
      </c>
      <c r="S22" s="9">
        <f t="shared" si="6"/>
        <v>0.77766666666666662</v>
      </c>
      <c r="T22" s="9">
        <f t="shared" si="7"/>
        <v>0.10285714285714286</v>
      </c>
      <c r="U22" s="9">
        <f>R22 / _xlfn.XLOOKUP(A22, Mid!A:A, Mid!AA:AA)</f>
        <v>0.10424710424710425</v>
      </c>
      <c r="V22" s="1"/>
      <c r="W22" s="1"/>
    </row>
    <row r="23" spans="1:23" x14ac:dyDescent="0.25">
      <c r="A23" s="14" t="s">
        <v>156</v>
      </c>
      <c r="B23" s="6"/>
      <c r="C23" s="7"/>
      <c r="D23" s="8">
        <f t="shared" si="0"/>
        <v>0</v>
      </c>
      <c r="E23" s="6"/>
      <c r="F23" s="7"/>
      <c r="G23" s="8">
        <f t="shared" si="1"/>
        <v>0</v>
      </c>
      <c r="H23" s="6">
        <v>4</v>
      </c>
      <c r="I23" s="7">
        <v>0.75</v>
      </c>
      <c r="J23" s="8">
        <f t="shared" si="2"/>
        <v>3</v>
      </c>
      <c r="K23" s="6"/>
      <c r="L23" s="7"/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4</v>
      </c>
      <c r="S23" s="9">
        <f t="shared" si="6"/>
        <v>0.75</v>
      </c>
      <c r="T23" s="9">
        <f t="shared" si="7"/>
        <v>7.619047619047619E-3</v>
      </c>
      <c r="U23" s="9">
        <f>R23 / _xlfn.XLOOKUP(A23, Mid!A:A, Mid!AA:AA)</f>
        <v>1</v>
      </c>
      <c r="V23" s="1"/>
      <c r="W23" s="1"/>
    </row>
    <row r="24" spans="1:23" x14ac:dyDescent="0.25">
      <c r="A24" s="1" t="s">
        <v>32</v>
      </c>
      <c r="B24" s="6">
        <v>13</v>
      </c>
      <c r="C24" s="7">
        <v>0.84599999999999997</v>
      </c>
      <c r="D24" s="8">
        <f t="shared" si="0"/>
        <v>10.997999999999999</v>
      </c>
      <c r="E24" s="6">
        <v>8</v>
      </c>
      <c r="F24" s="7">
        <v>0.875</v>
      </c>
      <c r="G24" s="8">
        <f t="shared" si="1"/>
        <v>7</v>
      </c>
      <c r="H24" s="6">
        <v>3</v>
      </c>
      <c r="I24" s="7">
        <v>0.33300000000000002</v>
      </c>
      <c r="J24" s="8">
        <f t="shared" si="2"/>
        <v>0.99900000000000011</v>
      </c>
      <c r="K24" s="6">
        <v>8</v>
      </c>
      <c r="L24" s="7">
        <v>0.625</v>
      </c>
      <c r="M24" s="8">
        <f t="shared" si="3"/>
        <v>5</v>
      </c>
      <c r="N24" s="6"/>
      <c r="O24" s="7"/>
      <c r="P24" s="8">
        <f t="shared" si="4"/>
        <v>0</v>
      </c>
      <c r="Q24" s="4"/>
      <c r="R24" s="6">
        <f t="shared" si="5"/>
        <v>32</v>
      </c>
      <c r="S24" s="9">
        <f t="shared" si="6"/>
        <v>0.74990624999999989</v>
      </c>
      <c r="T24" s="9">
        <f t="shared" si="7"/>
        <v>6.0952380952380952E-2</v>
      </c>
      <c r="U24" s="9">
        <f>R24 / _xlfn.XLOOKUP(A24, Mid!A:A, Mid!AA:AA)</f>
        <v>0.1095890410958904</v>
      </c>
      <c r="V24" s="1"/>
      <c r="W24" s="1"/>
    </row>
    <row r="25" spans="1:23" x14ac:dyDescent="0.25">
      <c r="A25" s="1" t="s">
        <v>64</v>
      </c>
      <c r="B25" s="6">
        <v>20</v>
      </c>
      <c r="C25" s="7">
        <v>0.75</v>
      </c>
      <c r="D25" s="8">
        <f t="shared" si="0"/>
        <v>15</v>
      </c>
      <c r="E25" s="6">
        <v>17</v>
      </c>
      <c r="F25" s="7">
        <v>0.64700000000000002</v>
      </c>
      <c r="G25" s="8">
        <f t="shared" si="1"/>
        <v>10.999000000000001</v>
      </c>
      <c r="H25" s="6">
        <v>21</v>
      </c>
      <c r="I25" s="7">
        <v>0.76200000000000001</v>
      </c>
      <c r="J25" s="8">
        <f t="shared" si="2"/>
        <v>16.001999999999999</v>
      </c>
      <c r="K25" s="6">
        <v>13</v>
      </c>
      <c r="L25" s="7">
        <v>0.76900000000000002</v>
      </c>
      <c r="M25" s="8">
        <f t="shared" si="3"/>
        <v>9.9969999999999999</v>
      </c>
      <c r="N25" s="6"/>
      <c r="O25" s="7"/>
      <c r="P25" s="8">
        <f t="shared" si="4"/>
        <v>0</v>
      </c>
      <c r="Q25" s="1"/>
      <c r="R25" s="6">
        <f t="shared" si="5"/>
        <v>71</v>
      </c>
      <c r="S25" s="9">
        <f t="shared" si="6"/>
        <v>0.7323661971830987</v>
      </c>
      <c r="T25" s="9">
        <f t="shared" si="7"/>
        <v>0.13523809523809524</v>
      </c>
      <c r="U25" s="9">
        <f>R25 / _xlfn.XLOOKUP(A25, Mid!A:A, Mid!AA:AA)</f>
        <v>9.3053735255570119E-2</v>
      </c>
      <c r="V25" s="1"/>
      <c r="W25" s="1"/>
    </row>
    <row r="26" spans="1:23" x14ac:dyDescent="0.25">
      <c r="A26" s="1" t="s">
        <v>27</v>
      </c>
      <c r="B26" s="6">
        <v>3</v>
      </c>
      <c r="C26" s="7">
        <v>0.66700000000000004</v>
      </c>
      <c r="D26" s="8">
        <f t="shared" si="0"/>
        <v>2.0010000000000003</v>
      </c>
      <c r="E26" s="6">
        <v>8</v>
      </c>
      <c r="F26" s="7">
        <v>0.75</v>
      </c>
      <c r="G26" s="8">
        <f t="shared" si="1"/>
        <v>6</v>
      </c>
      <c r="H26" s="6"/>
      <c r="I26" s="7"/>
      <c r="J26" s="8">
        <f t="shared" si="2"/>
        <v>0</v>
      </c>
      <c r="K26" s="6"/>
      <c r="L26" s="7"/>
      <c r="M26" s="8">
        <f t="shared" si="3"/>
        <v>0</v>
      </c>
      <c r="N26" s="6"/>
      <c r="O26" s="7"/>
      <c r="P26" s="8">
        <f t="shared" si="4"/>
        <v>0</v>
      </c>
      <c r="Q26" s="4"/>
      <c r="R26" s="6">
        <f t="shared" si="5"/>
        <v>11</v>
      </c>
      <c r="S26" s="9">
        <f t="shared" si="6"/>
        <v>0.72736363636363643</v>
      </c>
      <c r="T26" s="9">
        <f t="shared" si="7"/>
        <v>2.0952380952380951E-2</v>
      </c>
      <c r="U26" s="9">
        <f>R26 / _xlfn.XLOOKUP(A26, Mid!A:A, Mid!AA:AA)</f>
        <v>5.1401869158878503E-2</v>
      </c>
      <c r="V26" s="1"/>
      <c r="W26" s="1"/>
    </row>
    <row r="27" spans="1:23" x14ac:dyDescent="0.25">
      <c r="A27" s="25" t="s">
        <v>201</v>
      </c>
      <c r="B27" s="6"/>
      <c r="C27" s="7"/>
      <c r="D27" s="8">
        <f t="shared" si="0"/>
        <v>0</v>
      </c>
      <c r="E27" s="6"/>
      <c r="F27" s="7"/>
      <c r="G27" s="8">
        <f t="shared" si="1"/>
        <v>0</v>
      </c>
      <c r="H27" s="6"/>
      <c r="I27" s="7"/>
      <c r="J27" s="8">
        <f t="shared" si="2"/>
        <v>0</v>
      </c>
      <c r="K27" s="6">
        <v>11</v>
      </c>
      <c r="L27" s="7">
        <v>0.72699999999999998</v>
      </c>
      <c r="M27" s="8">
        <f t="shared" si="3"/>
        <v>7.9969999999999999</v>
      </c>
      <c r="N27" s="6"/>
      <c r="O27" s="7"/>
      <c r="P27" s="8">
        <f t="shared" si="4"/>
        <v>0</v>
      </c>
      <c r="Q27" s="1"/>
      <c r="R27" s="6">
        <f t="shared" si="5"/>
        <v>11</v>
      </c>
      <c r="S27" s="9">
        <f t="shared" si="6"/>
        <v>0.72699999999999998</v>
      </c>
      <c r="T27" s="9">
        <f t="shared" si="7"/>
        <v>2.0952380952380951E-2</v>
      </c>
      <c r="U27" s="9">
        <f>R27 / _xlfn.XLOOKUP(A27, Mid!A:A, Mid!AA:AA)</f>
        <v>8.7301587301587297E-2</v>
      </c>
      <c r="V27" s="1"/>
      <c r="W27" s="1"/>
    </row>
    <row r="28" spans="1:23" x14ac:dyDescent="0.25">
      <c r="A28" s="1" t="s">
        <v>110</v>
      </c>
      <c r="B28" s="6">
        <v>3</v>
      </c>
      <c r="C28" s="7">
        <v>0.66700000000000004</v>
      </c>
      <c r="D28" s="8">
        <f t="shared" si="0"/>
        <v>2.0010000000000003</v>
      </c>
      <c r="E28" s="6"/>
      <c r="F28" s="7"/>
      <c r="G28" s="8">
        <f t="shared" si="1"/>
        <v>0</v>
      </c>
      <c r="H28" s="6">
        <v>2</v>
      </c>
      <c r="I28" s="7">
        <v>0.5</v>
      </c>
      <c r="J28" s="8">
        <f t="shared" si="2"/>
        <v>1</v>
      </c>
      <c r="K28" s="6">
        <v>9</v>
      </c>
      <c r="L28" s="7">
        <v>0.77800000000000002</v>
      </c>
      <c r="M28" s="8">
        <f t="shared" si="3"/>
        <v>7.0020000000000007</v>
      </c>
      <c r="N28" s="6"/>
      <c r="O28" s="7"/>
      <c r="P28" s="8">
        <f t="shared" si="4"/>
        <v>0</v>
      </c>
      <c r="Q28" s="1"/>
      <c r="R28" s="6">
        <f t="shared" si="5"/>
        <v>14</v>
      </c>
      <c r="S28" s="9">
        <f t="shared" si="6"/>
        <v>0.71450000000000002</v>
      </c>
      <c r="T28" s="9">
        <f t="shared" si="7"/>
        <v>2.6666666666666668E-2</v>
      </c>
      <c r="U28" s="9">
        <f>R28 / _xlfn.XLOOKUP(A28, Mid!A:A, Mid!AA:AA)</f>
        <v>4.6052631578947366E-2</v>
      </c>
      <c r="V28" s="1"/>
      <c r="W28" s="1"/>
    </row>
    <row r="29" spans="1:23" x14ac:dyDescent="0.25">
      <c r="A29" s="1" t="s">
        <v>8</v>
      </c>
      <c r="B29" s="6"/>
      <c r="C29" s="7"/>
      <c r="D29" s="8">
        <f t="shared" si="0"/>
        <v>0</v>
      </c>
      <c r="E29" s="6">
        <v>4</v>
      </c>
      <c r="F29" s="7">
        <v>0.5</v>
      </c>
      <c r="G29" s="8">
        <f t="shared" si="1"/>
        <v>2</v>
      </c>
      <c r="H29" s="6">
        <v>2</v>
      </c>
      <c r="I29" s="7">
        <v>1</v>
      </c>
      <c r="J29" s="8">
        <f t="shared" si="2"/>
        <v>2</v>
      </c>
      <c r="K29" s="6">
        <v>1</v>
      </c>
      <c r="L29" s="7">
        <v>1</v>
      </c>
      <c r="M29" s="8">
        <f t="shared" si="3"/>
        <v>1</v>
      </c>
      <c r="N29" s="6"/>
      <c r="O29" s="7"/>
      <c r="P29" s="8">
        <f t="shared" si="4"/>
        <v>0</v>
      </c>
      <c r="Q29" s="1"/>
      <c r="R29" s="6">
        <f t="shared" si="5"/>
        <v>7</v>
      </c>
      <c r="S29" s="9">
        <f t="shared" si="6"/>
        <v>0.7142857142857143</v>
      </c>
      <c r="T29" s="9">
        <f t="shared" si="7"/>
        <v>1.3333333333333334E-2</v>
      </c>
      <c r="U29" s="9">
        <f>R29 / _xlfn.XLOOKUP(A29, Mid!A:A, Mid!AA:AA)</f>
        <v>6.3063063063063057E-2</v>
      </c>
      <c r="V29" s="1"/>
      <c r="W29" s="1"/>
    </row>
    <row r="30" spans="1:23" x14ac:dyDescent="0.25">
      <c r="A30" s="1" t="s">
        <v>113</v>
      </c>
      <c r="B30" s="6"/>
      <c r="C30" s="7"/>
      <c r="D30" s="8">
        <f t="shared" si="0"/>
        <v>0</v>
      </c>
      <c r="E30" s="6">
        <v>13</v>
      </c>
      <c r="F30" s="7">
        <v>0.76900000000000002</v>
      </c>
      <c r="G30" s="8">
        <f t="shared" si="1"/>
        <v>9.9969999999999999</v>
      </c>
      <c r="H30" s="6"/>
      <c r="I30" s="7"/>
      <c r="J30" s="8">
        <f t="shared" si="2"/>
        <v>0</v>
      </c>
      <c r="K30" s="6">
        <v>8</v>
      </c>
      <c r="L30" s="7">
        <v>0.625</v>
      </c>
      <c r="M30" s="8">
        <f t="shared" si="3"/>
        <v>5</v>
      </c>
      <c r="N30" s="6"/>
      <c r="O30" s="7"/>
      <c r="P30" s="8">
        <f t="shared" si="4"/>
        <v>0</v>
      </c>
      <c r="Q30" s="1"/>
      <c r="R30" s="6">
        <f t="shared" si="5"/>
        <v>21</v>
      </c>
      <c r="S30" s="9">
        <f t="shared" si="6"/>
        <v>0.71414285714285719</v>
      </c>
      <c r="T30" s="9">
        <f t="shared" si="7"/>
        <v>0.04</v>
      </c>
      <c r="U30" s="9">
        <f>R30 / _xlfn.XLOOKUP(A30, Mid!A:A, Mid!AA:AA)</f>
        <v>0.11351351351351352</v>
      </c>
      <c r="V30" s="1"/>
      <c r="W30" s="1"/>
    </row>
    <row r="31" spans="1:23" x14ac:dyDescent="0.25">
      <c r="A31" s="1" t="s">
        <v>10</v>
      </c>
      <c r="B31" s="6"/>
      <c r="C31" s="7"/>
      <c r="D31" s="8">
        <f t="shared" si="0"/>
        <v>0</v>
      </c>
      <c r="E31" s="6">
        <v>3</v>
      </c>
      <c r="F31" s="7">
        <v>0.66700000000000004</v>
      </c>
      <c r="G31" s="8">
        <f t="shared" si="1"/>
        <v>2.0010000000000003</v>
      </c>
      <c r="H31" s="6"/>
      <c r="I31" s="7"/>
      <c r="J31" s="8">
        <f t="shared" si="2"/>
        <v>0</v>
      </c>
      <c r="K31" s="6"/>
      <c r="L31" s="7"/>
      <c r="M31" s="8">
        <f t="shared" si="3"/>
        <v>0</v>
      </c>
      <c r="N31" s="6"/>
      <c r="O31" s="7"/>
      <c r="P31" s="8">
        <f t="shared" si="4"/>
        <v>0</v>
      </c>
      <c r="Q31" s="1"/>
      <c r="R31" s="6">
        <f t="shared" si="5"/>
        <v>3</v>
      </c>
      <c r="S31" s="9">
        <f t="shared" si="6"/>
        <v>0.66700000000000015</v>
      </c>
      <c r="T31" s="9">
        <f t="shared" si="7"/>
        <v>5.7142857142857143E-3</v>
      </c>
      <c r="U31" s="9">
        <f>R31 / _xlfn.XLOOKUP(A31, Mid!A:A, Mid!AA:AA)</f>
        <v>9.0909090909090912E-2</v>
      </c>
      <c r="V31" s="1"/>
      <c r="W31" s="1"/>
    </row>
    <row r="32" spans="1:23" x14ac:dyDescent="0.25">
      <c r="A32" s="14" t="s">
        <v>139</v>
      </c>
      <c r="B32" s="6"/>
      <c r="C32" s="7"/>
      <c r="D32" s="8">
        <f t="shared" si="0"/>
        <v>0</v>
      </c>
      <c r="E32" s="6"/>
      <c r="F32" s="7"/>
      <c r="G32" s="8">
        <f t="shared" si="1"/>
        <v>0</v>
      </c>
      <c r="H32" s="6">
        <v>3</v>
      </c>
      <c r="I32" s="7">
        <v>0.66700000000000004</v>
      </c>
      <c r="J32" s="8">
        <f t="shared" si="2"/>
        <v>2.0010000000000003</v>
      </c>
      <c r="K32" s="6"/>
      <c r="L32" s="7"/>
      <c r="M32" s="8">
        <f t="shared" si="3"/>
        <v>0</v>
      </c>
      <c r="N32" s="6"/>
      <c r="O32" s="7"/>
      <c r="P32" s="8">
        <f t="shared" si="4"/>
        <v>0</v>
      </c>
      <c r="Q32" s="1"/>
      <c r="R32" s="6">
        <f t="shared" si="5"/>
        <v>3</v>
      </c>
      <c r="S32" s="9">
        <f t="shared" si="6"/>
        <v>0.66700000000000015</v>
      </c>
      <c r="T32" s="9">
        <f t="shared" si="7"/>
        <v>5.7142857142857143E-3</v>
      </c>
      <c r="U32" s="9">
        <f>R32 / _xlfn.XLOOKUP(A32, Mid!A:A, Mid!AA:AA)</f>
        <v>0.16666666666666666</v>
      </c>
      <c r="V32" s="1"/>
      <c r="W32" s="1"/>
    </row>
    <row r="33" spans="1:23" x14ac:dyDescent="0.25">
      <c r="A33" s="25" t="s">
        <v>252</v>
      </c>
      <c r="B33" s="6"/>
      <c r="C33" s="7"/>
      <c r="D33" s="8">
        <f t="shared" si="0"/>
        <v>0</v>
      </c>
      <c r="E33" s="6">
        <v>5</v>
      </c>
      <c r="F33" s="7">
        <v>0.8</v>
      </c>
      <c r="G33" s="8">
        <f t="shared" si="1"/>
        <v>4</v>
      </c>
      <c r="H33" s="6">
        <v>1</v>
      </c>
      <c r="I33" s="7">
        <v>0</v>
      </c>
      <c r="J33" s="8">
        <f t="shared" si="2"/>
        <v>0</v>
      </c>
      <c r="K33" s="6"/>
      <c r="L33" s="7"/>
      <c r="M33" s="8">
        <f t="shared" si="3"/>
        <v>0</v>
      </c>
      <c r="N33" s="6"/>
      <c r="O33" s="7"/>
      <c r="P33" s="8">
        <f t="shared" si="4"/>
        <v>0</v>
      </c>
      <c r="Q33" s="1"/>
      <c r="R33" s="6">
        <f t="shared" si="5"/>
        <v>6</v>
      </c>
      <c r="S33" s="9">
        <f t="shared" si="6"/>
        <v>0.66666666666666663</v>
      </c>
      <c r="T33" s="9">
        <f t="shared" si="7"/>
        <v>1.1428571428571429E-2</v>
      </c>
      <c r="U33" s="9">
        <f>R33 / _xlfn.XLOOKUP(A33, Mid!A:A, Mid!AA:AA)</f>
        <v>0.24</v>
      </c>
      <c r="V33" s="1"/>
      <c r="W33" s="1"/>
    </row>
    <row r="34" spans="1:23" x14ac:dyDescent="0.25">
      <c r="A34" s="1" t="s">
        <v>117</v>
      </c>
      <c r="B34" s="6"/>
      <c r="C34" s="7"/>
      <c r="D34" s="8">
        <f t="shared" si="0"/>
        <v>0</v>
      </c>
      <c r="E34" s="6">
        <v>1</v>
      </c>
      <c r="F34" s="7">
        <v>0</v>
      </c>
      <c r="G34" s="8">
        <f t="shared" si="1"/>
        <v>0</v>
      </c>
      <c r="H34" s="6">
        <v>7</v>
      </c>
      <c r="I34" s="7">
        <v>0.85699999999999998</v>
      </c>
      <c r="J34" s="8">
        <f t="shared" si="2"/>
        <v>5.9989999999999997</v>
      </c>
      <c r="K34" s="6">
        <v>1</v>
      </c>
      <c r="L34" s="7">
        <v>0</v>
      </c>
      <c r="M34" s="8">
        <f t="shared" si="3"/>
        <v>0</v>
      </c>
      <c r="N34" s="6"/>
      <c r="O34" s="7"/>
      <c r="P34" s="8">
        <f t="shared" si="4"/>
        <v>0</v>
      </c>
      <c r="Q34" s="13"/>
      <c r="R34" s="6">
        <f t="shared" si="5"/>
        <v>9</v>
      </c>
      <c r="S34" s="9">
        <f t="shared" si="6"/>
        <v>0.66655555555555557</v>
      </c>
      <c r="T34" s="9">
        <f t="shared" si="7"/>
        <v>1.7142857142857144E-2</v>
      </c>
      <c r="U34" s="9">
        <f>R34 / _xlfn.XLOOKUP(A34, Mid!A:A, Mid!AA:AA)</f>
        <v>0.20930232558139536</v>
      </c>
      <c r="V34" s="1"/>
      <c r="W34" s="1"/>
    </row>
    <row r="35" spans="1:23" x14ac:dyDescent="0.25">
      <c r="A35" s="1" t="s">
        <v>52</v>
      </c>
      <c r="B35" s="6">
        <v>8</v>
      </c>
      <c r="C35" s="7">
        <v>0.625</v>
      </c>
      <c r="D35" s="8">
        <f t="shared" si="0"/>
        <v>5</v>
      </c>
      <c r="E35" s="6">
        <v>8</v>
      </c>
      <c r="F35" s="7">
        <v>0.625</v>
      </c>
      <c r="G35" s="8">
        <f t="shared" si="1"/>
        <v>5</v>
      </c>
      <c r="H35" s="6">
        <v>1</v>
      </c>
      <c r="I35" s="7">
        <v>1</v>
      </c>
      <c r="J35" s="8">
        <f t="shared" si="2"/>
        <v>1</v>
      </c>
      <c r="K35" s="6"/>
      <c r="L35" s="7"/>
      <c r="M35" s="8">
        <f t="shared" si="3"/>
        <v>0</v>
      </c>
      <c r="N35" s="6"/>
      <c r="O35" s="7"/>
      <c r="P35" s="8">
        <f t="shared" si="4"/>
        <v>0</v>
      </c>
      <c r="Q35" s="1"/>
      <c r="R35" s="6">
        <f t="shared" si="5"/>
        <v>17</v>
      </c>
      <c r="S35" s="9">
        <f t="shared" si="6"/>
        <v>0.6470588235294118</v>
      </c>
      <c r="T35" s="9">
        <f t="shared" si="7"/>
        <v>3.2380952380952378E-2</v>
      </c>
      <c r="U35" s="9">
        <f>R35 / _xlfn.XLOOKUP(A35, Mid!A:A, Mid!AA:AA)</f>
        <v>7.6923076923076927E-2</v>
      </c>
      <c r="V35" s="1"/>
      <c r="W35" s="1"/>
    </row>
    <row r="36" spans="1:23" x14ac:dyDescent="0.25">
      <c r="A36" s="1" t="s">
        <v>118</v>
      </c>
      <c r="B36" s="6"/>
      <c r="C36" s="7"/>
      <c r="D36" s="8">
        <f t="shared" si="0"/>
        <v>0</v>
      </c>
      <c r="E36" s="6"/>
      <c r="F36" s="7"/>
      <c r="G36" s="8">
        <f t="shared" si="1"/>
        <v>0</v>
      </c>
      <c r="H36" s="6">
        <v>4</v>
      </c>
      <c r="I36" s="7">
        <v>0.75</v>
      </c>
      <c r="J36" s="8">
        <f t="shared" si="2"/>
        <v>3</v>
      </c>
      <c r="K36" s="6">
        <v>4</v>
      </c>
      <c r="L36" s="7">
        <v>0.5</v>
      </c>
      <c r="M36" s="8">
        <f t="shared" si="3"/>
        <v>2</v>
      </c>
      <c r="N36" s="6"/>
      <c r="O36" s="7"/>
      <c r="P36" s="8">
        <f t="shared" si="4"/>
        <v>0</v>
      </c>
      <c r="Q36" s="1"/>
      <c r="R36" s="6">
        <f t="shared" si="5"/>
        <v>8</v>
      </c>
      <c r="S36" s="9">
        <f t="shared" si="6"/>
        <v>0.625</v>
      </c>
      <c r="T36" s="9">
        <f t="shared" si="7"/>
        <v>1.5238095238095238E-2</v>
      </c>
      <c r="U36" s="9">
        <f>R36 / _xlfn.XLOOKUP(A36, Mid!A:A, Mid!AA:AA)</f>
        <v>0.11428571428571428</v>
      </c>
      <c r="V36" s="1"/>
      <c r="W36" s="1"/>
    </row>
    <row r="37" spans="1:23" x14ac:dyDescent="0.25">
      <c r="A37" s="1" t="s">
        <v>109</v>
      </c>
      <c r="B37" s="6">
        <v>6</v>
      </c>
      <c r="C37" s="7">
        <v>0.66700000000000004</v>
      </c>
      <c r="D37" s="8">
        <f t="shared" si="0"/>
        <v>4.0020000000000007</v>
      </c>
      <c r="E37" s="6">
        <v>4</v>
      </c>
      <c r="F37" s="7">
        <v>0.5</v>
      </c>
      <c r="G37" s="8">
        <f t="shared" si="1"/>
        <v>2</v>
      </c>
      <c r="H37" s="6"/>
      <c r="I37" s="7"/>
      <c r="J37" s="8">
        <f t="shared" si="2"/>
        <v>0</v>
      </c>
      <c r="K37" s="6">
        <v>11</v>
      </c>
      <c r="L37" s="7">
        <v>0.63600000000000001</v>
      </c>
      <c r="M37" s="8">
        <f t="shared" si="3"/>
        <v>6.9960000000000004</v>
      </c>
      <c r="N37" s="6"/>
      <c r="O37" s="7"/>
      <c r="P37" s="8">
        <f t="shared" si="4"/>
        <v>0</v>
      </c>
      <c r="Q37" s="1"/>
      <c r="R37" s="6">
        <f t="shared" si="5"/>
        <v>21</v>
      </c>
      <c r="S37" s="9">
        <f t="shared" si="6"/>
        <v>0.61895238095238103</v>
      </c>
      <c r="T37" s="9">
        <f t="shared" si="7"/>
        <v>0.04</v>
      </c>
      <c r="U37" s="9">
        <f>R37 / _xlfn.XLOOKUP(A37, Mid!A:A, Mid!AA:AA)</f>
        <v>8.4677419354838704E-2</v>
      </c>
      <c r="V37" s="1"/>
      <c r="W37" s="1"/>
    </row>
    <row r="38" spans="1:23" x14ac:dyDescent="0.25">
      <c r="A38" s="1" t="s">
        <v>48</v>
      </c>
      <c r="B38" s="6">
        <v>11</v>
      </c>
      <c r="C38" s="7">
        <v>0.54500000000000004</v>
      </c>
      <c r="D38" s="8">
        <f t="shared" si="0"/>
        <v>5.9950000000000001</v>
      </c>
      <c r="E38" s="6">
        <v>2</v>
      </c>
      <c r="F38" s="7">
        <v>0.5</v>
      </c>
      <c r="G38" s="8">
        <f t="shared" si="1"/>
        <v>1</v>
      </c>
      <c r="H38" s="6"/>
      <c r="I38" s="7"/>
      <c r="J38" s="8">
        <f t="shared" si="2"/>
        <v>0</v>
      </c>
      <c r="K38" s="6">
        <v>12</v>
      </c>
      <c r="L38" s="7">
        <v>0.66700000000000004</v>
      </c>
      <c r="M38" s="8">
        <f t="shared" si="3"/>
        <v>8.0040000000000013</v>
      </c>
      <c r="N38" s="6"/>
      <c r="O38" s="7"/>
      <c r="P38" s="8">
        <f t="shared" si="4"/>
        <v>0</v>
      </c>
      <c r="Q38" s="1"/>
      <c r="R38" s="6">
        <f t="shared" si="5"/>
        <v>25</v>
      </c>
      <c r="S38" s="9">
        <f t="shared" si="6"/>
        <v>0.59996000000000005</v>
      </c>
      <c r="T38" s="9">
        <f t="shared" si="7"/>
        <v>4.7619047619047616E-2</v>
      </c>
      <c r="U38" s="9">
        <f>R38 / _xlfn.XLOOKUP(A38, Mid!A:A, Mid!AA:AA)</f>
        <v>8.7412587412587409E-2</v>
      </c>
      <c r="V38" s="1"/>
      <c r="W38" s="1"/>
    </row>
    <row r="39" spans="1:23" x14ac:dyDescent="0.25">
      <c r="A39" s="1" t="s">
        <v>114</v>
      </c>
      <c r="B39" s="6"/>
      <c r="C39" s="7"/>
      <c r="D39" s="8">
        <f t="shared" si="0"/>
        <v>0</v>
      </c>
      <c r="E39" s="6">
        <v>7</v>
      </c>
      <c r="F39" s="7">
        <v>0.57099999999999995</v>
      </c>
      <c r="G39" s="8">
        <f t="shared" si="1"/>
        <v>3.9969999999999999</v>
      </c>
      <c r="H39" s="6"/>
      <c r="I39" s="7"/>
      <c r="J39" s="8">
        <f t="shared" si="2"/>
        <v>0</v>
      </c>
      <c r="K39" s="6"/>
      <c r="L39" s="7"/>
      <c r="M39" s="8">
        <f t="shared" si="3"/>
        <v>0</v>
      </c>
      <c r="N39" s="6"/>
      <c r="O39" s="7"/>
      <c r="P39" s="8">
        <f t="shared" si="4"/>
        <v>0</v>
      </c>
      <c r="Q39" s="1"/>
      <c r="R39" s="6">
        <f t="shared" si="5"/>
        <v>7</v>
      </c>
      <c r="S39" s="9">
        <f t="shared" si="6"/>
        <v>0.57099999999999995</v>
      </c>
      <c r="T39" s="9">
        <f t="shared" si="7"/>
        <v>1.3333333333333334E-2</v>
      </c>
      <c r="U39" s="9">
        <f>R39 / _xlfn.XLOOKUP(A39, Mid!A:A, Mid!AA:AA)</f>
        <v>7.6923076923076927E-2</v>
      </c>
      <c r="V39" s="1"/>
      <c r="W39" s="1"/>
    </row>
    <row r="40" spans="1:23" x14ac:dyDescent="0.25">
      <c r="A40" s="1" t="s">
        <v>29</v>
      </c>
      <c r="B40" s="6">
        <v>1</v>
      </c>
      <c r="C40" s="7">
        <v>1</v>
      </c>
      <c r="D40" s="8">
        <f t="shared" si="0"/>
        <v>1</v>
      </c>
      <c r="E40" s="6"/>
      <c r="F40" s="7"/>
      <c r="G40" s="8">
        <f t="shared" si="1"/>
        <v>0</v>
      </c>
      <c r="H40" s="6">
        <v>1</v>
      </c>
      <c r="I40" s="7">
        <v>0</v>
      </c>
      <c r="J40" s="8">
        <f t="shared" si="2"/>
        <v>0</v>
      </c>
      <c r="K40" s="6"/>
      <c r="L40" s="7"/>
      <c r="M40" s="8">
        <f t="shared" si="3"/>
        <v>0</v>
      </c>
      <c r="N40" s="6"/>
      <c r="O40" s="7"/>
      <c r="P40" s="8">
        <f t="shared" si="4"/>
        <v>0</v>
      </c>
      <c r="Q40" s="1"/>
      <c r="R40" s="6">
        <f t="shared" si="5"/>
        <v>2</v>
      </c>
      <c r="S40" s="9">
        <f t="shared" si="6"/>
        <v>0.5</v>
      </c>
      <c r="T40" s="9">
        <f t="shared" si="7"/>
        <v>3.8095238095238095E-3</v>
      </c>
      <c r="U40" s="9">
        <f>R40 / _xlfn.XLOOKUP(A40, Mid!A:A, Mid!AA:AA)</f>
        <v>5.2631578947368418E-2</v>
      </c>
    </row>
    <row r="41" spans="1:23" x14ac:dyDescent="0.25">
      <c r="A41" s="25" t="s">
        <v>154</v>
      </c>
      <c r="B41" s="6"/>
      <c r="C41" s="7"/>
      <c r="D41" s="8">
        <f t="shared" si="0"/>
        <v>0</v>
      </c>
      <c r="E41" s="6"/>
      <c r="F41" s="7"/>
      <c r="G41" s="8">
        <f t="shared" si="1"/>
        <v>0</v>
      </c>
      <c r="H41" s="6"/>
      <c r="I41" s="7"/>
      <c r="J41" s="8">
        <f t="shared" si="2"/>
        <v>0</v>
      </c>
      <c r="K41" s="6">
        <v>2</v>
      </c>
      <c r="L41" s="7">
        <v>0.5</v>
      </c>
      <c r="M41" s="8">
        <f t="shared" si="3"/>
        <v>1</v>
      </c>
      <c r="N41" s="6"/>
      <c r="O41" s="7"/>
      <c r="P41" s="8">
        <f t="shared" si="4"/>
        <v>0</v>
      </c>
      <c r="Q41" s="1"/>
      <c r="R41" s="6">
        <f t="shared" si="5"/>
        <v>2</v>
      </c>
      <c r="S41" s="9">
        <f t="shared" si="6"/>
        <v>0.5</v>
      </c>
      <c r="T41" s="9">
        <f t="shared" si="7"/>
        <v>3.8095238095238095E-3</v>
      </c>
      <c r="U41" s="9">
        <f>R41 / _xlfn.XLOOKUP(A41, Mid!A:A, Mid!AA:AA)</f>
        <v>0.16666666666666666</v>
      </c>
    </row>
    <row r="42" spans="1:23" x14ac:dyDescent="0.25">
      <c r="A42" s="25" t="s">
        <v>18</v>
      </c>
      <c r="B42" s="6"/>
      <c r="C42" s="7"/>
      <c r="D42" s="8">
        <f t="shared" si="0"/>
        <v>0</v>
      </c>
      <c r="E42" s="6"/>
      <c r="F42" s="7"/>
      <c r="G42" s="8">
        <f t="shared" si="1"/>
        <v>0</v>
      </c>
      <c r="H42" s="6"/>
      <c r="I42" s="7"/>
      <c r="J42" s="8">
        <f t="shared" si="2"/>
        <v>0</v>
      </c>
      <c r="K42" s="6">
        <v>3</v>
      </c>
      <c r="L42" s="7">
        <v>0.33300000000000002</v>
      </c>
      <c r="M42" s="8">
        <f t="shared" si="3"/>
        <v>0.99900000000000011</v>
      </c>
      <c r="N42" s="6"/>
      <c r="O42" s="7"/>
      <c r="P42" s="8">
        <f t="shared" si="4"/>
        <v>0</v>
      </c>
      <c r="Q42" s="1"/>
      <c r="R42" s="6">
        <f t="shared" si="5"/>
        <v>3</v>
      </c>
      <c r="S42" s="9">
        <f t="shared" si="6"/>
        <v>0.33300000000000002</v>
      </c>
      <c r="T42" s="9">
        <f t="shared" si="7"/>
        <v>5.7142857142857143E-3</v>
      </c>
      <c r="U42" s="9">
        <f>R42 / _xlfn.XLOOKUP(A42, Mid!A:A, Mid!AA:AA)</f>
        <v>3.1578947368421054E-2</v>
      </c>
    </row>
    <row r="43" spans="1:23" x14ac:dyDescent="0.25">
      <c r="A43" s="1" t="s">
        <v>115</v>
      </c>
      <c r="B43" s="6"/>
      <c r="C43" s="7"/>
      <c r="D43" s="8">
        <f t="shared" si="0"/>
        <v>0</v>
      </c>
      <c r="E43" s="6">
        <v>3</v>
      </c>
      <c r="F43" s="7">
        <v>0.33300000000000002</v>
      </c>
      <c r="G43" s="8">
        <f t="shared" si="1"/>
        <v>0.99900000000000011</v>
      </c>
      <c r="H43" s="6"/>
      <c r="I43" s="7"/>
      <c r="J43" s="8">
        <f t="shared" si="2"/>
        <v>0</v>
      </c>
      <c r="K43" s="6"/>
      <c r="L43" s="7"/>
      <c r="M43" s="8">
        <f t="shared" si="3"/>
        <v>0</v>
      </c>
      <c r="N43" s="6"/>
      <c r="O43" s="7"/>
      <c r="P43" s="8">
        <f t="shared" si="4"/>
        <v>0</v>
      </c>
      <c r="Q43" s="1"/>
      <c r="R43" s="6">
        <f t="shared" si="5"/>
        <v>3</v>
      </c>
      <c r="S43" s="9">
        <f t="shared" si="6"/>
        <v>0.33300000000000002</v>
      </c>
      <c r="T43" s="9">
        <f t="shared" si="7"/>
        <v>5.7142857142857143E-3</v>
      </c>
      <c r="U43" s="9">
        <f>R43 / _xlfn.XLOOKUP(A43, Mid!A:A, Mid!AA:AA)</f>
        <v>5.8823529411764705E-2</v>
      </c>
    </row>
    <row r="44" spans="1:23" x14ac:dyDescent="0.25">
      <c r="A44" s="1" t="s">
        <v>33</v>
      </c>
      <c r="B44" s="6">
        <v>1</v>
      </c>
      <c r="C44" s="7">
        <v>0</v>
      </c>
      <c r="D44" s="8">
        <f t="shared" si="0"/>
        <v>0</v>
      </c>
      <c r="E44" s="6"/>
      <c r="F44" s="7"/>
      <c r="G44" s="8">
        <f t="shared" si="1"/>
        <v>0</v>
      </c>
      <c r="H44" s="6"/>
      <c r="I44" s="7"/>
      <c r="J44" s="8">
        <f t="shared" si="2"/>
        <v>0</v>
      </c>
      <c r="K44" s="6"/>
      <c r="L44" s="7"/>
      <c r="M44" s="8">
        <f t="shared" si="3"/>
        <v>0</v>
      </c>
      <c r="N44" s="6"/>
      <c r="O44" s="7"/>
      <c r="P44" s="8">
        <f t="shared" si="4"/>
        <v>0</v>
      </c>
      <c r="Q44" s="1"/>
      <c r="R44" s="6">
        <f t="shared" si="5"/>
        <v>1</v>
      </c>
      <c r="S44" s="9">
        <f t="shared" si="6"/>
        <v>0</v>
      </c>
      <c r="T44" s="9">
        <f t="shared" si="7"/>
        <v>1.9047619047619048E-3</v>
      </c>
      <c r="U44" s="9">
        <f>R44 / _xlfn.XLOOKUP(A44, Mid!A:A, Mid!AA:AA)</f>
        <v>0.125</v>
      </c>
    </row>
    <row r="45" spans="1:23" x14ac:dyDescent="0.25">
      <c r="A45" s="1" t="s">
        <v>34</v>
      </c>
      <c r="B45" s="6">
        <v>1</v>
      </c>
      <c r="C45" s="7">
        <v>0</v>
      </c>
      <c r="D45" s="8">
        <f t="shared" si="0"/>
        <v>0</v>
      </c>
      <c r="E45" s="6"/>
      <c r="F45" s="7"/>
      <c r="G45" s="8">
        <f t="shared" si="1"/>
        <v>0</v>
      </c>
      <c r="H45" s="6"/>
      <c r="I45" s="7"/>
      <c r="J45" s="8">
        <f t="shared" si="2"/>
        <v>0</v>
      </c>
      <c r="K45" s="6"/>
      <c r="L45" s="7"/>
      <c r="M45" s="8">
        <f t="shared" si="3"/>
        <v>0</v>
      </c>
      <c r="N45" s="6"/>
      <c r="O45" s="7"/>
      <c r="P45" s="8">
        <f t="shared" si="4"/>
        <v>0</v>
      </c>
      <c r="Q45" s="1"/>
      <c r="R45" s="6">
        <f t="shared" si="5"/>
        <v>1</v>
      </c>
      <c r="S45" s="9">
        <f t="shared" si="6"/>
        <v>0</v>
      </c>
      <c r="T45" s="9">
        <f t="shared" si="7"/>
        <v>1.9047619047619048E-3</v>
      </c>
      <c r="U45" s="9">
        <f>R45 / _xlfn.XLOOKUP(A45, Mid!A:A, Mid!AA:AA)</f>
        <v>5.2631578947368418E-2</v>
      </c>
    </row>
    <row r="46" spans="1:23" x14ac:dyDescent="0.25">
      <c r="A46" s="25" t="s">
        <v>208</v>
      </c>
      <c r="B46" s="6"/>
      <c r="C46" s="7"/>
      <c r="D46" s="8">
        <f t="shared" si="0"/>
        <v>0</v>
      </c>
      <c r="E46" s="6"/>
      <c r="F46" s="7"/>
      <c r="G46" s="8">
        <f t="shared" si="1"/>
        <v>0</v>
      </c>
      <c r="H46" s="6"/>
      <c r="I46" s="7"/>
      <c r="J46" s="8">
        <f t="shared" si="2"/>
        <v>0</v>
      </c>
      <c r="K46" s="6">
        <v>1</v>
      </c>
      <c r="L46" s="7">
        <v>0</v>
      </c>
      <c r="M46" s="8">
        <f t="shared" si="3"/>
        <v>0</v>
      </c>
      <c r="N46" s="6"/>
      <c r="O46" s="7"/>
      <c r="P46" s="8">
        <f t="shared" si="4"/>
        <v>0</v>
      </c>
      <c r="Q46" s="1"/>
      <c r="R46" s="6">
        <f t="shared" si="5"/>
        <v>1</v>
      </c>
      <c r="S46" s="9">
        <f t="shared" si="6"/>
        <v>0</v>
      </c>
      <c r="T46" s="9">
        <f t="shared" si="7"/>
        <v>1.9047619047619048E-3</v>
      </c>
      <c r="U46" s="9">
        <f>R46 / _xlfn.XLOOKUP(A46, Mid!A:A, Mid!AA:AA)</f>
        <v>0.25</v>
      </c>
    </row>
    <row r="47" spans="1:23" x14ac:dyDescent="0.25">
      <c r="A47" s="25" t="s">
        <v>233</v>
      </c>
      <c r="B47" s="6"/>
      <c r="C47" s="7"/>
      <c r="D47" s="8">
        <f t="shared" si="0"/>
        <v>0</v>
      </c>
      <c r="E47" s="6"/>
      <c r="F47" s="7"/>
      <c r="G47" s="8">
        <f t="shared" si="1"/>
        <v>0</v>
      </c>
      <c r="H47" s="6"/>
      <c r="I47" s="7"/>
      <c r="J47" s="8">
        <f t="shared" si="2"/>
        <v>0</v>
      </c>
      <c r="K47" s="6">
        <v>1</v>
      </c>
      <c r="L47" s="7">
        <v>0</v>
      </c>
      <c r="M47" s="8">
        <f t="shared" si="3"/>
        <v>0</v>
      </c>
      <c r="N47" s="6"/>
      <c r="O47" s="7"/>
      <c r="P47" s="8">
        <f t="shared" si="4"/>
        <v>0</v>
      </c>
      <c r="Q47" s="1"/>
      <c r="R47" s="6">
        <f t="shared" si="5"/>
        <v>1</v>
      </c>
      <c r="S47" s="9">
        <f t="shared" si="6"/>
        <v>0</v>
      </c>
      <c r="T47" s="9">
        <f t="shared" si="7"/>
        <v>1.9047619047619048E-3</v>
      </c>
      <c r="U47" s="9">
        <f>R47 / _xlfn.XLOOKUP(A47, Mid!A:A, Mid!AA:AA)</f>
        <v>0.125</v>
      </c>
    </row>
    <row r="48" spans="1:23" x14ac:dyDescent="0.25">
      <c r="A48" s="25" t="s">
        <v>209</v>
      </c>
      <c r="B48" s="6"/>
      <c r="C48" s="7"/>
      <c r="D48" s="8">
        <f t="shared" si="0"/>
        <v>0</v>
      </c>
      <c r="E48" s="6"/>
      <c r="F48" s="7"/>
      <c r="G48" s="8">
        <f t="shared" si="1"/>
        <v>0</v>
      </c>
      <c r="H48" s="6"/>
      <c r="I48" s="7"/>
      <c r="J48" s="8">
        <f t="shared" si="2"/>
        <v>0</v>
      </c>
      <c r="K48" s="6">
        <v>1</v>
      </c>
      <c r="L48" s="7">
        <v>0</v>
      </c>
      <c r="M48" s="8">
        <f t="shared" si="3"/>
        <v>0</v>
      </c>
      <c r="N48" s="6"/>
      <c r="O48" s="7"/>
      <c r="P48" s="8">
        <f t="shared" si="4"/>
        <v>0</v>
      </c>
      <c r="Q48" s="1"/>
      <c r="R48" s="6">
        <f t="shared" si="5"/>
        <v>1</v>
      </c>
      <c r="S48" s="9">
        <f t="shared" si="6"/>
        <v>0</v>
      </c>
      <c r="T48" s="9">
        <f t="shared" si="7"/>
        <v>1.9047619047619048E-3</v>
      </c>
      <c r="U48" s="9">
        <f>R48 / _xlfn.XLOOKUP(A48, Mid!A:A, Mid!AA:AA)</f>
        <v>7.1428571428571425E-2</v>
      </c>
    </row>
    <row r="49" spans="14:21" x14ac:dyDescent="0.25">
      <c r="N49" s="6"/>
      <c r="O49" s="7"/>
      <c r="P49" s="8">
        <f t="shared" ref="P49:P56" si="8">N49*O49</f>
        <v>0</v>
      </c>
      <c r="Q49" s="1"/>
      <c r="R49" s="6">
        <f t="shared" ref="R49:R56" si="9">B49+E49+H49+K49+N49</f>
        <v>0</v>
      </c>
      <c r="S49" s="9" t="e">
        <f t="shared" ref="S49:S56" si="10">(D49+G49+J49+M49+P49)/R49</f>
        <v>#DIV/0!</v>
      </c>
      <c r="T49" s="9">
        <f t="shared" ref="T49:T56" si="11">R49/$V$3</f>
        <v>0</v>
      </c>
      <c r="U49" s="9" t="e">
        <f>R49 / _xlfn.XLOOKUP(A49, Mid!A:A, Mid!AA:AA)</f>
        <v>#DIV/0!</v>
      </c>
    </row>
    <row r="50" spans="14:21" x14ac:dyDescent="0.25">
      <c r="N50" s="6"/>
      <c r="O50" s="7"/>
      <c r="P50" s="8">
        <f t="shared" si="8"/>
        <v>0</v>
      </c>
      <c r="Q50" s="1"/>
      <c r="R50" s="6">
        <f t="shared" si="9"/>
        <v>0</v>
      </c>
      <c r="S50" s="9" t="e">
        <f t="shared" si="10"/>
        <v>#DIV/0!</v>
      </c>
      <c r="T50" s="9">
        <f t="shared" si="11"/>
        <v>0</v>
      </c>
      <c r="U50" s="9" t="e">
        <f>R50 / _xlfn.XLOOKUP(A50, Mid!A:A, Mid!AA:AA)</f>
        <v>#DIV/0!</v>
      </c>
    </row>
    <row r="51" spans="14:21" x14ac:dyDescent="0.25">
      <c r="N51" s="6"/>
      <c r="O51" s="7"/>
      <c r="P51" s="8">
        <f t="shared" si="8"/>
        <v>0</v>
      </c>
      <c r="Q51" s="1"/>
      <c r="R51" s="6">
        <f t="shared" si="9"/>
        <v>0</v>
      </c>
      <c r="S51" s="9" t="e">
        <f t="shared" si="10"/>
        <v>#DIV/0!</v>
      </c>
      <c r="T51" s="9">
        <f t="shared" si="11"/>
        <v>0</v>
      </c>
      <c r="U51" s="9" t="e">
        <f>R51 / _xlfn.XLOOKUP(A51, Mid!A:A, Mid!AA:AA)</f>
        <v>#DIV/0!</v>
      </c>
    </row>
    <row r="52" spans="14:21" x14ac:dyDescent="0.25">
      <c r="N52" s="6"/>
      <c r="O52" s="7"/>
      <c r="P52" s="8">
        <f t="shared" si="8"/>
        <v>0</v>
      </c>
      <c r="Q52" s="1"/>
      <c r="R52" s="6">
        <f t="shared" si="9"/>
        <v>0</v>
      </c>
      <c r="S52" s="9" t="e">
        <f t="shared" si="10"/>
        <v>#DIV/0!</v>
      </c>
      <c r="T52" s="9">
        <f t="shared" si="11"/>
        <v>0</v>
      </c>
      <c r="U52" s="9" t="e">
        <f>R52 / _xlfn.XLOOKUP(A52, Mid!A:A, Mid!AA:AA)</f>
        <v>#DIV/0!</v>
      </c>
    </row>
    <row r="53" spans="14:21" x14ac:dyDescent="0.25">
      <c r="N53" s="6"/>
      <c r="O53" s="7"/>
      <c r="P53" s="8">
        <f t="shared" si="8"/>
        <v>0</v>
      </c>
      <c r="Q53" s="1"/>
      <c r="R53" s="6">
        <f t="shared" si="9"/>
        <v>0</v>
      </c>
      <c r="S53" s="9" t="e">
        <f t="shared" si="10"/>
        <v>#DIV/0!</v>
      </c>
      <c r="T53" s="9">
        <f t="shared" si="11"/>
        <v>0</v>
      </c>
      <c r="U53" s="9" t="e">
        <f>R53 / _xlfn.XLOOKUP(A53, Mid!A:A, Mid!AA:AA)</f>
        <v>#DIV/0!</v>
      </c>
    </row>
    <row r="54" spans="14:21" x14ac:dyDescent="0.25">
      <c r="N54" s="6"/>
      <c r="O54" s="7"/>
      <c r="P54" s="8">
        <f t="shared" si="8"/>
        <v>0</v>
      </c>
      <c r="Q54" s="1"/>
      <c r="R54" s="6">
        <f t="shared" si="9"/>
        <v>0</v>
      </c>
      <c r="S54" s="9" t="e">
        <f t="shared" si="10"/>
        <v>#DIV/0!</v>
      </c>
      <c r="T54" s="9">
        <f t="shared" si="11"/>
        <v>0</v>
      </c>
      <c r="U54" s="9" t="e">
        <f>R54 / _xlfn.XLOOKUP(A54, Mid!A:A, Mid!AA:AA)</f>
        <v>#DIV/0!</v>
      </c>
    </row>
    <row r="55" spans="14:21" x14ac:dyDescent="0.25">
      <c r="N55" s="6"/>
      <c r="O55" s="7"/>
      <c r="P55" s="8">
        <f t="shared" si="8"/>
        <v>0</v>
      </c>
      <c r="Q55" s="1"/>
      <c r="R55" s="6">
        <f t="shared" si="9"/>
        <v>0</v>
      </c>
      <c r="S55" s="9" t="e">
        <f t="shared" si="10"/>
        <v>#DIV/0!</v>
      </c>
      <c r="T55" s="9">
        <f t="shared" si="11"/>
        <v>0</v>
      </c>
      <c r="U55" s="9" t="e">
        <f>R55 / _xlfn.XLOOKUP(A55, Mid!A:A, Mid!AA:AA)</f>
        <v>#DIV/0!</v>
      </c>
    </row>
    <row r="56" spans="14:21" x14ac:dyDescent="0.25">
      <c r="N56" s="6"/>
      <c r="O56" s="7"/>
      <c r="P56" s="8">
        <f t="shared" si="8"/>
        <v>0</v>
      </c>
      <c r="Q56" s="1"/>
      <c r="R56" s="6">
        <f t="shared" si="9"/>
        <v>0</v>
      </c>
      <c r="S56" s="9" t="e">
        <f t="shared" si="10"/>
        <v>#DIV/0!</v>
      </c>
      <c r="T56" s="9">
        <f t="shared" si="11"/>
        <v>0</v>
      </c>
      <c r="U56" s="9" t="e">
        <f>R56 / _xlfn.XLOOKUP(A56, Mid!A:A, Mid!AA:AA)</f>
        <v>#DIV/0!</v>
      </c>
    </row>
  </sheetData>
  <sortState xmlns:xlrd2="http://schemas.microsoft.com/office/spreadsheetml/2017/richdata2" ref="A3:U48">
    <sortCondition descending="1" ref="S3:S48"/>
  </sortState>
  <pageMargins left="0.7" right="0.7" top="0.78740157499999996" bottom="0.78740157499999996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F3D0E-89B5-4BA5-9E4B-8E03B110DFB8}">
  <sheetPr>
    <tabColor theme="7" tint="0.59999389629810485"/>
  </sheetPr>
  <dimension ref="A1:W39"/>
  <sheetViews>
    <sheetView workbookViewId="0">
      <selection activeCell="U3" sqref="U3:U34"/>
    </sheetView>
  </sheetViews>
  <sheetFormatPr baseColWidth="10" defaultRowHeight="15" x14ac:dyDescent="0.25"/>
  <sheetData>
    <row r="1" spans="1:23" ht="15.75" x14ac:dyDescent="0.25">
      <c r="A1" s="2" t="s">
        <v>130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9</v>
      </c>
      <c r="B3" s="6"/>
      <c r="C3" s="7"/>
      <c r="D3" s="8">
        <f t="shared" ref="D3:D34" si="0">B3*C3</f>
        <v>0</v>
      </c>
      <c r="E3" s="6"/>
      <c r="F3" s="7"/>
      <c r="G3" s="8">
        <f t="shared" ref="G3:G34" si="1">E3*F3</f>
        <v>0</v>
      </c>
      <c r="H3" s="6"/>
      <c r="I3" s="7"/>
      <c r="J3" s="8">
        <f t="shared" ref="J3:J34" si="2">H3*I3</f>
        <v>0</v>
      </c>
      <c r="K3" s="6"/>
      <c r="L3" s="7"/>
      <c r="M3" s="8">
        <f t="shared" ref="M3:M34" si="3">K3*L3</f>
        <v>0</v>
      </c>
      <c r="N3" s="6"/>
      <c r="O3" s="7"/>
      <c r="P3" s="8">
        <f t="shared" ref="P3:P34" si="4">N3*O3</f>
        <v>0</v>
      </c>
      <c r="Q3" s="1"/>
      <c r="R3" s="6">
        <f t="shared" ref="R3:R34" si="5">B3+E3+H3+K3+N3</f>
        <v>0</v>
      </c>
      <c r="S3" s="9" t="e">
        <f t="shared" ref="S3:S34" si="6">(D3+G3+J3+M3+P3)/R3</f>
        <v>#DIV/0!</v>
      </c>
      <c r="T3" s="9">
        <f t="shared" ref="T3:T34" si="7">R3/$V$3</f>
        <v>0</v>
      </c>
      <c r="U3" s="9">
        <f>R3 / _xlfn.XLOOKUP(A3, Mid!A:A, Mid!AA:AA)</f>
        <v>0</v>
      </c>
      <c r="V3" s="11">
        <f>SUM(R3:R53)</f>
        <v>378</v>
      </c>
      <c r="W3" s="12">
        <f>(SUM(D3:D84)+SUM(G3:G84)+SUM(J3:J84)+SUM(M3:M84)+SUM(P3:P84)) / V3</f>
        <v>0.4126825396825396</v>
      </c>
    </row>
    <row r="4" spans="1:23" x14ac:dyDescent="0.25">
      <c r="A4" s="1" t="s">
        <v>91</v>
      </c>
      <c r="B4" s="6"/>
      <c r="C4" s="7"/>
      <c r="D4" s="8">
        <f t="shared" si="0"/>
        <v>0</v>
      </c>
      <c r="E4" s="6">
        <v>1</v>
      </c>
      <c r="F4" s="7">
        <v>1</v>
      </c>
      <c r="G4" s="8">
        <f t="shared" si="1"/>
        <v>1</v>
      </c>
      <c r="H4" s="6"/>
      <c r="I4" s="7"/>
      <c r="J4" s="8">
        <f t="shared" si="2"/>
        <v>0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1</v>
      </c>
      <c r="S4" s="9">
        <f t="shared" si="6"/>
        <v>1</v>
      </c>
      <c r="T4" s="9">
        <f t="shared" si="7"/>
        <v>2.6455026455026454E-3</v>
      </c>
      <c r="U4" s="9">
        <f>R4 / _xlfn.XLOOKUP(A4, Mid!A:A, Mid!AA:AA)</f>
        <v>1.5151515151515152E-2</v>
      </c>
      <c r="V4" s="1"/>
      <c r="W4" s="1"/>
    </row>
    <row r="5" spans="1:23" x14ac:dyDescent="0.25">
      <c r="A5" s="1" t="s">
        <v>32</v>
      </c>
      <c r="B5" s="6">
        <v>13</v>
      </c>
      <c r="C5" s="7">
        <v>0.53800000000000003</v>
      </c>
      <c r="D5" s="8">
        <f t="shared" si="0"/>
        <v>6.9940000000000007</v>
      </c>
      <c r="E5" s="6">
        <v>11</v>
      </c>
      <c r="F5" s="7">
        <v>0.63600000000000001</v>
      </c>
      <c r="G5" s="8">
        <f t="shared" si="1"/>
        <v>6.9960000000000004</v>
      </c>
      <c r="H5" s="6">
        <v>1</v>
      </c>
      <c r="I5" s="7">
        <v>0</v>
      </c>
      <c r="J5" s="8">
        <f t="shared" si="2"/>
        <v>0</v>
      </c>
      <c r="K5" s="6">
        <v>2</v>
      </c>
      <c r="L5" s="7">
        <v>1</v>
      </c>
      <c r="M5" s="8">
        <f t="shared" si="3"/>
        <v>2</v>
      </c>
      <c r="N5" s="6"/>
      <c r="O5" s="7"/>
      <c r="P5" s="8">
        <f t="shared" si="4"/>
        <v>0</v>
      </c>
      <c r="Q5" s="1"/>
      <c r="R5" s="6">
        <f t="shared" si="5"/>
        <v>27</v>
      </c>
      <c r="S5" s="9">
        <f t="shared" si="6"/>
        <v>0.59222222222222232</v>
      </c>
      <c r="T5" s="9">
        <f t="shared" si="7"/>
        <v>7.1428571428571425E-2</v>
      </c>
      <c r="U5" s="9">
        <f>R5 / _xlfn.XLOOKUP(A5, Mid!A:A, Mid!AA:AA)</f>
        <v>9.2465753424657529E-2</v>
      </c>
      <c r="V5" s="1"/>
      <c r="W5" s="1"/>
    </row>
    <row r="6" spans="1:23" x14ac:dyDescent="0.25">
      <c r="A6" s="1" t="s">
        <v>87</v>
      </c>
      <c r="B6" s="6">
        <v>1</v>
      </c>
      <c r="C6" s="7">
        <v>0</v>
      </c>
      <c r="D6" s="8">
        <f t="shared" si="0"/>
        <v>0</v>
      </c>
      <c r="E6" s="6">
        <v>3</v>
      </c>
      <c r="F6" s="7">
        <v>0.33300000000000002</v>
      </c>
      <c r="G6" s="8">
        <f t="shared" si="1"/>
        <v>0.99900000000000011</v>
      </c>
      <c r="H6" s="6">
        <v>17</v>
      </c>
      <c r="I6" s="7">
        <v>0.47099999999999997</v>
      </c>
      <c r="J6" s="8">
        <f t="shared" si="2"/>
        <v>8.0069999999999997</v>
      </c>
      <c r="K6" s="6">
        <v>13</v>
      </c>
      <c r="L6" s="7">
        <v>0.61499999999999999</v>
      </c>
      <c r="M6" s="8">
        <f t="shared" si="3"/>
        <v>7.9950000000000001</v>
      </c>
      <c r="N6" s="6"/>
      <c r="O6" s="7"/>
      <c r="P6" s="8">
        <f t="shared" si="4"/>
        <v>0</v>
      </c>
      <c r="Q6" s="1"/>
      <c r="R6" s="6">
        <f t="shared" si="5"/>
        <v>34</v>
      </c>
      <c r="S6" s="9">
        <f t="shared" si="6"/>
        <v>0.50002941176470594</v>
      </c>
      <c r="T6" s="9">
        <f t="shared" si="7"/>
        <v>8.9947089947089942E-2</v>
      </c>
      <c r="U6" s="9">
        <f>R6 / _xlfn.XLOOKUP(A6, Mid!A:A, Mid!AA:AA)</f>
        <v>7.0393374741200831E-2</v>
      </c>
      <c r="V6" s="1"/>
      <c r="W6" s="1"/>
    </row>
    <row r="7" spans="1:23" x14ac:dyDescent="0.25">
      <c r="A7" s="1" t="s">
        <v>113</v>
      </c>
      <c r="B7" s="6"/>
      <c r="C7" s="7"/>
      <c r="D7" s="8">
        <f t="shared" si="0"/>
        <v>0</v>
      </c>
      <c r="E7" s="6">
        <v>2</v>
      </c>
      <c r="F7" s="7">
        <v>0.5</v>
      </c>
      <c r="G7" s="8">
        <f t="shared" si="1"/>
        <v>1</v>
      </c>
      <c r="H7" s="6"/>
      <c r="I7" s="7"/>
      <c r="J7" s="8">
        <f t="shared" si="2"/>
        <v>0</v>
      </c>
      <c r="K7" s="6">
        <v>6</v>
      </c>
      <c r="L7" s="7">
        <v>0.5</v>
      </c>
      <c r="M7" s="8">
        <f t="shared" si="3"/>
        <v>3</v>
      </c>
      <c r="N7" s="6"/>
      <c r="O7" s="7"/>
      <c r="P7" s="8">
        <f t="shared" si="4"/>
        <v>0</v>
      </c>
      <c r="Q7" s="1"/>
      <c r="R7" s="6">
        <f t="shared" si="5"/>
        <v>8</v>
      </c>
      <c r="S7" s="9">
        <f t="shared" si="6"/>
        <v>0.5</v>
      </c>
      <c r="T7" s="9">
        <f t="shared" si="7"/>
        <v>2.1164021164021163E-2</v>
      </c>
      <c r="U7" s="9">
        <f>R7 / _xlfn.XLOOKUP(A7, Mid!A:A, Mid!AA:AA)</f>
        <v>4.3243243243243246E-2</v>
      </c>
      <c r="V7" s="1"/>
      <c r="W7" s="1"/>
    </row>
    <row r="8" spans="1:23" x14ac:dyDescent="0.25">
      <c r="A8" s="1" t="s">
        <v>125</v>
      </c>
      <c r="B8" s="6"/>
      <c r="C8" s="7"/>
      <c r="D8" s="8">
        <f t="shared" si="0"/>
        <v>0</v>
      </c>
      <c r="E8" s="6">
        <v>1</v>
      </c>
      <c r="F8" s="7">
        <v>0</v>
      </c>
      <c r="G8" s="8">
        <f t="shared" si="1"/>
        <v>0</v>
      </c>
      <c r="H8" s="6"/>
      <c r="I8" s="7"/>
      <c r="J8" s="8">
        <f t="shared" si="2"/>
        <v>0</v>
      </c>
      <c r="K8" s="6">
        <v>5</v>
      </c>
      <c r="L8" s="7">
        <v>0.6</v>
      </c>
      <c r="M8" s="8">
        <f t="shared" si="3"/>
        <v>3</v>
      </c>
      <c r="N8" s="6"/>
      <c r="O8" s="7"/>
      <c r="P8" s="8">
        <f t="shared" si="4"/>
        <v>0</v>
      </c>
      <c r="Q8" s="1"/>
      <c r="R8" s="6">
        <f t="shared" si="5"/>
        <v>6</v>
      </c>
      <c r="S8" s="9">
        <f t="shared" si="6"/>
        <v>0.5</v>
      </c>
      <c r="T8" s="9">
        <f t="shared" si="7"/>
        <v>1.5873015873015872E-2</v>
      </c>
      <c r="U8" s="9">
        <f>R8 / _xlfn.XLOOKUP(A8, Mid!A:A, Mid!AA:AA)</f>
        <v>0.10909090909090909</v>
      </c>
      <c r="V8" s="1"/>
      <c r="W8" s="1"/>
    </row>
    <row r="9" spans="1:23" x14ac:dyDescent="0.25">
      <c r="A9" s="1" t="s">
        <v>34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>
        <v>1</v>
      </c>
      <c r="I9" s="7">
        <v>1</v>
      </c>
      <c r="J9" s="8">
        <f t="shared" si="2"/>
        <v>1</v>
      </c>
      <c r="K9" s="6">
        <v>1</v>
      </c>
      <c r="L9" s="7">
        <v>0</v>
      </c>
      <c r="M9" s="8">
        <f t="shared" si="3"/>
        <v>0</v>
      </c>
      <c r="N9" s="6"/>
      <c r="O9" s="7"/>
      <c r="P9" s="8">
        <f t="shared" si="4"/>
        <v>0</v>
      </c>
      <c r="Q9" s="4"/>
      <c r="R9" s="6">
        <f t="shared" si="5"/>
        <v>2</v>
      </c>
      <c r="S9" s="9">
        <f t="shared" si="6"/>
        <v>0.5</v>
      </c>
      <c r="T9" s="9">
        <f t="shared" si="7"/>
        <v>5.2910052910052907E-3</v>
      </c>
      <c r="U9" s="9">
        <f>R9 / _xlfn.XLOOKUP(A9, Mid!A:A, Mid!AA:AA)</f>
        <v>0.10526315789473684</v>
      </c>
      <c r="V9" s="1"/>
      <c r="W9" s="1"/>
    </row>
    <row r="10" spans="1:23" x14ac:dyDescent="0.25">
      <c r="A10" s="1" t="s">
        <v>12</v>
      </c>
      <c r="B10" s="6"/>
      <c r="C10" s="7"/>
      <c r="D10" s="8">
        <f t="shared" si="0"/>
        <v>0</v>
      </c>
      <c r="E10" s="6">
        <v>4</v>
      </c>
      <c r="F10" s="7">
        <v>0.5</v>
      </c>
      <c r="G10" s="8">
        <f t="shared" si="1"/>
        <v>2</v>
      </c>
      <c r="H10" s="6">
        <v>10</v>
      </c>
      <c r="I10" s="16">
        <v>0.4</v>
      </c>
      <c r="J10" s="8">
        <f t="shared" si="2"/>
        <v>4</v>
      </c>
      <c r="K10" s="6">
        <v>12</v>
      </c>
      <c r="L10" s="7">
        <v>0.58299999999999996</v>
      </c>
      <c r="M10" s="8">
        <f t="shared" si="3"/>
        <v>6.9959999999999996</v>
      </c>
      <c r="N10" s="6"/>
      <c r="O10" s="7"/>
      <c r="P10" s="8">
        <f t="shared" si="4"/>
        <v>0</v>
      </c>
      <c r="Q10" s="4"/>
      <c r="R10" s="6">
        <f t="shared" si="5"/>
        <v>26</v>
      </c>
      <c r="S10" s="9">
        <f t="shared" si="6"/>
        <v>0.49984615384615377</v>
      </c>
      <c r="T10" s="9">
        <f t="shared" si="7"/>
        <v>6.8783068783068779E-2</v>
      </c>
      <c r="U10" s="9">
        <f>R10 / _xlfn.XLOOKUP(A10, Mid!A:A, Mid!AA:AA)</f>
        <v>9.9236641221374045E-2</v>
      </c>
      <c r="V10" s="1"/>
      <c r="W10" s="1"/>
    </row>
    <row r="11" spans="1:23" x14ac:dyDescent="0.25">
      <c r="A11" s="1" t="s">
        <v>107</v>
      </c>
      <c r="B11" s="6">
        <v>21</v>
      </c>
      <c r="C11" s="7">
        <v>0.52400000000000002</v>
      </c>
      <c r="D11" s="8">
        <f t="shared" si="0"/>
        <v>11.004000000000001</v>
      </c>
      <c r="E11" s="6">
        <v>11</v>
      </c>
      <c r="F11" s="7">
        <v>0.54500000000000004</v>
      </c>
      <c r="G11" s="8">
        <f t="shared" si="1"/>
        <v>5.9950000000000001</v>
      </c>
      <c r="H11" s="6">
        <v>5</v>
      </c>
      <c r="I11" s="7">
        <v>0.8</v>
      </c>
      <c r="J11" s="8">
        <f t="shared" si="2"/>
        <v>4</v>
      </c>
      <c r="K11" s="6">
        <v>16</v>
      </c>
      <c r="L11" s="7">
        <v>0.312</v>
      </c>
      <c r="M11" s="8">
        <f t="shared" si="3"/>
        <v>4.992</v>
      </c>
      <c r="N11" s="6"/>
      <c r="O11" s="7"/>
      <c r="P11" s="8">
        <f t="shared" si="4"/>
        <v>0</v>
      </c>
      <c r="Q11" s="4"/>
      <c r="R11" s="6">
        <f t="shared" si="5"/>
        <v>53</v>
      </c>
      <c r="S11" s="9">
        <f t="shared" si="6"/>
        <v>0.49039622641509439</v>
      </c>
      <c r="T11" s="9">
        <f t="shared" si="7"/>
        <v>0.1402116402116402</v>
      </c>
      <c r="U11" s="9">
        <f>R11 / _xlfn.XLOOKUP(A11, Mid!A:A, Mid!AA:AA)</f>
        <v>0.10231660231660232</v>
      </c>
      <c r="V11" s="1"/>
      <c r="W11" s="1"/>
    </row>
    <row r="12" spans="1:23" x14ac:dyDescent="0.25">
      <c r="A12" s="1" t="s">
        <v>48</v>
      </c>
      <c r="B12" s="6">
        <v>6</v>
      </c>
      <c r="C12" s="7">
        <v>0.33300000000000002</v>
      </c>
      <c r="D12" s="8">
        <f t="shared" si="0"/>
        <v>1.9980000000000002</v>
      </c>
      <c r="E12" s="6"/>
      <c r="F12" s="7"/>
      <c r="G12" s="8">
        <f t="shared" si="1"/>
        <v>0</v>
      </c>
      <c r="H12" s="6"/>
      <c r="I12" s="7"/>
      <c r="J12" s="8">
        <f t="shared" si="2"/>
        <v>0</v>
      </c>
      <c r="K12" s="6">
        <v>1</v>
      </c>
      <c r="L12" s="7">
        <v>1</v>
      </c>
      <c r="M12" s="8">
        <f t="shared" si="3"/>
        <v>1</v>
      </c>
      <c r="N12" s="6"/>
      <c r="O12" s="7"/>
      <c r="P12" s="8">
        <f t="shared" si="4"/>
        <v>0</v>
      </c>
      <c r="Q12" s="1"/>
      <c r="R12" s="6">
        <f t="shared" si="5"/>
        <v>7</v>
      </c>
      <c r="S12" s="9">
        <f t="shared" si="6"/>
        <v>0.42828571428571433</v>
      </c>
      <c r="T12" s="9">
        <f t="shared" si="7"/>
        <v>1.8518518518518517E-2</v>
      </c>
      <c r="U12" s="9">
        <f>R12 / _xlfn.XLOOKUP(A12, Mid!A:A, Mid!AA:AA)</f>
        <v>2.4475524475524476E-2</v>
      </c>
      <c r="V12" s="1"/>
      <c r="W12" s="1"/>
    </row>
    <row r="13" spans="1:23" x14ac:dyDescent="0.25">
      <c r="A13" s="1" t="s">
        <v>64</v>
      </c>
      <c r="B13" s="6">
        <v>16</v>
      </c>
      <c r="C13" s="7">
        <v>0.68799999999999994</v>
      </c>
      <c r="D13" s="8">
        <f t="shared" si="0"/>
        <v>11.007999999999999</v>
      </c>
      <c r="E13" s="6">
        <v>20</v>
      </c>
      <c r="F13" s="7">
        <v>0.4</v>
      </c>
      <c r="G13" s="8">
        <f t="shared" si="1"/>
        <v>8</v>
      </c>
      <c r="H13" s="6">
        <v>14</v>
      </c>
      <c r="I13" s="7">
        <v>0.28599999999999998</v>
      </c>
      <c r="J13" s="8">
        <f t="shared" si="2"/>
        <v>4.0039999999999996</v>
      </c>
      <c r="K13" s="6">
        <v>10</v>
      </c>
      <c r="L13" s="7">
        <v>0.2</v>
      </c>
      <c r="M13" s="8">
        <f t="shared" si="3"/>
        <v>2</v>
      </c>
      <c r="N13" s="6"/>
      <c r="O13" s="7"/>
      <c r="P13" s="8">
        <f t="shared" si="4"/>
        <v>0</v>
      </c>
      <c r="Q13" s="1"/>
      <c r="R13" s="6">
        <f t="shared" si="5"/>
        <v>60</v>
      </c>
      <c r="S13" s="9">
        <f t="shared" si="6"/>
        <v>0.41686666666666666</v>
      </c>
      <c r="T13" s="9">
        <f t="shared" si="7"/>
        <v>0.15873015873015872</v>
      </c>
      <c r="U13" s="9">
        <f>R13 / _xlfn.XLOOKUP(A13, Mid!A:A, Mid!AA:AA)</f>
        <v>7.8636959370904327E-2</v>
      </c>
      <c r="V13" s="1"/>
      <c r="W13" s="1"/>
    </row>
    <row r="14" spans="1:23" x14ac:dyDescent="0.25">
      <c r="A14" s="1" t="s">
        <v>128</v>
      </c>
      <c r="B14" s="6">
        <v>3</v>
      </c>
      <c r="C14" s="7">
        <v>0.66700000000000004</v>
      </c>
      <c r="D14" s="8">
        <f t="shared" si="0"/>
        <v>2.0010000000000003</v>
      </c>
      <c r="E14" s="6">
        <v>1</v>
      </c>
      <c r="F14" s="7">
        <v>0</v>
      </c>
      <c r="G14" s="8">
        <f t="shared" si="1"/>
        <v>0</v>
      </c>
      <c r="H14" s="6">
        <v>1</v>
      </c>
      <c r="I14" s="7">
        <v>0</v>
      </c>
      <c r="J14" s="8">
        <f t="shared" si="2"/>
        <v>0</v>
      </c>
      <c r="K14" s="6"/>
      <c r="L14" s="7"/>
      <c r="M14" s="8">
        <f t="shared" si="3"/>
        <v>0</v>
      </c>
      <c r="N14" s="6"/>
      <c r="O14" s="7"/>
      <c r="P14" s="8">
        <f t="shared" si="4"/>
        <v>0</v>
      </c>
      <c r="Q14" s="1"/>
      <c r="R14" s="6">
        <f t="shared" si="5"/>
        <v>5</v>
      </c>
      <c r="S14" s="9">
        <f t="shared" si="6"/>
        <v>0.40020000000000006</v>
      </c>
      <c r="T14" s="9">
        <f t="shared" si="7"/>
        <v>1.3227513227513227E-2</v>
      </c>
      <c r="U14" s="9">
        <f>R14 / _xlfn.XLOOKUP(A14, Mid!A:A, Mid!AA:AA)</f>
        <v>4.0983606557377046E-2</v>
      </c>
      <c r="V14" s="1"/>
      <c r="W14" s="1"/>
    </row>
    <row r="15" spans="1:23" x14ac:dyDescent="0.25">
      <c r="A15" s="1" t="s">
        <v>24</v>
      </c>
      <c r="B15" s="6">
        <v>2</v>
      </c>
      <c r="C15" s="7">
        <v>0.5</v>
      </c>
      <c r="D15" s="8">
        <f t="shared" si="0"/>
        <v>1</v>
      </c>
      <c r="E15" s="6">
        <v>2</v>
      </c>
      <c r="F15" s="7">
        <v>0.5</v>
      </c>
      <c r="G15" s="8">
        <f t="shared" si="1"/>
        <v>1</v>
      </c>
      <c r="H15" s="6">
        <v>1</v>
      </c>
      <c r="I15" s="7">
        <v>0</v>
      </c>
      <c r="J15" s="8">
        <f t="shared" si="2"/>
        <v>0</v>
      </c>
      <c r="K15" s="6"/>
      <c r="L15" s="7"/>
      <c r="M15" s="8">
        <f t="shared" si="3"/>
        <v>0</v>
      </c>
      <c r="N15" s="6"/>
      <c r="O15" s="7"/>
      <c r="P15" s="8">
        <f t="shared" si="4"/>
        <v>0</v>
      </c>
      <c r="Q15" s="1"/>
      <c r="R15" s="6">
        <f t="shared" si="5"/>
        <v>5</v>
      </c>
      <c r="S15" s="9">
        <f t="shared" si="6"/>
        <v>0.4</v>
      </c>
      <c r="T15" s="9">
        <f t="shared" si="7"/>
        <v>1.3227513227513227E-2</v>
      </c>
      <c r="U15" s="9">
        <f>R15 / _xlfn.XLOOKUP(A15, Mid!A:A, Mid!AA:AA)</f>
        <v>0.5</v>
      </c>
      <c r="V15" s="1"/>
      <c r="W15" s="1"/>
    </row>
    <row r="16" spans="1:23" x14ac:dyDescent="0.25">
      <c r="A16" s="1" t="s">
        <v>27</v>
      </c>
      <c r="B16" s="6">
        <v>6</v>
      </c>
      <c r="C16" s="7">
        <v>0.83299999999999996</v>
      </c>
      <c r="D16" s="8">
        <f t="shared" si="0"/>
        <v>4.9979999999999993</v>
      </c>
      <c r="E16" s="6">
        <v>10</v>
      </c>
      <c r="F16" s="7">
        <v>0.3</v>
      </c>
      <c r="G16" s="8">
        <f t="shared" si="1"/>
        <v>3</v>
      </c>
      <c r="H16" s="6">
        <v>4</v>
      </c>
      <c r="I16" s="7">
        <v>0.25</v>
      </c>
      <c r="J16" s="8">
        <f t="shared" si="2"/>
        <v>1</v>
      </c>
      <c r="K16" s="6">
        <v>3</v>
      </c>
      <c r="L16" s="7">
        <v>0</v>
      </c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23</v>
      </c>
      <c r="S16" s="9">
        <f t="shared" si="6"/>
        <v>0.39121739130434779</v>
      </c>
      <c r="T16" s="9">
        <f t="shared" si="7"/>
        <v>6.0846560846560843E-2</v>
      </c>
      <c r="U16" s="9">
        <f>R16 / _xlfn.XLOOKUP(A16, Mid!A:A, Mid!AA:AA)</f>
        <v>0.10747663551401869</v>
      </c>
      <c r="V16" s="1"/>
      <c r="W16" s="1"/>
    </row>
    <row r="17" spans="1:23" x14ac:dyDescent="0.25">
      <c r="A17" s="1" t="s">
        <v>108</v>
      </c>
      <c r="B17" s="6">
        <v>5</v>
      </c>
      <c r="C17" s="7">
        <v>0.4</v>
      </c>
      <c r="D17" s="8">
        <f t="shared" si="0"/>
        <v>2</v>
      </c>
      <c r="E17" s="6"/>
      <c r="F17" s="7"/>
      <c r="G17" s="8">
        <f t="shared" si="1"/>
        <v>0</v>
      </c>
      <c r="H17" s="6">
        <v>16</v>
      </c>
      <c r="I17" s="7">
        <v>0.438</v>
      </c>
      <c r="J17" s="8">
        <f t="shared" si="2"/>
        <v>7.008</v>
      </c>
      <c r="K17" s="6">
        <v>3</v>
      </c>
      <c r="L17" s="7">
        <v>0</v>
      </c>
      <c r="M17" s="8">
        <f t="shared" si="3"/>
        <v>0</v>
      </c>
      <c r="N17" s="6"/>
      <c r="O17" s="7"/>
      <c r="P17" s="8">
        <f t="shared" si="4"/>
        <v>0</v>
      </c>
      <c r="Q17" s="1"/>
      <c r="R17" s="6">
        <f t="shared" si="5"/>
        <v>24</v>
      </c>
      <c r="S17" s="9">
        <f t="shared" si="6"/>
        <v>0.3753333333333333</v>
      </c>
      <c r="T17" s="9">
        <f t="shared" si="7"/>
        <v>6.3492063492063489E-2</v>
      </c>
      <c r="U17" s="9">
        <f>R17 / _xlfn.XLOOKUP(A17, Mid!A:A, Mid!AA:AA)</f>
        <v>7.6190476190476197E-2</v>
      </c>
      <c r="V17" s="1"/>
      <c r="W17" s="1"/>
    </row>
    <row r="18" spans="1:23" x14ac:dyDescent="0.25">
      <c r="A18" s="1" t="s">
        <v>52</v>
      </c>
      <c r="B18" s="6">
        <v>8</v>
      </c>
      <c r="C18" s="7">
        <v>0.25</v>
      </c>
      <c r="D18" s="8">
        <f t="shared" si="0"/>
        <v>2</v>
      </c>
      <c r="E18" s="6">
        <v>10</v>
      </c>
      <c r="F18" s="7">
        <v>0.5</v>
      </c>
      <c r="G18" s="8">
        <f t="shared" si="1"/>
        <v>5</v>
      </c>
      <c r="H18" s="6">
        <v>2</v>
      </c>
      <c r="I18" s="7">
        <v>0.5</v>
      </c>
      <c r="J18" s="8">
        <f t="shared" si="2"/>
        <v>1</v>
      </c>
      <c r="K18" s="6">
        <v>2</v>
      </c>
      <c r="L18" s="7">
        <v>0</v>
      </c>
      <c r="M18" s="8">
        <f t="shared" si="3"/>
        <v>0</v>
      </c>
      <c r="N18" s="6"/>
      <c r="O18" s="7"/>
      <c r="P18" s="8">
        <f t="shared" si="4"/>
        <v>0</v>
      </c>
      <c r="Q18" s="1"/>
      <c r="R18" s="6">
        <f t="shared" si="5"/>
        <v>22</v>
      </c>
      <c r="S18" s="9">
        <f t="shared" si="6"/>
        <v>0.36363636363636365</v>
      </c>
      <c r="T18" s="9">
        <f t="shared" si="7"/>
        <v>5.8201058201058198E-2</v>
      </c>
      <c r="U18" s="9">
        <f>R18 / _xlfn.XLOOKUP(A18, Mid!A:A, Mid!AA:AA)</f>
        <v>9.9547511312217188E-2</v>
      </c>
      <c r="V18" s="1"/>
      <c r="W18" s="1"/>
    </row>
    <row r="19" spans="1:23" x14ac:dyDescent="0.25">
      <c r="A19" s="1" t="s">
        <v>110</v>
      </c>
      <c r="B19" s="6"/>
      <c r="C19" s="7"/>
      <c r="D19" s="8">
        <f t="shared" si="0"/>
        <v>0</v>
      </c>
      <c r="E19" s="6">
        <v>1</v>
      </c>
      <c r="F19" s="7">
        <v>0</v>
      </c>
      <c r="G19" s="8">
        <f t="shared" si="1"/>
        <v>0</v>
      </c>
      <c r="H19" s="6">
        <v>4</v>
      </c>
      <c r="I19" s="7">
        <v>0.5</v>
      </c>
      <c r="J19" s="8">
        <f t="shared" si="2"/>
        <v>2</v>
      </c>
      <c r="K19" s="6">
        <v>6</v>
      </c>
      <c r="L19" s="7">
        <v>0.33300000000000002</v>
      </c>
      <c r="M19" s="8">
        <f t="shared" si="3"/>
        <v>1.9980000000000002</v>
      </c>
      <c r="N19" s="6"/>
      <c r="O19" s="7"/>
      <c r="P19" s="8">
        <f t="shared" si="4"/>
        <v>0</v>
      </c>
      <c r="Q19" s="1"/>
      <c r="R19" s="6">
        <f t="shared" si="5"/>
        <v>11</v>
      </c>
      <c r="S19" s="9">
        <f t="shared" si="6"/>
        <v>0.36345454545454547</v>
      </c>
      <c r="T19" s="9">
        <f t="shared" si="7"/>
        <v>2.9100529100529099E-2</v>
      </c>
      <c r="U19" s="9">
        <f>R19 / _xlfn.XLOOKUP(A19, Mid!A:A, Mid!AA:AA)</f>
        <v>3.6184210526315791E-2</v>
      </c>
      <c r="V19" s="1"/>
      <c r="W19" s="1"/>
    </row>
    <row r="20" spans="1:23" x14ac:dyDescent="0.25">
      <c r="A20" s="1" t="s">
        <v>109</v>
      </c>
      <c r="B20" s="6">
        <v>6</v>
      </c>
      <c r="C20" s="7">
        <v>0.16700000000000001</v>
      </c>
      <c r="D20" s="8">
        <f t="shared" si="0"/>
        <v>1.002</v>
      </c>
      <c r="E20" s="6"/>
      <c r="F20" s="7"/>
      <c r="G20" s="8">
        <f t="shared" si="1"/>
        <v>0</v>
      </c>
      <c r="H20" s="6"/>
      <c r="I20" s="7"/>
      <c r="J20" s="8">
        <f t="shared" si="2"/>
        <v>0</v>
      </c>
      <c r="K20" s="6">
        <v>8</v>
      </c>
      <c r="L20" s="7">
        <v>0.5</v>
      </c>
      <c r="M20" s="8">
        <f t="shared" si="3"/>
        <v>4</v>
      </c>
      <c r="N20" s="6"/>
      <c r="O20" s="7"/>
      <c r="P20" s="8">
        <f t="shared" si="4"/>
        <v>0</v>
      </c>
      <c r="Q20" s="1"/>
      <c r="R20" s="6">
        <f t="shared" si="5"/>
        <v>14</v>
      </c>
      <c r="S20" s="9">
        <f t="shared" si="6"/>
        <v>0.35728571428571426</v>
      </c>
      <c r="T20" s="9">
        <f t="shared" si="7"/>
        <v>3.7037037037037035E-2</v>
      </c>
      <c r="U20" s="9">
        <f>R20 / _xlfn.XLOOKUP(A20, Mid!A:A, Mid!AA:AA)</f>
        <v>5.6451612903225805E-2</v>
      </c>
      <c r="V20" s="1"/>
      <c r="W20" s="1"/>
    </row>
    <row r="21" spans="1:23" x14ac:dyDescent="0.25">
      <c r="A21" s="1" t="s">
        <v>39</v>
      </c>
      <c r="B21" s="6"/>
      <c r="C21" s="7"/>
      <c r="D21" s="8">
        <f t="shared" si="0"/>
        <v>0</v>
      </c>
      <c r="E21" s="6">
        <v>5</v>
      </c>
      <c r="F21" s="7">
        <v>0.4</v>
      </c>
      <c r="G21" s="8">
        <f t="shared" si="1"/>
        <v>2</v>
      </c>
      <c r="H21" s="6">
        <v>7</v>
      </c>
      <c r="I21" s="7">
        <v>0.14299999999999999</v>
      </c>
      <c r="J21" s="8">
        <f t="shared" si="2"/>
        <v>1.0009999999999999</v>
      </c>
      <c r="K21" s="6">
        <v>2</v>
      </c>
      <c r="L21" s="7">
        <v>0.5</v>
      </c>
      <c r="M21" s="8">
        <f t="shared" si="3"/>
        <v>1</v>
      </c>
      <c r="N21" s="6"/>
      <c r="O21" s="7"/>
      <c r="P21" s="8">
        <f t="shared" si="4"/>
        <v>0</v>
      </c>
      <c r="Q21" s="4"/>
      <c r="R21" s="6">
        <f t="shared" si="5"/>
        <v>14</v>
      </c>
      <c r="S21" s="9">
        <f t="shared" si="6"/>
        <v>0.28578571428571425</v>
      </c>
      <c r="T21" s="9">
        <f t="shared" si="7"/>
        <v>3.7037037037037035E-2</v>
      </c>
      <c r="U21" s="9">
        <f>R21 / _xlfn.XLOOKUP(A21, Mid!A:A, Mid!AA:AA)</f>
        <v>6.222222222222222E-2</v>
      </c>
      <c r="V21" s="1"/>
      <c r="W21" s="1"/>
    </row>
    <row r="22" spans="1:23" x14ac:dyDescent="0.25">
      <c r="A22" s="1" t="s">
        <v>29</v>
      </c>
      <c r="B22" s="6"/>
      <c r="C22" s="7"/>
      <c r="D22" s="8">
        <f t="shared" si="0"/>
        <v>0</v>
      </c>
      <c r="E22" s="6"/>
      <c r="F22" s="7"/>
      <c r="G22" s="8">
        <f t="shared" si="1"/>
        <v>0</v>
      </c>
      <c r="H22" s="6">
        <v>4</v>
      </c>
      <c r="I22" s="7">
        <v>0.25</v>
      </c>
      <c r="J22" s="8">
        <f t="shared" si="2"/>
        <v>1</v>
      </c>
      <c r="K22" s="6"/>
      <c r="L22" s="7"/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4</v>
      </c>
      <c r="S22" s="9">
        <f t="shared" si="6"/>
        <v>0.25</v>
      </c>
      <c r="T22" s="9">
        <f t="shared" si="7"/>
        <v>1.0582010582010581E-2</v>
      </c>
      <c r="U22" s="9">
        <f>R22 / _xlfn.XLOOKUP(A22, Mid!A:A, Mid!AA:AA)</f>
        <v>0.10526315789473684</v>
      </c>
      <c r="V22" s="1"/>
      <c r="W22" s="1"/>
    </row>
    <row r="23" spans="1:23" x14ac:dyDescent="0.25">
      <c r="A23" s="1" t="s">
        <v>120</v>
      </c>
      <c r="B23" s="6">
        <v>3</v>
      </c>
      <c r="C23" s="7">
        <v>0.33300000000000002</v>
      </c>
      <c r="D23" s="8">
        <f t="shared" si="0"/>
        <v>0.99900000000000011</v>
      </c>
      <c r="E23" s="6"/>
      <c r="F23" s="7"/>
      <c r="G23" s="8">
        <f t="shared" si="1"/>
        <v>0</v>
      </c>
      <c r="H23" s="6"/>
      <c r="I23" s="7"/>
      <c r="J23" s="8">
        <f t="shared" si="2"/>
        <v>0</v>
      </c>
      <c r="K23" s="6">
        <v>1</v>
      </c>
      <c r="L23" s="7">
        <v>0</v>
      </c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4</v>
      </c>
      <c r="S23" s="9">
        <f t="shared" si="6"/>
        <v>0.24975000000000003</v>
      </c>
      <c r="T23" s="9">
        <f t="shared" si="7"/>
        <v>1.0582010582010581E-2</v>
      </c>
      <c r="U23" s="9">
        <f>R23 / _xlfn.XLOOKUP(A23, Mid!A:A, Mid!AA:AA)</f>
        <v>8.1632653061224483E-2</v>
      </c>
    </row>
    <row r="24" spans="1:23" x14ac:dyDescent="0.25">
      <c r="A24" s="1" t="s">
        <v>8</v>
      </c>
      <c r="B24" s="6"/>
      <c r="C24" s="7"/>
      <c r="D24" s="8">
        <f t="shared" si="0"/>
        <v>0</v>
      </c>
      <c r="E24" s="6">
        <v>5</v>
      </c>
      <c r="F24" s="7">
        <v>0.2</v>
      </c>
      <c r="G24" s="8">
        <f t="shared" si="1"/>
        <v>1</v>
      </c>
      <c r="H24" s="6"/>
      <c r="I24" s="7"/>
      <c r="J24" s="8">
        <f t="shared" si="2"/>
        <v>0</v>
      </c>
      <c r="K24" s="6"/>
      <c r="L24" s="7"/>
      <c r="M24" s="8">
        <f t="shared" si="3"/>
        <v>0</v>
      </c>
      <c r="N24" s="6"/>
      <c r="O24" s="7"/>
      <c r="P24" s="8">
        <f t="shared" si="4"/>
        <v>0</v>
      </c>
      <c r="Q24" s="1"/>
      <c r="R24" s="6">
        <f t="shared" si="5"/>
        <v>5</v>
      </c>
      <c r="S24" s="9">
        <f t="shared" si="6"/>
        <v>0.2</v>
      </c>
      <c r="T24" s="9">
        <f t="shared" si="7"/>
        <v>1.3227513227513227E-2</v>
      </c>
      <c r="U24" s="9">
        <f>R24 / _xlfn.XLOOKUP(A24, Mid!A:A, Mid!AA:AA)</f>
        <v>4.5045045045045043E-2</v>
      </c>
    </row>
    <row r="25" spans="1:23" x14ac:dyDescent="0.25">
      <c r="A25" s="23" t="s">
        <v>201</v>
      </c>
      <c r="B25" s="6"/>
      <c r="C25" s="7"/>
      <c r="D25" s="8">
        <f t="shared" si="0"/>
        <v>0</v>
      </c>
      <c r="E25" s="6"/>
      <c r="F25" s="7"/>
      <c r="G25" s="8">
        <f t="shared" si="1"/>
        <v>0</v>
      </c>
      <c r="H25" s="6"/>
      <c r="I25" s="7"/>
      <c r="J25" s="8">
        <f t="shared" si="2"/>
        <v>0</v>
      </c>
      <c r="K25" s="6">
        <v>9</v>
      </c>
      <c r="L25" s="7">
        <v>0.111</v>
      </c>
      <c r="M25" s="8">
        <f t="shared" si="3"/>
        <v>0.999</v>
      </c>
      <c r="N25" s="6"/>
      <c r="O25" s="7"/>
      <c r="P25" s="8">
        <f t="shared" si="4"/>
        <v>0</v>
      </c>
      <c r="Q25" s="13"/>
      <c r="R25" s="6">
        <f t="shared" si="5"/>
        <v>9</v>
      </c>
      <c r="S25" s="9">
        <f t="shared" si="6"/>
        <v>0.111</v>
      </c>
      <c r="T25" s="9">
        <f t="shared" si="7"/>
        <v>2.3809523809523808E-2</v>
      </c>
      <c r="U25" s="9">
        <f>R25 / _xlfn.XLOOKUP(A25, Mid!A:A, Mid!AA:AA)</f>
        <v>7.1428571428571425E-2</v>
      </c>
    </row>
    <row r="26" spans="1:23" x14ac:dyDescent="0.25">
      <c r="A26" s="1" t="s">
        <v>35</v>
      </c>
      <c r="B26" s="6">
        <v>1</v>
      </c>
      <c r="C26" s="7">
        <v>0</v>
      </c>
      <c r="D26" s="8">
        <f t="shared" si="0"/>
        <v>0</v>
      </c>
      <c r="E26" s="6"/>
      <c r="F26" s="7"/>
      <c r="G26" s="8">
        <f t="shared" si="1"/>
        <v>0</v>
      </c>
      <c r="H26" s="6">
        <v>2</v>
      </c>
      <c r="I26" s="7">
        <v>0</v>
      </c>
      <c r="J26" s="8">
        <f t="shared" si="2"/>
        <v>0</v>
      </c>
      <c r="K26" s="6"/>
      <c r="L26" s="7"/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3</v>
      </c>
      <c r="S26" s="9">
        <f t="shared" si="6"/>
        <v>0</v>
      </c>
      <c r="T26" s="9">
        <f t="shared" si="7"/>
        <v>7.9365079365079361E-3</v>
      </c>
      <c r="U26" s="9">
        <f>R26 / _xlfn.XLOOKUP(A26, Mid!A:A, Mid!AA:AA)</f>
        <v>0.10344827586206896</v>
      </c>
    </row>
    <row r="27" spans="1:23" x14ac:dyDescent="0.25">
      <c r="A27" s="1" t="s">
        <v>116</v>
      </c>
      <c r="B27" s="6"/>
      <c r="C27" s="7"/>
      <c r="D27" s="8">
        <f t="shared" si="0"/>
        <v>0</v>
      </c>
      <c r="E27" s="6">
        <v>2</v>
      </c>
      <c r="F27" s="7">
        <v>0</v>
      </c>
      <c r="G27" s="8">
        <f t="shared" si="1"/>
        <v>0</v>
      </c>
      <c r="H27" s="6"/>
      <c r="I27" s="7"/>
      <c r="J27" s="8">
        <f t="shared" si="2"/>
        <v>0</v>
      </c>
      <c r="K27" s="6"/>
      <c r="L27" s="7"/>
      <c r="M27" s="8">
        <f t="shared" si="3"/>
        <v>0</v>
      </c>
      <c r="N27" s="6"/>
      <c r="O27" s="7"/>
      <c r="P27" s="8">
        <f t="shared" si="4"/>
        <v>0</v>
      </c>
      <c r="Q27" s="1"/>
      <c r="R27" s="6">
        <f t="shared" si="5"/>
        <v>2</v>
      </c>
      <c r="S27" s="9">
        <f t="shared" si="6"/>
        <v>0</v>
      </c>
      <c r="T27" s="9">
        <f t="shared" si="7"/>
        <v>5.2910052910052907E-3</v>
      </c>
      <c r="U27" s="9">
        <f>R27 / _xlfn.XLOOKUP(A27, Mid!A:A, Mid!AA:AA)</f>
        <v>6.6666666666666666E-2</v>
      </c>
    </row>
    <row r="28" spans="1:23" x14ac:dyDescent="0.25">
      <c r="A28" s="1" t="s">
        <v>111</v>
      </c>
      <c r="B28" s="6">
        <v>2</v>
      </c>
      <c r="C28" s="7">
        <v>0</v>
      </c>
      <c r="D28" s="8">
        <f t="shared" si="0"/>
        <v>0</v>
      </c>
      <c r="E28" s="6"/>
      <c r="F28" s="7"/>
      <c r="G28" s="8">
        <f t="shared" si="1"/>
        <v>0</v>
      </c>
      <c r="H28" s="6"/>
      <c r="I28" s="7"/>
      <c r="J28" s="8">
        <f t="shared" si="2"/>
        <v>0</v>
      </c>
      <c r="K28" s="6"/>
      <c r="L28" s="7"/>
      <c r="M28" s="8">
        <f t="shared" si="3"/>
        <v>0</v>
      </c>
      <c r="N28" s="6"/>
      <c r="O28" s="7"/>
      <c r="P28" s="8">
        <f t="shared" si="4"/>
        <v>0</v>
      </c>
      <c r="Q28" s="1"/>
      <c r="R28" s="6">
        <f t="shared" si="5"/>
        <v>2</v>
      </c>
      <c r="S28" s="9">
        <f t="shared" si="6"/>
        <v>0</v>
      </c>
      <c r="T28" s="9">
        <f t="shared" si="7"/>
        <v>5.2910052910052907E-3</v>
      </c>
      <c r="U28" s="9">
        <f>R28 / _xlfn.XLOOKUP(A28, Mid!A:A, Mid!AA:AA)</f>
        <v>3.4482758620689655E-2</v>
      </c>
    </row>
    <row r="29" spans="1:23" x14ac:dyDescent="0.25">
      <c r="A29" s="15" t="s">
        <v>139</v>
      </c>
      <c r="B29" s="6"/>
      <c r="C29" s="7"/>
      <c r="D29" s="8">
        <f t="shared" si="0"/>
        <v>0</v>
      </c>
      <c r="E29" s="6"/>
      <c r="F29" s="7"/>
      <c r="G29" s="8">
        <f t="shared" si="1"/>
        <v>0</v>
      </c>
      <c r="H29" s="6">
        <v>2</v>
      </c>
      <c r="I29" s="7">
        <v>0</v>
      </c>
      <c r="J29" s="8">
        <f t="shared" si="2"/>
        <v>0</v>
      </c>
      <c r="K29" s="6"/>
      <c r="L29" s="7"/>
      <c r="M29" s="8">
        <f t="shared" si="3"/>
        <v>0</v>
      </c>
      <c r="N29" s="6"/>
      <c r="O29" s="7"/>
      <c r="P29" s="8">
        <f t="shared" si="4"/>
        <v>0</v>
      </c>
      <c r="Q29" s="1"/>
      <c r="R29" s="6">
        <f t="shared" si="5"/>
        <v>2</v>
      </c>
      <c r="S29" s="9">
        <f t="shared" si="6"/>
        <v>0</v>
      </c>
      <c r="T29" s="9">
        <f t="shared" si="7"/>
        <v>5.2910052910052907E-3</v>
      </c>
      <c r="U29" s="9">
        <f>R29 / _xlfn.XLOOKUP(A29, Mid!A:A, Mid!AA:AA)</f>
        <v>0.1111111111111111</v>
      </c>
    </row>
    <row r="30" spans="1:23" x14ac:dyDescent="0.25">
      <c r="A30" s="1" t="s">
        <v>20</v>
      </c>
      <c r="B30" s="6">
        <v>1</v>
      </c>
      <c r="C30" s="7">
        <v>0</v>
      </c>
      <c r="D30" s="8">
        <f t="shared" si="0"/>
        <v>0</v>
      </c>
      <c r="E30" s="6"/>
      <c r="F30" s="7"/>
      <c r="G30" s="8">
        <f t="shared" si="1"/>
        <v>0</v>
      </c>
      <c r="H30" s="6"/>
      <c r="I30" s="7"/>
      <c r="J30" s="8">
        <f t="shared" si="2"/>
        <v>0</v>
      </c>
      <c r="K30" s="6"/>
      <c r="L30" s="7"/>
      <c r="M30" s="8">
        <f t="shared" si="3"/>
        <v>0</v>
      </c>
      <c r="N30" s="6"/>
      <c r="O30" s="7"/>
      <c r="P30" s="8">
        <f t="shared" si="4"/>
        <v>0</v>
      </c>
      <c r="Q30" s="1"/>
      <c r="R30" s="6">
        <f t="shared" si="5"/>
        <v>1</v>
      </c>
      <c r="S30" s="9">
        <f t="shared" si="6"/>
        <v>0</v>
      </c>
      <c r="T30" s="9">
        <f t="shared" si="7"/>
        <v>2.6455026455026454E-3</v>
      </c>
      <c r="U30" s="9">
        <f>R30 / _xlfn.XLOOKUP(A30, Mid!A:A, Mid!AA:AA)</f>
        <v>1</v>
      </c>
    </row>
    <row r="31" spans="1:23" x14ac:dyDescent="0.25">
      <c r="A31" s="1" t="s">
        <v>112</v>
      </c>
      <c r="B31" s="6"/>
      <c r="C31" s="7"/>
      <c r="D31" s="8">
        <f t="shared" si="0"/>
        <v>0</v>
      </c>
      <c r="E31" s="6"/>
      <c r="F31" s="7"/>
      <c r="G31" s="8">
        <f t="shared" si="1"/>
        <v>0</v>
      </c>
      <c r="H31" s="6"/>
      <c r="I31" s="7"/>
      <c r="J31" s="8">
        <f t="shared" si="2"/>
        <v>0</v>
      </c>
      <c r="K31" s="6">
        <v>1</v>
      </c>
      <c r="L31" s="7">
        <v>0</v>
      </c>
      <c r="M31" s="8">
        <f t="shared" si="3"/>
        <v>0</v>
      </c>
      <c r="N31" s="6"/>
      <c r="O31" s="7"/>
      <c r="P31" s="8">
        <f t="shared" si="4"/>
        <v>0</v>
      </c>
      <c r="Q31" s="1"/>
      <c r="R31" s="6">
        <f t="shared" si="5"/>
        <v>1</v>
      </c>
      <c r="S31" s="9">
        <f t="shared" si="6"/>
        <v>0</v>
      </c>
      <c r="T31" s="9">
        <f t="shared" si="7"/>
        <v>2.6455026455026454E-3</v>
      </c>
      <c r="U31" s="9">
        <f>R31 / _xlfn.XLOOKUP(A31, Mid!A:A, Mid!AA:AA)</f>
        <v>5.6497175141242938E-3</v>
      </c>
    </row>
    <row r="32" spans="1:23" x14ac:dyDescent="0.25">
      <c r="A32" s="25" t="s">
        <v>150</v>
      </c>
      <c r="B32" s="6"/>
      <c r="C32" s="7"/>
      <c r="D32" s="8">
        <f t="shared" si="0"/>
        <v>0</v>
      </c>
      <c r="E32" s="6">
        <v>1</v>
      </c>
      <c r="F32" s="7">
        <v>0</v>
      </c>
      <c r="G32" s="8">
        <f t="shared" si="1"/>
        <v>0</v>
      </c>
      <c r="H32" s="6"/>
      <c r="I32" s="7"/>
      <c r="J32" s="8">
        <f t="shared" si="2"/>
        <v>0</v>
      </c>
      <c r="K32" s="6"/>
      <c r="L32" s="7"/>
      <c r="M32" s="8">
        <f t="shared" si="3"/>
        <v>0</v>
      </c>
      <c r="N32" s="6"/>
      <c r="O32" s="7"/>
      <c r="P32" s="8">
        <f t="shared" si="4"/>
        <v>0</v>
      </c>
      <c r="Q32" s="1"/>
      <c r="R32" s="6">
        <f t="shared" si="5"/>
        <v>1</v>
      </c>
      <c r="S32" s="9">
        <f t="shared" si="6"/>
        <v>0</v>
      </c>
      <c r="T32" s="9">
        <f t="shared" si="7"/>
        <v>2.6455026455026454E-3</v>
      </c>
      <c r="U32" s="9">
        <f>R32 / _xlfn.XLOOKUP(A32, Mid!A:A, Mid!AA:AA)</f>
        <v>0.2</v>
      </c>
    </row>
    <row r="33" spans="1:21" x14ac:dyDescent="0.25">
      <c r="A33" s="1" t="s">
        <v>114</v>
      </c>
      <c r="B33" s="6"/>
      <c r="C33" s="7"/>
      <c r="D33" s="8">
        <f t="shared" si="0"/>
        <v>0</v>
      </c>
      <c r="E33" s="6">
        <v>1</v>
      </c>
      <c r="F33" s="7">
        <v>0</v>
      </c>
      <c r="G33" s="8">
        <f t="shared" si="1"/>
        <v>0</v>
      </c>
      <c r="H33" s="6"/>
      <c r="I33" s="7"/>
      <c r="J33" s="8">
        <f t="shared" si="2"/>
        <v>0</v>
      </c>
      <c r="K33" s="6"/>
      <c r="L33" s="7"/>
      <c r="M33" s="8">
        <f t="shared" si="3"/>
        <v>0</v>
      </c>
      <c r="N33" s="6"/>
      <c r="O33" s="7"/>
      <c r="P33" s="8">
        <f t="shared" si="4"/>
        <v>0</v>
      </c>
      <c r="Q33" s="1"/>
      <c r="R33" s="6">
        <f t="shared" si="5"/>
        <v>1</v>
      </c>
      <c r="S33" s="9">
        <f t="shared" si="6"/>
        <v>0</v>
      </c>
      <c r="T33" s="9">
        <f t="shared" si="7"/>
        <v>2.6455026455026454E-3</v>
      </c>
      <c r="U33" s="9">
        <f>R33 / _xlfn.XLOOKUP(A33, Mid!A:A, Mid!AA:AA)</f>
        <v>1.098901098901099E-2</v>
      </c>
    </row>
    <row r="34" spans="1:21" x14ac:dyDescent="0.25">
      <c r="A34" s="1" t="s">
        <v>122</v>
      </c>
      <c r="B34" s="6">
        <v>1</v>
      </c>
      <c r="C34" s="7">
        <v>0</v>
      </c>
      <c r="D34" s="8">
        <f t="shared" si="0"/>
        <v>0</v>
      </c>
      <c r="E34" s="6"/>
      <c r="F34" s="7"/>
      <c r="G34" s="8">
        <f t="shared" si="1"/>
        <v>0</v>
      </c>
      <c r="H34" s="6"/>
      <c r="I34" s="7"/>
      <c r="J34" s="8">
        <f t="shared" si="2"/>
        <v>0</v>
      </c>
      <c r="K34" s="6"/>
      <c r="L34" s="7"/>
      <c r="M34" s="8">
        <f t="shared" si="3"/>
        <v>0</v>
      </c>
      <c r="N34" s="6"/>
      <c r="O34" s="7"/>
      <c r="P34" s="8">
        <f t="shared" si="4"/>
        <v>0</v>
      </c>
      <c r="Q34" s="1"/>
      <c r="R34" s="6">
        <f t="shared" si="5"/>
        <v>1</v>
      </c>
      <c r="S34" s="9">
        <f t="shared" si="6"/>
        <v>0</v>
      </c>
      <c r="T34" s="9">
        <f t="shared" si="7"/>
        <v>2.6455026455026454E-3</v>
      </c>
      <c r="U34" s="9">
        <f>R34 / _xlfn.XLOOKUP(A34, Mid!A:A, Mid!AA:AA)</f>
        <v>7.6923076923076927E-2</v>
      </c>
    </row>
    <row r="35" spans="1:21" x14ac:dyDescent="0.25">
      <c r="A35" s="1"/>
      <c r="B35" s="6"/>
      <c r="C35" s="7"/>
      <c r="D35" s="8">
        <f t="shared" ref="D35:D39" si="8">B35*C35</f>
        <v>0</v>
      </c>
      <c r="E35" s="6"/>
      <c r="F35" s="7"/>
      <c r="G35" s="8">
        <f t="shared" ref="G35:G39" si="9">E35*F35</f>
        <v>0</v>
      </c>
      <c r="H35" s="6"/>
      <c r="I35" s="7"/>
      <c r="J35" s="8">
        <f t="shared" ref="J35:J39" si="10">H35*I35</f>
        <v>0</v>
      </c>
      <c r="K35" s="6"/>
      <c r="L35" s="7"/>
      <c r="M35" s="8">
        <f t="shared" ref="M35:M39" si="11">K35*L35</f>
        <v>0</v>
      </c>
      <c r="N35" s="6"/>
      <c r="O35" s="7"/>
      <c r="P35" s="8">
        <f t="shared" ref="P35:P39" si="12">N35*O35</f>
        <v>0</v>
      </c>
      <c r="Q35" s="1"/>
      <c r="R35" s="6">
        <f t="shared" ref="R35:R39" si="13">B35+E35+H35+K35+N35</f>
        <v>0</v>
      </c>
      <c r="S35" s="9" t="e">
        <f t="shared" ref="S35:S39" si="14">(D35+G35+J35+M35+P35)/R35</f>
        <v>#DIV/0!</v>
      </c>
      <c r="T35" s="9">
        <f t="shared" ref="T35:T39" si="15">R35/$V$3</f>
        <v>0</v>
      </c>
      <c r="U35" s="9" t="e">
        <f>R35 / _xlfn.XLOOKUP(A35, Mid!A:A, Mid!AA:AA)</f>
        <v>#DIV/0!</v>
      </c>
    </row>
    <row r="36" spans="1:21" x14ac:dyDescent="0.25">
      <c r="A36" s="1"/>
      <c r="B36" s="6"/>
      <c r="C36" s="7"/>
      <c r="D36" s="8">
        <f t="shared" si="8"/>
        <v>0</v>
      </c>
      <c r="E36" s="6"/>
      <c r="F36" s="7"/>
      <c r="G36" s="8">
        <f t="shared" si="9"/>
        <v>0</v>
      </c>
      <c r="H36" s="6"/>
      <c r="I36" s="7"/>
      <c r="J36" s="8">
        <f t="shared" si="10"/>
        <v>0</v>
      </c>
      <c r="K36" s="6"/>
      <c r="L36" s="7"/>
      <c r="M36" s="8">
        <f t="shared" si="11"/>
        <v>0</v>
      </c>
      <c r="N36" s="6"/>
      <c r="O36" s="7"/>
      <c r="P36" s="8">
        <f t="shared" si="12"/>
        <v>0</v>
      </c>
      <c r="Q36" s="1"/>
      <c r="R36" s="6">
        <f t="shared" si="13"/>
        <v>0</v>
      </c>
      <c r="S36" s="9" t="e">
        <f t="shared" si="14"/>
        <v>#DIV/0!</v>
      </c>
      <c r="T36" s="9">
        <f t="shared" si="15"/>
        <v>0</v>
      </c>
      <c r="U36" s="9" t="e">
        <f>R36 / _xlfn.XLOOKUP(A36, Mid!A:A, Mid!AA:AA)</f>
        <v>#DIV/0!</v>
      </c>
    </row>
    <row r="37" spans="1:21" x14ac:dyDescent="0.25">
      <c r="A37" s="1"/>
      <c r="B37" s="6"/>
      <c r="C37" s="7"/>
      <c r="D37" s="8">
        <f t="shared" si="8"/>
        <v>0</v>
      </c>
      <c r="E37" s="6"/>
      <c r="F37" s="7"/>
      <c r="G37" s="8">
        <f t="shared" si="9"/>
        <v>0</v>
      </c>
      <c r="H37" s="6"/>
      <c r="I37" s="7"/>
      <c r="J37" s="8">
        <f t="shared" si="10"/>
        <v>0</v>
      </c>
      <c r="K37" s="6"/>
      <c r="L37" s="7"/>
      <c r="M37" s="8">
        <f t="shared" si="11"/>
        <v>0</v>
      </c>
      <c r="N37" s="6"/>
      <c r="O37" s="7"/>
      <c r="P37" s="8">
        <f t="shared" si="12"/>
        <v>0</v>
      </c>
      <c r="Q37" s="1"/>
      <c r="R37" s="6">
        <f t="shared" si="13"/>
        <v>0</v>
      </c>
      <c r="S37" s="9" t="e">
        <f t="shared" si="14"/>
        <v>#DIV/0!</v>
      </c>
      <c r="T37" s="9">
        <f t="shared" si="15"/>
        <v>0</v>
      </c>
      <c r="U37" s="9" t="e">
        <f>R37 / _xlfn.XLOOKUP(A37, Mid!A:A, Mid!AA:AA)</f>
        <v>#DIV/0!</v>
      </c>
    </row>
    <row r="38" spans="1:21" x14ac:dyDescent="0.25">
      <c r="A38" s="1"/>
      <c r="B38" s="6"/>
      <c r="C38" s="7"/>
      <c r="D38" s="8">
        <f t="shared" si="8"/>
        <v>0</v>
      </c>
      <c r="E38" s="6"/>
      <c r="F38" s="7"/>
      <c r="G38" s="8">
        <f t="shared" si="9"/>
        <v>0</v>
      </c>
      <c r="H38" s="6"/>
      <c r="I38" s="7"/>
      <c r="J38" s="8">
        <f t="shared" si="10"/>
        <v>0</v>
      </c>
      <c r="K38" s="6"/>
      <c r="L38" s="7"/>
      <c r="M38" s="8">
        <f t="shared" si="11"/>
        <v>0</v>
      </c>
      <c r="N38" s="6"/>
      <c r="O38" s="7"/>
      <c r="P38" s="8">
        <f t="shared" si="12"/>
        <v>0</v>
      </c>
      <c r="Q38" s="1"/>
      <c r="R38" s="6">
        <f t="shared" si="13"/>
        <v>0</v>
      </c>
      <c r="S38" s="9" t="e">
        <f t="shared" si="14"/>
        <v>#DIV/0!</v>
      </c>
      <c r="T38" s="9">
        <f t="shared" si="15"/>
        <v>0</v>
      </c>
      <c r="U38" s="9" t="e">
        <f>R38 / _xlfn.XLOOKUP(A38, Mid!A:A, Mid!AA:AA)</f>
        <v>#DIV/0!</v>
      </c>
    </row>
    <row r="39" spans="1:21" x14ac:dyDescent="0.25">
      <c r="A39" s="1"/>
      <c r="B39" s="6"/>
      <c r="C39" s="7"/>
      <c r="D39" s="8">
        <f t="shared" si="8"/>
        <v>0</v>
      </c>
      <c r="E39" s="6"/>
      <c r="F39" s="7"/>
      <c r="G39" s="8">
        <f t="shared" si="9"/>
        <v>0</v>
      </c>
      <c r="H39" s="6"/>
      <c r="I39" s="7"/>
      <c r="J39" s="8">
        <f t="shared" si="10"/>
        <v>0</v>
      </c>
      <c r="K39" s="6"/>
      <c r="L39" s="7"/>
      <c r="M39" s="8">
        <f t="shared" si="11"/>
        <v>0</v>
      </c>
      <c r="N39" s="6"/>
      <c r="O39" s="7"/>
      <c r="P39" s="8">
        <f t="shared" si="12"/>
        <v>0</v>
      </c>
      <c r="Q39" s="1"/>
      <c r="R39" s="6">
        <f t="shared" si="13"/>
        <v>0</v>
      </c>
      <c r="S39" s="9" t="e">
        <f t="shared" si="14"/>
        <v>#DIV/0!</v>
      </c>
      <c r="T39" s="9">
        <f t="shared" si="15"/>
        <v>0</v>
      </c>
      <c r="U39" s="9" t="e">
        <f>R39 / _xlfn.XLOOKUP(A39, Mid!A:A, Mid!AA:AA)</f>
        <v>#DIV/0!</v>
      </c>
    </row>
  </sheetData>
  <sortState xmlns:xlrd2="http://schemas.microsoft.com/office/spreadsheetml/2017/richdata2" ref="A3:U34">
    <sortCondition descending="1" ref="S3:S34"/>
  </sortState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6C434-6728-48AE-804A-7C5F98541E8C}">
  <sheetPr>
    <tabColor theme="7" tint="0.59999389629810485"/>
  </sheetPr>
  <dimension ref="A1:W55"/>
  <sheetViews>
    <sheetView topLeftCell="A21" workbookViewId="0">
      <selection activeCell="U3" sqref="U3:U49"/>
    </sheetView>
  </sheetViews>
  <sheetFormatPr baseColWidth="10" defaultRowHeight="15" x14ac:dyDescent="0.25"/>
  <sheetData>
    <row r="1" spans="1:23" ht="15.75" x14ac:dyDescent="0.25">
      <c r="A1" s="2" t="s">
        <v>121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24</v>
      </c>
      <c r="B3" s="6"/>
      <c r="C3" s="7"/>
      <c r="D3" s="8">
        <f t="shared" ref="D3:D49" si="0">B3*C3</f>
        <v>0</v>
      </c>
      <c r="E3" s="6"/>
      <c r="F3" s="7"/>
      <c r="G3" s="8">
        <f t="shared" ref="G3:G49" si="1">E3*F3</f>
        <v>0</v>
      </c>
      <c r="H3" s="6"/>
      <c r="I3" s="7"/>
      <c r="J3" s="8">
        <f t="shared" ref="J3:J49" si="2">H3*I3</f>
        <v>0</v>
      </c>
      <c r="K3" s="6"/>
      <c r="L3" s="7"/>
      <c r="M3" s="8">
        <f t="shared" ref="M3:M49" si="3">K3*L3</f>
        <v>0</v>
      </c>
      <c r="N3" s="6"/>
      <c r="O3" s="7"/>
      <c r="P3" s="8">
        <f t="shared" ref="P3:P49" si="4">N3*O3</f>
        <v>0</v>
      </c>
      <c r="Q3" s="1"/>
      <c r="R3" s="6">
        <f t="shared" ref="R3:R49" si="5">B3+E3+H3+K3+N3</f>
        <v>0</v>
      </c>
      <c r="S3" s="9" t="e">
        <f t="shared" ref="S3:S49" si="6">(D3+G3+J3+M3+P3)/R3</f>
        <v>#DIV/0!</v>
      </c>
      <c r="T3" s="9">
        <f t="shared" ref="T3:T49" si="7">R3/$V$3</f>
        <v>0</v>
      </c>
      <c r="U3" s="9">
        <f>R3 / _xlfn.XLOOKUP(A3, Mid!A:A, Mid!AA:AA)</f>
        <v>0</v>
      </c>
      <c r="V3" s="11">
        <f>SUM(R3:R69)</f>
        <v>606</v>
      </c>
      <c r="W3" s="12">
        <f>(SUM(D3:D99)+SUM(G3:G99)+SUM(J3:J99)+SUM(M3:M99)+SUM(P3:P99)) / V3</f>
        <v>0.67162541254125407</v>
      </c>
    </row>
    <row r="4" spans="1:23" x14ac:dyDescent="0.25">
      <c r="A4" s="1" t="s">
        <v>10</v>
      </c>
      <c r="B4" s="6"/>
      <c r="C4" s="7"/>
      <c r="D4" s="8">
        <f t="shared" si="0"/>
        <v>0</v>
      </c>
      <c r="E4" s="6">
        <v>7</v>
      </c>
      <c r="F4" s="7">
        <v>1</v>
      </c>
      <c r="G4" s="8">
        <f t="shared" si="1"/>
        <v>7</v>
      </c>
      <c r="H4" s="6"/>
      <c r="I4" s="7"/>
      <c r="J4" s="8">
        <f t="shared" si="2"/>
        <v>0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7</v>
      </c>
      <c r="S4" s="9">
        <f t="shared" si="6"/>
        <v>1</v>
      </c>
      <c r="T4" s="9">
        <f t="shared" si="7"/>
        <v>1.155115511551155E-2</v>
      </c>
      <c r="U4" s="9">
        <f>R4 / _xlfn.XLOOKUP(A4, Mid!A:A, Mid!AA:AA)</f>
        <v>0.21212121212121213</v>
      </c>
      <c r="W4" s="1"/>
    </row>
    <row r="5" spans="1:23" x14ac:dyDescent="0.25">
      <c r="A5" s="1" t="s">
        <v>111</v>
      </c>
      <c r="B5" s="6">
        <v>5</v>
      </c>
      <c r="C5" s="7">
        <v>1</v>
      </c>
      <c r="D5" s="8">
        <f t="shared" si="0"/>
        <v>5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5</v>
      </c>
      <c r="S5" s="9">
        <f t="shared" si="6"/>
        <v>1</v>
      </c>
      <c r="T5" s="9">
        <f t="shared" si="7"/>
        <v>8.2508250825082501E-3</v>
      </c>
      <c r="U5" s="9">
        <f>R5 / _xlfn.XLOOKUP(A5, Mid!A:A, Mid!AA:AA)</f>
        <v>8.6206896551724144E-2</v>
      </c>
      <c r="W5" s="1"/>
    </row>
    <row r="6" spans="1:23" x14ac:dyDescent="0.25">
      <c r="A6" s="1" t="s">
        <v>123</v>
      </c>
      <c r="B6" s="6"/>
      <c r="C6" s="7"/>
      <c r="D6" s="8">
        <f t="shared" si="0"/>
        <v>0</v>
      </c>
      <c r="E6" s="6">
        <v>1</v>
      </c>
      <c r="F6" s="7">
        <v>1</v>
      </c>
      <c r="G6" s="8">
        <f t="shared" si="1"/>
        <v>1</v>
      </c>
      <c r="H6" s="6"/>
      <c r="I6" s="7"/>
      <c r="J6" s="8">
        <f t="shared" si="2"/>
        <v>0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1"/>
      <c r="R6" s="6">
        <f t="shared" si="5"/>
        <v>1</v>
      </c>
      <c r="S6" s="9">
        <f t="shared" si="6"/>
        <v>1</v>
      </c>
      <c r="T6" s="9">
        <f t="shared" si="7"/>
        <v>1.6501650165016502E-3</v>
      </c>
      <c r="U6" s="9">
        <f>R6 / _xlfn.XLOOKUP(A6, Mid!A:A, Mid!AA:AA)</f>
        <v>0.125</v>
      </c>
      <c r="V6" s="1"/>
      <c r="W6" s="1"/>
    </row>
    <row r="7" spans="1:23" x14ac:dyDescent="0.25">
      <c r="A7" s="1" t="s">
        <v>33</v>
      </c>
      <c r="B7" s="6">
        <v>1</v>
      </c>
      <c r="C7" s="7">
        <v>1</v>
      </c>
      <c r="D7" s="8">
        <f t="shared" si="0"/>
        <v>1</v>
      </c>
      <c r="E7" s="6"/>
      <c r="F7" s="7"/>
      <c r="G7" s="8">
        <f t="shared" si="1"/>
        <v>0</v>
      </c>
      <c r="H7" s="6"/>
      <c r="I7" s="7"/>
      <c r="J7" s="8">
        <f t="shared" si="2"/>
        <v>0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1</v>
      </c>
      <c r="S7" s="9">
        <f t="shared" si="6"/>
        <v>1</v>
      </c>
      <c r="T7" s="9">
        <f t="shared" si="7"/>
        <v>1.6501650165016502E-3</v>
      </c>
      <c r="U7" s="9">
        <f>R7 / _xlfn.XLOOKUP(A7, Mid!A:A, Mid!AA:AA)</f>
        <v>0.125</v>
      </c>
      <c r="V7" s="1"/>
      <c r="W7" s="1"/>
    </row>
    <row r="8" spans="1:23" x14ac:dyDescent="0.25">
      <c r="A8" s="1" t="s">
        <v>124</v>
      </c>
      <c r="B8" s="6"/>
      <c r="C8" s="7"/>
      <c r="D8" s="8">
        <f t="shared" si="0"/>
        <v>0</v>
      </c>
      <c r="E8" s="6">
        <v>1</v>
      </c>
      <c r="F8" s="7">
        <v>1</v>
      </c>
      <c r="G8" s="8">
        <f t="shared" si="1"/>
        <v>1</v>
      </c>
      <c r="H8" s="6"/>
      <c r="I8" s="7"/>
      <c r="J8" s="8">
        <f t="shared" si="2"/>
        <v>0</v>
      </c>
      <c r="K8" s="6"/>
      <c r="L8" s="7"/>
      <c r="M8" s="8">
        <f t="shared" si="3"/>
        <v>0</v>
      </c>
      <c r="N8" s="6"/>
      <c r="O8" s="7"/>
      <c r="P8" s="8">
        <f t="shared" si="4"/>
        <v>0</v>
      </c>
      <c r="Q8" s="1"/>
      <c r="R8" s="6">
        <f t="shared" si="5"/>
        <v>1</v>
      </c>
      <c r="S8" s="9">
        <f t="shared" si="6"/>
        <v>1</v>
      </c>
      <c r="T8" s="9">
        <f t="shared" si="7"/>
        <v>1.6501650165016502E-3</v>
      </c>
      <c r="U8" s="9">
        <f>R8 / _xlfn.XLOOKUP(A8, Mid!A:A, Mid!AA:AA)</f>
        <v>0.1111111111111111</v>
      </c>
      <c r="V8" s="1"/>
      <c r="W8" s="1"/>
    </row>
    <row r="9" spans="1:23" x14ac:dyDescent="0.25">
      <c r="A9" s="25" t="s">
        <v>208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/>
      <c r="I9" s="7"/>
      <c r="J9" s="8">
        <f t="shared" si="2"/>
        <v>0</v>
      </c>
      <c r="K9" s="6">
        <v>1</v>
      </c>
      <c r="L9" s="7">
        <v>1</v>
      </c>
      <c r="M9" s="8">
        <f t="shared" si="3"/>
        <v>1</v>
      </c>
      <c r="N9" s="6"/>
      <c r="O9" s="7"/>
      <c r="P9" s="8">
        <f t="shared" si="4"/>
        <v>0</v>
      </c>
      <c r="Q9" s="1"/>
      <c r="R9" s="6">
        <f t="shared" si="5"/>
        <v>1</v>
      </c>
      <c r="S9" s="9">
        <f t="shared" si="6"/>
        <v>1</v>
      </c>
      <c r="T9" s="9">
        <f t="shared" si="7"/>
        <v>1.6501650165016502E-3</v>
      </c>
      <c r="U9" s="9">
        <f>R9 / _xlfn.XLOOKUP(A9, Mid!A:A, Mid!AA:AA)</f>
        <v>0.25</v>
      </c>
      <c r="V9" s="1"/>
      <c r="W9" s="1"/>
    </row>
    <row r="10" spans="1:23" x14ac:dyDescent="0.25">
      <c r="A10" s="1" t="s">
        <v>52</v>
      </c>
      <c r="B10" s="6">
        <v>14</v>
      </c>
      <c r="C10" s="7">
        <v>1</v>
      </c>
      <c r="D10" s="8">
        <f t="shared" si="0"/>
        <v>14</v>
      </c>
      <c r="E10" s="6">
        <v>2</v>
      </c>
      <c r="F10" s="7">
        <v>1</v>
      </c>
      <c r="G10" s="8">
        <f t="shared" si="1"/>
        <v>2</v>
      </c>
      <c r="H10" s="6">
        <v>2</v>
      </c>
      <c r="I10" s="7">
        <v>0</v>
      </c>
      <c r="J10" s="8">
        <f t="shared" si="2"/>
        <v>0</v>
      </c>
      <c r="K10" s="6">
        <v>1</v>
      </c>
      <c r="L10" s="7">
        <v>1</v>
      </c>
      <c r="M10" s="8">
        <f t="shared" si="3"/>
        <v>1</v>
      </c>
      <c r="N10" s="6"/>
      <c r="O10" s="7"/>
      <c r="P10" s="8">
        <f t="shared" si="4"/>
        <v>0</v>
      </c>
      <c r="Q10" s="1"/>
      <c r="R10" s="6">
        <f t="shared" si="5"/>
        <v>19</v>
      </c>
      <c r="S10" s="9">
        <f t="shared" si="6"/>
        <v>0.89473684210526316</v>
      </c>
      <c r="T10" s="9">
        <f t="shared" si="7"/>
        <v>3.1353135313531351E-2</v>
      </c>
      <c r="U10" s="9">
        <f>R10 / _xlfn.XLOOKUP(A10, Mid!A:A, Mid!AA:AA)</f>
        <v>8.5972850678733032E-2</v>
      </c>
      <c r="V10" s="1"/>
      <c r="W10" s="1"/>
    </row>
    <row r="11" spans="1:23" x14ac:dyDescent="0.25">
      <c r="A11" s="1" t="s">
        <v>110</v>
      </c>
      <c r="B11" s="6">
        <v>1</v>
      </c>
      <c r="C11" s="7">
        <v>1</v>
      </c>
      <c r="D11" s="8">
        <f t="shared" si="0"/>
        <v>1</v>
      </c>
      <c r="E11" s="6">
        <v>6</v>
      </c>
      <c r="F11" s="7">
        <v>0.83299999999999996</v>
      </c>
      <c r="G11" s="8">
        <f t="shared" si="1"/>
        <v>4.9979999999999993</v>
      </c>
      <c r="H11" s="6">
        <v>17</v>
      </c>
      <c r="I11" s="7">
        <v>0.94099999999999995</v>
      </c>
      <c r="J11" s="8">
        <f t="shared" si="2"/>
        <v>15.997</v>
      </c>
      <c r="K11" s="6">
        <v>18</v>
      </c>
      <c r="L11" s="7">
        <v>0.77800000000000002</v>
      </c>
      <c r="M11" s="8">
        <f t="shared" si="3"/>
        <v>14.004000000000001</v>
      </c>
      <c r="N11" s="6"/>
      <c r="O11" s="7"/>
      <c r="P11" s="8">
        <f t="shared" si="4"/>
        <v>0</v>
      </c>
      <c r="Q11" s="1"/>
      <c r="R11" s="6">
        <f t="shared" si="5"/>
        <v>42</v>
      </c>
      <c r="S11" s="9">
        <f t="shared" si="6"/>
        <v>0.85711904761904756</v>
      </c>
      <c r="T11" s="9">
        <f t="shared" si="7"/>
        <v>6.9306930693069313E-2</v>
      </c>
      <c r="U11" s="9">
        <f>R11 / _xlfn.XLOOKUP(A11, Mid!A:A, Mid!AA:AA)</f>
        <v>0.13815789473684212</v>
      </c>
      <c r="V11" s="1"/>
      <c r="W11" s="1"/>
    </row>
    <row r="12" spans="1:23" x14ac:dyDescent="0.25">
      <c r="A12" s="25" t="s">
        <v>252</v>
      </c>
      <c r="B12" s="6"/>
      <c r="C12" s="7"/>
      <c r="D12" s="8">
        <f t="shared" si="0"/>
        <v>0</v>
      </c>
      <c r="E12" s="6">
        <v>7</v>
      </c>
      <c r="F12" s="7">
        <v>0.85699999999999998</v>
      </c>
      <c r="G12" s="8">
        <f t="shared" si="1"/>
        <v>5.9989999999999997</v>
      </c>
      <c r="H12" s="6"/>
      <c r="I12" s="7"/>
      <c r="J12" s="8">
        <f t="shared" si="2"/>
        <v>0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1"/>
      <c r="R12" s="6">
        <f t="shared" si="5"/>
        <v>7</v>
      </c>
      <c r="S12" s="9">
        <f t="shared" si="6"/>
        <v>0.85699999999999998</v>
      </c>
      <c r="T12" s="9">
        <f t="shared" si="7"/>
        <v>1.155115511551155E-2</v>
      </c>
      <c r="U12" s="9">
        <f>R12 / _xlfn.XLOOKUP(A12, Mid!A:A, Mid!AA:AA)</f>
        <v>0.28000000000000003</v>
      </c>
      <c r="V12" s="1"/>
      <c r="W12" s="1"/>
    </row>
    <row r="13" spans="1:23" x14ac:dyDescent="0.25">
      <c r="A13" s="1" t="s">
        <v>118</v>
      </c>
      <c r="B13" s="6"/>
      <c r="C13" s="7"/>
      <c r="D13" s="8">
        <f t="shared" si="0"/>
        <v>0</v>
      </c>
      <c r="E13" s="6"/>
      <c r="F13" s="7"/>
      <c r="G13" s="8">
        <f t="shared" si="1"/>
        <v>0</v>
      </c>
      <c r="H13" s="6">
        <v>3</v>
      </c>
      <c r="I13" s="7">
        <v>1</v>
      </c>
      <c r="J13" s="8">
        <f t="shared" si="2"/>
        <v>3</v>
      </c>
      <c r="K13" s="6">
        <v>2</v>
      </c>
      <c r="L13" s="7">
        <v>0.5</v>
      </c>
      <c r="M13" s="8">
        <f t="shared" si="3"/>
        <v>1</v>
      </c>
      <c r="N13" s="6"/>
      <c r="O13" s="7"/>
      <c r="P13" s="8">
        <f t="shared" si="4"/>
        <v>0</v>
      </c>
      <c r="Q13" s="1"/>
      <c r="R13" s="6">
        <f t="shared" si="5"/>
        <v>5</v>
      </c>
      <c r="S13" s="9">
        <f t="shared" si="6"/>
        <v>0.8</v>
      </c>
      <c r="T13" s="9">
        <f t="shared" si="7"/>
        <v>8.2508250825082501E-3</v>
      </c>
      <c r="U13" s="9">
        <f>R13 / _xlfn.XLOOKUP(A13, Mid!A:A, Mid!AA:AA)</f>
        <v>7.1428571428571425E-2</v>
      </c>
      <c r="V13" s="1"/>
      <c r="W13" s="1"/>
    </row>
    <row r="14" spans="1:23" x14ac:dyDescent="0.25">
      <c r="A14" s="1" t="s">
        <v>113</v>
      </c>
      <c r="B14" s="6"/>
      <c r="C14" s="7"/>
      <c r="D14" s="8">
        <f t="shared" si="0"/>
        <v>0</v>
      </c>
      <c r="E14" s="6">
        <v>11</v>
      </c>
      <c r="F14" s="7">
        <v>0.81799999999999995</v>
      </c>
      <c r="G14" s="8">
        <f t="shared" si="1"/>
        <v>8.9979999999999993</v>
      </c>
      <c r="H14" s="6">
        <v>1</v>
      </c>
      <c r="I14" s="7">
        <v>0</v>
      </c>
      <c r="J14" s="8">
        <f t="shared" si="2"/>
        <v>0</v>
      </c>
      <c r="K14" s="6">
        <v>8</v>
      </c>
      <c r="L14" s="7">
        <v>0.75</v>
      </c>
      <c r="M14" s="8">
        <f t="shared" si="3"/>
        <v>6</v>
      </c>
      <c r="N14" s="6"/>
      <c r="O14" s="7"/>
      <c r="P14" s="8">
        <f t="shared" si="4"/>
        <v>0</v>
      </c>
      <c r="Q14" s="1"/>
      <c r="R14" s="6">
        <f t="shared" si="5"/>
        <v>20</v>
      </c>
      <c r="S14" s="9">
        <f t="shared" si="6"/>
        <v>0.74990000000000001</v>
      </c>
      <c r="T14" s="9">
        <f t="shared" si="7"/>
        <v>3.3003300330033E-2</v>
      </c>
      <c r="U14" s="9">
        <f>R14 / _xlfn.XLOOKUP(A14, Mid!A:A, Mid!AA:AA)</f>
        <v>0.10810810810810811</v>
      </c>
      <c r="V14" s="1"/>
      <c r="W14" s="1"/>
    </row>
    <row r="15" spans="1:23" x14ac:dyDescent="0.25">
      <c r="A15" s="1" t="s">
        <v>32</v>
      </c>
      <c r="B15" s="6">
        <v>6</v>
      </c>
      <c r="C15" s="7">
        <v>1</v>
      </c>
      <c r="D15" s="8">
        <f t="shared" si="0"/>
        <v>6</v>
      </c>
      <c r="E15" s="6">
        <v>3</v>
      </c>
      <c r="F15" s="7">
        <v>1</v>
      </c>
      <c r="G15" s="8">
        <f t="shared" si="1"/>
        <v>3</v>
      </c>
      <c r="H15" s="6">
        <v>6</v>
      </c>
      <c r="I15" s="7">
        <v>0.66700000000000004</v>
      </c>
      <c r="J15" s="8">
        <f t="shared" si="2"/>
        <v>4.0020000000000007</v>
      </c>
      <c r="K15" s="6">
        <v>9</v>
      </c>
      <c r="L15" s="7">
        <v>0.55500000000000005</v>
      </c>
      <c r="M15" s="8">
        <f t="shared" si="3"/>
        <v>4.9950000000000001</v>
      </c>
      <c r="N15" s="6"/>
      <c r="O15" s="7"/>
      <c r="P15" s="8">
        <f t="shared" si="4"/>
        <v>0</v>
      </c>
      <c r="Q15" s="1"/>
      <c r="R15" s="6">
        <f t="shared" si="5"/>
        <v>24</v>
      </c>
      <c r="S15" s="9">
        <f t="shared" si="6"/>
        <v>0.74987499999999996</v>
      </c>
      <c r="T15" s="9">
        <f t="shared" si="7"/>
        <v>3.9603960396039604E-2</v>
      </c>
      <c r="U15" s="9">
        <f>R15 / _xlfn.XLOOKUP(A15, Mid!A:A, Mid!AA:AA)</f>
        <v>8.2191780821917804E-2</v>
      </c>
      <c r="V15" s="1"/>
      <c r="W15" s="1"/>
    </row>
    <row r="16" spans="1:23" x14ac:dyDescent="0.25">
      <c r="A16" s="1" t="s">
        <v>116</v>
      </c>
      <c r="B16" s="6">
        <v>1</v>
      </c>
      <c r="C16" s="7">
        <v>0</v>
      </c>
      <c r="D16" s="8">
        <f t="shared" si="0"/>
        <v>0</v>
      </c>
      <c r="E16" s="6">
        <v>7</v>
      </c>
      <c r="F16" s="7">
        <v>0.85699999999999998</v>
      </c>
      <c r="G16" s="8">
        <f t="shared" si="1"/>
        <v>5.9989999999999997</v>
      </c>
      <c r="H16" s="6"/>
      <c r="I16" s="7"/>
      <c r="J16" s="8">
        <f t="shared" si="2"/>
        <v>0</v>
      </c>
      <c r="K16" s="6"/>
      <c r="L16" s="7"/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8</v>
      </c>
      <c r="S16" s="9">
        <f t="shared" si="6"/>
        <v>0.74987499999999996</v>
      </c>
      <c r="T16" s="9">
        <f t="shared" si="7"/>
        <v>1.3201320132013201E-2</v>
      </c>
      <c r="U16" s="9">
        <f>R16 / _xlfn.XLOOKUP(A16, Mid!A:A, Mid!AA:AA)</f>
        <v>0.26666666666666666</v>
      </c>
      <c r="V16" s="1"/>
      <c r="W16" s="1"/>
    </row>
    <row r="17" spans="1:23" x14ac:dyDescent="0.25">
      <c r="A17" s="1" t="s">
        <v>87</v>
      </c>
      <c r="B17" s="6">
        <v>3</v>
      </c>
      <c r="C17" s="7">
        <v>1</v>
      </c>
      <c r="D17" s="8">
        <f t="shared" si="0"/>
        <v>3</v>
      </c>
      <c r="E17" s="6">
        <v>2</v>
      </c>
      <c r="F17" s="7">
        <v>0</v>
      </c>
      <c r="G17" s="8">
        <f t="shared" si="1"/>
        <v>0</v>
      </c>
      <c r="H17" s="6">
        <v>23</v>
      </c>
      <c r="I17" s="7">
        <v>0.69499999999999995</v>
      </c>
      <c r="J17" s="8">
        <f t="shared" si="2"/>
        <v>15.984999999999999</v>
      </c>
      <c r="K17" s="6">
        <v>14</v>
      </c>
      <c r="L17" s="7">
        <v>0.85699999999999998</v>
      </c>
      <c r="M17" s="8">
        <f t="shared" si="3"/>
        <v>11.997999999999999</v>
      </c>
      <c r="N17" s="6"/>
      <c r="O17" s="7"/>
      <c r="P17" s="8">
        <f t="shared" si="4"/>
        <v>0</v>
      </c>
      <c r="Q17" s="4"/>
      <c r="R17" s="6">
        <f t="shared" si="5"/>
        <v>42</v>
      </c>
      <c r="S17" s="9">
        <f t="shared" si="6"/>
        <v>0.73769047619047612</v>
      </c>
      <c r="T17" s="9">
        <f t="shared" si="7"/>
        <v>6.9306930693069313E-2</v>
      </c>
      <c r="U17" s="9">
        <f>R17 / _xlfn.XLOOKUP(A17, Mid!A:A, Mid!AA:AA)</f>
        <v>8.6956521739130432E-2</v>
      </c>
      <c r="V17" s="1"/>
      <c r="W17" s="1"/>
    </row>
    <row r="18" spans="1:23" x14ac:dyDescent="0.25">
      <c r="A18" s="1" t="s">
        <v>64</v>
      </c>
      <c r="B18" s="6">
        <v>19</v>
      </c>
      <c r="C18" s="7">
        <v>0.63200000000000001</v>
      </c>
      <c r="D18" s="8">
        <f t="shared" si="0"/>
        <v>12.008000000000001</v>
      </c>
      <c r="E18" s="6">
        <v>34</v>
      </c>
      <c r="F18" s="7">
        <v>0.70599999999999996</v>
      </c>
      <c r="G18" s="8">
        <f t="shared" si="1"/>
        <v>24.003999999999998</v>
      </c>
      <c r="H18" s="6">
        <v>29</v>
      </c>
      <c r="I18" s="7">
        <v>0.75900000000000001</v>
      </c>
      <c r="J18" s="8">
        <f t="shared" si="2"/>
        <v>22.010999999999999</v>
      </c>
      <c r="K18" s="6">
        <v>14</v>
      </c>
      <c r="L18" s="7">
        <v>0.78600000000000003</v>
      </c>
      <c r="M18" s="8">
        <f t="shared" si="3"/>
        <v>11.004000000000001</v>
      </c>
      <c r="N18" s="6"/>
      <c r="O18" s="7"/>
      <c r="P18" s="8">
        <f t="shared" si="4"/>
        <v>0</v>
      </c>
      <c r="Q18" s="1"/>
      <c r="R18" s="6">
        <f t="shared" si="5"/>
        <v>96</v>
      </c>
      <c r="S18" s="9">
        <f t="shared" si="6"/>
        <v>0.71903125000000001</v>
      </c>
      <c r="T18" s="9">
        <f t="shared" si="7"/>
        <v>0.15841584158415842</v>
      </c>
      <c r="U18" s="9">
        <f>R18 / _xlfn.XLOOKUP(A18, Mid!A:A, Mid!AA:AA)</f>
        <v>0.12581913499344691</v>
      </c>
      <c r="V18" s="1"/>
      <c r="W18" s="1"/>
    </row>
    <row r="19" spans="1:23" x14ac:dyDescent="0.25">
      <c r="A19" s="1" t="s">
        <v>114</v>
      </c>
      <c r="B19" s="6">
        <v>8</v>
      </c>
      <c r="C19" s="7">
        <v>0.625</v>
      </c>
      <c r="D19" s="8">
        <f t="shared" si="0"/>
        <v>5</v>
      </c>
      <c r="E19" s="6">
        <v>5</v>
      </c>
      <c r="F19" s="7">
        <v>0.8</v>
      </c>
      <c r="G19" s="8">
        <f t="shared" si="1"/>
        <v>4</v>
      </c>
      <c r="H19" s="6"/>
      <c r="I19" s="7"/>
      <c r="J19" s="8">
        <f t="shared" si="2"/>
        <v>0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4"/>
      <c r="R19" s="6">
        <f t="shared" si="5"/>
        <v>13</v>
      </c>
      <c r="S19" s="9">
        <f t="shared" si="6"/>
        <v>0.69230769230769229</v>
      </c>
      <c r="T19" s="9">
        <f t="shared" si="7"/>
        <v>2.1452145214521452E-2</v>
      </c>
      <c r="U19" s="9">
        <f>R19 / _xlfn.XLOOKUP(A19, Mid!A:A, Mid!AA:AA)</f>
        <v>0.14285714285714285</v>
      </c>
      <c r="V19" s="1"/>
      <c r="W19" s="1"/>
    </row>
    <row r="20" spans="1:23" x14ac:dyDescent="0.25">
      <c r="A20" s="1" t="s">
        <v>27</v>
      </c>
      <c r="B20" s="6">
        <v>7</v>
      </c>
      <c r="C20" s="7">
        <v>0.71399999999999997</v>
      </c>
      <c r="D20" s="8">
        <f t="shared" si="0"/>
        <v>4.9979999999999993</v>
      </c>
      <c r="E20" s="6">
        <v>2</v>
      </c>
      <c r="F20" s="7">
        <v>1</v>
      </c>
      <c r="G20" s="8">
        <f t="shared" si="1"/>
        <v>2</v>
      </c>
      <c r="H20" s="6">
        <v>3</v>
      </c>
      <c r="I20" s="7">
        <v>0.66700000000000004</v>
      </c>
      <c r="J20" s="8">
        <f t="shared" si="2"/>
        <v>2.0010000000000003</v>
      </c>
      <c r="K20" s="6">
        <v>4</v>
      </c>
      <c r="L20" s="7">
        <v>0.5</v>
      </c>
      <c r="M20" s="8">
        <f t="shared" si="3"/>
        <v>2</v>
      </c>
      <c r="N20" s="6"/>
      <c r="O20" s="7"/>
      <c r="P20" s="8">
        <f t="shared" si="4"/>
        <v>0</v>
      </c>
      <c r="Q20" s="1"/>
      <c r="R20" s="6">
        <f t="shared" si="5"/>
        <v>16</v>
      </c>
      <c r="S20" s="9">
        <f t="shared" si="6"/>
        <v>0.68743749999999992</v>
      </c>
      <c r="T20" s="9">
        <f t="shared" si="7"/>
        <v>2.6402640264026403E-2</v>
      </c>
      <c r="U20" s="9">
        <f>R20 / _xlfn.XLOOKUP(A20, Mid!A:A, Mid!AA:AA)</f>
        <v>7.476635514018691E-2</v>
      </c>
      <c r="V20" s="1"/>
      <c r="W20" s="1"/>
    </row>
    <row r="21" spans="1:23" x14ac:dyDescent="0.25">
      <c r="A21" s="1" t="s">
        <v>122</v>
      </c>
      <c r="B21" s="6">
        <v>3</v>
      </c>
      <c r="C21" s="7">
        <v>0.66700000000000004</v>
      </c>
      <c r="D21" s="8">
        <f t="shared" si="0"/>
        <v>2.0010000000000003</v>
      </c>
      <c r="E21" s="6"/>
      <c r="F21" s="7"/>
      <c r="G21" s="8">
        <f t="shared" si="1"/>
        <v>0</v>
      </c>
      <c r="H21" s="6"/>
      <c r="I21" s="7"/>
      <c r="J21" s="8">
        <f t="shared" si="2"/>
        <v>0</v>
      </c>
      <c r="K21" s="6"/>
      <c r="L21" s="7"/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3</v>
      </c>
      <c r="S21" s="9">
        <f t="shared" si="6"/>
        <v>0.66700000000000015</v>
      </c>
      <c r="T21" s="9">
        <f t="shared" si="7"/>
        <v>4.9504950495049506E-3</v>
      </c>
      <c r="U21" s="9">
        <f>R21 / _xlfn.XLOOKUP(A21, Mid!A:A, Mid!AA:AA)</f>
        <v>0.23076923076923078</v>
      </c>
      <c r="V21" s="1"/>
      <c r="W21" s="1"/>
    </row>
    <row r="22" spans="1:23" x14ac:dyDescent="0.25">
      <c r="A22" s="25" t="s">
        <v>233</v>
      </c>
      <c r="B22" s="6"/>
      <c r="C22" s="7"/>
      <c r="D22" s="8">
        <f t="shared" si="0"/>
        <v>0</v>
      </c>
      <c r="E22" s="6"/>
      <c r="F22" s="7"/>
      <c r="G22" s="8">
        <f t="shared" si="1"/>
        <v>0</v>
      </c>
      <c r="H22" s="6"/>
      <c r="I22" s="7"/>
      <c r="J22" s="8">
        <f t="shared" si="2"/>
        <v>0</v>
      </c>
      <c r="K22" s="6">
        <v>3</v>
      </c>
      <c r="L22" s="7">
        <v>0.66700000000000004</v>
      </c>
      <c r="M22" s="8">
        <f t="shared" si="3"/>
        <v>2.0010000000000003</v>
      </c>
      <c r="N22" s="6"/>
      <c r="O22" s="7"/>
      <c r="P22" s="8">
        <f t="shared" si="4"/>
        <v>0</v>
      </c>
      <c r="Q22" s="1"/>
      <c r="R22" s="6">
        <f t="shared" si="5"/>
        <v>3</v>
      </c>
      <c r="S22" s="9">
        <f t="shared" si="6"/>
        <v>0.66700000000000015</v>
      </c>
      <c r="T22" s="9">
        <f t="shared" si="7"/>
        <v>4.9504950495049506E-3</v>
      </c>
      <c r="U22" s="9">
        <f>R22 / _xlfn.XLOOKUP(A22, Mid!A:A, Mid!AA:AA)</f>
        <v>0.375</v>
      </c>
      <c r="V22" s="1"/>
      <c r="W22" s="1"/>
    </row>
    <row r="23" spans="1:23" x14ac:dyDescent="0.25">
      <c r="A23" s="15" t="s">
        <v>59</v>
      </c>
      <c r="B23" s="6"/>
      <c r="C23" s="7"/>
      <c r="D23" s="8">
        <f t="shared" si="0"/>
        <v>0</v>
      </c>
      <c r="E23" s="6"/>
      <c r="F23" s="7"/>
      <c r="G23" s="8">
        <f t="shared" si="1"/>
        <v>0</v>
      </c>
      <c r="H23" s="6">
        <v>2</v>
      </c>
      <c r="I23" s="7">
        <v>0.5</v>
      </c>
      <c r="J23" s="8">
        <f t="shared" si="2"/>
        <v>1</v>
      </c>
      <c r="K23" s="6">
        <v>1</v>
      </c>
      <c r="L23" s="7">
        <v>1</v>
      </c>
      <c r="M23" s="8">
        <f t="shared" si="3"/>
        <v>1</v>
      </c>
      <c r="N23" s="6"/>
      <c r="O23" s="7"/>
      <c r="P23" s="8">
        <f t="shared" si="4"/>
        <v>0</v>
      </c>
      <c r="Q23" s="1"/>
      <c r="R23" s="6">
        <f t="shared" si="5"/>
        <v>3</v>
      </c>
      <c r="S23" s="9">
        <f t="shared" si="6"/>
        <v>0.66666666666666663</v>
      </c>
      <c r="T23" s="9">
        <f t="shared" si="7"/>
        <v>4.9504950495049506E-3</v>
      </c>
      <c r="U23" s="9">
        <f>R23 / _xlfn.XLOOKUP(A23, Mid!A:A, Mid!AA:AA)</f>
        <v>7.8947368421052627E-2</v>
      </c>
      <c r="V23" s="1"/>
      <c r="W23" s="1"/>
    </row>
    <row r="24" spans="1:23" x14ac:dyDescent="0.25">
      <c r="A24" s="1" t="s">
        <v>107</v>
      </c>
      <c r="B24" s="6">
        <v>20</v>
      </c>
      <c r="C24" s="7">
        <v>0.75</v>
      </c>
      <c r="D24" s="8">
        <f t="shared" si="0"/>
        <v>15</v>
      </c>
      <c r="E24" s="6">
        <v>12</v>
      </c>
      <c r="F24" s="7">
        <v>0.5</v>
      </c>
      <c r="G24" s="8">
        <f t="shared" si="1"/>
        <v>6</v>
      </c>
      <c r="H24" s="6">
        <v>11</v>
      </c>
      <c r="I24" s="7">
        <v>0.81799999999999995</v>
      </c>
      <c r="J24" s="8">
        <f t="shared" si="2"/>
        <v>8.9979999999999993</v>
      </c>
      <c r="K24" s="6">
        <v>10</v>
      </c>
      <c r="L24" s="7">
        <v>0.5</v>
      </c>
      <c r="M24" s="8">
        <f t="shared" si="3"/>
        <v>5</v>
      </c>
      <c r="N24" s="6"/>
      <c r="O24" s="7"/>
      <c r="P24" s="8">
        <f t="shared" si="4"/>
        <v>0</v>
      </c>
      <c r="Q24" s="4"/>
      <c r="R24" s="6">
        <f t="shared" si="5"/>
        <v>53</v>
      </c>
      <c r="S24" s="9">
        <f t="shared" si="6"/>
        <v>0.66033962264150936</v>
      </c>
      <c r="T24" s="9">
        <f t="shared" si="7"/>
        <v>8.7458745874587462E-2</v>
      </c>
      <c r="U24" s="9">
        <f>R24 / _xlfn.XLOOKUP(A24, Mid!A:A, Mid!AA:AA)</f>
        <v>0.10231660231660232</v>
      </c>
      <c r="V24" s="1"/>
      <c r="W24" s="1"/>
    </row>
    <row r="25" spans="1:23" x14ac:dyDescent="0.25">
      <c r="A25" s="1" t="s">
        <v>108</v>
      </c>
      <c r="B25" s="6">
        <v>9</v>
      </c>
      <c r="C25" s="7">
        <v>1</v>
      </c>
      <c r="D25" s="8">
        <f t="shared" si="0"/>
        <v>9</v>
      </c>
      <c r="E25" s="6">
        <v>3</v>
      </c>
      <c r="F25" s="7">
        <v>1</v>
      </c>
      <c r="G25" s="8">
        <f t="shared" si="1"/>
        <v>3</v>
      </c>
      <c r="H25" s="6">
        <v>29</v>
      </c>
      <c r="I25" s="7">
        <v>0.51700000000000002</v>
      </c>
      <c r="J25" s="8">
        <f t="shared" si="2"/>
        <v>14.993</v>
      </c>
      <c r="K25" s="6">
        <v>3</v>
      </c>
      <c r="L25" s="7">
        <v>0.66700000000000004</v>
      </c>
      <c r="M25" s="8">
        <f t="shared" si="3"/>
        <v>2.0010000000000003</v>
      </c>
      <c r="N25" s="6"/>
      <c r="O25" s="7"/>
      <c r="P25" s="8">
        <f t="shared" si="4"/>
        <v>0</v>
      </c>
      <c r="Q25" s="1"/>
      <c r="R25" s="6">
        <f t="shared" si="5"/>
        <v>44</v>
      </c>
      <c r="S25" s="9">
        <f t="shared" si="6"/>
        <v>0.65895454545454557</v>
      </c>
      <c r="T25" s="9">
        <f t="shared" si="7"/>
        <v>7.2607260726072612E-2</v>
      </c>
      <c r="U25" s="9">
        <f>R25 / _xlfn.XLOOKUP(A25, Mid!A:A, Mid!AA:AA)</f>
        <v>0.13968253968253969</v>
      </c>
      <c r="V25" s="1"/>
      <c r="W25" s="1"/>
    </row>
    <row r="26" spans="1:23" x14ac:dyDescent="0.25">
      <c r="A26" s="1" t="s">
        <v>109</v>
      </c>
      <c r="B26" s="6">
        <v>9</v>
      </c>
      <c r="C26" s="7">
        <v>0.66700000000000004</v>
      </c>
      <c r="D26" s="8">
        <f t="shared" si="0"/>
        <v>6.0030000000000001</v>
      </c>
      <c r="E26" s="6">
        <v>4</v>
      </c>
      <c r="F26" s="7">
        <v>0.75</v>
      </c>
      <c r="G26" s="8">
        <f t="shared" si="1"/>
        <v>3</v>
      </c>
      <c r="H26" s="6"/>
      <c r="I26" s="7"/>
      <c r="J26" s="8">
        <f t="shared" si="2"/>
        <v>0</v>
      </c>
      <c r="K26" s="6">
        <v>24</v>
      </c>
      <c r="L26" s="7">
        <v>0.625</v>
      </c>
      <c r="M26" s="8">
        <f t="shared" si="3"/>
        <v>15</v>
      </c>
      <c r="N26" s="6"/>
      <c r="O26" s="7"/>
      <c r="P26" s="8">
        <f t="shared" si="4"/>
        <v>0</v>
      </c>
      <c r="Q26" s="1"/>
      <c r="R26" s="6">
        <f t="shared" si="5"/>
        <v>37</v>
      </c>
      <c r="S26" s="9">
        <f t="shared" si="6"/>
        <v>0.64872972972972975</v>
      </c>
      <c r="T26" s="9">
        <f t="shared" si="7"/>
        <v>6.1056105610561059E-2</v>
      </c>
      <c r="U26" s="9">
        <f>R26 / _xlfn.XLOOKUP(A26, Mid!A:A, Mid!AA:AA)</f>
        <v>0.14919354838709678</v>
      </c>
      <c r="V26" s="1"/>
      <c r="W26" s="1"/>
    </row>
    <row r="27" spans="1:23" x14ac:dyDescent="0.25">
      <c r="A27" s="1" t="s">
        <v>48</v>
      </c>
      <c r="B27" s="6">
        <v>8</v>
      </c>
      <c r="C27" s="7">
        <v>0.5</v>
      </c>
      <c r="D27" s="8">
        <f t="shared" si="0"/>
        <v>4</v>
      </c>
      <c r="E27" s="6"/>
      <c r="F27" s="7"/>
      <c r="G27" s="8">
        <f t="shared" si="1"/>
        <v>0</v>
      </c>
      <c r="H27" s="6"/>
      <c r="I27" s="7"/>
      <c r="J27" s="8">
        <f t="shared" si="2"/>
        <v>0</v>
      </c>
      <c r="K27" s="6">
        <v>17</v>
      </c>
      <c r="L27" s="7">
        <v>0.64700000000000002</v>
      </c>
      <c r="M27" s="8">
        <f t="shared" si="3"/>
        <v>10.999000000000001</v>
      </c>
      <c r="N27" s="6"/>
      <c r="O27" s="7"/>
      <c r="P27" s="8">
        <f t="shared" si="4"/>
        <v>0</v>
      </c>
      <c r="Q27" s="1"/>
      <c r="R27" s="6">
        <f t="shared" si="5"/>
        <v>25</v>
      </c>
      <c r="S27" s="9">
        <f t="shared" si="6"/>
        <v>0.59996000000000005</v>
      </c>
      <c r="T27" s="9">
        <f t="shared" si="7"/>
        <v>4.1254125412541254E-2</v>
      </c>
      <c r="U27" s="9">
        <f>R27 / _xlfn.XLOOKUP(A27, Mid!A:A, Mid!AA:AA)</f>
        <v>8.7412587412587409E-2</v>
      </c>
      <c r="V27" s="1"/>
      <c r="W27" s="1"/>
    </row>
    <row r="28" spans="1:23" x14ac:dyDescent="0.25">
      <c r="A28" s="1" t="s">
        <v>120</v>
      </c>
      <c r="B28" s="6">
        <v>6</v>
      </c>
      <c r="C28" s="7">
        <v>0.66700000000000004</v>
      </c>
      <c r="D28" s="8">
        <f t="shared" si="0"/>
        <v>4.0020000000000007</v>
      </c>
      <c r="E28" s="6"/>
      <c r="F28" s="7"/>
      <c r="G28" s="8">
        <f t="shared" si="1"/>
        <v>0</v>
      </c>
      <c r="H28" s="6"/>
      <c r="I28" s="7"/>
      <c r="J28" s="8">
        <f t="shared" si="2"/>
        <v>0</v>
      </c>
      <c r="K28" s="6">
        <v>1</v>
      </c>
      <c r="L28" s="7">
        <v>0</v>
      </c>
      <c r="M28" s="8">
        <f t="shared" si="3"/>
        <v>0</v>
      </c>
      <c r="N28" s="6"/>
      <c r="O28" s="7"/>
      <c r="P28" s="8">
        <f t="shared" si="4"/>
        <v>0</v>
      </c>
      <c r="Q28" s="4"/>
      <c r="R28" s="6">
        <f t="shared" si="5"/>
        <v>7</v>
      </c>
      <c r="S28" s="9">
        <f t="shared" si="6"/>
        <v>0.57171428571428584</v>
      </c>
      <c r="T28" s="9">
        <f t="shared" si="7"/>
        <v>1.155115511551155E-2</v>
      </c>
      <c r="U28" s="9">
        <f>R28 / _xlfn.XLOOKUP(A28, Mid!A:A, Mid!AA:AA)</f>
        <v>0.14285714285714285</v>
      </c>
      <c r="V28" s="1"/>
      <c r="W28" s="1"/>
    </row>
    <row r="29" spans="1:23" x14ac:dyDescent="0.25">
      <c r="A29" s="1" t="s">
        <v>18</v>
      </c>
      <c r="B29" s="6">
        <v>5</v>
      </c>
      <c r="C29" s="7">
        <v>0.6</v>
      </c>
      <c r="D29" s="8">
        <f t="shared" si="0"/>
        <v>3</v>
      </c>
      <c r="E29" s="6"/>
      <c r="F29" s="7"/>
      <c r="G29" s="8">
        <f t="shared" si="1"/>
        <v>0</v>
      </c>
      <c r="H29" s="6"/>
      <c r="I29" s="7"/>
      <c r="J29" s="8">
        <f t="shared" si="2"/>
        <v>0</v>
      </c>
      <c r="K29" s="6">
        <v>2</v>
      </c>
      <c r="L29" s="7">
        <v>0.5</v>
      </c>
      <c r="M29" s="8">
        <f t="shared" si="3"/>
        <v>1</v>
      </c>
      <c r="N29" s="6"/>
      <c r="O29" s="7"/>
      <c r="P29" s="8">
        <f t="shared" si="4"/>
        <v>0</v>
      </c>
      <c r="Q29" s="1"/>
      <c r="R29" s="6">
        <f t="shared" si="5"/>
        <v>7</v>
      </c>
      <c r="S29" s="9">
        <f t="shared" si="6"/>
        <v>0.5714285714285714</v>
      </c>
      <c r="T29" s="9">
        <f t="shared" si="7"/>
        <v>1.155115511551155E-2</v>
      </c>
      <c r="U29" s="9">
        <f>R29 / _xlfn.XLOOKUP(A29, Mid!A:A, Mid!AA:AA)</f>
        <v>7.3684210526315783E-2</v>
      </c>
      <c r="V29" s="1"/>
      <c r="W29" s="1"/>
    </row>
    <row r="30" spans="1:23" x14ac:dyDescent="0.25">
      <c r="A30" s="1" t="s">
        <v>8</v>
      </c>
      <c r="B30" s="6"/>
      <c r="C30" s="7"/>
      <c r="D30" s="8">
        <f t="shared" si="0"/>
        <v>0</v>
      </c>
      <c r="E30" s="6">
        <v>9</v>
      </c>
      <c r="F30" s="7">
        <v>0.55600000000000005</v>
      </c>
      <c r="G30" s="8">
        <f t="shared" si="1"/>
        <v>5.0040000000000004</v>
      </c>
      <c r="H30" s="6"/>
      <c r="I30" s="7"/>
      <c r="J30" s="8">
        <f t="shared" si="2"/>
        <v>0</v>
      </c>
      <c r="K30" s="6"/>
      <c r="L30" s="7"/>
      <c r="M30" s="8">
        <f t="shared" si="3"/>
        <v>0</v>
      </c>
      <c r="N30" s="6"/>
      <c r="O30" s="7"/>
      <c r="P30" s="8">
        <f t="shared" si="4"/>
        <v>0</v>
      </c>
      <c r="Q30" s="1"/>
      <c r="R30" s="6">
        <f t="shared" si="5"/>
        <v>9</v>
      </c>
      <c r="S30" s="9">
        <f t="shared" si="6"/>
        <v>0.55600000000000005</v>
      </c>
      <c r="T30" s="9">
        <f t="shared" si="7"/>
        <v>1.4851485148514851E-2</v>
      </c>
      <c r="U30" s="9">
        <f>R30 / _xlfn.XLOOKUP(A30, Mid!A:A, Mid!AA:AA)</f>
        <v>8.1081081081081086E-2</v>
      </c>
      <c r="V30" s="1"/>
      <c r="W30" s="1"/>
    </row>
    <row r="31" spans="1:23" x14ac:dyDescent="0.25">
      <c r="A31" s="1" t="s">
        <v>91</v>
      </c>
      <c r="B31" s="6"/>
      <c r="C31" s="7"/>
      <c r="D31" s="8">
        <f t="shared" si="0"/>
        <v>0</v>
      </c>
      <c r="E31" s="6">
        <v>5</v>
      </c>
      <c r="F31" s="7">
        <v>0.4</v>
      </c>
      <c r="G31" s="8">
        <f t="shared" si="1"/>
        <v>2</v>
      </c>
      <c r="H31" s="6">
        <v>4</v>
      </c>
      <c r="I31" s="7">
        <v>0.75</v>
      </c>
      <c r="J31" s="8">
        <f t="shared" si="2"/>
        <v>3</v>
      </c>
      <c r="K31" s="6"/>
      <c r="L31" s="7"/>
      <c r="M31" s="8">
        <f t="shared" si="3"/>
        <v>0</v>
      </c>
      <c r="N31" s="6"/>
      <c r="O31" s="7"/>
      <c r="P31" s="8">
        <f t="shared" si="4"/>
        <v>0</v>
      </c>
      <c r="Q31" s="1"/>
      <c r="R31" s="6">
        <f t="shared" si="5"/>
        <v>9</v>
      </c>
      <c r="S31" s="9">
        <f t="shared" si="6"/>
        <v>0.55555555555555558</v>
      </c>
      <c r="T31" s="9">
        <f t="shared" si="7"/>
        <v>1.4851485148514851E-2</v>
      </c>
      <c r="U31" s="9">
        <f>R31 / _xlfn.XLOOKUP(A31, Mid!A:A, Mid!AA:AA)</f>
        <v>0.13636363636363635</v>
      </c>
      <c r="V31" s="1"/>
      <c r="W31" s="1"/>
    </row>
    <row r="32" spans="1:23" x14ac:dyDescent="0.25">
      <c r="A32" s="1" t="s">
        <v>112</v>
      </c>
      <c r="B32" s="6">
        <v>9</v>
      </c>
      <c r="C32" s="7">
        <v>0.66700000000000004</v>
      </c>
      <c r="D32" s="8">
        <f t="shared" si="0"/>
        <v>6.0030000000000001</v>
      </c>
      <c r="E32" s="6">
        <v>2</v>
      </c>
      <c r="F32" s="7">
        <v>0</v>
      </c>
      <c r="G32" s="8">
        <f t="shared" si="1"/>
        <v>0</v>
      </c>
      <c r="H32" s="6">
        <v>2</v>
      </c>
      <c r="I32" s="7">
        <v>1</v>
      </c>
      <c r="J32" s="8">
        <f t="shared" si="2"/>
        <v>2</v>
      </c>
      <c r="K32" s="6">
        <v>18</v>
      </c>
      <c r="L32" s="7">
        <v>0.5</v>
      </c>
      <c r="M32" s="8">
        <f t="shared" si="3"/>
        <v>9</v>
      </c>
      <c r="N32" s="6"/>
      <c r="O32" s="7"/>
      <c r="P32" s="8">
        <f t="shared" si="4"/>
        <v>0</v>
      </c>
      <c r="Q32" s="13"/>
      <c r="R32" s="6">
        <f t="shared" si="5"/>
        <v>31</v>
      </c>
      <c r="S32" s="9">
        <f t="shared" si="6"/>
        <v>0.54848387096774198</v>
      </c>
      <c r="T32" s="9">
        <f t="shared" si="7"/>
        <v>5.1155115511551157E-2</v>
      </c>
      <c r="U32" s="9">
        <f>R32 / _xlfn.XLOOKUP(A32, Mid!A:A, Mid!AA:AA)</f>
        <v>0.1751412429378531</v>
      </c>
      <c r="V32" s="1"/>
      <c r="W32" s="1"/>
    </row>
    <row r="33" spans="1:23" x14ac:dyDescent="0.25">
      <c r="A33" s="1" t="s">
        <v>12</v>
      </c>
      <c r="B33" s="6"/>
      <c r="C33" s="7"/>
      <c r="D33" s="8">
        <f t="shared" si="0"/>
        <v>0</v>
      </c>
      <c r="E33" s="6">
        <v>1</v>
      </c>
      <c r="F33" s="7">
        <v>0</v>
      </c>
      <c r="G33" s="8">
        <f t="shared" si="1"/>
        <v>0</v>
      </c>
      <c r="H33" s="6">
        <v>8</v>
      </c>
      <c r="I33" s="7">
        <v>0.75</v>
      </c>
      <c r="J33" s="8">
        <f t="shared" si="2"/>
        <v>6</v>
      </c>
      <c r="K33" s="6">
        <v>3</v>
      </c>
      <c r="L33" s="7">
        <v>0</v>
      </c>
      <c r="M33" s="8">
        <f t="shared" si="3"/>
        <v>0</v>
      </c>
      <c r="N33" s="6"/>
      <c r="O33" s="7"/>
      <c r="P33" s="8">
        <f t="shared" si="4"/>
        <v>0</v>
      </c>
      <c r="Q33" s="1"/>
      <c r="R33" s="6">
        <f t="shared" si="5"/>
        <v>12</v>
      </c>
      <c r="S33" s="9">
        <f t="shared" si="6"/>
        <v>0.5</v>
      </c>
      <c r="T33" s="9">
        <f t="shared" si="7"/>
        <v>1.9801980198019802E-2</v>
      </c>
      <c r="U33" s="9">
        <f>R33 / _xlfn.XLOOKUP(A33, Mid!A:A, Mid!AA:AA)</f>
        <v>4.5801526717557252E-2</v>
      </c>
      <c r="V33" s="1"/>
      <c r="W33" s="1"/>
    </row>
    <row r="34" spans="1:23" x14ac:dyDescent="0.25">
      <c r="A34" s="1" t="s">
        <v>61</v>
      </c>
      <c r="B34" s="6">
        <v>4</v>
      </c>
      <c r="C34" s="7">
        <v>0.5</v>
      </c>
      <c r="D34" s="8">
        <f t="shared" si="0"/>
        <v>2</v>
      </c>
      <c r="E34" s="6"/>
      <c r="F34" s="7"/>
      <c r="G34" s="8">
        <f t="shared" si="1"/>
        <v>0</v>
      </c>
      <c r="H34" s="6"/>
      <c r="I34" s="7"/>
      <c r="J34" s="8">
        <f t="shared" si="2"/>
        <v>0</v>
      </c>
      <c r="K34" s="6"/>
      <c r="L34" s="7"/>
      <c r="M34" s="8">
        <f t="shared" si="3"/>
        <v>0</v>
      </c>
      <c r="N34" s="6"/>
      <c r="O34" s="7"/>
      <c r="P34" s="8">
        <f t="shared" si="4"/>
        <v>0</v>
      </c>
      <c r="Q34" s="1"/>
      <c r="R34" s="6">
        <f t="shared" si="5"/>
        <v>4</v>
      </c>
      <c r="S34" s="9">
        <f t="shared" si="6"/>
        <v>0.5</v>
      </c>
      <c r="T34" s="9">
        <f t="shared" si="7"/>
        <v>6.6006600660066007E-3</v>
      </c>
      <c r="U34" s="9">
        <f>R34 / _xlfn.XLOOKUP(A34, Mid!A:A, Mid!AA:AA)</f>
        <v>0.125</v>
      </c>
      <c r="V34" s="1"/>
      <c r="W34" s="1"/>
    </row>
    <row r="35" spans="1:23" x14ac:dyDescent="0.25">
      <c r="A35" s="1" t="s">
        <v>115</v>
      </c>
      <c r="B35" s="6">
        <v>1</v>
      </c>
      <c r="C35" s="7">
        <v>1</v>
      </c>
      <c r="D35" s="8">
        <f t="shared" si="0"/>
        <v>1</v>
      </c>
      <c r="E35" s="6">
        <v>2</v>
      </c>
      <c r="F35" s="7">
        <v>0.5</v>
      </c>
      <c r="G35" s="8">
        <f t="shared" si="1"/>
        <v>1</v>
      </c>
      <c r="H35" s="6">
        <v>1</v>
      </c>
      <c r="I35" s="7">
        <v>0</v>
      </c>
      <c r="J35" s="8">
        <f t="shared" si="2"/>
        <v>0</v>
      </c>
      <c r="K35" s="6"/>
      <c r="L35" s="7"/>
      <c r="M35" s="8">
        <f t="shared" si="3"/>
        <v>0</v>
      </c>
      <c r="N35" s="6"/>
      <c r="O35" s="7"/>
      <c r="P35" s="8">
        <f t="shared" si="4"/>
        <v>0</v>
      </c>
      <c r="Q35" s="1"/>
      <c r="R35" s="6">
        <f t="shared" si="5"/>
        <v>4</v>
      </c>
      <c r="S35" s="9">
        <f t="shared" si="6"/>
        <v>0.5</v>
      </c>
      <c r="T35" s="9">
        <f t="shared" si="7"/>
        <v>6.6006600660066007E-3</v>
      </c>
      <c r="U35" s="9">
        <f>R35 / _xlfn.XLOOKUP(A35, Mid!A:A, Mid!AA:AA)</f>
        <v>7.8431372549019607E-2</v>
      </c>
      <c r="V35" s="1"/>
      <c r="W35" s="1"/>
    </row>
    <row r="36" spans="1:23" x14ac:dyDescent="0.25">
      <c r="A36" s="1" t="s">
        <v>117</v>
      </c>
      <c r="B36" s="6"/>
      <c r="C36" s="7"/>
      <c r="D36" s="8">
        <f t="shared" si="0"/>
        <v>0</v>
      </c>
      <c r="E36" s="6"/>
      <c r="F36" s="7"/>
      <c r="G36" s="8">
        <f t="shared" si="1"/>
        <v>0</v>
      </c>
      <c r="H36" s="6">
        <v>2</v>
      </c>
      <c r="I36" s="7">
        <v>0.5</v>
      </c>
      <c r="J36" s="8">
        <f t="shared" si="2"/>
        <v>1</v>
      </c>
      <c r="K36" s="6"/>
      <c r="L36" s="7"/>
      <c r="M36" s="8">
        <f t="shared" si="3"/>
        <v>0</v>
      </c>
      <c r="N36" s="6"/>
      <c r="O36" s="7"/>
      <c r="P36" s="8">
        <f t="shared" si="4"/>
        <v>0</v>
      </c>
      <c r="Q36" s="1"/>
      <c r="R36" s="6">
        <f t="shared" si="5"/>
        <v>2</v>
      </c>
      <c r="S36" s="9">
        <f t="shared" si="6"/>
        <v>0.5</v>
      </c>
      <c r="T36" s="9">
        <f t="shared" si="7"/>
        <v>3.3003300330033004E-3</v>
      </c>
      <c r="U36" s="9">
        <f>R36 / _xlfn.XLOOKUP(A36, Mid!A:A, Mid!AA:AA)</f>
        <v>4.6511627906976744E-2</v>
      </c>
      <c r="V36" s="1"/>
      <c r="W36" s="1"/>
    </row>
    <row r="37" spans="1:23" x14ac:dyDescent="0.25">
      <c r="A37" s="25" t="s">
        <v>150</v>
      </c>
      <c r="B37" s="6">
        <v>2</v>
      </c>
      <c r="C37" s="7">
        <v>0.5</v>
      </c>
      <c r="D37" s="8">
        <f t="shared" si="0"/>
        <v>1</v>
      </c>
      <c r="E37" s="6"/>
      <c r="F37" s="7"/>
      <c r="G37" s="8">
        <f t="shared" si="1"/>
        <v>0</v>
      </c>
      <c r="H37" s="6"/>
      <c r="I37" s="7"/>
      <c r="J37" s="8">
        <f t="shared" si="2"/>
        <v>0</v>
      </c>
      <c r="K37" s="6"/>
      <c r="L37" s="7"/>
      <c r="M37" s="8">
        <f t="shared" si="3"/>
        <v>0</v>
      </c>
      <c r="N37" s="6"/>
      <c r="O37" s="7"/>
      <c r="P37" s="8">
        <f t="shared" si="4"/>
        <v>0</v>
      </c>
      <c r="Q37" s="1"/>
      <c r="R37" s="6">
        <f t="shared" si="5"/>
        <v>2</v>
      </c>
      <c r="S37" s="9">
        <f t="shared" si="6"/>
        <v>0.5</v>
      </c>
      <c r="T37" s="9">
        <f t="shared" si="7"/>
        <v>3.3003300330033004E-3</v>
      </c>
      <c r="U37" s="9">
        <f>R37 / _xlfn.XLOOKUP(A37, Mid!A:A, Mid!AA:AA)</f>
        <v>0.4</v>
      </c>
      <c r="V37" s="1"/>
      <c r="W37" s="1"/>
    </row>
    <row r="38" spans="1:23" x14ac:dyDescent="0.25">
      <c r="A38" s="1" t="s">
        <v>34</v>
      </c>
      <c r="B38" s="6">
        <v>1</v>
      </c>
      <c r="C38" s="7">
        <v>1</v>
      </c>
      <c r="D38" s="8">
        <f t="shared" si="0"/>
        <v>1</v>
      </c>
      <c r="E38" s="6"/>
      <c r="F38" s="7"/>
      <c r="G38" s="8">
        <f t="shared" si="1"/>
        <v>0</v>
      </c>
      <c r="H38" s="6">
        <v>1</v>
      </c>
      <c r="I38" s="7">
        <v>0</v>
      </c>
      <c r="J38" s="8">
        <f t="shared" si="2"/>
        <v>0</v>
      </c>
      <c r="K38" s="6"/>
      <c r="L38" s="7"/>
      <c r="M38" s="8">
        <f t="shared" si="3"/>
        <v>0</v>
      </c>
      <c r="N38" s="6"/>
      <c r="O38" s="7"/>
      <c r="P38" s="8">
        <f t="shared" si="4"/>
        <v>0</v>
      </c>
      <c r="Q38" s="1"/>
      <c r="R38" s="6">
        <f t="shared" si="5"/>
        <v>2</v>
      </c>
      <c r="S38" s="9">
        <f t="shared" si="6"/>
        <v>0.5</v>
      </c>
      <c r="T38" s="9">
        <f t="shared" si="7"/>
        <v>3.3003300330033004E-3</v>
      </c>
      <c r="U38" s="9">
        <f>R38 / _xlfn.XLOOKUP(A38, Mid!A:A, Mid!AA:AA)</f>
        <v>0.10526315789473684</v>
      </c>
      <c r="V38" s="1"/>
      <c r="W38" s="1"/>
    </row>
    <row r="39" spans="1:23" x14ac:dyDescent="0.25">
      <c r="A39" s="25" t="s">
        <v>209</v>
      </c>
      <c r="B39" s="6"/>
      <c r="C39" s="7"/>
      <c r="D39" s="8">
        <f t="shared" si="0"/>
        <v>0</v>
      </c>
      <c r="E39" s="6"/>
      <c r="F39" s="7"/>
      <c r="G39" s="8">
        <f t="shared" si="1"/>
        <v>0</v>
      </c>
      <c r="H39" s="6"/>
      <c r="I39" s="7"/>
      <c r="J39" s="8">
        <f t="shared" si="2"/>
        <v>0</v>
      </c>
      <c r="K39" s="6">
        <v>2</v>
      </c>
      <c r="L39" s="7">
        <v>0.5</v>
      </c>
      <c r="M39" s="8">
        <f t="shared" si="3"/>
        <v>1</v>
      </c>
      <c r="N39" s="6"/>
      <c r="O39" s="7"/>
      <c r="P39" s="8">
        <f t="shared" si="4"/>
        <v>0</v>
      </c>
      <c r="Q39" s="1"/>
      <c r="R39" s="6">
        <f t="shared" si="5"/>
        <v>2</v>
      </c>
      <c r="S39" s="9">
        <f t="shared" si="6"/>
        <v>0.5</v>
      </c>
      <c r="T39" s="9">
        <f t="shared" si="7"/>
        <v>3.3003300330033004E-3</v>
      </c>
      <c r="U39" s="9">
        <f>R39 / _xlfn.XLOOKUP(A39, Mid!A:A, Mid!AA:AA)</f>
        <v>0.14285714285714285</v>
      </c>
    </row>
    <row r="40" spans="1:23" x14ac:dyDescent="0.25">
      <c r="A40" s="1" t="s">
        <v>39</v>
      </c>
      <c r="B40" s="6">
        <v>1</v>
      </c>
      <c r="C40" s="7">
        <v>1</v>
      </c>
      <c r="D40" s="8">
        <f t="shared" si="0"/>
        <v>1</v>
      </c>
      <c r="E40" s="6">
        <v>3</v>
      </c>
      <c r="F40" s="7">
        <v>0.33300000000000002</v>
      </c>
      <c r="G40" s="8">
        <f t="shared" si="1"/>
        <v>0.99900000000000011</v>
      </c>
      <c r="H40" s="6">
        <v>15</v>
      </c>
      <c r="I40" s="7">
        <v>0.4</v>
      </c>
      <c r="J40" s="8">
        <f t="shared" si="2"/>
        <v>6</v>
      </c>
      <c r="K40" s="6"/>
      <c r="L40" s="7"/>
      <c r="M40" s="8">
        <f t="shared" si="3"/>
        <v>0</v>
      </c>
      <c r="N40" s="6"/>
      <c r="O40" s="7"/>
      <c r="P40" s="8">
        <f t="shared" si="4"/>
        <v>0</v>
      </c>
      <c r="Q40" s="1"/>
      <c r="R40" s="6">
        <f t="shared" si="5"/>
        <v>19</v>
      </c>
      <c r="S40" s="9">
        <f t="shared" si="6"/>
        <v>0.42100000000000004</v>
      </c>
      <c r="T40" s="9">
        <f t="shared" si="7"/>
        <v>3.1353135313531351E-2</v>
      </c>
      <c r="U40" s="9">
        <f>R40 / _xlfn.XLOOKUP(A40, Mid!A:A, Mid!AA:AA)</f>
        <v>8.4444444444444447E-2</v>
      </c>
    </row>
    <row r="41" spans="1:23" x14ac:dyDescent="0.25">
      <c r="A41" s="15" t="s">
        <v>201</v>
      </c>
      <c r="B41" s="6"/>
      <c r="C41" s="7"/>
      <c r="D41" s="8">
        <f t="shared" si="0"/>
        <v>0</v>
      </c>
      <c r="E41" s="6"/>
      <c r="F41" s="7"/>
      <c r="G41" s="8">
        <f t="shared" si="1"/>
        <v>0</v>
      </c>
      <c r="H41" s="6">
        <v>1</v>
      </c>
      <c r="I41" s="7">
        <v>0</v>
      </c>
      <c r="J41" s="8">
        <f t="shared" si="2"/>
        <v>0</v>
      </c>
      <c r="K41" s="6">
        <v>5</v>
      </c>
      <c r="L41" s="7">
        <v>0.4</v>
      </c>
      <c r="M41" s="8">
        <f t="shared" si="3"/>
        <v>2</v>
      </c>
      <c r="N41" s="6"/>
      <c r="O41" s="7"/>
      <c r="P41" s="8">
        <f t="shared" si="4"/>
        <v>0</v>
      </c>
      <c r="Q41" s="1"/>
      <c r="R41" s="6">
        <f t="shared" si="5"/>
        <v>6</v>
      </c>
      <c r="S41" s="9">
        <f t="shared" si="6"/>
        <v>0.33333333333333331</v>
      </c>
      <c r="T41" s="9">
        <f t="shared" si="7"/>
        <v>9.9009900990099011E-3</v>
      </c>
      <c r="U41" s="9">
        <f>R41 / _xlfn.XLOOKUP(A41, Mid!A:A, Mid!AA:AA)</f>
        <v>4.7619047619047616E-2</v>
      </c>
    </row>
    <row r="42" spans="1:23" x14ac:dyDescent="0.25">
      <c r="A42" s="1" t="s">
        <v>90</v>
      </c>
      <c r="B42" s="6"/>
      <c r="C42" s="7"/>
      <c r="D42" s="8">
        <f t="shared" si="0"/>
        <v>0</v>
      </c>
      <c r="E42" s="6">
        <v>4</v>
      </c>
      <c r="F42" s="7">
        <v>0.25</v>
      </c>
      <c r="G42" s="8">
        <f t="shared" si="1"/>
        <v>1</v>
      </c>
      <c r="H42" s="6"/>
      <c r="I42" s="7"/>
      <c r="J42" s="8">
        <f t="shared" si="2"/>
        <v>0</v>
      </c>
      <c r="K42" s="6"/>
      <c r="L42" s="7"/>
      <c r="M42" s="8">
        <f t="shared" si="3"/>
        <v>0</v>
      </c>
      <c r="N42" s="6"/>
      <c r="O42" s="7"/>
      <c r="P42" s="8">
        <f t="shared" si="4"/>
        <v>0</v>
      </c>
      <c r="Q42" s="1"/>
      <c r="R42" s="6">
        <f t="shared" si="5"/>
        <v>4</v>
      </c>
      <c r="S42" s="9">
        <f t="shared" si="6"/>
        <v>0.25</v>
      </c>
      <c r="T42" s="9">
        <f t="shared" si="7"/>
        <v>6.6006600660066007E-3</v>
      </c>
      <c r="U42" s="9">
        <f>R42 / _xlfn.XLOOKUP(A42, Mid!A:A, Mid!AA:AA)</f>
        <v>0.2857142857142857</v>
      </c>
    </row>
    <row r="43" spans="1:23" x14ac:dyDescent="0.25">
      <c r="A43" s="1" t="s">
        <v>125</v>
      </c>
      <c r="B43" s="6"/>
      <c r="C43" s="7"/>
      <c r="D43" s="8">
        <f t="shared" si="0"/>
        <v>0</v>
      </c>
      <c r="E43" s="6">
        <v>1</v>
      </c>
      <c r="F43" s="7">
        <v>0</v>
      </c>
      <c r="G43" s="8">
        <f t="shared" si="1"/>
        <v>0</v>
      </c>
      <c r="H43" s="6"/>
      <c r="I43" s="7"/>
      <c r="J43" s="8">
        <f t="shared" si="2"/>
        <v>0</v>
      </c>
      <c r="K43" s="6">
        <v>2</v>
      </c>
      <c r="L43" s="7">
        <v>0</v>
      </c>
      <c r="M43" s="8">
        <f t="shared" si="3"/>
        <v>0</v>
      </c>
      <c r="N43" s="6"/>
      <c r="O43" s="7"/>
      <c r="P43" s="8">
        <f t="shared" si="4"/>
        <v>0</v>
      </c>
      <c r="Q43" s="1"/>
      <c r="R43" s="6">
        <f t="shared" si="5"/>
        <v>3</v>
      </c>
      <c r="S43" s="9">
        <f t="shared" si="6"/>
        <v>0</v>
      </c>
      <c r="T43" s="9">
        <f t="shared" si="7"/>
        <v>4.9504950495049506E-3</v>
      </c>
      <c r="U43" s="9">
        <f>R43 / _xlfn.XLOOKUP(A43, Mid!A:A, Mid!AA:AA)</f>
        <v>5.4545454545454543E-2</v>
      </c>
    </row>
    <row r="44" spans="1:23" x14ac:dyDescent="0.25">
      <c r="A44" s="15" t="s">
        <v>200</v>
      </c>
      <c r="B44" s="6"/>
      <c r="C44" s="7"/>
      <c r="D44" s="8">
        <f t="shared" si="0"/>
        <v>0</v>
      </c>
      <c r="E44" s="6"/>
      <c r="F44" s="7"/>
      <c r="G44" s="8">
        <f t="shared" si="1"/>
        <v>0</v>
      </c>
      <c r="H44" s="6">
        <v>2</v>
      </c>
      <c r="I44" s="7">
        <v>0</v>
      </c>
      <c r="J44" s="8">
        <f t="shared" si="2"/>
        <v>0</v>
      </c>
      <c r="K44" s="6"/>
      <c r="L44" s="7"/>
      <c r="M44" s="8">
        <f t="shared" si="3"/>
        <v>0</v>
      </c>
      <c r="N44" s="6"/>
      <c r="O44" s="7"/>
      <c r="P44" s="8">
        <f t="shared" si="4"/>
        <v>0</v>
      </c>
      <c r="Q44" s="1"/>
      <c r="R44" s="6">
        <f t="shared" si="5"/>
        <v>2</v>
      </c>
      <c r="S44" s="9">
        <f t="shared" si="6"/>
        <v>0</v>
      </c>
      <c r="T44" s="9">
        <f t="shared" si="7"/>
        <v>3.3003300330033004E-3</v>
      </c>
      <c r="U44" s="9">
        <f>R44 / _xlfn.XLOOKUP(A44, Mid!A:A, Mid!AA:AA)</f>
        <v>0.4</v>
      </c>
    </row>
    <row r="45" spans="1:23" x14ac:dyDescent="0.25">
      <c r="A45" s="15" t="s">
        <v>151</v>
      </c>
      <c r="B45" s="6"/>
      <c r="C45" s="7"/>
      <c r="D45" s="8">
        <f t="shared" si="0"/>
        <v>0</v>
      </c>
      <c r="E45" s="6"/>
      <c r="F45" s="7"/>
      <c r="G45" s="8">
        <f t="shared" si="1"/>
        <v>0</v>
      </c>
      <c r="H45" s="6">
        <v>1</v>
      </c>
      <c r="I45" s="7">
        <v>0</v>
      </c>
      <c r="J45" s="8">
        <f t="shared" si="2"/>
        <v>0</v>
      </c>
      <c r="K45" s="6"/>
      <c r="L45" s="7"/>
      <c r="M45" s="8">
        <f t="shared" si="3"/>
        <v>0</v>
      </c>
      <c r="N45" s="6"/>
      <c r="O45" s="7"/>
      <c r="P45" s="8">
        <f t="shared" si="4"/>
        <v>0</v>
      </c>
      <c r="Q45" s="1"/>
      <c r="R45" s="6">
        <f t="shared" si="5"/>
        <v>1</v>
      </c>
      <c r="S45" s="9">
        <f t="shared" si="6"/>
        <v>0</v>
      </c>
      <c r="T45" s="9">
        <f t="shared" si="7"/>
        <v>1.6501650165016502E-3</v>
      </c>
      <c r="U45" s="9">
        <f>R45 / _xlfn.XLOOKUP(A45, Mid!A:A, Mid!AA:AA)</f>
        <v>1</v>
      </c>
    </row>
    <row r="46" spans="1:23" x14ac:dyDescent="0.25">
      <c r="A46" s="1" t="s">
        <v>29</v>
      </c>
      <c r="B46" s="6"/>
      <c r="C46" s="7"/>
      <c r="D46" s="8">
        <f t="shared" si="0"/>
        <v>0</v>
      </c>
      <c r="E46" s="6"/>
      <c r="F46" s="7"/>
      <c r="G46" s="8">
        <f t="shared" si="1"/>
        <v>0</v>
      </c>
      <c r="H46" s="6">
        <v>1</v>
      </c>
      <c r="I46" s="7">
        <v>0</v>
      </c>
      <c r="J46" s="8">
        <f t="shared" si="2"/>
        <v>0</v>
      </c>
      <c r="K46" s="6"/>
      <c r="L46" s="7"/>
      <c r="M46" s="8">
        <f t="shared" si="3"/>
        <v>0</v>
      </c>
      <c r="N46" s="6"/>
      <c r="O46" s="7"/>
      <c r="P46" s="8">
        <f t="shared" si="4"/>
        <v>0</v>
      </c>
      <c r="Q46" s="1"/>
      <c r="R46" s="6">
        <f t="shared" si="5"/>
        <v>1</v>
      </c>
      <c r="S46" s="9">
        <f t="shared" si="6"/>
        <v>0</v>
      </c>
      <c r="T46" s="9">
        <f t="shared" si="7"/>
        <v>1.6501650165016502E-3</v>
      </c>
      <c r="U46" s="9">
        <f>R46 / _xlfn.XLOOKUP(A46, Mid!A:A, Mid!AA:AA)</f>
        <v>2.6315789473684209E-2</v>
      </c>
    </row>
    <row r="47" spans="1:23" x14ac:dyDescent="0.25">
      <c r="A47" s="15" t="s">
        <v>35</v>
      </c>
      <c r="B47" s="6"/>
      <c r="C47" s="7"/>
      <c r="D47" s="8">
        <f t="shared" si="0"/>
        <v>0</v>
      </c>
      <c r="E47" s="6"/>
      <c r="F47" s="7"/>
      <c r="G47" s="8">
        <f t="shared" si="1"/>
        <v>0</v>
      </c>
      <c r="H47" s="6">
        <v>1</v>
      </c>
      <c r="I47" s="7">
        <v>0</v>
      </c>
      <c r="J47" s="8">
        <f t="shared" si="2"/>
        <v>0</v>
      </c>
      <c r="K47" s="6"/>
      <c r="L47" s="7"/>
      <c r="M47" s="8">
        <f t="shared" si="3"/>
        <v>0</v>
      </c>
      <c r="N47" s="6"/>
      <c r="O47" s="7"/>
      <c r="P47" s="8">
        <f t="shared" si="4"/>
        <v>0</v>
      </c>
      <c r="Q47" s="1"/>
      <c r="R47" s="6">
        <f t="shared" si="5"/>
        <v>1</v>
      </c>
      <c r="S47" s="9">
        <f t="shared" si="6"/>
        <v>0</v>
      </c>
      <c r="T47" s="9">
        <f t="shared" si="7"/>
        <v>1.6501650165016502E-3</v>
      </c>
      <c r="U47" s="9">
        <f>R47 / _xlfn.XLOOKUP(A47, Mid!A:A, Mid!AA:AA)</f>
        <v>3.4482758620689655E-2</v>
      </c>
    </row>
    <row r="48" spans="1:23" x14ac:dyDescent="0.25">
      <c r="A48" s="1" t="s">
        <v>22</v>
      </c>
      <c r="B48" s="6">
        <v>1</v>
      </c>
      <c r="C48" s="7">
        <v>0</v>
      </c>
      <c r="D48" s="8">
        <f t="shared" si="0"/>
        <v>0</v>
      </c>
      <c r="E48" s="6"/>
      <c r="F48" s="7"/>
      <c r="G48" s="8">
        <f t="shared" si="1"/>
        <v>0</v>
      </c>
      <c r="H48" s="6"/>
      <c r="I48" s="7"/>
      <c r="J48" s="8">
        <f t="shared" si="2"/>
        <v>0</v>
      </c>
      <c r="K48" s="6"/>
      <c r="L48" s="7"/>
      <c r="M48" s="8">
        <f t="shared" si="3"/>
        <v>0</v>
      </c>
      <c r="N48" s="6"/>
      <c r="O48" s="7"/>
      <c r="P48" s="8">
        <f t="shared" si="4"/>
        <v>0</v>
      </c>
      <c r="Q48" s="1"/>
      <c r="R48" s="6">
        <f t="shared" si="5"/>
        <v>1</v>
      </c>
      <c r="S48" s="9">
        <f t="shared" si="6"/>
        <v>0</v>
      </c>
      <c r="T48" s="9">
        <f t="shared" si="7"/>
        <v>1.6501650165016502E-3</v>
      </c>
      <c r="U48" s="9">
        <f>R48 / _xlfn.XLOOKUP(A48, Mid!A:A, Mid!AA:AA)</f>
        <v>0.125</v>
      </c>
    </row>
    <row r="49" spans="1:21" x14ac:dyDescent="0.25">
      <c r="A49" s="1" t="s">
        <v>21</v>
      </c>
      <c r="B49" s="6"/>
      <c r="C49" s="7"/>
      <c r="D49" s="8">
        <f t="shared" si="0"/>
        <v>0</v>
      </c>
      <c r="E49" s="6"/>
      <c r="F49" s="7"/>
      <c r="G49" s="8">
        <f t="shared" si="1"/>
        <v>0</v>
      </c>
      <c r="H49" s="6">
        <v>1</v>
      </c>
      <c r="I49" s="7">
        <v>0</v>
      </c>
      <c r="J49" s="8">
        <f t="shared" si="2"/>
        <v>0</v>
      </c>
      <c r="K49" s="6"/>
      <c r="L49" s="7"/>
      <c r="M49" s="8">
        <f t="shared" si="3"/>
        <v>0</v>
      </c>
      <c r="N49" s="6"/>
      <c r="O49" s="7"/>
      <c r="P49" s="8">
        <f t="shared" si="4"/>
        <v>0</v>
      </c>
      <c r="Q49" s="1"/>
      <c r="R49" s="6">
        <f t="shared" si="5"/>
        <v>1</v>
      </c>
      <c r="S49" s="9">
        <f t="shared" si="6"/>
        <v>0</v>
      </c>
      <c r="T49" s="9">
        <f t="shared" si="7"/>
        <v>1.6501650165016502E-3</v>
      </c>
      <c r="U49" s="9">
        <f>R49 / _xlfn.XLOOKUP(A49, Mid!A:A, Mid!AA:AA)</f>
        <v>0.33333333333333331</v>
      </c>
    </row>
    <row r="50" spans="1:21" x14ac:dyDescent="0.25">
      <c r="A50" s="1"/>
      <c r="B50" s="6"/>
      <c r="C50" s="7"/>
      <c r="D50" s="8">
        <f t="shared" ref="D50:D51" si="8">B50*C50</f>
        <v>0</v>
      </c>
      <c r="E50" s="6"/>
      <c r="F50" s="7"/>
      <c r="G50" s="8">
        <f t="shared" ref="G50:G51" si="9">E50*F50</f>
        <v>0</v>
      </c>
      <c r="H50" s="6"/>
      <c r="I50" s="7"/>
      <c r="J50" s="8">
        <f t="shared" ref="J50:J51" si="10">H50*I50</f>
        <v>0</v>
      </c>
      <c r="K50" s="6"/>
      <c r="L50" s="7"/>
      <c r="M50" s="8">
        <f t="shared" ref="M50:M51" si="11">K50*L50</f>
        <v>0</v>
      </c>
      <c r="N50" s="6"/>
      <c r="O50" s="7"/>
      <c r="P50" s="8">
        <f t="shared" ref="P50:P55" si="12">N50*O50</f>
        <v>0</v>
      </c>
      <c r="Q50" s="1"/>
      <c r="R50" s="6">
        <f t="shared" ref="R50:R55" si="13">B50+E50+H50+K50+N50</f>
        <v>0</v>
      </c>
      <c r="S50" s="9" t="e">
        <f t="shared" ref="S50:S55" si="14">(D50+G50+J50+M50+P50)/R50</f>
        <v>#DIV/0!</v>
      </c>
      <c r="T50" s="9">
        <f t="shared" ref="T50:T55" si="15">R50/$V$3</f>
        <v>0</v>
      </c>
      <c r="U50" s="9" t="e">
        <f>R50 / _xlfn.XLOOKUP(A50, Mid!A:A, Mid!AA:AA)</f>
        <v>#DIV/0!</v>
      </c>
    </row>
    <row r="51" spans="1:21" x14ac:dyDescent="0.25">
      <c r="A51" s="1"/>
      <c r="B51" s="6"/>
      <c r="C51" s="7"/>
      <c r="D51" s="8">
        <f t="shared" si="8"/>
        <v>0</v>
      </c>
      <c r="E51" s="6"/>
      <c r="F51" s="7"/>
      <c r="G51" s="8">
        <f t="shared" si="9"/>
        <v>0</v>
      </c>
      <c r="H51" s="6"/>
      <c r="I51" s="7"/>
      <c r="J51" s="8">
        <f t="shared" si="10"/>
        <v>0</v>
      </c>
      <c r="K51" s="6"/>
      <c r="L51" s="7"/>
      <c r="M51" s="8">
        <f t="shared" si="11"/>
        <v>0</v>
      </c>
      <c r="N51" s="6"/>
      <c r="O51" s="7"/>
      <c r="P51" s="8">
        <f t="shared" si="12"/>
        <v>0</v>
      </c>
      <c r="Q51" s="1"/>
      <c r="R51" s="6">
        <f t="shared" si="13"/>
        <v>0</v>
      </c>
      <c r="S51" s="9" t="e">
        <f t="shared" si="14"/>
        <v>#DIV/0!</v>
      </c>
      <c r="T51" s="9">
        <f t="shared" si="15"/>
        <v>0</v>
      </c>
      <c r="U51" s="9" t="e">
        <f>R51 / _xlfn.XLOOKUP(A51, Mid!A:A, Mid!AA:AA)</f>
        <v>#DIV/0!</v>
      </c>
    </row>
    <row r="52" spans="1:21" x14ac:dyDescent="0.25">
      <c r="N52" s="6"/>
      <c r="O52" s="7"/>
      <c r="P52" s="8">
        <f t="shared" si="12"/>
        <v>0</v>
      </c>
      <c r="Q52" s="1"/>
      <c r="R52" s="6">
        <f t="shared" si="13"/>
        <v>0</v>
      </c>
      <c r="S52" s="9" t="e">
        <f t="shared" si="14"/>
        <v>#DIV/0!</v>
      </c>
      <c r="T52" s="9">
        <f t="shared" si="15"/>
        <v>0</v>
      </c>
      <c r="U52" s="9" t="e">
        <f>R52 / _xlfn.XLOOKUP(A52, Mid!A:A, Mid!AA:AA)</f>
        <v>#DIV/0!</v>
      </c>
    </row>
    <row r="53" spans="1:21" x14ac:dyDescent="0.25">
      <c r="N53" s="6"/>
      <c r="O53" s="7"/>
      <c r="P53" s="8">
        <f t="shared" si="12"/>
        <v>0</v>
      </c>
      <c r="Q53" s="1"/>
      <c r="R53" s="6">
        <f t="shared" si="13"/>
        <v>0</v>
      </c>
      <c r="S53" s="9" t="e">
        <f t="shared" si="14"/>
        <v>#DIV/0!</v>
      </c>
      <c r="T53" s="9">
        <f t="shared" si="15"/>
        <v>0</v>
      </c>
      <c r="U53" s="9" t="e">
        <f>R53 / _xlfn.XLOOKUP(A53, Mid!A:A, Mid!AA:AA)</f>
        <v>#DIV/0!</v>
      </c>
    </row>
    <row r="54" spans="1:21" x14ac:dyDescent="0.25">
      <c r="N54" s="6"/>
      <c r="O54" s="7"/>
      <c r="P54" s="8">
        <f t="shared" si="12"/>
        <v>0</v>
      </c>
      <c r="Q54" s="1"/>
      <c r="R54" s="6">
        <f t="shared" si="13"/>
        <v>0</v>
      </c>
      <c r="S54" s="9" t="e">
        <f t="shared" si="14"/>
        <v>#DIV/0!</v>
      </c>
      <c r="T54" s="9">
        <f t="shared" si="15"/>
        <v>0</v>
      </c>
      <c r="U54" s="9" t="e">
        <f>R54 / _xlfn.XLOOKUP(A54, Mid!A:A, Mid!AA:AA)</f>
        <v>#DIV/0!</v>
      </c>
    </row>
    <row r="55" spans="1:21" x14ac:dyDescent="0.25">
      <c r="N55" s="6"/>
      <c r="O55" s="7"/>
      <c r="P55" s="8">
        <f t="shared" si="12"/>
        <v>0</v>
      </c>
      <c r="Q55" s="1"/>
      <c r="R55" s="6">
        <f t="shared" si="13"/>
        <v>0</v>
      </c>
      <c r="S55" s="9" t="e">
        <f t="shared" si="14"/>
        <v>#DIV/0!</v>
      </c>
      <c r="T55" s="9">
        <f t="shared" si="15"/>
        <v>0</v>
      </c>
      <c r="U55" s="9" t="e">
        <f>R55 / _xlfn.XLOOKUP(A55, Mid!A:A, Mid!AA:AA)</f>
        <v>#DIV/0!</v>
      </c>
    </row>
  </sheetData>
  <sortState xmlns:xlrd2="http://schemas.microsoft.com/office/spreadsheetml/2017/richdata2" ref="A3:U49">
    <sortCondition descending="1" ref="S3:S49"/>
  </sortState>
  <pageMargins left="0.7" right="0.7" top="0.78740157499999996" bottom="0.78740157499999996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30BD8-F750-46F8-AAF8-A1714954F5EC}">
  <sheetPr>
    <tabColor theme="7" tint="0.59999389629810485"/>
  </sheetPr>
  <dimension ref="A1:W42"/>
  <sheetViews>
    <sheetView workbookViewId="0">
      <selection activeCell="U3" sqref="U3:U30"/>
    </sheetView>
  </sheetViews>
  <sheetFormatPr baseColWidth="10" defaultRowHeight="15" x14ac:dyDescent="0.25"/>
  <sheetData>
    <row r="1" spans="1:23" ht="15.75" x14ac:dyDescent="0.25">
      <c r="A1" s="2" t="s">
        <v>132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9</v>
      </c>
      <c r="B3" s="6"/>
      <c r="C3" s="7"/>
      <c r="D3" s="8">
        <f t="shared" ref="D3:D30" si="0">B3*C3</f>
        <v>0</v>
      </c>
      <c r="E3" s="6"/>
      <c r="F3" s="7"/>
      <c r="G3" s="8">
        <f t="shared" ref="G3:G30" si="1">E3*F3</f>
        <v>0</v>
      </c>
      <c r="H3" s="6"/>
      <c r="I3" s="7"/>
      <c r="J3" s="8">
        <f t="shared" ref="J3:J30" si="2">H3*I3</f>
        <v>0</v>
      </c>
      <c r="K3" s="6"/>
      <c r="L3" s="7"/>
      <c r="M3" s="8">
        <f t="shared" ref="M3:M30" si="3">K3*L3</f>
        <v>0</v>
      </c>
      <c r="N3" s="6"/>
      <c r="O3" s="7"/>
      <c r="P3" s="8">
        <f t="shared" ref="P3:P30" si="4">N3*O3</f>
        <v>0</v>
      </c>
      <c r="Q3" s="4"/>
      <c r="R3" s="6">
        <f t="shared" ref="R3:R30" si="5">B3+E3+H3+K3+N3</f>
        <v>0</v>
      </c>
      <c r="S3" s="9" t="e">
        <f t="shared" ref="S3:S30" si="6">(D3+G3+J3+M3+P3)/R3</f>
        <v>#DIV/0!</v>
      </c>
      <c r="T3" s="9">
        <f t="shared" ref="T3:T30" si="7">R3/$V$3</f>
        <v>0</v>
      </c>
      <c r="U3" s="9">
        <f>R3 / _xlfn.XLOOKUP(A3, Mid!A:A, Mid!AA:AA)</f>
        <v>0</v>
      </c>
      <c r="V3" s="11">
        <f>SUM(R3:R50)</f>
        <v>195</v>
      </c>
      <c r="W3" s="12">
        <f>(SUM(D3:D81)+SUM(G3:G81)+SUM(J3:J81)+SUM(M3:M81)+SUM(P3:P81)) / V3</f>
        <v>0.34353846153846151</v>
      </c>
    </row>
    <row r="4" spans="1:23" x14ac:dyDescent="0.25">
      <c r="A4" s="1" t="s">
        <v>18</v>
      </c>
      <c r="B4" s="6">
        <v>5</v>
      </c>
      <c r="C4" s="7">
        <v>0.8</v>
      </c>
      <c r="D4" s="8">
        <f t="shared" si="0"/>
        <v>4</v>
      </c>
      <c r="E4" s="6"/>
      <c r="F4" s="7"/>
      <c r="G4" s="8">
        <f t="shared" si="1"/>
        <v>0</v>
      </c>
      <c r="H4" s="6"/>
      <c r="I4" s="7"/>
      <c r="J4" s="8">
        <f t="shared" si="2"/>
        <v>0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5</v>
      </c>
      <c r="S4" s="9">
        <f t="shared" si="6"/>
        <v>0.8</v>
      </c>
      <c r="T4" s="9">
        <f t="shared" si="7"/>
        <v>2.564102564102564E-2</v>
      </c>
      <c r="U4" s="9">
        <f>R4 / _xlfn.XLOOKUP(A4, Mid!A:A, Mid!AA:AA)</f>
        <v>5.2631578947368418E-2</v>
      </c>
      <c r="V4" s="1"/>
      <c r="W4" s="1"/>
    </row>
    <row r="5" spans="1:23" x14ac:dyDescent="0.25">
      <c r="A5" s="1" t="s">
        <v>61</v>
      </c>
      <c r="B5" s="6">
        <v>3</v>
      </c>
      <c r="C5" s="7">
        <v>0.66700000000000004</v>
      </c>
      <c r="D5" s="8">
        <f t="shared" si="0"/>
        <v>2.0010000000000003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3</v>
      </c>
      <c r="S5" s="9">
        <f t="shared" si="6"/>
        <v>0.66700000000000015</v>
      </c>
      <c r="T5" s="9">
        <f t="shared" si="7"/>
        <v>1.5384615384615385E-2</v>
      </c>
      <c r="U5" s="9">
        <f>R5 / _xlfn.XLOOKUP(A5, Mid!A:A, Mid!AA:AA)</f>
        <v>9.375E-2</v>
      </c>
      <c r="V5" s="1"/>
      <c r="W5" s="1"/>
    </row>
    <row r="6" spans="1:23" x14ac:dyDescent="0.25">
      <c r="A6" s="1" t="s">
        <v>113</v>
      </c>
      <c r="B6" s="6"/>
      <c r="C6" s="7"/>
      <c r="D6" s="8">
        <f t="shared" si="0"/>
        <v>0</v>
      </c>
      <c r="E6" s="6">
        <v>5</v>
      </c>
      <c r="F6" s="7">
        <v>0.6</v>
      </c>
      <c r="G6" s="8">
        <f t="shared" si="1"/>
        <v>3</v>
      </c>
      <c r="H6" s="6"/>
      <c r="I6" s="7"/>
      <c r="J6" s="8">
        <f t="shared" si="2"/>
        <v>0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1"/>
      <c r="R6" s="6">
        <f t="shared" si="5"/>
        <v>5</v>
      </c>
      <c r="S6" s="9">
        <f t="shared" si="6"/>
        <v>0.6</v>
      </c>
      <c r="T6" s="9">
        <f t="shared" si="7"/>
        <v>2.564102564102564E-2</v>
      </c>
      <c r="U6" s="9">
        <f>R6 / _xlfn.XLOOKUP(A6, Mid!A:A, Mid!AA:AA)</f>
        <v>2.7027027027027029E-2</v>
      </c>
      <c r="V6" s="1"/>
      <c r="W6" s="1"/>
    </row>
    <row r="7" spans="1:23" x14ac:dyDescent="0.25">
      <c r="A7" s="1" t="s">
        <v>111</v>
      </c>
      <c r="B7" s="6">
        <v>5</v>
      </c>
      <c r="C7" s="7">
        <v>0.6</v>
      </c>
      <c r="D7" s="8">
        <f t="shared" si="0"/>
        <v>3</v>
      </c>
      <c r="E7" s="6"/>
      <c r="F7" s="7"/>
      <c r="G7" s="8">
        <f t="shared" si="1"/>
        <v>0</v>
      </c>
      <c r="H7" s="6"/>
      <c r="I7" s="7"/>
      <c r="J7" s="8">
        <f t="shared" si="2"/>
        <v>0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4"/>
      <c r="R7" s="6">
        <f t="shared" si="5"/>
        <v>5</v>
      </c>
      <c r="S7" s="9">
        <f t="shared" si="6"/>
        <v>0.6</v>
      </c>
      <c r="T7" s="9">
        <f t="shared" si="7"/>
        <v>2.564102564102564E-2</v>
      </c>
      <c r="U7" s="9">
        <f>R7 / _xlfn.XLOOKUP(A7, Mid!A:A, Mid!AA:AA)</f>
        <v>8.6206896551724144E-2</v>
      </c>
      <c r="V7" s="1"/>
      <c r="W7" s="1"/>
    </row>
    <row r="8" spans="1:23" x14ac:dyDescent="0.25">
      <c r="A8" s="1" t="s">
        <v>8</v>
      </c>
      <c r="B8" s="6"/>
      <c r="C8" s="7"/>
      <c r="D8" s="8">
        <f t="shared" si="0"/>
        <v>0</v>
      </c>
      <c r="E8" s="6">
        <v>8</v>
      </c>
      <c r="F8" s="7">
        <v>0.5</v>
      </c>
      <c r="G8" s="8">
        <f t="shared" si="1"/>
        <v>4</v>
      </c>
      <c r="H8" s="6"/>
      <c r="I8" s="7"/>
      <c r="J8" s="8">
        <f t="shared" si="2"/>
        <v>0</v>
      </c>
      <c r="K8" s="6"/>
      <c r="L8" s="7"/>
      <c r="M8" s="8">
        <f t="shared" si="3"/>
        <v>0</v>
      </c>
      <c r="N8" s="6"/>
      <c r="O8" s="7"/>
      <c r="P8" s="8">
        <f t="shared" si="4"/>
        <v>0</v>
      </c>
      <c r="Q8" s="4"/>
      <c r="R8" s="6">
        <f t="shared" si="5"/>
        <v>8</v>
      </c>
      <c r="S8" s="9">
        <f t="shared" si="6"/>
        <v>0.5</v>
      </c>
      <c r="T8" s="9">
        <f t="shared" si="7"/>
        <v>4.1025641025641026E-2</v>
      </c>
      <c r="U8" s="9">
        <f>R8 / _xlfn.XLOOKUP(A8, Mid!A:A, Mid!AA:AA)</f>
        <v>7.2072072072072071E-2</v>
      </c>
      <c r="V8" s="1"/>
      <c r="W8" s="1"/>
    </row>
    <row r="9" spans="1:23" x14ac:dyDescent="0.25">
      <c r="A9" s="1" t="s">
        <v>14</v>
      </c>
      <c r="B9" s="6">
        <v>2</v>
      </c>
      <c r="C9" s="7">
        <v>0.5</v>
      </c>
      <c r="D9" s="8">
        <f t="shared" si="0"/>
        <v>1</v>
      </c>
      <c r="E9" s="6"/>
      <c r="F9" s="7"/>
      <c r="G9" s="8">
        <f t="shared" si="1"/>
        <v>0</v>
      </c>
      <c r="H9" s="6"/>
      <c r="I9" s="7"/>
      <c r="J9" s="8">
        <f t="shared" si="2"/>
        <v>0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1"/>
      <c r="R9" s="6">
        <f t="shared" si="5"/>
        <v>2</v>
      </c>
      <c r="S9" s="9">
        <f t="shared" si="6"/>
        <v>0.5</v>
      </c>
      <c r="T9" s="9">
        <f t="shared" si="7"/>
        <v>1.0256410256410256E-2</v>
      </c>
      <c r="U9" s="9">
        <f>R9 / _xlfn.XLOOKUP(A9, Mid!A:A, Mid!AA:AA)</f>
        <v>1</v>
      </c>
      <c r="V9" s="1"/>
      <c r="W9" s="1"/>
    </row>
    <row r="10" spans="1:23" x14ac:dyDescent="0.25">
      <c r="A10" s="1" t="s">
        <v>120</v>
      </c>
      <c r="B10" s="6">
        <v>2</v>
      </c>
      <c r="C10" s="7">
        <v>0.5</v>
      </c>
      <c r="D10" s="8">
        <f t="shared" si="0"/>
        <v>1</v>
      </c>
      <c r="E10" s="6"/>
      <c r="F10" s="7"/>
      <c r="G10" s="8">
        <f t="shared" si="1"/>
        <v>0</v>
      </c>
      <c r="H10" s="6"/>
      <c r="I10" s="7"/>
      <c r="J10" s="8">
        <f t="shared" si="2"/>
        <v>0</v>
      </c>
      <c r="K10" s="6"/>
      <c r="L10" s="7"/>
      <c r="M10" s="8">
        <f t="shared" si="3"/>
        <v>0</v>
      </c>
      <c r="N10" s="6"/>
      <c r="O10" s="7"/>
      <c r="P10" s="8">
        <f t="shared" si="4"/>
        <v>0</v>
      </c>
      <c r="Q10" s="1"/>
      <c r="R10" s="6">
        <f t="shared" si="5"/>
        <v>2</v>
      </c>
      <c r="S10" s="9">
        <f t="shared" si="6"/>
        <v>0.5</v>
      </c>
      <c r="T10" s="9">
        <f t="shared" si="7"/>
        <v>1.0256410256410256E-2</v>
      </c>
      <c r="U10" s="9">
        <f>R10 / _xlfn.XLOOKUP(A10, Mid!A:A, Mid!AA:AA)</f>
        <v>4.0816326530612242E-2</v>
      </c>
      <c r="V10" s="1"/>
      <c r="W10" s="1"/>
    </row>
    <row r="11" spans="1:23" x14ac:dyDescent="0.25">
      <c r="A11" s="1" t="s">
        <v>52</v>
      </c>
      <c r="B11" s="6">
        <v>15</v>
      </c>
      <c r="C11" s="7">
        <v>0.4</v>
      </c>
      <c r="D11" s="8">
        <f t="shared" si="0"/>
        <v>6</v>
      </c>
      <c r="E11" s="6">
        <v>7</v>
      </c>
      <c r="F11" s="7">
        <v>0.57099999999999995</v>
      </c>
      <c r="G11" s="8">
        <f t="shared" si="1"/>
        <v>3.9969999999999999</v>
      </c>
      <c r="H11" s="6">
        <v>2</v>
      </c>
      <c r="I11" s="7">
        <v>0.5</v>
      </c>
      <c r="J11" s="8">
        <f t="shared" si="2"/>
        <v>1</v>
      </c>
      <c r="K11" s="6"/>
      <c r="L11" s="7"/>
      <c r="M11" s="8">
        <f t="shared" si="3"/>
        <v>0</v>
      </c>
      <c r="N11" s="6"/>
      <c r="O11" s="7"/>
      <c r="P11" s="8">
        <f t="shared" si="4"/>
        <v>0</v>
      </c>
      <c r="Q11" s="1"/>
      <c r="R11" s="6">
        <f t="shared" si="5"/>
        <v>24</v>
      </c>
      <c r="S11" s="9">
        <f t="shared" si="6"/>
        <v>0.45820833333333333</v>
      </c>
      <c r="T11" s="9">
        <f t="shared" si="7"/>
        <v>0.12307692307692308</v>
      </c>
      <c r="U11" s="9">
        <f>R11 / _xlfn.XLOOKUP(A11, Mid!A:A, Mid!AA:AA)</f>
        <v>0.10859728506787331</v>
      </c>
      <c r="V11" s="1"/>
      <c r="W11" s="1"/>
    </row>
    <row r="12" spans="1:23" x14ac:dyDescent="0.25">
      <c r="A12" s="1" t="s">
        <v>48</v>
      </c>
      <c r="B12" s="6">
        <v>14</v>
      </c>
      <c r="C12" s="7">
        <v>0.5</v>
      </c>
      <c r="D12" s="8">
        <f t="shared" si="0"/>
        <v>7</v>
      </c>
      <c r="E12" s="6">
        <v>2</v>
      </c>
      <c r="F12" s="7">
        <v>0</v>
      </c>
      <c r="G12" s="8">
        <f t="shared" si="1"/>
        <v>0</v>
      </c>
      <c r="H12" s="6"/>
      <c r="I12" s="7"/>
      <c r="J12" s="8">
        <f t="shared" si="2"/>
        <v>0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4"/>
      <c r="R12" s="6">
        <f t="shared" si="5"/>
        <v>16</v>
      </c>
      <c r="S12" s="9">
        <f t="shared" si="6"/>
        <v>0.4375</v>
      </c>
      <c r="T12" s="9">
        <f t="shared" si="7"/>
        <v>8.2051282051282051E-2</v>
      </c>
      <c r="U12" s="9">
        <f>R12 / _xlfn.XLOOKUP(A12, Mid!A:A, Mid!AA:AA)</f>
        <v>5.5944055944055944E-2</v>
      </c>
      <c r="V12" s="1"/>
      <c r="W12" s="1"/>
    </row>
    <row r="13" spans="1:23" x14ac:dyDescent="0.25">
      <c r="A13" s="1" t="s">
        <v>128</v>
      </c>
      <c r="B13" s="6">
        <v>5</v>
      </c>
      <c r="C13" s="7">
        <v>0.6</v>
      </c>
      <c r="D13" s="8">
        <f t="shared" si="0"/>
        <v>3</v>
      </c>
      <c r="E13" s="6">
        <v>2</v>
      </c>
      <c r="F13" s="7">
        <v>0</v>
      </c>
      <c r="G13" s="8">
        <f t="shared" si="1"/>
        <v>0</v>
      </c>
      <c r="H13" s="6"/>
      <c r="I13" s="7"/>
      <c r="J13" s="8">
        <f t="shared" si="2"/>
        <v>0</v>
      </c>
      <c r="K13" s="6"/>
      <c r="L13" s="7"/>
      <c r="M13" s="8">
        <f t="shared" si="3"/>
        <v>0</v>
      </c>
      <c r="N13" s="6"/>
      <c r="O13" s="7"/>
      <c r="P13" s="8">
        <f t="shared" si="4"/>
        <v>0</v>
      </c>
      <c r="Q13" s="1"/>
      <c r="R13" s="6">
        <f t="shared" si="5"/>
        <v>7</v>
      </c>
      <c r="S13" s="9">
        <f t="shared" si="6"/>
        <v>0.42857142857142855</v>
      </c>
      <c r="T13" s="9">
        <f t="shared" si="7"/>
        <v>3.5897435897435895E-2</v>
      </c>
      <c r="U13" s="9">
        <f>R13 / _xlfn.XLOOKUP(A13, Mid!A:A, Mid!AA:AA)</f>
        <v>5.737704918032787E-2</v>
      </c>
      <c r="V13" s="1"/>
      <c r="W13" s="1"/>
    </row>
    <row r="14" spans="1:23" x14ac:dyDescent="0.25">
      <c r="A14" s="1" t="s">
        <v>64</v>
      </c>
      <c r="B14" s="6">
        <v>4</v>
      </c>
      <c r="C14" s="7">
        <v>0</v>
      </c>
      <c r="D14" s="8">
        <f t="shared" si="0"/>
        <v>0</v>
      </c>
      <c r="E14" s="6">
        <v>12</v>
      </c>
      <c r="F14" s="7">
        <v>0.5</v>
      </c>
      <c r="G14" s="8">
        <f t="shared" si="1"/>
        <v>6</v>
      </c>
      <c r="H14" s="6"/>
      <c r="I14" s="7"/>
      <c r="J14" s="8">
        <f t="shared" si="2"/>
        <v>0</v>
      </c>
      <c r="K14" s="6"/>
      <c r="L14" s="7"/>
      <c r="M14" s="8">
        <f t="shared" si="3"/>
        <v>0</v>
      </c>
      <c r="N14" s="6"/>
      <c r="O14" s="7"/>
      <c r="P14" s="8">
        <f t="shared" si="4"/>
        <v>0</v>
      </c>
      <c r="Q14" s="1"/>
      <c r="R14" s="6">
        <f t="shared" si="5"/>
        <v>16</v>
      </c>
      <c r="S14" s="9">
        <f t="shared" si="6"/>
        <v>0.375</v>
      </c>
      <c r="T14" s="9">
        <f t="shared" si="7"/>
        <v>8.2051282051282051E-2</v>
      </c>
      <c r="U14" s="9">
        <f>R14 / _xlfn.XLOOKUP(A14, Mid!A:A, Mid!AA:AA)</f>
        <v>2.0969855832241154E-2</v>
      </c>
      <c r="V14" s="1"/>
      <c r="W14" s="1"/>
    </row>
    <row r="15" spans="1:23" x14ac:dyDescent="0.25">
      <c r="A15" s="1" t="s">
        <v>39</v>
      </c>
      <c r="B15" s="6"/>
      <c r="C15" s="7"/>
      <c r="D15" s="8">
        <f t="shared" si="0"/>
        <v>0</v>
      </c>
      <c r="E15" s="6">
        <v>9</v>
      </c>
      <c r="F15" s="7">
        <v>0.44400000000000001</v>
      </c>
      <c r="G15" s="8">
        <f t="shared" si="1"/>
        <v>3.996</v>
      </c>
      <c r="H15" s="6">
        <v>2</v>
      </c>
      <c r="I15" s="7">
        <v>0</v>
      </c>
      <c r="J15" s="8">
        <f t="shared" si="2"/>
        <v>0</v>
      </c>
      <c r="K15" s="6"/>
      <c r="L15" s="7"/>
      <c r="M15" s="8">
        <f t="shared" si="3"/>
        <v>0</v>
      </c>
      <c r="N15" s="6"/>
      <c r="O15" s="7"/>
      <c r="P15" s="8">
        <f t="shared" si="4"/>
        <v>0</v>
      </c>
      <c r="Q15" s="1"/>
      <c r="R15" s="6">
        <f t="shared" si="5"/>
        <v>11</v>
      </c>
      <c r="S15" s="9">
        <f t="shared" si="6"/>
        <v>0.36327272727272725</v>
      </c>
      <c r="T15" s="9">
        <f t="shared" si="7"/>
        <v>5.6410256410256411E-2</v>
      </c>
      <c r="U15" s="9">
        <f>R15 / _xlfn.XLOOKUP(A15, Mid!A:A, Mid!AA:AA)</f>
        <v>4.8888888888888891E-2</v>
      </c>
      <c r="V15" s="1"/>
      <c r="W15" s="1"/>
    </row>
    <row r="16" spans="1:23" x14ac:dyDescent="0.25">
      <c r="A16" s="1" t="s">
        <v>87</v>
      </c>
      <c r="B16" s="6">
        <v>9</v>
      </c>
      <c r="C16" s="7">
        <v>0.44400000000000001</v>
      </c>
      <c r="D16" s="8">
        <f t="shared" si="0"/>
        <v>3.996</v>
      </c>
      <c r="E16" s="6">
        <v>6</v>
      </c>
      <c r="F16" s="7">
        <v>0.16700000000000001</v>
      </c>
      <c r="G16" s="8">
        <f t="shared" si="1"/>
        <v>1.002</v>
      </c>
      <c r="H16" s="6"/>
      <c r="I16" s="7"/>
      <c r="J16" s="8">
        <f t="shared" si="2"/>
        <v>0</v>
      </c>
      <c r="K16" s="6"/>
      <c r="L16" s="7"/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15</v>
      </c>
      <c r="S16" s="9">
        <f t="shared" si="6"/>
        <v>0.3332</v>
      </c>
      <c r="T16" s="9">
        <f t="shared" si="7"/>
        <v>7.6923076923076927E-2</v>
      </c>
      <c r="U16" s="9">
        <f>R16 / _xlfn.XLOOKUP(A16, Mid!A:A, Mid!AA:AA)</f>
        <v>3.1055900621118012E-2</v>
      </c>
      <c r="V16" s="1"/>
      <c r="W16" s="1"/>
    </row>
    <row r="17" spans="1:23" x14ac:dyDescent="0.25">
      <c r="A17" s="1" t="s">
        <v>110</v>
      </c>
      <c r="B17" s="6">
        <v>3</v>
      </c>
      <c r="C17" s="7">
        <v>0.33300000000000002</v>
      </c>
      <c r="D17" s="8">
        <f t="shared" si="0"/>
        <v>0.99900000000000011</v>
      </c>
      <c r="E17" s="6"/>
      <c r="F17" s="7"/>
      <c r="G17" s="8">
        <f t="shared" si="1"/>
        <v>0</v>
      </c>
      <c r="H17" s="6"/>
      <c r="I17" s="7"/>
      <c r="J17" s="8">
        <f t="shared" si="2"/>
        <v>0</v>
      </c>
      <c r="K17" s="6"/>
      <c r="L17" s="7"/>
      <c r="M17" s="8">
        <f t="shared" si="3"/>
        <v>0</v>
      </c>
      <c r="N17" s="6"/>
      <c r="O17" s="7"/>
      <c r="P17" s="8">
        <f t="shared" si="4"/>
        <v>0</v>
      </c>
      <c r="Q17" s="1"/>
      <c r="R17" s="6">
        <f t="shared" si="5"/>
        <v>3</v>
      </c>
      <c r="S17" s="9">
        <f t="shared" si="6"/>
        <v>0.33300000000000002</v>
      </c>
      <c r="T17" s="9">
        <f t="shared" si="7"/>
        <v>1.5384615384615385E-2</v>
      </c>
      <c r="U17" s="9">
        <f>R17 / _xlfn.XLOOKUP(A17, Mid!A:A, Mid!AA:AA)</f>
        <v>9.8684210526315784E-3</v>
      </c>
      <c r="V17" s="1"/>
      <c r="W17" s="1"/>
    </row>
    <row r="18" spans="1:23" x14ac:dyDescent="0.25">
      <c r="A18" s="1" t="s">
        <v>108</v>
      </c>
      <c r="B18" s="6">
        <v>1</v>
      </c>
      <c r="C18" s="7">
        <v>1</v>
      </c>
      <c r="D18" s="8">
        <f t="shared" si="0"/>
        <v>1</v>
      </c>
      <c r="E18" s="6"/>
      <c r="F18" s="7"/>
      <c r="G18" s="8">
        <f t="shared" si="1"/>
        <v>0</v>
      </c>
      <c r="H18" s="6">
        <v>9</v>
      </c>
      <c r="I18" s="7">
        <v>0.222</v>
      </c>
      <c r="J18" s="8">
        <f t="shared" si="2"/>
        <v>1.998</v>
      </c>
      <c r="K18" s="6"/>
      <c r="L18" s="7"/>
      <c r="M18" s="8">
        <f t="shared" si="3"/>
        <v>0</v>
      </c>
      <c r="N18" s="6"/>
      <c r="O18" s="7"/>
      <c r="P18" s="8">
        <f t="shared" si="4"/>
        <v>0</v>
      </c>
      <c r="Q18" s="1"/>
      <c r="R18" s="6">
        <f t="shared" si="5"/>
        <v>10</v>
      </c>
      <c r="S18" s="9">
        <f t="shared" si="6"/>
        <v>0.29980000000000001</v>
      </c>
      <c r="T18" s="9">
        <f t="shared" si="7"/>
        <v>5.128205128205128E-2</v>
      </c>
      <c r="U18" s="9">
        <f>R18 / _xlfn.XLOOKUP(A18, Mid!A:A, Mid!AA:AA)</f>
        <v>3.1746031746031744E-2</v>
      </c>
      <c r="V18" s="1"/>
      <c r="W18" s="1"/>
    </row>
    <row r="19" spans="1:23" x14ac:dyDescent="0.25">
      <c r="A19" s="1" t="s">
        <v>114</v>
      </c>
      <c r="B19" s="6">
        <v>7</v>
      </c>
      <c r="C19" s="7">
        <v>0.28599999999999998</v>
      </c>
      <c r="D19" s="8">
        <f t="shared" si="0"/>
        <v>2.0019999999999998</v>
      </c>
      <c r="E19" s="6"/>
      <c r="F19" s="7"/>
      <c r="G19" s="8">
        <f t="shared" si="1"/>
        <v>0</v>
      </c>
      <c r="H19" s="6"/>
      <c r="I19" s="7"/>
      <c r="J19" s="8">
        <f t="shared" si="2"/>
        <v>0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13"/>
      <c r="R19" s="6">
        <f t="shared" si="5"/>
        <v>7</v>
      </c>
      <c r="S19" s="9">
        <f t="shared" si="6"/>
        <v>0.28599999999999998</v>
      </c>
      <c r="T19" s="9">
        <f t="shared" si="7"/>
        <v>3.5897435897435895E-2</v>
      </c>
      <c r="U19" s="9">
        <f>R19 / _xlfn.XLOOKUP(A19, Mid!A:A, Mid!AA:AA)</f>
        <v>7.6923076923076927E-2</v>
      </c>
      <c r="V19" s="1"/>
      <c r="W19" s="1"/>
    </row>
    <row r="20" spans="1:23" x14ac:dyDescent="0.25">
      <c r="A20" s="1" t="s">
        <v>32</v>
      </c>
      <c r="B20" s="6"/>
      <c r="C20" s="7"/>
      <c r="D20" s="8">
        <f t="shared" si="0"/>
        <v>0</v>
      </c>
      <c r="E20" s="6">
        <v>7</v>
      </c>
      <c r="F20" s="7">
        <v>0.28599999999999998</v>
      </c>
      <c r="G20" s="8">
        <f t="shared" si="1"/>
        <v>2.0019999999999998</v>
      </c>
      <c r="H20" s="6"/>
      <c r="I20" s="7"/>
      <c r="J20" s="8">
        <f t="shared" si="2"/>
        <v>0</v>
      </c>
      <c r="K20" s="6"/>
      <c r="L20" s="7"/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7</v>
      </c>
      <c r="S20" s="9">
        <f t="shared" si="6"/>
        <v>0.28599999999999998</v>
      </c>
      <c r="T20" s="9">
        <f t="shared" si="7"/>
        <v>3.5897435897435895E-2</v>
      </c>
      <c r="U20" s="9">
        <f>R20 / _xlfn.XLOOKUP(A20, Mid!A:A, Mid!AA:AA)</f>
        <v>2.3972602739726026E-2</v>
      </c>
    </row>
    <row r="21" spans="1:23" x14ac:dyDescent="0.25">
      <c r="A21" s="1" t="s">
        <v>27</v>
      </c>
      <c r="B21" s="6">
        <v>1</v>
      </c>
      <c r="C21" s="7">
        <v>0</v>
      </c>
      <c r="D21" s="8">
        <f t="shared" si="0"/>
        <v>0</v>
      </c>
      <c r="E21" s="6">
        <v>5</v>
      </c>
      <c r="F21" s="7">
        <v>0.2</v>
      </c>
      <c r="G21" s="8">
        <f t="shared" si="1"/>
        <v>1</v>
      </c>
      <c r="H21" s="6"/>
      <c r="I21" s="7"/>
      <c r="J21" s="8">
        <f t="shared" si="2"/>
        <v>0</v>
      </c>
      <c r="K21" s="6"/>
      <c r="L21" s="7"/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6</v>
      </c>
      <c r="S21" s="9">
        <f t="shared" si="6"/>
        <v>0.16666666666666666</v>
      </c>
      <c r="T21" s="9">
        <f t="shared" si="7"/>
        <v>3.0769230769230771E-2</v>
      </c>
      <c r="U21" s="9">
        <f>R21 / _xlfn.XLOOKUP(A21, Mid!A:A, Mid!AA:AA)</f>
        <v>2.8037383177570093E-2</v>
      </c>
    </row>
    <row r="22" spans="1:23" x14ac:dyDescent="0.25">
      <c r="A22" s="1" t="s">
        <v>12</v>
      </c>
      <c r="B22" s="6"/>
      <c r="C22" s="7"/>
      <c r="D22" s="8">
        <f t="shared" si="0"/>
        <v>0</v>
      </c>
      <c r="E22" s="6">
        <v>2</v>
      </c>
      <c r="F22" s="7">
        <v>0</v>
      </c>
      <c r="G22" s="8">
        <f t="shared" si="1"/>
        <v>0</v>
      </c>
      <c r="H22" s="6">
        <v>4</v>
      </c>
      <c r="I22" s="7">
        <v>0.25</v>
      </c>
      <c r="J22" s="8">
        <f t="shared" si="2"/>
        <v>1</v>
      </c>
      <c r="K22" s="6"/>
      <c r="L22" s="7"/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6</v>
      </c>
      <c r="S22" s="9">
        <f t="shared" si="6"/>
        <v>0.16666666666666666</v>
      </c>
      <c r="T22" s="9">
        <f t="shared" si="7"/>
        <v>3.0769230769230771E-2</v>
      </c>
      <c r="U22" s="9">
        <f>R22 / _xlfn.XLOOKUP(A22, Mid!A:A, Mid!AA:AA)</f>
        <v>2.2900763358778626E-2</v>
      </c>
    </row>
    <row r="23" spans="1:23" x14ac:dyDescent="0.25">
      <c r="A23" s="1" t="s">
        <v>107</v>
      </c>
      <c r="B23" s="6">
        <v>9</v>
      </c>
      <c r="C23" s="7">
        <v>0.111</v>
      </c>
      <c r="D23" s="8">
        <f t="shared" si="0"/>
        <v>0.999</v>
      </c>
      <c r="E23" s="6">
        <v>9</v>
      </c>
      <c r="F23" s="7">
        <v>0.222</v>
      </c>
      <c r="G23" s="8">
        <f t="shared" si="1"/>
        <v>1.998</v>
      </c>
      <c r="H23" s="6"/>
      <c r="I23" s="7"/>
      <c r="J23" s="8">
        <f t="shared" si="2"/>
        <v>0</v>
      </c>
      <c r="K23" s="6"/>
      <c r="L23" s="7"/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18</v>
      </c>
      <c r="S23" s="9">
        <f t="shared" si="6"/>
        <v>0.16649999999999998</v>
      </c>
      <c r="T23" s="9">
        <f t="shared" si="7"/>
        <v>9.2307692307692313E-2</v>
      </c>
      <c r="U23" s="9">
        <f>R23 / _xlfn.XLOOKUP(A23, Mid!A:A, Mid!AA:AA)</f>
        <v>3.4749034749034749E-2</v>
      </c>
    </row>
    <row r="24" spans="1:23" x14ac:dyDescent="0.25">
      <c r="A24" s="1" t="s">
        <v>109</v>
      </c>
      <c r="B24" s="6">
        <v>5</v>
      </c>
      <c r="C24" s="7">
        <v>0</v>
      </c>
      <c r="D24" s="8">
        <f t="shared" si="0"/>
        <v>0</v>
      </c>
      <c r="E24" s="6">
        <v>5</v>
      </c>
      <c r="F24" s="7">
        <v>0</v>
      </c>
      <c r="G24" s="8">
        <f t="shared" si="1"/>
        <v>0</v>
      </c>
      <c r="H24" s="6"/>
      <c r="I24" s="7"/>
      <c r="J24" s="8">
        <f t="shared" si="2"/>
        <v>0</v>
      </c>
      <c r="K24" s="6"/>
      <c r="L24" s="7"/>
      <c r="M24" s="8">
        <f t="shared" si="3"/>
        <v>0</v>
      </c>
      <c r="N24" s="6"/>
      <c r="O24" s="7"/>
      <c r="P24" s="8">
        <f t="shared" si="4"/>
        <v>0</v>
      </c>
      <c r="Q24" s="1"/>
      <c r="R24" s="6">
        <f t="shared" si="5"/>
        <v>10</v>
      </c>
      <c r="S24" s="9">
        <f t="shared" si="6"/>
        <v>0</v>
      </c>
      <c r="T24" s="9">
        <f t="shared" si="7"/>
        <v>5.128205128205128E-2</v>
      </c>
      <c r="U24" s="9">
        <f>R24 / _xlfn.XLOOKUP(A24, Mid!A:A, Mid!AA:AA)</f>
        <v>4.0322580645161289E-2</v>
      </c>
    </row>
    <row r="25" spans="1:23" x14ac:dyDescent="0.25">
      <c r="A25" s="1" t="s">
        <v>10</v>
      </c>
      <c r="B25" s="6">
        <v>1</v>
      </c>
      <c r="C25" s="7">
        <v>0</v>
      </c>
      <c r="D25" s="8">
        <f t="shared" si="0"/>
        <v>0</v>
      </c>
      <c r="E25" s="6">
        <v>2</v>
      </c>
      <c r="F25" s="7">
        <v>0</v>
      </c>
      <c r="G25" s="8">
        <f t="shared" si="1"/>
        <v>0</v>
      </c>
      <c r="H25" s="6"/>
      <c r="I25" s="7"/>
      <c r="J25" s="8">
        <f t="shared" si="2"/>
        <v>0</v>
      </c>
      <c r="K25" s="6"/>
      <c r="L25" s="7"/>
      <c r="M25" s="8">
        <f t="shared" si="3"/>
        <v>0</v>
      </c>
      <c r="N25" s="6"/>
      <c r="O25" s="7"/>
      <c r="P25" s="8">
        <f t="shared" si="4"/>
        <v>0</v>
      </c>
      <c r="Q25" s="1"/>
      <c r="R25" s="6">
        <f t="shared" si="5"/>
        <v>3</v>
      </c>
      <c r="S25" s="9">
        <f t="shared" si="6"/>
        <v>0</v>
      </c>
      <c r="T25" s="9">
        <f t="shared" si="7"/>
        <v>1.5384615384615385E-2</v>
      </c>
      <c r="U25" s="9">
        <f>R25 / _xlfn.XLOOKUP(A25, Mid!A:A, Mid!AA:AA)</f>
        <v>9.0909090909090912E-2</v>
      </c>
    </row>
    <row r="26" spans="1:23" x14ac:dyDescent="0.25">
      <c r="A26" s="1" t="s">
        <v>35</v>
      </c>
      <c r="B26" s="6"/>
      <c r="C26" s="7"/>
      <c r="D26" s="8">
        <f t="shared" si="0"/>
        <v>0</v>
      </c>
      <c r="E26" s="6"/>
      <c r="F26" s="7"/>
      <c r="G26" s="8">
        <f t="shared" si="1"/>
        <v>0</v>
      </c>
      <c r="H26" s="6">
        <v>2</v>
      </c>
      <c r="I26" s="7">
        <v>0</v>
      </c>
      <c r="J26" s="8">
        <f t="shared" si="2"/>
        <v>0</v>
      </c>
      <c r="K26" s="6"/>
      <c r="L26" s="7"/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2</v>
      </c>
      <c r="S26" s="9">
        <f t="shared" si="6"/>
        <v>0</v>
      </c>
      <c r="T26" s="9">
        <f t="shared" si="7"/>
        <v>1.0256410256410256E-2</v>
      </c>
      <c r="U26" s="9">
        <f>R26 / _xlfn.XLOOKUP(A26, Mid!A:A, Mid!AA:AA)</f>
        <v>6.8965517241379309E-2</v>
      </c>
    </row>
    <row r="27" spans="1:23" x14ac:dyDescent="0.25">
      <c r="A27" s="25" t="s">
        <v>150</v>
      </c>
      <c r="B27" s="6"/>
      <c r="C27" s="7"/>
      <c r="D27" s="8">
        <f t="shared" si="0"/>
        <v>0</v>
      </c>
      <c r="E27" s="6">
        <v>1</v>
      </c>
      <c r="F27" s="7">
        <v>0</v>
      </c>
      <c r="G27" s="8">
        <f t="shared" si="1"/>
        <v>0</v>
      </c>
      <c r="H27" s="6"/>
      <c r="I27" s="7"/>
      <c r="J27" s="8">
        <f t="shared" si="2"/>
        <v>0</v>
      </c>
      <c r="K27" s="6"/>
      <c r="L27" s="7"/>
      <c r="M27" s="8">
        <f t="shared" si="3"/>
        <v>0</v>
      </c>
      <c r="N27" s="6"/>
      <c r="O27" s="7"/>
      <c r="P27" s="8">
        <f t="shared" si="4"/>
        <v>0</v>
      </c>
      <c r="Q27" s="1"/>
      <c r="R27" s="6">
        <f t="shared" si="5"/>
        <v>1</v>
      </c>
      <c r="S27" s="9">
        <f t="shared" si="6"/>
        <v>0</v>
      </c>
      <c r="T27" s="9">
        <f t="shared" si="7"/>
        <v>5.1282051282051282E-3</v>
      </c>
      <c r="U27" s="9">
        <f>R27 / _xlfn.XLOOKUP(A27, Mid!A:A, Mid!AA:AA)</f>
        <v>0.2</v>
      </c>
    </row>
    <row r="28" spans="1:23" x14ac:dyDescent="0.25">
      <c r="A28" s="1" t="s">
        <v>91</v>
      </c>
      <c r="B28" s="6"/>
      <c r="C28" s="7"/>
      <c r="D28" s="8">
        <f t="shared" si="0"/>
        <v>0</v>
      </c>
      <c r="E28" s="6">
        <v>1</v>
      </c>
      <c r="F28" s="7">
        <v>0</v>
      </c>
      <c r="G28" s="8">
        <f t="shared" si="1"/>
        <v>0</v>
      </c>
      <c r="H28" s="6"/>
      <c r="I28" s="7"/>
      <c r="J28" s="8">
        <f t="shared" si="2"/>
        <v>0</v>
      </c>
      <c r="K28" s="6"/>
      <c r="L28" s="7"/>
      <c r="M28" s="8">
        <f t="shared" si="3"/>
        <v>0</v>
      </c>
      <c r="N28" s="6"/>
      <c r="O28" s="7"/>
      <c r="P28" s="8">
        <f t="shared" si="4"/>
        <v>0</v>
      </c>
      <c r="Q28" s="1"/>
      <c r="R28" s="6">
        <f t="shared" si="5"/>
        <v>1</v>
      </c>
      <c r="S28" s="9">
        <f t="shared" si="6"/>
        <v>0</v>
      </c>
      <c r="T28" s="9">
        <f t="shared" si="7"/>
        <v>5.1282051282051282E-3</v>
      </c>
      <c r="U28" s="9">
        <f>R28 / _xlfn.XLOOKUP(A28, Mid!A:A, Mid!AA:AA)</f>
        <v>1.5151515151515152E-2</v>
      </c>
    </row>
    <row r="29" spans="1:23" x14ac:dyDescent="0.25">
      <c r="A29" s="1" t="s">
        <v>33</v>
      </c>
      <c r="B29" s="6">
        <v>1</v>
      </c>
      <c r="C29" s="7">
        <v>0</v>
      </c>
      <c r="D29" s="8">
        <f t="shared" si="0"/>
        <v>0</v>
      </c>
      <c r="E29" s="6"/>
      <c r="F29" s="7"/>
      <c r="G29" s="8">
        <f t="shared" si="1"/>
        <v>0</v>
      </c>
      <c r="H29" s="6"/>
      <c r="I29" s="7"/>
      <c r="J29" s="8">
        <f t="shared" si="2"/>
        <v>0</v>
      </c>
      <c r="K29" s="6"/>
      <c r="L29" s="7"/>
      <c r="M29" s="8">
        <f t="shared" si="3"/>
        <v>0</v>
      </c>
      <c r="N29" s="6"/>
      <c r="O29" s="7"/>
      <c r="P29" s="8">
        <f t="shared" si="4"/>
        <v>0</v>
      </c>
      <c r="Q29" s="1"/>
      <c r="R29" s="6">
        <f t="shared" si="5"/>
        <v>1</v>
      </c>
      <c r="S29" s="9">
        <f t="shared" si="6"/>
        <v>0</v>
      </c>
      <c r="T29" s="9">
        <f t="shared" si="7"/>
        <v>5.1282051282051282E-3</v>
      </c>
      <c r="U29" s="9">
        <f>R29 / _xlfn.XLOOKUP(A29, Mid!A:A, Mid!AA:AA)</f>
        <v>0.125</v>
      </c>
    </row>
    <row r="30" spans="1:23" x14ac:dyDescent="0.25">
      <c r="A30" s="1" t="s">
        <v>115</v>
      </c>
      <c r="B30" s="6"/>
      <c r="C30" s="7"/>
      <c r="D30" s="8">
        <f t="shared" si="0"/>
        <v>0</v>
      </c>
      <c r="E30" s="6">
        <v>1</v>
      </c>
      <c r="F30" s="7">
        <v>0</v>
      </c>
      <c r="G30" s="8">
        <f t="shared" si="1"/>
        <v>0</v>
      </c>
      <c r="H30" s="6"/>
      <c r="I30" s="7"/>
      <c r="J30" s="8">
        <f t="shared" si="2"/>
        <v>0</v>
      </c>
      <c r="K30" s="6"/>
      <c r="L30" s="7"/>
      <c r="M30" s="8">
        <f t="shared" si="3"/>
        <v>0</v>
      </c>
      <c r="N30" s="6"/>
      <c r="O30" s="7"/>
      <c r="P30" s="8">
        <f t="shared" si="4"/>
        <v>0</v>
      </c>
      <c r="Q30" s="1"/>
      <c r="R30" s="6">
        <f t="shared" si="5"/>
        <v>1</v>
      </c>
      <c r="S30" s="9">
        <f t="shared" si="6"/>
        <v>0</v>
      </c>
      <c r="T30" s="9">
        <f t="shared" si="7"/>
        <v>5.1282051282051282E-3</v>
      </c>
      <c r="U30" s="9">
        <f>R30 / _xlfn.XLOOKUP(A30, Mid!A:A, Mid!AA:AA)</f>
        <v>1.9607843137254902E-2</v>
      </c>
    </row>
    <row r="31" spans="1:23" x14ac:dyDescent="0.25">
      <c r="A31" s="1"/>
      <c r="B31" s="6"/>
      <c r="C31" s="7"/>
      <c r="D31" s="8">
        <f t="shared" ref="D31:D36" si="8">B31*C31</f>
        <v>0</v>
      </c>
      <c r="E31" s="6"/>
      <c r="F31" s="7"/>
      <c r="G31" s="8">
        <f t="shared" ref="G31:G36" si="9">E31*F31</f>
        <v>0</v>
      </c>
      <c r="H31" s="6"/>
      <c r="I31" s="7"/>
      <c r="J31" s="8">
        <f t="shared" ref="J31:J36" si="10">H31*I31</f>
        <v>0</v>
      </c>
      <c r="K31" s="6"/>
      <c r="L31" s="7"/>
      <c r="M31" s="8">
        <f t="shared" ref="M31:M36" si="11">K31*L31</f>
        <v>0</v>
      </c>
      <c r="N31" s="6"/>
      <c r="O31" s="7"/>
      <c r="P31" s="8">
        <f t="shared" ref="P31:P36" si="12">N31*O31</f>
        <v>0</v>
      </c>
      <c r="Q31" s="1"/>
      <c r="R31" s="6">
        <f t="shared" ref="R31:R36" si="13">B31+E31+H31+K31+N31</f>
        <v>0</v>
      </c>
      <c r="S31" s="9" t="e">
        <f t="shared" ref="S31:S36" si="14">(D31+G31+J31+M31+P31)/R31</f>
        <v>#DIV/0!</v>
      </c>
      <c r="T31" s="9">
        <f t="shared" ref="T31:T36" si="15">R31/$V$3</f>
        <v>0</v>
      </c>
      <c r="U31" s="9" t="e">
        <f>R31 / _xlfn.XLOOKUP(A31, Mid!A:A, Mid!AA:AA)</f>
        <v>#DIV/0!</v>
      </c>
    </row>
    <row r="32" spans="1:23" x14ac:dyDescent="0.25">
      <c r="A32" s="1"/>
      <c r="B32" s="6"/>
      <c r="C32" s="7"/>
      <c r="D32" s="8">
        <f t="shared" si="8"/>
        <v>0</v>
      </c>
      <c r="E32" s="6"/>
      <c r="F32" s="7"/>
      <c r="G32" s="8">
        <f t="shared" si="9"/>
        <v>0</v>
      </c>
      <c r="H32" s="6"/>
      <c r="I32" s="7"/>
      <c r="J32" s="8">
        <f t="shared" si="10"/>
        <v>0</v>
      </c>
      <c r="K32" s="6"/>
      <c r="L32" s="7"/>
      <c r="M32" s="8">
        <f t="shared" si="11"/>
        <v>0</v>
      </c>
      <c r="N32" s="6"/>
      <c r="O32" s="7"/>
      <c r="P32" s="8">
        <f t="shared" si="12"/>
        <v>0</v>
      </c>
      <c r="Q32" s="1"/>
      <c r="R32" s="6">
        <f t="shared" si="13"/>
        <v>0</v>
      </c>
      <c r="S32" s="9" t="e">
        <f t="shared" si="14"/>
        <v>#DIV/0!</v>
      </c>
      <c r="T32" s="9">
        <f t="shared" si="15"/>
        <v>0</v>
      </c>
      <c r="U32" s="9" t="e">
        <f>R32 / _xlfn.XLOOKUP(A32, Mid!A:A, Mid!AA:AA)</f>
        <v>#DIV/0!</v>
      </c>
    </row>
    <row r="33" spans="1:21" x14ac:dyDescent="0.25">
      <c r="A33" s="1"/>
      <c r="B33" s="6"/>
      <c r="C33" s="7"/>
      <c r="D33" s="8">
        <f t="shared" si="8"/>
        <v>0</v>
      </c>
      <c r="E33" s="6"/>
      <c r="F33" s="7"/>
      <c r="G33" s="8">
        <f t="shared" si="9"/>
        <v>0</v>
      </c>
      <c r="H33" s="6"/>
      <c r="I33" s="7"/>
      <c r="J33" s="8">
        <f t="shared" si="10"/>
        <v>0</v>
      </c>
      <c r="K33" s="6"/>
      <c r="L33" s="7"/>
      <c r="M33" s="8">
        <f t="shared" si="11"/>
        <v>0</v>
      </c>
      <c r="N33" s="6"/>
      <c r="O33" s="7"/>
      <c r="P33" s="8">
        <f t="shared" si="12"/>
        <v>0</v>
      </c>
      <c r="Q33" s="1"/>
      <c r="R33" s="6">
        <f t="shared" si="13"/>
        <v>0</v>
      </c>
      <c r="S33" s="9" t="e">
        <f t="shared" si="14"/>
        <v>#DIV/0!</v>
      </c>
      <c r="T33" s="9">
        <f t="shared" si="15"/>
        <v>0</v>
      </c>
      <c r="U33" s="9" t="e">
        <f>R33 / _xlfn.XLOOKUP(A33, Mid!A:A, Mid!AA:AA)</f>
        <v>#DIV/0!</v>
      </c>
    </row>
    <row r="34" spans="1:21" x14ac:dyDescent="0.25">
      <c r="A34" s="1"/>
      <c r="B34" s="6"/>
      <c r="C34" s="7"/>
      <c r="D34" s="8">
        <f t="shared" si="8"/>
        <v>0</v>
      </c>
      <c r="E34" s="6"/>
      <c r="F34" s="7"/>
      <c r="G34" s="8">
        <f t="shared" si="9"/>
        <v>0</v>
      </c>
      <c r="H34" s="6"/>
      <c r="I34" s="7"/>
      <c r="J34" s="8">
        <f t="shared" si="10"/>
        <v>0</v>
      </c>
      <c r="K34" s="6"/>
      <c r="L34" s="7"/>
      <c r="M34" s="8">
        <f t="shared" si="11"/>
        <v>0</v>
      </c>
      <c r="N34" s="6"/>
      <c r="O34" s="7"/>
      <c r="P34" s="8">
        <f t="shared" si="12"/>
        <v>0</v>
      </c>
      <c r="Q34" s="1"/>
      <c r="R34" s="6">
        <f t="shared" si="13"/>
        <v>0</v>
      </c>
      <c r="S34" s="9" t="e">
        <f t="shared" si="14"/>
        <v>#DIV/0!</v>
      </c>
      <c r="T34" s="9">
        <f t="shared" si="15"/>
        <v>0</v>
      </c>
      <c r="U34" s="9" t="e">
        <f>R34 / _xlfn.XLOOKUP(A34, Mid!A:A, Mid!AA:AA)</f>
        <v>#DIV/0!</v>
      </c>
    </row>
    <row r="35" spans="1:21" x14ac:dyDescent="0.25">
      <c r="A35" s="1"/>
      <c r="B35" s="6"/>
      <c r="C35" s="7"/>
      <c r="D35" s="8">
        <f t="shared" si="8"/>
        <v>0</v>
      </c>
      <c r="E35" s="6"/>
      <c r="F35" s="7"/>
      <c r="G35" s="8">
        <f t="shared" si="9"/>
        <v>0</v>
      </c>
      <c r="H35" s="6"/>
      <c r="I35" s="7"/>
      <c r="J35" s="8">
        <f t="shared" si="10"/>
        <v>0</v>
      </c>
      <c r="K35" s="6"/>
      <c r="L35" s="7"/>
      <c r="M35" s="8">
        <f t="shared" si="11"/>
        <v>0</v>
      </c>
      <c r="N35" s="6"/>
      <c r="O35" s="7"/>
      <c r="P35" s="8">
        <f t="shared" si="12"/>
        <v>0</v>
      </c>
      <c r="Q35" s="1"/>
      <c r="R35" s="6">
        <f t="shared" si="13"/>
        <v>0</v>
      </c>
      <c r="S35" s="9" t="e">
        <f t="shared" si="14"/>
        <v>#DIV/0!</v>
      </c>
      <c r="T35" s="9">
        <f t="shared" si="15"/>
        <v>0</v>
      </c>
      <c r="U35" s="9" t="e">
        <f>R35 / _xlfn.XLOOKUP(A35, Mid!A:A, Mid!AA:AA)</f>
        <v>#DIV/0!</v>
      </c>
    </row>
    <row r="36" spans="1:21" x14ac:dyDescent="0.25">
      <c r="A36" s="1"/>
      <c r="B36" s="6"/>
      <c r="C36" s="7"/>
      <c r="D36" s="8">
        <f t="shared" si="8"/>
        <v>0</v>
      </c>
      <c r="E36" s="6"/>
      <c r="F36" s="7"/>
      <c r="G36" s="8">
        <f t="shared" si="9"/>
        <v>0</v>
      </c>
      <c r="H36" s="6"/>
      <c r="I36" s="7"/>
      <c r="J36" s="8">
        <f t="shared" si="10"/>
        <v>0</v>
      </c>
      <c r="K36" s="6"/>
      <c r="L36" s="7"/>
      <c r="M36" s="8">
        <f t="shared" si="11"/>
        <v>0</v>
      </c>
      <c r="N36" s="6"/>
      <c r="O36" s="7"/>
      <c r="P36" s="8">
        <f t="shared" si="12"/>
        <v>0</v>
      </c>
      <c r="Q36" s="1"/>
      <c r="R36" s="6">
        <f t="shared" si="13"/>
        <v>0</v>
      </c>
      <c r="S36" s="9" t="e">
        <f t="shared" si="14"/>
        <v>#DIV/0!</v>
      </c>
      <c r="T36" s="9">
        <f t="shared" si="15"/>
        <v>0</v>
      </c>
      <c r="U36" s="9" t="e">
        <f>R36 / _xlfn.XLOOKUP(A36, Mid!A:A, Mid!AA:AA)</f>
        <v>#DIV/0!</v>
      </c>
    </row>
    <row r="37" spans="1:21" x14ac:dyDescent="0.25">
      <c r="A37" s="1"/>
      <c r="B37" s="6"/>
      <c r="C37" s="7"/>
      <c r="D37" s="31"/>
      <c r="E37" s="6"/>
      <c r="F37" s="7"/>
      <c r="G37" s="31"/>
      <c r="H37" s="6"/>
      <c r="I37" s="7"/>
      <c r="J37" s="31"/>
      <c r="K37" s="6"/>
      <c r="L37" s="7"/>
      <c r="M37" s="31"/>
      <c r="N37" s="1"/>
      <c r="O37" s="1"/>
      <c r="P37" s="1"/>
      <c r="Q37" s="1"/>
      <c r="R37" s="6"/>
      <c r="S37" s="9"/>
      <c r="T37" s="10"/>
    </row>
    <row r="38" spans="1:21" x14ac:dyDescent="0.25">
      <c r="A38" s="1"/>
      <c r="B38" s="6"/>
      <c r="C38" s="7"/>
      <c r="D38" s="31"/>
      <c r="E38" s="6"/>
      <c r="F38" s="7"/>
      <c r="G38" s="31"/>
      <c r="H38" s="6"/>
      <c r="I38" s="7"/>
      <c r="J38" s="31"/>
      <c r="K38" s="6"/>
      <c r="L38" s="7"/>
      <c r="M38" s="31"/>
      <c r="N38" s="1"/>
      <c r="O38" s="1"/>
      <c r="P38" s="1"/>
      <c r="Q38" s="1"/>
      <c r="R38" s="6"/>
      <c r="S38" s="9"/>
      <c r="T38" s="10"/>
    </row>
    <row r="39" spans="1:21" x14ac:dyDescent="0.25">
      <c r="A39" s="1"/>
      <c r="B39" s="6"/>
      <c r="C39" s="7"/>
      <c r="D39" s="31"/>
      <c r="E39" s="6"/>
      <c r="F39" s="7"/>
      <c r="G39" s="31"/>
      <c r="H39" s="6"/>
      <c r="I39" s="7"/>
      <c r="J39" s="31"/>
      <c r="K39" s="6"/>
      <c r="L39" s="7"/>
      <c r="M39" s="31"/>
      <c r="N39" s="1"/>
      <c r="O39" s="1"/>
      <c r="P39" s="1"/>
      <c r="Q39" s="1"/>
      <c r="R39" s="6"/>
      <c r="S39" s="9"/>
      <c r="T39" s="10"/>
    </row>
    <row r="40" spans="1:21" x14ac:dyDescent="0.25">
      <c r="A40" s="1"/>
      <c r="B40" s="6"/>
      <c r="C40" s="7"/>
      <c r="D40" s="31"/>
      <c r="E40" s="6"/>
      <c r="F40" s="7"/>
      <c r="G40" s="31"/>
      <c r="H40" s="6"/>
      <c r="I40" s="7"/>
      <c r="J40" s="31"/>
      <c r="K40" s="6"/>
      <c r="L40" s="7"/>
      <c r="M40" s="31"/>
      <c r="N40" s="1"/>
      <c r="O40" s="1"/>
      <c r="P40" s="1"/>
      <c r="Q40" s="1"/>
      <c r="R40" s="6"/>
      <c r="S40" s="9"/>
      <c r="T40" s="10"/>
    </row>
    <row r="41" spans="1:21" x14ac:dyDescent="0.25">
      <c r="A41" s="1"/>
      <c r="B41" s="6"/>
      <c r="C41" s="7"/>
      <c r="D41" s="31"/>
      <c r="E41" s="6"/>
      <c r="F41" s="7"/>
      <c r="G41" s="31"/>
      <c r="H41" s="6"/>
      <c r="I41" s="7"/>
      <c r="J41" s="31"/>
      <c r="K41" s="6"/>
      <c r="L41" s="7"/>
      <c r="M41" s="31"/>
      <c r="N41" s="1"/>
      <c r="O41" s="1"/>
      <c r="P41" s="1"/>
      <c r="Q41" s="1"/>
      <c r="R41" s="6"/>
      <c r="S41" s="9"/>
      <c r="T41" s="10"/>
    </row>
    <row r="42" spans="1:21" x14ac:dyDescent="0.25">
      <c r="A42" s="1"/>
      <c r="B42" s="6"/>
      <c r="C42" s="7"/>
      <c r="D42" s="31"/>
      <c r="E42" s="6"/>
      <c r="F42" s="7"/>
      <c r="G42" s="31"/>
      <c r="H42" s="6"/>
      <c r="I42" s="7"/>
      <c r="J42" s="31"/>
      <c r="K42" s="6"/>
      <c r="L42" s="7"/>
      <c r="M42" s="31"/>
      <c r="N42" s="1"/>
      <c r="O42" s="1"/>
      <c r="P42" s="1"/>
      <c r="Q42" s="1"/>
      <c r="R42" s="6"/>
      <c r="S42" s="9"/>
      <c r="T42" s="10"/>
    </row>
  </sheetData>
  <sortState xmlns:xlrd2="http://schemas.microsoft.com/office/spreadsheetml/2017/richdata2" ref="A3:U30">
    <sortCondition descending="1" ref="S3:S30"/>
  </sortState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5A32F-CBAC-4D18-B66B-29407E8D7359}">
  <sheetPr>
    <tabColor theme="7" tint="0.59999389629810485"/>
  </sheetPr>
  <dimension ref="A1:W29"/>
  <sheetViews>
    <sheetView workbookViewId="0">
      <selection activeCell="M31" sqref="M31"/>
    </sheetView>
  </sheetViews>
  <sheetFormatPr baseColWidth="10" defaultRowHeight="15" x14ac:dyDescent="0.25"/>
  <sheetData>
    <row r="1" spans="1:23" ht="15.75" x14ac:dyDescent="0.25">
      <c r="A1" s="2" t="s">
        <v>135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9</v>
      </c>
      <c r="B3" s="6"/>
      <c r="C3" s="7"/>
      <c r="D3" s="8">
        <f t="shared" ref="D3:D24" si="0">B3*C3</f>
        <v>0</v>
      </c>
      <c r="E3" s="6"/>
      <c r="F3" s="7"/>
      <c r="G3" s="8">
        <f t="shared" ref="G3:G24" si="1">E3*F3</f>
        <v>0</v>
      </c>
      <c r="H3" s="6"/>
      <c r="I3" s="7"/>
      <c r="J3" s="8">
        <f t="shared" ref="J3:J24" si="2">H3*I3</f>
        <v>0</v>
      </c>
      <c r="K3" s="6"/>
      <c r="L3" s="7"/>
      <c r="M3" s="8">
        <f t="shared" ref="M3:M24" si="3">K3*L3</f>
        <v>0</v>
      </c>
      <c r="N3" s="6"/>
      <c r="O3" s="7"/>
      <c r="P3" s="8">
        <f t="shared" ref="P3:P24" si="4">N3*O3</f>
        <v>0</v>
      </c>
      <c r="Q3" s="1"/>
      <c r="R3" s="6">
        <f t="shared" ref="R3:R24" si="5">B3+E3+H3+K3+N3</f>
        <v>0</v>
      </c>
      <c r="S3" s="9" t="e">
        <f t="shared" ref="S3:S24" si="6">(D3+G3+J3+M3+P3)/R3</f>
        <v>#DIV/0!</v>
      </c>
      <c r="T3" s="9">
        <f t="shared" ref="T3:T24" si="7">R3/$V$3</f>
        <v>0</v>
      </c>
      <c r="U3" s="9">
        <f>R3 / _xlfn.XLOOKUP(A3, Mid!A:A, Mid!AA:AA)</f>
        <v>0</v>
      </c>
      <c r="V3" s="11">
        <f>SUM(R3:R43)</f>
        <v>81</v>
      </c>
      <c r="W3" s="12">
        <f>(SUM(D3:D75)+SUM(G3:G75)+SUM(J3:J75)+SUM(M3:M75)+SUM(P3:P75)) / V3</f>
        <v>0.23455555555555554</v>
      </c>
    </row>
    <row r="4" spans="1:23" x14ac:dyDescent="0.25">
      <c r="A4" s="1" t="s">
        <v>122</v>
      </c>
      <c r="B4" s="6"/>
      <c r="C4" s="7"/>
      <c r="D4" s="8">
        <f t="shared" si="0"/>
        <v>0</v>
      </c>
      <c r="E4" s="6">
        <v>1</v>
      </c>
      <c r="F4" s="7">
        <v>1</v>
      </c>
      <c r="G4" s="8">
        <f t="shared" si="1"/>
        <v>1</v>
      </c>
      <c r="H4" s="6"/>
      <c r="I4" s="7"/>
      <c r="J4" s="8">
        <f t="shared" si="2"/>
        <v>0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1</v>
      </c>
      <c r="S4" s="9">
        <f t="shared" si="6"/>
        <v>1</v>
      </c>
      <c r="T4" s="9">
        <f t="shared" si="7"/>
        <v>1.2345679012345678E-2</v>
      </c>
      <c r="U4" s="9">
        <f>R4 / _xlfn.XLOOKUP(A4, Mid!A:A, Mid!AA:AA)</f>
        <v>7.6923076923076927E-2</v>
      </c>
      <c r="V4" s="1"/>
      <c r="W4" s="1"/>
    </row>
    <row r="5" spans="1:23" x14ac:dyDescent="0.25">
      <c r="A5" s="1" t="s">
        <v>113</v>
      </c>
      <c r="B5" s="6"/>
      <c r="C5" s="7"/>
      <c r="D5" s="8">
        <f t="shared" si="0"/>
        <v>0</v>
      </c>
      <c r="E5" s="6">
        <v>10</v>
      </c>
      <c r="F5" s="7">
        <v>0.6</v>
      </c>
      <c r="G5" s="8">
        <f t="shared" si="1"/>
        <v>6</v>
      </c>
      <c r="H5" s="6"/>
      <c r="I5" s="7"/>
      <c r="J5" s="8">
        <f t="shared" si="2"/>
        <v>0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10</v>
      </c>
      <c r="S5" s="9">
        <f t="shared" si="6"/>
        <v>0.6</v>
      </c>
      <c r="T5" s="9">
        <f t="shared" si="7"/>
        <v>0.12345679012345678</v>
      </c>
      <c r="U5" s="9">
        <f>R5 / _xlfn.XLOOKUP(A5, Mid!A:A, Mid!AA:AA)</f>
        <v>5.4054054054054057E-2</v>
      </c>
      <c r="V5" s="1"/>
      <c r="W5" s="1"/>
    </row>
    <row r="6" spans="1:23" x14ac:dyDescent="0.25">
      <c r="A6" s="1" t="s">
        <v>10</v>
      </c>
      <c r="B6" s="6"/>
      <c r="C6" s="7"/>
      <c r="D6" s="8">
        <f t="shared" si="0"/>
        <v>0</v>
      </c>
      <c r="E6" s="6">
        <v>2</v>
      </c>
      <c r="F6" s="7">
        <v>0.5</v>
      </c>
      <c r="G6" s="8">
        <f t="shared" si="1"/>
        <v>1</v>
      </c>
      <c r="H6" s="6"/>
      <c r="I6" s="7"/>
      <c r="J6" s="8">
        <f t="shared" si="2"/>
        <v>0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1"/>
      <c r="R6" s="6">
        <f t="shared" si="5"/>
        <v>2</v>
      </c>
      <c r="S6" s="9">
        <f t="shared" si="6"/>
        <v>0.5</v>
      </c>
      <c r="T6" s="9">
        <f t="shared" si="7"/>
        <v>2.4691358024691357E-2</v>
      </c>
      <c r="U6" s="9">
        <f>R6 / _xlfn.XLOOKUP(A6, Mid!A:A, Mid!AA:AA)</f>
        <v>6.0606060606060608E-2</v>
      </c>
      <c r="V6" s="1"/>
      <c r="W6" s="1"/>
    </row>
    <row r="7" spans="1:23" x14ac:dyDescent="0.25">
      <c r="A7" s="1" t="s">
        <v>110</v>
      </c>
      <c r="B7" s="6">
        <v>2</v>
      </c>
      <c r="C7" s="7">
        <v>0.5</v>
      </c>
      <c r="D7" s="8">
        <f t="shared" si="0"/>
        <v>1</v>
      </c>
      <c r="E7" s="6"/>
      <c r="F7" s="7"/>
      <c r="G7" s="8">
        <f t="shared" si="1"/>
        <v>0</v>
      </c>
      <c r="H7" s="6"/>
      <c r="I7" s="7"/>
      <c r="J7" s="8">
        <f t="shared" si="2"/>
        <v>0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2</v>
      </c>
      <c r="S7" s="9">
        <f t="shared" si="6"/>
        <v>0.5</v>
      </c>
      <c r="T7" s="9">
        <f t="shared" si="7"/>
        <v>2.4691358024691357E-2</v>
      </c>
      <c r="U7" s="9">
        <f>R7 / _xlfn.XLOOKUP(A7, Mid!A:A, Mid!AA:AA)</f>
        <v>6.5789473684210523E-3</v>
      </c>
      <c r="V7" s="1"/>
      <c r="W7" s="1"/>
    </row>
    <row r="8" spans="1:23" x14ac:dyDescent="0.25">
      <c r="A8" s="1" t="s">
        <v>32</v>
      </c>
      <c r="B8" s="6"/>
      <c r="C8" s="7"/>
      <c r="D8" s="8">
        <f t="shared" si="0"/>
        <v>0</v>
      </c>
      <c r="E8" s="6">
        <v>5</v>
      </c>
      <c r="F8" s="7">
        <v>0.4</v>
      </c>
      <c r="G8" s="8">
        <f t="shared" si="1"/>
        <v>2</v>
      </c>
      <c r="H8" s="6"/>
      <c r="I8" s="7"/>
      <c r="J8" s="8">
        <f t="shared" si="2"/>
        <v>0</v>
      </c>
      <c r="K8" s="6"/>
      <c r="L8" s="7"/>
      <c r="M8" s="8">
        <f t="shared" si="3"/>
        <v>0</v>
      </c>
      <c r="N8" s="6"/>
      <c r="O8" s="7"/>
      <c r="P8" s="8">
        <f t="shared" si="4"/>
        <v>0</v>
      </c>
      <c r="Q8" s="1"/>
      <c r="R8" s="6">
        <f t="shared" si="5"/>
        <v>5</v>
      </c>
      <c r="S8" s="9">
        <f t="shared" si="6"/>
        <v>0.4</v>
      </c>
      <c r="T8" s="9">
        <f t="shared" si="7"/>
        <v>6.1728395061728392E-2</v>
      </c>
      <c r="U8" s="9">
        <f>R8 / _xlfn.XLOOKUP(A8, Mid!A:A, Mid!AA:AA)</f>
        <v>1.7123287671232876E-2</v>
      </c>
      <c r="V8" s="1"/>
      <c r="W8" s="1"/>
    </row>
    <row r="9" spans="1:23" x14ac:dyDescent="0.25">
      <c r="A9" s="1" t="s">
        <v>64</v>
      </c>
      <c r="B9" s="6"/>
      <c r="C9" s="7"/>
      <c r="D9" s="8">
        <f t="shared" si="0"/>
        <v>0</v>
      </c>
      <c r="E9" s="6">
        <v>15</v>
      </c>
      <c r="F9" s="7">
        <v>0.4</v>
      </c>
      <c r="G9" s="8">
        <f t="shared" si="1"/>
        <v>6</v>
      </c>
      <c r="H9" s="6">
        <v>1</v>
      </c>
      <c r="I9" s="7">
        <v>0</v>
      </c>
      <c r="J9" s="8">
        <f t="shared" si="2"/>
        <v>0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4"/>
      <c r="R9" s="6">
        <f t="shared" si="5"/>
        <v>16</v>
      </c>
      <c r="S9" s="9">
        <f t="shared" si="6"/>
        <v>0.375</v>
      </c>
      <c r="T9" s="9">
        <f t="shared" si="7"/>
        <v>0.19753086419753085</v>
      </c>
      <c r="U9" s="9">
        <f>R9 / _xlfn.XLOOKUP(A9, Mid!A:A, Mid!AA:AA)</f>
        <v>2.0969855832241154E-2</v>
      </c>
      <c r="V9" s="1"/>
      <c r="W9" s="1"/>
    </row>
    <row r="10" spans="1:23" x14ac:dyDescent="0.25">
      <c r="A10" s="1" t="s">
        <v>118</v>
      </c>
      <c r="B10" s="6"/>
      <c r="C10" s="7"/>
      <c r="D10" s="8">
        <f t="shared" si="0"/>
        <v>0</v>
      </c>
      <c r="E10" s="6"/>
      <c r="F10" s="7"/>
      <c r="G10" s="8">
        <f t="shared" si="1"/>
        <v>0</v>
      </c>
      <c r="H10" s="6">
        <v>3</v>
      </c>
      <c r="I10" s="7">
        <v>0.33300000000000002</v>
      </c>
      <c r="J10" s="8">
        <f t="shared" si="2"/>
        <v>0.99900000000000011</v>
      </c>
      <c r="K10" s="6"/>
      <c r="L10" s="7"/>
      <c r="M10" s="8">
        <f t="shared" si="3"/>
        <v>0</v>
      </c>
      <c r="N10" s="6"/>
      <c r="O10" s="7"/>
      <c r="P10" s="8">
        <f t="shared" si="4"/>
        <v>0</v>
      </c>
      <c r="Q10" s="1"/>
      <c r="R10" s="6">
        <f t="shared" si="5"/>
        <v>3</v>
      </c>
      <c r="S10" s="9">
        <f t="shared" si="6"/>
        <v>0.33300000000000002</v>
      </c>
      <c r="T10" s="9">
        <f t="shared" si="7"/>
        <v>3.7037037037037035E-2</v>
      </c>
      <c r="U10" s="9">
        <f>R10 / _xlfn.XLOOKUP(A10, Mid!A:A, Mid!AA:AA)</f>
        <v>4.2857142857142858E-2</v>
      </c>
      <c r="V10" s="1"/>
      <c r="W10" s="1"/>
    </row>
    <row r="11" spans="1:23" x14ac:dyDescent="0.25">
      <c r="A11" s="1" t="s">
        <v>52</v>
      </c>
      <c r="B11" s="6"/>
      <c r="C11" s="7"/>
      <c r="D11" s="8">
        <f t="shared" si="0"/>
        <v>0</v>
      </c>
      <c r="E11" s="6">
        <v>5</v>
      </c>
      <c r="F11" s="7">
        <v>0.2</v>
      </c>
      <c r="G11" s="8">
        <f t="shared" si="1"/>
        <v>1</v>
      </c>
      <c r="H11" s="6"/>
      <c r="I11" s="7"/>
      <c r="J11" s="8">
        <f t="shared" si="2"/>
        <v>0</v>
      </c>
      <c r="K11" s="6"/>
      <c r="L11" s="7"/>
      <c r="M11" s="8">
        <f t="shared" si="3"/>
        <v>0</v>
      </c>
      <c r="N11" s="6"/>
      <c r="O11" s="7"/>
      <c r="P11" s="8">
        <f t="shared" si="4"/>
        <v>0</v>
      </c>
      <c r="Q11" s="4"/>
      <c r="R11" s="6">
        <f t="shared" si="5"/>
        <v>5</v>
      </c>
      <c r="S11" s="9">
        <f t="shared" si="6"/>
        <v>0.2</v>
      </c>
      <c r="T11" s="9">
        <f t="shared" si="7"/>
        <v>6.1728395061728392E-2</v>
      </c>
      <c r="U11" s="9">
        <f>R11 / _xlfn.XLOOKUP(A11, Mid!A:A, Mid!AA:AA)</f>
        <v>2.2624434389140271E-2</v>
      </c>
      <c r="V11" s="1"/>
      <c r="W11" s="1"/>
    </row>
    <row r="12" spans="1:23" x14ac:dyDescent="0.25">
      <c r="A12" s="1" t="s">
        <v>107</v>
      </c>
      <c r="B12" s="6"/>
      <c r="C12" s="7"/>
      <c r="D12" s="8">
        <f t="shared" si="0"/>
        <v>0</v>
      </c>
      <c r="E12" s="6">
        <v>5</v>
      </c>
      <c r="F12" s="7">
        <v>0</v>
      </c>
      <c r="G12" s="8">
        <f t="shared" si="1"/>
        <v>0</v>
      </c>
      <c r="H12" s="6">
        <v>2</v>
      </c>
      <c r="I12" s="7">
        <v>0</v>
      </c>
      <c r="J12" s="8">
        <f t="shared" si="2"/>
        <v>0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4"/>
      <c r="R12" s="6">
        <f t="shared" si="5"/>
        <v>7</v>
      </c>
      <c r="S12" s="9">
        <f t="shared" si="6"/>
        <v>0</v>
      </c>
      <c r="T12" s="9">
        <f t="shared" si="7"/>
        <v>8.6419753086419748E-2</v>
      </c>
      <c r="U12" s="9">
        <f>R12 / _xlfn.XLOOKUP(A12, Mid!A:A, Mid!AA:AA)</f>
        <v>1.3513513513513514E-2</v>
      </c>
      <c r="V12" s="1"/>
      <c r="W12" s="1"/>
    </row>
    <row r="13" spans="1:23" x14ac:dyDescent="0.25">
      <c r="A13" s="1" t="s">
        <v>27</v>
      </c>
      <c r="B13" s="6">
        <v>1</v>
      </c>
      <c r="C13" s="7">
        <v>0</v>
      </c>
      <c r="D13" s="8">
        <f t="shared" si="0"/>
        <v>0</v>
      </c>
      <c r="E13" s="6">
        <v>7</v>
      </c>
      <c r="F13" s="7">
        <v>0</v>
      </c>
      <c r="G13" s="8">
        <f t="shared" si="1"/>
        <v>0</v>
      </c>
      <c r="H13" s="6"/>
      <c r="I13" s="7"/>
      <c r="J13" s="8">
        <f t="shared" si="2"/>
        <v>0</v>
      </c>
      <c r="K13" s="6"/>
      <c r="L13" s="7"/>
      <c r="M13" s="8">
        <f t="shared" si="3"/>
        <v>0</v>
      </c>
      <c r="N13" s="6"/>
      <c r="O13" s="7"/>
      <c r="P13" s="8">
        <f t="shared" si="4"/>
        <v>0</v>
      </c>
      <c r="Q13" s="1"/>
      <c r="R13" s="6">
        <f t="shared" si="5"/>
        <v>8</v>
      </c>
      <c r="S13" s="9">
        <f t="shared" si="6"/>
        <v>0</v>
      </c>
      <c r="T13" s="9">
        <f t="shared" si="7"/>
        <v>9.8765432098765427E-2</v>
      </c>
      <c r="U13" s="9">
        <f>R13 / _xlfn.XLOOKUP(A13, Mid!A:A, Mid!AA:AA)</f>
        <v>3.7383177570093455E-2</v>
      </c>
    </row>
    <row r="14" spans="1:23" x14ac:dyDescent="0.25">
      <c r="A14" s="1" t="s">
        <v>108</v>
      </c>
      <c r="B14" s="6"/>
      <c r="C14" s="7"/>
      <c r="D14" s="8">
        <f t="shared" si="0"/>
        <v>0</v>
      </c>
      <c r="E14" s="6">
        <v>1</v>
      </c>
      <c r="F14" s="7">
        <v>0</v>
      </c>
      <c r="G14" s="8">
        <f t="shared" si="1"/>
        <v>0</v>
      </c>
      <c r="H14" s="6"/>
      <c r="I14" s="7"/>
      <c r="J14" s="8">
        <f t="shared" si="2"/>
        <v>0</v>
      </c>
      <c r="K14" s="6"/>
      <c r="L14" s="7"/>
      <c r="M14" s="8">
        <f t="shared" si="3"/>
        <v>0</v>
      </c>
      <c r="N14" s="6"/>
      <c r="O14" s="7"/>
      <c r="P14" s="8">
        <f t="shared" si="4"/>
        <v>0</v>
      </c>
      <c r="Q14" s="1"/>
      <c r="R14" s="6">
        <f t="shared" si="5"/>
        <v>1</v>
      </c>
      <c r="S14" s="9">
        <f t="shared" si="6"/>
        <v>0</v>
      </c>
      <c r="T14" s="9">
        <f t="shared" si="7"/>
        <v>1.2345679012345678E-2</v>
      </c>
      <c r="U14" s="9">
        <f>R14 / _xlfn.XLOOKUP(A14, Mid!A:A, Mid!AA:AA)</f>
        <v>3.1746031746031746E-3</v>
      </c>
    </row>
    <row r="15" spans="1:23" x14ac:dyDescent="0.25">
      <c r="A15" s="1" t="s">
        <v>8</v>
      </c>
      <c r="B15" s="6"/>
      <c r="C15" s="7"/>
      <c r="D15" s="8">
        <f t="shared" si="0"/>
        <v>0</v>
      </c>
      <c r="E15" s="6">
        <v>3</v>
      </c>
      <c r="F15" s="7">
        <v>0</v>
      </c>
      <c r="G15" s="8">
        <f t="shared" si="1"/>
        <v>0</v>
      </c>
      <c r="H15" s="6"/>
      <c r="I15" s="7"/>
      <c r="J15" s="8">
        <f t="shared" si="2"/>
        <v>0</v>
      </c>
      <c r="K15" s="6"/>
      <c r="L15" s="7"/>
      <c r="M15" s="8">
        <f t="shared" si="3"/>
        <v>0</v>
      </c>
      <c r="N15" s="6"/>
      <c r="O15" s="7"/>
      <c r="P15" s="8">
        <f t="shared" si="4"/>
        <v>0</v>
      </c>
      <c r="Q15" s="1"/>
      <c r="R15" s="6">
        <f t="shared" si="5"/>
        <v>3</v>
      </c>
      <c r="S15" s="9">
        <f t="shared" si="6"/>
        <v>0</v>
      </c>
      <c r="T15" s="9">
        <f t="shared" si="7"/>
        <v>3.7037037037037035E-2</v>
      </c>
      <c r="U15" s="9">
        <f>R15 / _xlfn.XLOOKUP(A15, Mid!A:A, Mid!AA:AA)</f>
        <v>2.7027027027027029E-2</v>
      </c>
    </row>
    <row r="16" spans="1:23" x14ac:dyDescent="0.25">
      <c r="A16" s="1" t="s">
        <v>116</v>
      </c>
      <c r="B16" s="6"/>
      <c r="C16" s="7"/>
      <c r="D16" s="8">
        <f t="shared" si="0"/>
        <v>0</v>
      </c>
      <c r="E16" s="6">
        <v>2</v>
      </c>
      <c r="F16" s="7">
        <v>0</v>
      </c>
      <c r="G16" s="8">
        <f t="shared" si="1"/>
        <v>0</v>
      </c>
      <c r="H16" s="6"/>
      <c r="I16" s="7"/>
      <c r="J16" s="8">
        <f t="shared" si="2"/>
        <v>0</v>
      </c>
      <c r="K16" s="6"/>
      <c r="L16" s="7"/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2</v>
      </c>
      <c r="S16" s="9">
        <f t="shared" si="6"/>
        <v>0</v>
      </c>
      <c r="T16" s="9">
        <f t="shared" si="7"/>
        <v>2.4691358024691357E-2</v>
      </c>
      <c r="U16" s="9">
        <f>R16 / _xlfn.XLOOKUP(A16, Mid!A:A, Mid!AA:AA)</f>
        <v>6.6666666666666666E-2</v>
      </c>
    </row>
    <row r="17" spans="1:21" x14ac:dyDescent="0.25">
      <c r="A17" s="1" t="s">
        <v>114</v>
      </c>
      <c r="B17" s="6"/>
      <c r="C17" s="7"/>
      <c r="D17" s="8">
        <f t="shared" si="0"/>
        <v>0</v>
      </c>
      <c r="E17" s="6">
        <v>1</v>
      </c>
      <c r="F17" s="7">
        <v>0</v>
      </c>
      <c r="G17" s="8">
        <f t="shared" si="1"/>
        <v>0</v>
      </c>
      <c r="H17" s="6"/>
      <c r="I17" s="7"/>
      <c r="J17" s="8">
        <f t="shared" si="2"/>
        <v>0</v>
      </c>
      <c r="K17" s="6"/>
      <c r="L17" s="7"/>
      <c r="M17" s="8">
        <f t="shared" si="3"/>
        <v>0</v>
      </c>
      <c r="N17" s="6"/>
      <c r="O17" s="7"/>
      <c r="P17" s="8">
        <f t="shared" si="4"/>
        <v>0</v>
      </c>
      <c r="Q17" s="1"/>
      <c r="R17" s="6">
        <f t="shared" si="5"/>
        <v>1</v>
      </c>
      <c r="S17" s="9">
        <f t="shared" si="6"/>
        <v>0</v>
      </c>
      <c r="T17" s="9">
        <f t="shared" si="7"/>
        <v>1.2345679012345678E-2</v>
      </c>
      <c r="U17" s="9">
        <f>R17 / _xlfn.XLOOKUP(A17, Mid!A:A, Mid!AA:AA)</f>
        <v>1.098901098901099E-2</v>
      </c>
    </row>
    <row r="18" spans="1:21" x14ac:dyDescent="0.25">
      <c r="A18" s="1" t="s">
        <v>91</v>
      </c>
      <c r="B18" s="6"/>
      <c r="C18" s="7"/>
      <c r="D18" s="8">
        <f t="shared" si="0"/>
        <v>0</v>
      </c>
      <c r="E18" s="6">
        <v>2</v>
      </c>
      <c r="F18" s="7">
        <v>0</v>
      </c>
      <c r="G18" s="8">
        <f t="shared" si="1"/>
        <v>0</v>
      </c>
      <c r="H18" s="6"/>
      <c r="I18" s="7"/>
      <c r="J18" s="8">
        <f t="shared" si="2"/>
        <v>0</v>
      </c>
      <c r="K18" s="6"/>
      <c r="L18" s="7"/>
      <c r="M18" s="8">
        <f t="shared" si="3"/>
        <v>0</v>
      </c>
      <c r="N18" s="6"/>
      <c r="O18" s="7"/>
      <c r="P18" s="8">
        <f t="shared" si="4"/>
        <v>0</v>
      </c>
      <c r="Q18" s="1"/>
      <c r="R18" s="6">
        <f t="shared" si="5"/>
        <v>2</v>
      </c>
      <c r="S18" s="9">
        <f t="shared" si="6"/>
        <v>0</v>
      </c>
      <c r="T18" s="9">
        <f t="shared" si="7"/>
        <v>2.4691358024691357E-2</v>
      </c>
      <c r="U18" s="9">
        <f>R18 / _xlfn.XLOOKUP(A18, Mid!A:A, Mid!AA:AA)</f>
        <v>3.0303030303030304E-2</v>
      </c>
    </row>
    <row r="19" spans="1:21" x14ac:dyDescent="0.25">
      <c r="A19" s="1" t="s">
        <v>128</v>
      </c>
      <c r="B19" s="6"/>
      <c r="C19" s="7"/>
      <c r="D19" s="8">
        <f t="shared" si="0"/>
        <v>0</v>
      </c>
      <c r="E19" s="6">
        <v>5</v>
      </c>
      <c r="F19" s="7">
        <v>0</v>
      </c>
      <c r="G19" s="8">
        <f t="shared" si="1"/>
        <v>0</v>
      </c>
      <c r="H19" s="6"/>
      <c r="I19" s="7"/>
      <c r="J19" s="8">
        <f t="shared" si="2"/>
        <v>0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1"/>
      <c r="R19" s="6">
        <f t="shared" si="5"/>
        <v>5</v>
      </c>
      <c r="S19" s="9">
        <f t="shared" si="6"/>
        <v>0</v>
      </c>
      <c r="T19" s="9">
        <f t="shared" si="7"/>
        <v>6.1728395061728392E-2</v>
      </c>
      <c r="U19" s="9">
        <f>R19 / _xlfn.XLOOKUP(A19, Mid!A:A, Mid!AA:AA)</f>
        <v>4.0983606557377046E-2</v>
      </c>
    </row>
    <row r="20" spans="1:21" x14ac:dyDescent="0.25">
      <c r="A20" s="1" t="s">
        <v>87</v>
      </c>
      <c r="B20" s="6"/>
      <c r="C20" s="7"/>
      <c r="D20" s="8">
        <f t="shared" si="0"/>
        <v>0</v>
      </c>
      <c r="E20" s="6"/>
      <c r="F20" s="7"/>
      <c r="G20" s="8">
        <f t="shared" si="1"/>
        <v>0</v>
      </c>
      <c r="H20" s="6">
        <v>1</v>
      </c>
      <c r="I20" s="7">
        <v>0</v>
      </c>
      <c r="J20" s="8">
        <f t="shared" si="2"/>
        <v>0</v>
      </c>
      <c r="K20" s="6"/>
      <c r="L20" s="7"/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1</v>
      </c>
      <c r="S20" s="9">
        <f t="shared" si="6"/>
        <v>0</v>
      </c>
      <c r="T20" s="9">
        <f t="shared" si="7"/>
        <v>1.2345679012345678E-2</v>
      </c>
      <c r="U20" s="9">
        <f>R20 / _xlfn.XLOOKUP(A20, Mid!A:A, Mid!AA:AA)</f>
        <v>2.070393374741201E-3</v>
      </c>
    </row>
    <row r="21" spans="1:21" x14ac:dyDescent="0.25">
      <c r="A21" s="1" t="s">
        <v>39</v>
      </c>
      <c r="B21" s="6"/>
      <c r="C21" s="7"/>
      <c r="D21" s="8">
        <f t="shared" si="0"/>
        <v>0</v>
      </c>
      <c r="E21" s="6">
        <v>1</v>
      </c>
      <c r="F21" s="7">
        <v>0</v>
      </c>
      <c r="G21" s="8">
        <f t="shared" si="1"/>
        <v>0</v>
      </c>
      <c r="H21" s="6"/>
      <c r="I21" s="7"/>
      <c r="J21" s="8">
        <f t="shared" si="2"/>
        <v>0</v>
      </c>
      <c r="K21" s="6"/>
      <c r="L21" s="7"/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1</v>
      </c>
      <c r="S21" s="9">
        <f t="shared" si="6"/>
        <v>0</v>
      </c>
      <c r="T21" s="9">
        <f t="shared" si="7"/>
        <v>1.2345679012345678E-2</v>
      </c>
      <c r="U21" s="9">
        <f>R21 / _xlfn.XLOOKUP(A21, Mid!A:A, Mid!AA:AA)</f>
        <v>4.4444444444444444E-3</v>
      </c>
    </row>
    <row r="22" spans="1:21" x14ac:dyDescent="0.25">
      <c r="A22" s="1" t="s">
        <v>115</v>
      </c>
      <c r="B22" s="6"/>
      <c r="C22" s="7"/>
      <c r="D22" s="8">
        <f t="shared" si="0"/>
        <v>0</v>
      </c>
      <c r="E22" s="6">
        <v>1</v>
      </c>
      <c r="F22" s="7">
        <v>0</v>
      </c>
      <c r="G22" s="8">
        <f t="shared" si="1"/>
        <v>0</v>
      </c>
      <c r="H22" s="6"/>
      <c r="I22" s="7"/>
      <c r="J22" s="8">
        <f t="shared" si="2"/>
        <v>0</v>
      </c>
      <c r="K22" s="6"/>
      <c r="L22" s="7"/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1</v>
      </c>
      <c r="S22" s="9">
        <f t="shared" si="6"/>
        <v>0</v>
      </c>
      <c r="T22" s="9">
        <f t="shared" si="7"/>
        <v>1.2345679012345678E-2</v>
      </c>
      <c r="U22" s="9">
        <f>R22 / _xlfn.XLOOKUP(A22, Mid!A:A, Mid!AA:AA)</f>
        <v>1.9607843137254902E-2</v>
      </c>
    </row>
    <row r="23" spans="1:21" x14ac:dyDescent="0.25">
      <c r="A23" s="1" t="s">
        <v>109</v>
      </c>
      <c r="B23" s="6">
        <v>2</v>
      </c>
      <c r="C23" s="7">
        <v>0</v>
      </c>
      <c r="D23" s="8">
        <f t="shared" si="0"/>
        <v>0</v>
      </c>
      <c r="E23" s="6">
        <v>2</v>
      </c>
      <c r="F23" s="7">
        <v>0</v>
      </c>
      <c r="G23" s="8">
        <f t="shared" si="1"/>
        <v>0</v>
      </c>
      <c r="H23" s="6"/>
      <c r="I23" s="7"/>
      <c r="J23" s="8">
        <f t="shared" si="2"/>
        <v>0</v>
      </c>
      <c r="K23" s="6"/>
      <c r="L23" s="7"/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4</v>
      </c>
      <c r="S23" s="9">
        <f t="shared" si="6"/>
        <v>0</v>
      </c>
      <c r="T23" s="9">
        <f t="shared" si="7"/>
        <v>4.9382716049382713E-2</v>
      </c>
      <c r="U23" s="9">
        <f>R23 / _xlfn.XLOOKUP(A23, Mid!A:A, Mid!AA:AA)</f>
        <v>1.6129032258064516E-2</v>
      </c>
    </row>
    <row r="24" spans="1:21" x14ac:dyDescent="0.25">
      <c r="A24" s="1" t="s">
        <v>12</v>
      </c>
      <c r="B24" s="6"/>
      <c r="C24" s="7"/>
      <c r="D24" s="8">
        <f t="shared" si="0"/>
        <v>0</v>
      </c>
      <c r="E24" s="6">
        <v>1</v>
      </c>
      <c r="F24" s="7">
        <v>0</v>
      </c>
      <c r="G24" s="8">
        <f t="shared" si="1"/>
        <v>0</v>
      </c>
      <c r="H24" s="6"/>
      <c r="I24" s="7"/>
      <c r="J24" s="8">
        <f t="shared" si="2"/>
        <v>0</v>
      </c>
      <c r="K24" s="6"/>
      <c r="L24" s="7"/>
      <c r="M24" s="8">
        <f t="shared" si="3"/>
        <v>0</v>
      </c>
      <c r="N24" s="6"/>
      <c r="O24" s="7"/>
      <c r="P24" s="8">
        <f t="shared" si="4"/>
        <v>0</v>
      </c>
      <c r="Q24" s="1"/>
      <c r="R24" s="6">
        <f t="shared" si="5"/>
        <v>1</v>
      </c>
      <c r="S24" s="9">
        <f t="shared" si="6"/>
        <v>0</v>
      </c>
      <c r="T24" s="9">
        <f t="shared" si="7"/>
        <v>1.2345679012345678E-2</v>
      </c>
      <c r="U24" s="9">
        <f>R24 / _xlfn.XLOOKUP(A24, Mid!A:A, Mid!AA:AA)</f>
        <v>3.8167938931297708E-3</v>
      </c>
    </row>
    <row r="25" spans="1:21" x14ac:dyDescent="0.25">
      <c r="N25" s="6"/>
      <c r="O25" s="7"/>
      <c r="P25" s="8">
        <f t="shared" ref="P25:P29" si="8">N25*O25</f>
        <v>0</v>
      </c>
      <c r="Q25" s="1"/>
      <c r="R25" s="6">
        <f t="shared" ref="R25:R29" si="9">B25+E25+H25+K25+N25</f>
        <v>0</v>
      </c>
      <c r="S25" s="9" t="e">
        <f t="shared" ref="S25:S29" si="10">(D25+G25+J25+M25+P25)/R25</f>
        <v>#DIV/0!</v>
      </c>
      <c r="T25" s="9">
        <f t="shared" ref="T25:T29" si="11">R25/$V$3</f>
        <v>0</v>
      </c>
      <c r="U25" s="9" t="e">
        <f>R25 / _xlfn.XLOOKUP(A25, Mid!A:A, Mid!AA:AA)</f>
        <v>#DIV/0!</v>
      </c>
    </row>
    <row r="26" spans="1:21" x14ac:dyDescent="0.25">
      <c r="N26" s="6"/>
      <c r="O26" s="7"/>
      <c r="P26" s="8">
        <f t="shared" si="8"/>
        <v>0</v>
      </c>
      <c r="Q26" s="1"/>
      <c r="R26" s="6">
        <f t="shared" si="9"/>
        <v>0</v>
      </c>
      <c r="S26" s="9" t="e">
        <f t="shared" si="10"/>
        <v>#DIV/0!</v>
      </c>
      <c r="T26" s="9">
        <f t="shared" si="11"/>
        <v>0</v>
      </c>
      <c r="U26" s="9" t="e">
        <f>R26 / _xlfn.XLOOKUP(A26, Mid!A:A, Mid!AA:AA)</f>
        <v>#DIV/0!</v>
      </c>
    </row>
    <row r="27" spans="1:21" x14ac:dyDescent="0.25">
      <c r="N27" s="6"/>
      <c r="O27" s="7"/>
      <c r="P27" s="8">
        <f t="shared" si="8"/>
        <v>0</v>
      </c>
      <c r="Q27" s="1"/>
      <c r="R27" s="6">
        <f t="shared" si="9"/>
        <v>0</v>
      </c>
      <c r="S27" s="9" t="e">
        <f t="shared" si="10"/>
        <v>#DIV/0!</v>
      </c>
      <c r="T27" s="9">
        <f t="shared" si="11"/>
        <v>0</v>
      </c>
      <c r="U27" s="9" t="e">
        <f>R27 / _xlfn.XLOOKUP(A27, Mid!A:A, Mid!AA:AA)</f>
        <v>#DIV/0!</v>
      </c>
    </row>
    <row r="28" spans="1:21" x14ac:dyDescent="0.25">
      <c r="N28" s="6"/>
      <c r="O28" s="7"/>
      <c r="P28" s="8">
        <f t="shared" si="8"/>
        <v>0</v>
      </c>
      <c r="Q28" s="1"/>
      <c r="R28" s="6">
        <f t="shared" si="9"/>
        <v>0</v>
      </c>
      <c r="S28" s="9" t="e">
        <f t="shared" si="10"/>
        <v>#DIV/0!</v>
      </c>
      <c r="T28" s="9">
        <f t="shared" si="11"/>
        <v>0</v>
      </c>
      <c r="U28" s="9" t="e">
        <f>R28 / _xlfn.XLOOKUP(A28, Mid!A:A, Mid!AA:AA)</f>
        <v>#DIV/0!</v>
      </c>
    </row>
    <row r="29" spans="1:21" x14ac:dyDescent="0.25">
      <c r="N29" s="6"/>
      <c r="O29" s="7"/>
      <c r="P29" s="8">
        <f t="shared" si="8"/>
        <v>0</v>
      </c>
      <c r="Q29" s="1"/>
      <c r="R29" s="6">
        <f t="shared" si="9"/>
        <v>0</v>
      </c>
      <c r="S29" s="9" t="e">
        <f t="shared" si="10"/>
        <v>#DIV/0!</v>
      </c>
      <c r="T29" s="9">
        <f t="shared" si="11"/>
        <v>0</v>
      </c>
      <c r="U29" s="9" t="e">
        <f>R29 / _xlfn.XLOOKUP(A29, Mid!A:A, Mid!AA:AA)</f>
        <v>#DIV/0!</v>
      </c>
    </row>
  </sheetData>
  <sortState xmlns:xlrd2="http://schemas.microsoft.com/office/spreadsheetml/2017/richdata2" ref="A3:U24">
    <sortCondition descending="1" ref="S3:S24"/>
  </sortState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08A39-83A0-498F-98C7-091A9F7D6263}">
  <sheetPr>
    <tabColor theme="7" tint="0.59999389629810485"/>
  </sheetPr>
  <dimension ref="A1:W39"/>
  <sheetViews>
    <sheetView workbookViewId="0">
      <selection activeCell="U3" sqref="U3:U31"/>
    </sheetView>
  </sheetViews>
  <sheetFormatPr baseColWidth="10" defaultRowHeight="15" x14ac:dyDescent="0.25"/>
  <sheetData>
    <row r="1" spans="1:23" ht="15.75" x14ac:dyDescent="0.25">
      <c r="A1" s="2" t="s">
        <v>136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35</v>
      </c>
      <c r="B3" s="6"/>
      <c r="C3" s="7"/>
      <c r="D3" s="8">
        <f t="shared" ref="D3:D14" si="0">B3*C3</f>
        <v>0</v>
      </c>
      <c r="E3" s="6"/>
      <c r="F3" s="7"/>
      <c r="G3" s="8">
        <f t="shared" ref="G3:G14" si="1">E3*F3</f>
        <v>0</v>
      </c>
      <c r="H3" s="6"/>
      <c r="I3" s="7"/>
      <c r="J3" s="8">
        <f t="shared" ref="J3:J14" si="2">H3*I3</f>
        <v>0</v>
      </c>
      <c r="K3" s="6"/>
      <c r="L3" s="7"/>
      <c r="M3" s="8">
        <f t="shared" ref="M3:M14" si="3">K3*L3</f>
        <v>0</v>
      </c>
      <c r="N3" s="6"/>
      <c r="O3" s="7"/>
      <c r="P3" s="8">
        <f t="shared" ref="P3:P14" si="4">N3*O3</f>
        <v>0</v>
      </c>
      <c r="Q3" s="1"/>
      <c r="R3" s="6">
        <f t="shared" ref="R3:R14" si="5">B3+E3+H3+K3+N3</f>
        <v>0</v>
      </c>
      <c r="S3" s="9" t="e">
        <f t="shared" ref="S3:S14" si="6">(D3+G3+J3+M3+P3)/R3</f>
        <v>#DIV/0!</v>
      </c>
      <c r="T3" s="9">
        <f t="shared" ref="T3:T14" si="7">R3/$V$3</f>
        <v>0</v>
      </c>
      <c r="U3" s="9">
        <f>R3 / _xlfn.XLOOKUP(A3, Mid!A:A, Mid!AA:AA)</f>
        <v>0</v>
      </c>
      <c r="V3" s="11">
        <f>SUM(R3:R49)</f>
        <v>225</v>
      </c>
      <c r="W3" s="12">
        <f>(SUM(D3:D80)+SUM(G3:G80)+SUM(J3:J80)+SUM(M3:M80)+SUM(P3:P80)) / V3</f>
        <v>0.26655555555555555</v>
      </c>
    </row>
    <row r="4" spans="1:23" x14ac:dyDescent="0.25">
      <c r="A4" s="1" t="s">
        <v>61</v>
      </c>
      <c r="B4" s="6">
        <v>1</v>
      </c>
      <c r="C4" s="7">
        <v>1</v>
      </c>
      <c r="D4" s="8">
        <f t="shared" si="0"/>
        <v>1</v>
      </c>
      <c r="E4" s="6"/>
      <c r="F4" s="7"/>
      <c r="G4" s="8">
        <f t="shared" si="1"/>
        <v>0</v>
      </c>
      <c r="H4" s="6"/>
      <c r="I4" s="7"/>
      <c r="J4" s="8">
        <f t="shared" si="2"/>
        <v>0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1</v>
      </c>
      <c r="S4" s="9">
        <f t="shared" si="6"/>
        <v>1</v>
      </c>
      <c r="T4" s="9">
        <f t="shared" si="7"/>
        <v>4.4444444444444444E-3</v>
      </c>
      <c r="U4" s="9">
        <f>R4 / _xlfn.XLOOKUP(A4, Mid!A:A, Mid!AA:AA)</f>
        <v>3.125E-2</v>
      </c>
      <c r="V4" s="1"/>
      <c r="W4" s="1"/>
    </row>
    <row r="5" spans="1:23" x14ac:dyDescent="0.25">
      <c r="A5" s="1" t="s">
        <v>114</v>
      </c>
      <c r="B5" s="6">
        <v>3</v>
      </c>
      <c r="C5" s="7">
        <v>0.66700000000000004</v>
      </c>
      <c r="D5" s="8">
        <f t="shared" si="0"/>
        <v>2.0010000000000003</v>
      </c>
      <c r="E5" s="6"/>
      <c r="F5" s="7"/>
      <c r="G5" s="8">
        <f t="shared" si="1"/>
        <v>0</v>
      </c>
      <c r="H5" s="6">
        <v>1</v>
      </c>
      <c r="I5" s="7">
        <v>0</v>
      </c>
      <c r="J5" s="8">
        <f t="shared" si="2"/>
        <v>0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4</v>
      </c>
      <c r="S5" s="9">
        <f t="shared" si="6"/>
        <v>0.50025000000000008</v>
      </c>
      <c r="T5" s="9">
        <f t="shared" si="7"/>
        <v>1.7777777777777778E-2</v>
      </c>
      <c r="U5" s="9">
        <f>R5 / _xlfn.XLOOKUP(A5, Mid!A:A, Mid!AA:AA)</f>
        <v>4.3956043956043959E-2</v>
      </c>
      <c r="V5" s="1"/>
      <c r="W5" s="1"/>
    </row>
    <row r="6" spans="1:23" x14ac:dyDescent="0.25">
      <c r="A6" s="1" t="s">
        <v>29</v>
      </c>
      <c r="B6" s="6"/>
      <c r="C6" s="7"/>
      <c r="D6" s="8">
        <f t="shared" si="0"/>
        <v>0</v>
      </c>
      <c r="E6" s="6"/>
      <c r="F6" s="7"/>
      <c r="G6" s="8">
        <f t="shared" si="1"/>
        <v>0</v>
      </c>
      <c r="H6" s="6">
        <v>4</v>
      </c>
      <c r="I6" s="7">
        <v>0.5</v>
      </c>
      <c r="J6" s="8">
        <f t="shared" si="2"/>
        <v>2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4"/>
      <c r="R6" s="6">
        <f t="shared" si="5"/>
        <v>4</v>
      </c>
      <c r="S6" s="9">
        <f t="shared" si="6"/>
        <v>0.5</v>
      </c>
      <c r="T6" s="9">
        <f t="shared" si="7"/>
        <v>1.7777777777777778E-2</v>
      </c>
      <c r="U6" s="9">
        <f>R6 / _xlfn.XLOOKUP(A6, Mid!A:A, Mid!AA:AA)</f>
        <v>0.10526315789473684</v>
      </c>
      <c r="V6" s="1"/>
      <c r="W6" s="1"/>
    </row>
    <row r="7" spans="1:23" x14ac:dyDescent="0.25">
      <c r="A7" s="1" t="s">
        <v>116</v>
      </c>
      <c r="B7" s="6"/>
      <c r="C7" s="7"/>
      <c r="D7" s="8">
        <f t="shared" si="0"/>
        <v>0</v>
      </c>
      <c r="E7" s="6">
        <v>2</v>
      </c>
      <c r="F7" s="7">
        <v>0.5</v>
      </c>
      <c r="G7" s="8">
        <f t="shared" si="1"/>
        <v>1</v>
      </c>
      <c r="H7" s="6"/>
      <c r="I7" s="7"/>
      <c r="J7" s="8">
        <f t="shared" si="2"/>
        <v>0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2</v>
      </c>
      <c r="S7" s="9">
        <f t="shared" si="6"/>
        <v>0.5</v>
      </c>
      <c r="T7" s="9">
        <f t="shared" si="7"/>
        <v>8.8888888888888889E-3</v>
      </c>
      <c r="U7" s="9">
        <f>R7 / _xlfn.XLOOKUP(A7, Mid!A:A, Mid!AA:AA)</f>
        <v>6.6666666666666666E-2</v>
      </c>
      <c r="V7" s="1"/>
      <c r="W7" s="1"/>
    </row>
    <row r="8" spans="1:23" x14ac:dyDescent="0.25">
      <c r="A8" s="1" t="s">
        <v>120</v>
      </c>
      <c r="B8" s="6">
        <v>2</v>
      </c>
      <c r="C8" s="7">
        <v>0.5</v>
      </c>
      <c r="D8" s="8">
        <f t="shared" si="0"/>
        <v>1</v>
      </c>
      <c r="E8" s="6"/>
      <c r="F8" s="7"/>
      <c r="G8" s="8">
        <f t="shared" si="1"/>
        <v>0</v>
      </c>
      <c r="H8" s="6"/>
      <c r="I8" s="7"/>
      <c r="J8" s="8">
        <f t="shared" si="2"/>
        <v>0</v>
      </c>
      <c r="K8" s="6"/>
      <c r="L8" s="7"/>
      <c r="M8" s="8">
        <f t="shared" si="3"/>
        <v>0</v>
      </c>
      <c r="N8" s="6"/>
      <c r="O8" s="7"/>
      <c r="P8" s="8">
        <f t="shared" si="4"/>
        <v>0</v>
      </c>
      <c r="Q8" s="1"/>
      <c r="R8" s="6">
        <f t="shared" si="5"/>
        <v>2</v>
      </c>
      <c r="S8" s="9">
        <f t="shared" si="6"/>
        <v>0.5</v>
      </c>
      <c r="T8" s="9">
        <f t="shared" si="7"/>
        <v>8.8888888888888889E-3</v>
      </c>
      <c r="U8" s="9">
        <f>R8 / _xlfn.XLOOKUP(A8, Mid!A:A, Mid!AA:AA)</f>
        <v>4.0816326530612242E-2</v>
      </c>
      <c r="V8" s="1"/>
      <c r="W8" s="1"/>
    </row>
    <row r="9" spans="1:23" x14ac:dyDescent="0.25">
      <c r="A9" s="1" t="s">
        <v>48</v>
      </c>
      <c r="B9" s="6">
        <v>4</v>
      </c>
      <c r="C9" s="7">
        <v>0.5</v>
      </c>
      <c r="D9" s="8">
        <f t="shared" si="0"/>
        <v>2</v>
      </c>
      <c r="E9" s="6">
        <v>4</v>
      </c>
      <c r="F9" s="7">
        <v>0.5</v>
      </c>
      <c r="G9" s="8">
        <f t="shared" si="1"/>
        <v>2</v>
      </c>
      <c r="H9" s="6">
        <v>1</v>
      </c>
      <c r="I9" s="7">
        <v>0</v>
      </c>
      <c r="J9" s="8">
        <f t="shared" si="2"/>
        <v>0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4"/>
      <c r="R9" s="6">
        <f t="shared" si="5"/>
        <v>9</v>
      </c>
      <c r="S9" s="9">
        <f t="shared" si="6"/>
        <v>0.44444444444444442</v>
      </c>
      <c r="T9" s="9">
        <f t="shared" si="7"/>
        <v>0.04</v>
      </c>
      <c r="U9" s="9">
        <f>R9 / _xlfn.XLOOKUP(A9, Mid!A:A, Mid!AA:AA)</f>
        <v>3.1468531468531472E-2</v>
      </c>
      <c r="V9" s="1"/>
      <c r="W9" s="1"/>
    </row>
    <row r="10" spans="1:23" x14ac:dyDescent="0.25">
      <c r="A10" s="1" t="s">
        <v>128</v>
      </c>
      <c r="B10" s="6">
        <v>4</v>
      </c>
      <c r="C10" s="7">
        <v>0.5</v>
      </c>
      <c r="D10" s="8">
        <f t="shared" si="0"/>
        <v>2</v>
      </c>
      <c r="E10" s="6">
        <v>5</v>
      </c>
      <c r="F10" s="7">
        <v>0.4</v>
      </c>
      <c r="G10" s="8">
        <f t="shared" si="1"/>
        <v>2</v>
      </c>
      <c r="H10" s="6"/>
      <c r="I10" s="7"/>
      <c r="J10" s="8">
        <f t="shared" si="2"/>
        <v>0</v>
      </c>
      <c r="K10" s="6"/>
      <c r="L10" s="7"/>
      <c r="M10" s="8">
        <f t="shared" si="3"/>
        <v>0</v>
      </c>
      <c r="N10" s="6"/>
      <c r="O10" s="7"/>
      <c r="P10" s="8">
        <f t="shared" si="4"/>
        <v>0</v>
      </c>
      <c r="Q10" s="1"/>
      <c r="R10" s="6">
        <f t="shared" si="5"/>
        <v>9</v>
      </c>
      <c r="S10" s="9">
        <f t="shared" si="6"/>
        <v>0.44444444444444442</v>
      </c>
      <c r="T10" s="9">
        <f t="shared" si="7"/>
        <v>0.04</v>
      </c>
      <c r="U10" s="9">
        <f>R10 / _xlfn.XLOOKUP(A10, Mid!A:A, Mid!AA:AA)</f>
        <v>7.3770491803278687E-2</v>
      </c>
      <c r="V10" s="1"/>
      <c r="W10" s="1"/>
    </row>
    <row r="11" spans="1:23" x14ac:dyDescent="0.25">
      <c r="A11" s="1" t="s">
        <v>32</v>
      </c>
      <c r="B11" s="6">
        <v>8</v>
      </c>
      <c r="C11" s="7">
        <v>0.375</v>
      </c>
      <c r="D11" s="8">
        <f t="shared" si="0"/>
        <v>3</v>
      </c>
      <c r="E11" s="6">
        <v>3</v>
      </c>
      <c r="F11" s="7">
        <v>0.33300000000000002</v>
      </c>
      <c r="G11" s="8">
        <f t="shared" si="1"/>
        <v>0.99900000000000011</v>
      </c>
      <c r="H11" s="6"/>
      <c r="I11" s="7"/>
      <c r="J11" s="8">
        <f t="shared" si="2"/>
        <v>0</v>
      </c>
      <c r="K11" s="6"/>
      <c r="L11" s="7"/>
      <c r="M11" s="8">
        <f t="shared" si="3"/>
        <v>0</v>
      </c>
      <c r="N11" s="6"/>
      <c r="O11" s="7"/>
      <c r="P11" s="8">
        <f t="shared" si="4"/>
        <v>0</v>
      </c>
      <c r="Q11" s="1"/>
      <c r="R11" s="6">
        <f t="shared" si="5"/>
        <v>11</v>
      </c>
      <c r="S11" s="9">
        <f t="shared" si="6"/>
        <v>0.36354545454545456</v>
      </c>
      <c r="T11" s="9">
        <f t="shared" si="7"/>
        <v>4.8888888888888891E-2</v>
      </c>
      <c r="U11" s="9">
        <f>R11 / _xlfn.XLOOKUP(A11, Mid!A:A, Mid!AA:AA)</f>
        <v>3.7671232876712327E-2</v>
      </c>
      <c r="V11" s="1"/>
      <c r="W11" s="1"/>
    </row>
    <row r="12" spans="1:23" x14ac:dyDescent="0.25">
      <c r="A12" s="1" t="s">
        <v>27</v>
      </c>
      <c r="B12" s="6">
        <v>6</v>
      </c>
      <c r="C12" s="7">
        <v>0.16700000000000001</v>
      </c>
      <c r="D12" s="8">
        <f t="shared" si="0"/>
        <v>1.002</v>
      </c>
      <c r="E12" s="6">
        <v>9</v>
      </c>
      <c r="F12" s="7">
        <v>0.44400000000000001</v>
      </c>
      <c r="G12" s="8">
        <f t="shared" si="1"/>
        <v>3.996</v>
      </c>
      <c r="H12" s="6">
        <v>2</v>
      </c>
      <c r="I12" s="7">
        <v>0.5</v>
      </c>
      <c r="J12" s="8">
        <f t="shared" si="2"/>
        <v>1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1"/>
      <c r="R12" s="6">
        <f t="shared" si="5"/>
        <v>17</v>
      </c>
      <c r="S12" s="9">
        <f t="shared" si="6"/>
        <v>0.3528235294117647</v>
      </c>
      <c r="T12" s="9">
        <f t="shared" si="7"/>
        <v>7.5555555555555556E-2</v>
      </c>
      <c r="U12" s="9">
        <f>R12 / _xlfn.XLOOKUP(A12, Mid!A:A, Mid!AA:AA)</f>
        <v>7.9439252336448593E-2</v>
      </c>
      <c r="V12" s="1"/>
      <c r="W12" s="1"/>
    </row>
    <row r="13" spans="1:23" x14ac:dyDescent="0.25">
      <c r="A13" s="1" t="s">
        <v>39</v>
      </c>
      <c r="B13" s="6"/>
      <c r="C13" s="7"/>
      <c r="D13" s="8">
        <f t="shared" si="0"/>
        <v>0</v>
      </c>
      <c r="E13" s="6">
        <v>5</v>
      </c>
      <c r="F13" s="7">
        <v>0.6</v>
      </c>
      <c r="G13" s="8">
        <f t="shared" si="1"/>
        <v>3</v>
      </c>
      <c r="H13" s="6">
        <v>10</v>
      </c>
      <c r="I13" s="7">
        <v>0.2</v>
      </c>
      <c r="J13" s="8">
        <f t="shared" si="2"/>
        <v>2</v>
      </c>
      <c r="K13" s="6"/>
      <c r="L13" s="7"/>
      <c r="M13" s="8">
        <f t="shared" si="3"/>
        <v>0</v>
      </c>
      <c r="N13" s="6"/>
      <c r="O13" s="7"/>
      <c r="P13" s="8">
        <f t="shared" si="4"/>
        <v>0</v>
      </c>
      <c r="Q13" s="1"/>
      <c r="R13" s="6">
        <f t="shared" si="5"/>
        <v>15</v>
      </c>
      <c r="S13" s="9">
        <f t="shared" si="6"/>
        <v>0.33333333333333331</v>
      </c>
      <c r="T13" s="9">
        <f t="shared" si="7"/>
        <v>6.6666666666666666E-2</v>
      </c>
      <c r="U13" s="9">
        <f>R13 / _xlfn.XLOOKUP(A13, Mid!A:A, Mid!AA:AA)</f>
        <v>6.6666666666666666E-2</v>
      </c>
      <c r="V13" s="1"/>
      <c r="W13" s="1"/>
    </row>
    <row r="14" spans="1:23" x14ac:dyDescent="0.25">
      <c r="A14" s="1" t="s">
        <v>109</v>
      </c>
      <c r="B14" s="6">
        <v>15</v>
      </c>
      <c r="C14" s="7">
        <v>0.33300000000000002</v>
      </c>
      <c r="D14" s="8">
        <f t="shared" si="0"/>
        <v>4.9950000000000001</v>
      </c>
      <c r="E14" s="6">
        <v>6</v>
      </c>
      <c r="F14" s="7">
        <v>0.33300000000000002</v>
      </c>
      <c r="G14" s="8">
        <f t="shared" si="1"/>
        <v>1.9980000000000002</v>
      </c>
      <c r="H14" s="6"/>
      <c r="I14" s="7"/>
      <c r="J14" s="8">
        <f t="shared" si="2"/>
        <v>0</v>
      </c>
      <c r="K14" s="6"/>
      <c r="L14" s="7"/>
      <c r="M14" s="8">
        <f t="shared" si="3"/>
        <v>0</v>
      </c>
      <c r="N14" s="6"/>
      <c r="O14" s="7"/>
      <c r="P14" s="8">
        <f t="shared" si="4"/>
        <v>0</v>
      </c>
      <c r="Q14" s="4"/>
      <c r="R14" s="6">
        <f t="shared" si="5"/>
        <v>21</v>
      </c>
      <c r="S14" s="9">
        <f t="shared" si="6"/>
        <v>0.33300000000000002</v>
      </c>
      <c r="T14" s="9">
        <f t="shared" si="7"/>
        <v>9.3333333333333338E-2</v>
      </c>
      <c r="U14" s="9">
        <f>R14 / _xlfn.XLOOKUP(A14, Mid!A:A, Mid!AA:AA)</f>
        <v>8.4677419354838704E-2</v>
      </c>
      <c r="V14" s="1"/>
      <c r="W14" s="1"/>
    </row>
    <row r="15" spans="1:23" x14ac:dyDescent="0.25">
      <c r="A15" s="1" t="s">
        <v>91</v>
      </c>
      <c r="B15" s="6"/>
      <c r="C15" s="7"/>
      <c r="D15" s="8">
        <f t="shared" ref="D15:D31" si="8">B15*C15</f>
        <v>0</v>
      </c>
      <c r="E15" s="6">
        <v>3</v>
      </c>
      <c r="F15" s="7">
        <v>0.33300000000000002</v>
      </c>
      <c r="G15" s="8">
        <f t="shared" ref="G15:G31" si="9">E15*F15</f>
        <v>0.99900000000000011</v>
      </c>
      <c r="H15" s="6"/>
      <c r="I15" s="7"/>
      <c r="J15" s="8">
        <f t="shared" ref="J15:J31" si="10">H15*I15</f>
        <v>0</v>
      </c>
      <c r="K15" s="6"/>
      <c r="L15" s="7"/>
      <c r="M15" s="8">
        <f t="shared" ref="M15:M31" si="11">K15*L15</f>
        <v>0</v>
      </c>
      <c r="N15" s="6"/>
      <c r="O15" s="7"/>
      <c r="P15" s="8">
        <f t="shared" ref="P15:P31" si="12">N15*O15</f>
        <v>0</v>
      </c>
      <c r="Q15" s="1"/>
      <c r="R15" s="6">
        <f t="shared" ref="R15:R31" si="13">B15+E15+H15+K15+N15</f>
        <v>3</v>
      </c>
      <c r="S15" s="9">
        <f t="shared" ref="S15:S31" si="14">(D15+G15+J15+M15+P15)/R15</f>
        <v>0.33300000000000002</v>
      </c>
      <c r="T15" s="9">
        <f t="shared" ref="T15:T31" si="15">R15/$V$3</f>
        <v>1.3333333333333334E-2</v>
      </c>
      <c r="U15" s="9">
        <f>R15 / _xlfn.XLOOKUP(A15, Mid!A:A, Mid!AA:AA)</f>
        <v>4.5454545454545456E-2</v>
      </c>
      <c r="V15" s="1"/>
      <c r="W15" s="1"/>
    </row>
    <row r="16" spans="1:23" x14ac:dyDescent="0.25">
      <c r="A16" s="1" t="s">
        <v>64</v>
      </c>
      <c r="B16" s="6">
        <v>10</v>
      </c>
      <c r="C16" s="7">
        <v>0.4</v>
      </c>
      <c r="D16" s="8">
        <f t="shared" si="8"/>
        <v>4</v>
      </c>
      <c r="E16" s="6">
        <v>21</v>
      </c>
      <c r="F16" s="7">
        <v>0.33300000000000002</v>
      </c>
      <c r="G16" s="8">
        <f t="shared" si="9"/>
        <v>6.9930000000000003</v>
      </c>
      <c r="H16" s="6">
        <v>21</v>
      </c>
      <c r="I16" s="7">
        <v>0.19</v>
      </c>
      <c r="J16" s="8">
        <f t="shared" si="10"/>
        <v>3.99</v>
      </c>
      <c r="K16" s="6"/>
      <c r="L16" s="7"/>
      <c r="M16" s="8">
        <f t="shared" si="11"/>
        <v>0</v>
      </c>
      <c r="N16" s="6"/>
      <c r="O16" s="7"/>
      <c r="P16" s="8">
        <f t="shared" si="12"/>
        <v>0</v>
      </c>
      <c r="Q16" s="1"/>
      <c r="R16" s="6">
        <f t="shared" si="13"/>
        <v>52</v>
      </c>
      <c r="S16" s="9">
        <f t="shared" si="14"/>
        <v>0.28813461538461538</v>
      </c>
      <c r="T16" s="9">
        <f t="shared" si="15"/>
        <v>0.2311111111111111</v>
      </c>
      <c r="U16" s="9">
        <f>R16 / _xlfn.XLOOKUP(A16, Mid!A:A, Mid!AA:AA)</f>
        <v>6.8152031454783754E-2</v>
      </c>
      <c r="V16" s="1"/>
      <c r="W16" s="1"/>
    </row>
    <row r="17" spans="1:23" x14ac:dyDescent="0.25">
      <c r="A17" s="1" t="s">
        <v>8</v>
      </c>
      <c r="B17" s="6"/>
      <c r="C17" s="7"/>
      <c r="D17" s="8">
        <f t="shared" si="8"/>
        <v>0</v>
      </c>
      <c r="E17" s="6">
        <v>5</v>
      </c>
      <c r="F17" s="7">
        <v>0.2</v>
      </c>
      <c r="G17" s="8">
        <f t="shared" si="9"/>
        <v>1</v>
      </c>
      <c r="H17" s="6"/>
      <c r="I17" s="7"/>
      <c r="J17" s="8">
        <f t="shared" si="10"/>
        <v>0</v>
      </c>
      <c r="K17" s="6"/>
      <c r="L17" s="7"/>
      <c r="M17" s="8">
        <f t="shared" si="11"/>
        <v>0</v>
      </c>
      <c r="N17" s="6"/>
      <c r="O17" s="7"/>
      <c r="P17" s="8">
        <f t="shared" si="12"/>
        <v>0</v>
      </c>
      <c r="Q17" s="13"/>
      <c r="R17" s="6">
        <f t="shared" si="13"/>
        <v>5</v>
      </c>
      <c r="S17" s="9">
        <f t="shared" si="14"/>
        <v>0.2</v>
      </c>
      <c r="T17" s="9">
        <f t="shared" si="15"/>
        <v>2.2222222222222223E-2</v>
      </c>
      <c r="U17" s="9">
        <f>R17 / _xlfn.XLOOKUP(A17, Mid!A:A, Mid!AA:AA)</f>
        <v>4.5045045045045043E-2</v>
      </c>
      <c r="V17" s="1"/>
      <c r="W17" s="1"/>
    </row>
    <row r="18" spans="1:23" x14ac:dyDescent="0.25">
      <c r="A18" s="1" t="s">
        <v>115</v>
      </c>
      <c r="B18" s="6"/>
      <c r="C18" s="7"/>
      <c r="D18" s="8">
        <f t="shared" si="8"/>
        <v>0</v>
      </c>
      <c r="E18" s="6">
        <v>5</v>
      </c>
      <c r="F18" s="7">
        <v>0.2</v>
      </c>
      <c r="G18" s="8">
        <f t="shared" si="9"/>
        <v>1</v>
      </c>
      <c r="H18" s="6"/>
      <c r="I18" s="7"/>
      <c r="J18" s="8">
        <f t="shared" si="10"/>
        <v>0</v>
      </c>
      <c r="K18" s="6"/>
      <c r="L18" s="7"/>
      <c r="M18" s="8">
        <f t="shared" si="11"/>
        <v>0</v>
      </c>
      <c r="N18" s="6"/>
      <c r="O18" s="7"/>
      <c r="P18" s="8">
        <f t="shared" si="12"/>
        <v>0</v>
      </c>
      <c r="Q18" s="1"/>
      <c r="R18" s="6">
        <f t="shared" si="13"/>
        <v>5</v>
      </c>
      <c r="S18" s="9">
        <f t="shared" si="14"/>
        <v>0.2</v>
      </c>
      <c r="T18" s="9">
        <f t="shared" si="15"/>
        <v>2.2222222222222223E-2</v>
      </c>
      <c r="U18" s="9">
        <f>R18 / _xlfn.XLOOKUP(A18, Mid!A:A, Mid!AA:AA)</f>
        <v>9.8039215686274508E-2</v>
      </c>
      <c r="V18" s="1"/>
      <c r="W18" s="1"/>
    </row>
    <row r="19" spans="1:23" x14ac:dyDescent="0.25">
      <c r="A19" s="1" t="s">
        <v>110</v>
      </c>
      <c r="B19" s="6">
        <v>2</v>
      </c>
      <c r="C19" s="7">
        <v>0</v>
      </c>
      <c r="D19" s="8">
        <f t="shared" si="8"/>
        <v>0</v>
      </c>
      <c r="E19" s="6">
        <v>1</v>
      </c>
      <c r="F19" s="7">
        <v>0</v>
      </c>
      <c r="G19" s="8">
        <f t="shared" si="9"/>
        <v>0</v>
      </c>
      <c r="H19" s="6">
        <v>8</v>
      </c>
      <c r="I19" s="7">
        <v>0.25</v>
      </c>
      <c r="J19" s="8">
        <f t="shared" si="10"/>
        <v>2</v>
      </c>
      <c r="K19" s="6"/>
      <c r="L19" s="7"/>
      <c r="M19" s="8">
        <f t="shared" si="11"/>
        <v>0</v>
      </c>
      <c r="N19" s="6"/>
      <c r="O19" s="7"/>
      <c r="P19" s="8">
        <f t="shared" si="12"/>
        <v>0</v>
      </c>
      <c r="Q19" s="1"/>
      <c r="R19" s="6">
        <f t="shared" si="13"/>
        <v>11</v>
      </c>
      <c r="S19" s="9">
        <f t="shared" si="14"/>
        <v>0.18181818181818182</v>
      </c>
      <c r="T19" s="9">
        <f t="shared" si="15"/>
        <v>4.8888888888888891E-2</v>
      </c>
      <c r="U19" s="9">
        <f>R19 / _xlfn.XLOOKUP(A19, Mid!A:A, Mid!AA:AA)</f>
        <v>3.6184210526315791E-2</v>
      </c>
    </row>
    <row r="20" spans="1:23" x14ac:dyDescent="0.25">
      <c r="A20" s="1" t="s">
        <v>108</v>
      </c>
      <c r="B20" s="6">
        <v>4</v>
      </c>
      <c r="C20" s="7">
        <v>0.25</v>
      </c>
      <c r="D20" s="8">
        <f t="shared" si="8"/>
        <v>1</v>
      </c>
      <c r="E20" s="6"/>
      <c r="F20" s="7"/>
      <c r="G20" s="8">
        <f t="shared" si="9"/>
        <v>0</v>
      </c>
      <c r="H20" s="6">
        <v>3</v>
      </c>
      <c r="I20" s="7">
        <v>0</v>
      </c>
      <c r="J20" s="8">
        <f t="shared" si="10"/>
        <v>0</v>
      </c>
      <c r="K20" s="6"/>
      <c r="L20" s="7"/>
      <c r="M20" s="8">
        <f t="shared" si="11"/>
        <v>0</v>
      </c>
      <c r="N20" s="6"/>
      <c r="O20" s="7"/>
      <c r="P20" s="8">
        <f t="shared" si="12"/>
        <v>0</v>
      </c>
      <c r="Q20" s="1"/>
      <c r="R20" s="6">
        <f t="shared" si="13"/>
        <v>7</v>
      </c>
      <c r="S20" s="9">
        <f t="shared" si="14"/>
        <v>0.14285714285714285</v>
      </c>
      <c r="T20" s="9">
        <f t="shared" si="15"/>
        <v>3.111111111111111E-2</v>
      </c>
      <c r="U20" s="9">
        <f>R20 / _xlfn.XLOOKUP(A20, Mid!A:A, Mid!AA:AA)</f>
        <v>2.2222222222222223E-2</v>
      </c>
    </row>
    <row r="21" spans="1:23" x14ac:dyDescent="0.25">
      <c r="A21" s="1" t="s">
        <v>107</v>
      </c>
      <c r="B21" s="6">
        <v>14</v>
      </c>
      <c r="C21" s="7">
        <v>0.14299999999999999</v>
      </c>
      <c r="D21" s="8">
        <f t="shared" si="8"/>
        <v>2.0019999999999998</v>
      </c>
      <c r="E21" s="6">
        <v>4</v>
      </c>
      <c r="F21" s="7">
        <v>0</v>
      </c>
      <c r="G21" s="8">
        <f t="shared" si="9"/>
        <v>0</v>
      </c>
      <c r="H21" s="6"/>
      <c r="I21" s="7"/>
      <c r="J21" s="8">
        <f t="shared" si="10"/>
        <v>0</v>
      </c>
      <c r="K21" s="6"/>
      <c r="L21" s="7"/>
      <c r="M21" s="8">
        <f t="shared" si="11"/>
        <v>0</v>
      </c>
      <c r="N21" s="6"/>
      <c r="O21" s="7"/>
      <c r="P21" s="8">
        <f t="shared" si="12"/>
        <v>0</v>
      </c>
      <c r="Q21" s="1"/>
      <c r="R21" s="6">
        <f t="shared" si="13"/>
        <v>18</v>
      </c>
      <c r="S21" s="9">
        <f t="shared" si="14"/>
        <v>0.11122222222222221</v>
      </c>
      <c r="T21" s="9">
        <f t="shared" si="15"/>
        <v>0.08</v>
      </c>
      <c r="U21" s="9">
        <f>R21 / _xlfn.XLOOKUP(A21, Mid!A:A, Mid!AA:AA)</f>
        <v>3.4749034749034749E-2</v>
      </c>
    </row>
    <row r="22" spans="1:23" x14ac:dyDescent="0.25">
      <c r="A22" s="1" t="s">
        <v>112</v>
      </c>
      <c r="B22" s="6">
        <v>5</v>
      </c>
      <c r="C22" s="7">
        <v>0</v>
      </c>
      <c r="D22" s="8">
        <f t="shared" si="8"/>
        <v>0</v>
      </c>
      <c r="E22" s="6"/>
      <c r="F22" s="7"/>
      <c r="G22" s="8">
        <f t="shared" si="9"/>
        <v>0</v>
      </c>
      <c r="H22" s="6"/>
      <c r="I22" s="7"/>
      <c r="J22" s="8">
        <f t="shared" si="10"/>
        <v>0</v>
      </c>
      <c r="K22" s="6"/>
      <c r="L22" s="7"/>
      <c r="M22" s="8">
        <f t="shared" si="11"/>
        <v>0</v>
      </c>
      <c r="N22" s="6"/>
      <c r="O22" s="7"/>
      <c r="P22" s="8">
        <f t="shared" si="12"/>
        <v>0</v>
      </c>
      <c r="Q22" s="1"/>
      <c r="R22" s="6">
        <f t="shared" si="13"/>
        <v>5</v>
      </c>
      <c r="S22" s="9">
        <f t="shared" si="14"/>
        <v>0</v>
      </c>
      <c r="T22" s="9">
        <f t="shared" si="15"/>
        <v>2.2222222222222223E-2</v>
      </c>
      <c r="U22" s="9">
        <f>R22 / _xlfn.XLOOKUP(A22, Mid!A:A, Mid!AA:AA)</f>
        <v>2.8248587570621469E-2</v>
      </c>
    </row>
    <row r="23" spans="1:23" x14ac:dyDescent="0.25">
      <c r="A23" s="1" t="s">
        <v>10</v>
      </c>
      <c r="B23" s="6"/>
      <c r="C23" s="7"/>
      <c r="D23" s="8">
        <f t="shared" si="8"/>
        <v>0</v>
      </c>
      <c r="E23" s="6">
        <v>4</v>
      </c>
      <c r="F23" s="7">
        <v>0</v>
      </c>
      <c r="G23" s="8">
        <f t="shared" si="9"/>
        <v>0</v>
      </c>
      <c r="H23" s="6"/>
      <c r="I23" s="7"/>
      <c r="J23" s="8">
        <f t="shared" si="10"/>
        <v>0</v>
      </c>
      <c r="K23" s="6"/>
      <c r="L23" s="7"/>
      <c r="M23" s="8">
        <f t="shared" si="11"/>
        <v>0</v>
      </c>
      <c r="N23" s="6"/>
      <c r="O23" s="7"/>
      <c r="P23" s="8">
        <f t="shared" si="12"/>
        <v>0</v>
      </c>
      <c r="Q23" s="1"/>
      <c r="R23" s="6">
        <f t="shared" si="13"/>
        <v>4</v>
      </c>
      <c r="S23" s="9">
        <f t="shared" si="14"/>
        <v>0</v>
      </c>
      <c r="T23" s="9">
        <f t="shared" si="15"/>
        <v>1.7777777777777778E-2</v>
      </c>
      <c r="U23" s="9">
        <f>R23 / _xlfn.XLOOKUP(A23, Mid!A:A, Mid!AA:AA)</f>
        <v>0.12121212121212122</v>
      </c>
    </row>
    <row r="24" spans="1:23" x14ac:dyDescent="0.25">
      <c r="A24" s="1" t="s">
        <v>52</v>
      </c>
      <c r="B24" s="6">
        <v>4</v>
      </c>
      <c r="C24" s="7">
        <v>0</v>
      </c>
      <c r="D24" s="8">
        <f t="shared" si="8"/>
        <v>0</v>
      </c>
      <c r="E24" s="6"/>
      <c r="F24" s="7"/>
      <c r="G24" s="8">
        <f t="shared" si="9"/>
        <v>0</v>
      </c>
      <c r="H24" s="6"/>
      <c r="I24" s="7"/>
      <c r="J24" s="8">
        <f t="shared" si="10"/>
        <v>0</v>
      </c>
      <c r="K24" s="6"/>
      <c r="L24" s="7"/>
      <c r="M24" s="8">
        <f t="shared" si="11"/>
        <v>0</v>
      </c>
      <c r="N24" s="6"/>
      <c r="O24" s="7"/>
      <c r="P24" s="8">
        <f t="shared" si="12"/>
        <v>0</v>
      </c>
      <c r="Q24" s="1"/>
      <c r="R24" s="6">
        <f t="shared" si="13"/>
        <v>4</v>
      </c>
      <c r="S24" s="9">
        <f t="shared" si="14"/>
        <v>0</v>
      </c>
      <c r="T24" s="9">
        <f t="shared" si="15"/>
        <v>1.7777777777777778E-2</v>
      </c>
      <c r="U24" s="9">
        <f>R24 / _xlfn.XLOOKUP(A24, Mid!A:A, Mid!AA:AA)</f>
        <v>1.8099547511312219E-2</v>
      </c>
    </row>
    <row r="25" spans="1:23" x14ac:dyDescent="0.25">
      <c r="A25" s="1" t="s">
        <v>87</v>
      </c>
      <c r="B25" s="6">
        <v>2</v>
      </c>
      <c r="C25" s="7">
        <v>0</v>
      </c>
      <c r="D25" s="8">
        <f t="shared" si="8"/>
        <v>0</v>
      </c>
      <c r="E25" s="6"/>
      <c r="F25" s="7"/>
      <c r="G25" s="8">
        <f t="shared" si="9"/>
        <v>0</v>
      </c>
      <c r="H25" s="6">
        <v>2</v>
      </c>
      <c r="I25" s="7">
        <v>0</v>
      </c>
      <c r="J25" s="8">
        <f t="shared" si="10"/>
        <v>0</v>
      </c>
      <c r="K25" s="6"/>
      <c r="L25" s="7"/>
      <c r="M25" s="8">
        <f t="shared" si="11"/>
        <v>0</v>
      </c>
      <c r="N25" s="6"/>
      <c r="O25" s="7"/>
      <c r="P25" s="8">
        <f t="shared" si="12"/>
        <v>0</v>
      </c>
      <c r="Q25" s="1"/>
      <c r="R25" s="6">
        <f t="shared" si="13"/>
        <v>4</v>
      </c>
      <c r="S25" s="9">
        <f t="shared" si="14"/>
        <v>0</v>
      </c>
      <c r="T25" s="9">
        <f t="shared" si="15"/>
        <v>1.7777777777777778E-2</v>
      </c>
      <c r="U25" s="9">
        <f>R25 / _xlfn.XLOOKUP(A25, Mid!A:A, Mid!AA:AA)</f>
        <v>8.2815734989648039E-3</v>
      </c>
    </row>
    <row r="26" spans="1:23" x14ac:dyDescent="0.25">
      <c r="A26" s="1" t="s">
        <v>118</v>
      </c>
      <c r="B26" s="6"/>
      <c r="C26" s="7"/>
      <c r="D26" s="8">
        <f t="shared" si="8"/>
        <v>0</v>
      </c>
      <c r="E26" s="6"/>
      <c r="F26" s="7"/>
      <c r="G26" s="8">
        <f t="shared" si="9"/>
        <v>0</v>
      </c>
      <c r="H26" s="6">
        <v>3</v>
      </c>
      <c r="I26" s="7">
        <v>0</v>
      </c>
      <c r="J26" s="8">
        <f t="shared" si="10"/>
        <v>0</v>
      </c>
      <c r="K26" s="6"/>
      <c r="L26" s="7"/>
      <c r="M26" s="8">
        <f t="shared" si="11"/>
        <v>0</v>
      </c>
      <c r="N26" s="6"/>
      <c r="O26" s="7"/>
      <c r="P26" s="8">
        <f t="shared" si="12"/>
        <v>0</v>
      </c>
      <c r="Q26" s="1"/>
      <c r="R26" s="6">
        <f t="shared" si="13"/>
        <v>3</v>
      </c>
      <c r="S26" s="9">
        <f t="shared" si="14"/>
        <v>0</v>
      </c>
      <c r="T26" s="9">
        <f t="shared" si="15"/>
        <v>1.3333333333333334E-2</v>
      </c>
      <c r="U26" s="9">
        <f>R26 / _xlfn.XLOOKUP(A26, Mid!A:A, Mid!AA:AA)</f>
        <v>4.2857142857142858E-2</v>
      </c>
    </row>
    <row r="27" spans="1:23" x14ac:dyDescent="0.25">
      <c r="A27" s="1" t="s">
        <v>12</v>
      </c>
      <c r="B27" s="6"/>
      <c r="C27" s="7"/>
      <c r="D27" s="8">
        <f t="shared" si="8"/>
        <v>0</v>
      </c>
      <c r="E27" s="6"/>
      <c r="F27" s="7"/>
      <c r="G27" s="8">
        <f t="shared" si="9"/>
        <v>0</v>
      </c>
      <c r="H27" s="6">
        <v>2</v>
      </c>
      <c r="I27" s="7">
        <v>0</v>
      </c>
      <c r="J27" s="8">
        <f t="shared" si="10"/>
        <v>0</v>
      </c>
      <c r="K27" s="6"/>
      <c r="L27" s="7"/>
      <c r="M27" s="8">
        <f t="shared" si="11"/>
        <v>0</v>
      </c>
      <c r="N27" s="6"/>
      <c r="O27" s="7"/>
      <c r="P27" s="8">
        <f t="shared" si="12"/>
        <v>0</v>
      </c>
      <c r="Q27" s="1"/>
      <c r="R27" s="6">
        <f t="shared" si="13"/>
        <v>2</v>
      </c>
      <c r="S27" s="9">
        <f t="shared" si="14"/>
        <v>0</v>
      </c>
      <c r="T27" s="9">
        <f t="shared" si="15"/>
        <v>8.8888888888888889E-3</v>
      </c>
      <c r="U27" s="9">
        <f>R27 / _xlfn.XLOOKUP(A27, Mid!A:A, Mid!AA:AA)</f>
        <v>7.6335877862595417E-3</v>
      </c>
    </row>
    <row r="28" spans="1:23" x14ac:dyDescent="0.25">
      <c r="A28" s="1" t="s">
        <v>113</v>
      </c>
      <c r="B28" s="6"/>
      <c r="C28" s="7"/>
      <c r="D28" s="8">
        <f t="shared" si="8"/>
        <v>0</v>
      </c>
      <c r="E28" s="6">
        <v>2</v>
      </c>
      <c r="F28" s="7">
        <v>0</v>
      </c>
      <c r="G28" s="8">
        <f t="shared" si="9"/>
        <v>0</v>
      </c>
      <c r="H28" s="6"/>
      <c r="I28" s="7"/>
      <c r="J28" s="8">
        <f t="shared" si="10"/>
        <v>0</v>
      </c>
      <c r="K28" s="6"/>
      <c r="L28" s="7"/>
      <c r="M28" s="8">
        <f t="shared" si="11"/>
        <v>0</v>
      </c>
      <c r="N28" s="6"/>
      <c r="O28" s="7"/>
      <c r="P28" s="8">
        <f t="shared" si="12"/>
        <v>0</v>
      </c>
      <c r="Q28" s="1"/>
      <c r="R28" s="6">
        <f t="shared" si="13"/>
        <v>2</v>
      </c>
      <c r="S28" s="9">
        <f t="shared" si="14"/>
        <v>0</v>
      </c>
      <c r="T28" s="9">
        <f t="shared" si="15"/>
        <v>8.8888888888888889E-3</v>
      </c>
      <c r="U28" s="9">
        <f>R28 / _xlfn.XLOOKUP(A28, Mid!A:A, Mid!AA:AA)</f>
        <v>1.0810810810810811E-2</v>
      </c>
    </row>
    <row r="29" spans="1:23" x14ac:dyDescent="0.25">
      <c r="A29" s="1" t="s">
        <v>18</v>
      </c>
      <c r="B29" s="6">
        <v>2</v>
      </c>
      <c r="C29" s="7">
        <v>0</v>
      </c>
      <c r="D29" s="8">
        <f t="shared" si="8"/>
        <v>0</v>
      </c>
      <c r="E29" s="6"/>
      <c r="F29" s="7"/>
      <c r="G29" s="8">
        <f t="shared" si="9"/>
        <v>0</v>
      </c>
      <c r="H29" s="6"/>
      <c r="I29" s="7"/>
      <c r="J29" s="8">
        <f t="shared" si="10"/>
        <v>0</v>
      </c>
      <c r="K29" s="6"/>
      <c r="L29" s="7"/>
      <c r="M29" s="8">
        <f t="shared" si="11"/>
        <v>0</v>
      </c>
      <c r="N29" s="6"/>
      <c r="O29" s="7"/>
      <c r="P29" s="8">
        <f t="shared" si="12"/>
        <v>0</v>
      </c>
      <c r="Q29" s="1"/>
      <c r="R29" s="6">
        <f t="shared" si="13"/>
        <v>2</v>
      </c>
      <c r="S29" s="9">
        <f t="shared" si="14"/>
        <v>0</v>
      </c>
      <c r="T29" s="9">
        <f t="shared" si="15"/>
        <v>8.8888888888888889E-3</v>
      </c>
      <c r="U29" s="9">
        <f>R29 / _xlfn.XLOOKUP(A29, Mid!A:A, Mid!AA:AA)</f>
        <v>2.1052631578947368E-2</v>
      </c>
    </row>
    <row r="30" spans="1:23" x14ac:dyDescent="0.25">
      <c r="A30" s="1" t="s">
        <v>111</v>
      </c>
      <c r="B30" s="6">
        <v>2</v>
      </c>
      <c r="C30" s="7">
        <v>0</v>
      </c>
      <c r="D30" s="8">
        <f t="shared" si="8"/>
        <v>0</v>
      </c>
      <c r="E30" s="6"/>
      <c r="F30" s="7"/>
      <c r="G30" s="8">
        <f t="shared" si="9"/>
        <v>0</v>
      </c>
      <c r="H30" s="6"/>
      <c r="I30" s="7"/>
      <c r="J30" s="8">
        <f t="shared" si="10"/>
        <v>0</v>
      </c>
      <c r="K30" s="6"/>
      <c r="L30" s="7"/>
      <c r="M30" s="8">
        <f t="shared" si="11"/>
        <v>0</v>
      </c>
      <c r="N30" s="6"/>
      <c r="O30" s="7"/>
      <c r="P30" s="8">
        <f t="shared" si="12"/>
        <v>0</v>
      </c>
      <c r="Q30" s="1"/>
      <c r="R30" s="6">
        <f t="shared" si="13"/>
        <v>2</v>
      </c>
      <c r="S30" s="9">
        <f t="shared" si="14"/>
        <v>0</v>
      </c>
      <c r="T30" s="9">
        <f t="shared" si="15"/>
        <v>8.8888888888888889E-3</v>
      </c>
      <c r="U30" s="9">
        <f>R30 / _xlfn.XLOOKUP(A30, Mid!A:A, Mid!AA:AA)</f>
        <v>3.4482758620689655E-2</v>
      </c>
    </row>
    <row r="31" spans="1:23" x14ac:dyDescent="0.25">
      <c r="A31" s="25" t="s">
        <v>150</v>
      </c>
      <c r="B31" s="6">
        <v>1</v>
      </c>
      <c r="C31" s="7">
        <v>0</v>
      </c>
      <c r="D31" s="8">
        <f t="shared" si="8"/>
        <v>0</v>
      </c>
      <c r="E31" s="6"/>
      <c r="F31" s="7"/>
      <c r="G31" s="8">
        <f t="shared" si="9"/>
        <v>0</v>
      </c>
      <c r="H31" s="6"/>
      <c r="I31" s="7"/>
      <c r="J31" s="8">
        <f t="shared" si="10"/>
        <v>0</v>
      </c>
      <c r="K31" s="6"/>
      <c r="L31" s="7"/>
      <c r="M31" s="8">
        <f t="shared" si="11"/>
        <v>0</v>
      </c>
      <c r="N31" s="6"/>
      <c r="O31" s="7"/>
      <c r="P31" s="8">
        <f t="shared" si="12"/>
        <v>0</v>
      </c>
      <c r="Q31" s="1"/>
      <c r="R31" s="6">
        <f t="shared" si="13"/>
        <v>1</v>
      </c>
      <c r="S31" s="9">
        <f t="shared" si="14"/>
        <v>0</v>
      </c>
      <c r="T31" s="9">
        <f t="shared" si="15"/>
        <v>4.4444444444444444E-3</v>
      </c>
      <c r="U31" s="9">
        <f>R31 / _xlfn.XLOOKUP(A31, Mid!A:A, Mid!AA:AA)</f>
        <v>0.2</v>
      </c>
    </row>
    <row r="32" spans="1:23" x14ac:dyDescent="0.25">
      <c r="A32" s="1"/>
      <c r="B32" s="6"/>
      <c r="C32" s="7"/>
      <c r="D32" s="8">
        <f t="shared" ref="D32:D35" si="16">B32*C32</f>
        <v>0</v>
      </c>
      <c r="E32" s="6"/>
      <c r="F32" s="7"/>
      <c r="G32" s="8">
        <f t="shared" ref="G32:G35" si="17">E32*F32</f>
        <v>0</v>
      </c>
      <c r="H32" s="6"/>
      <c r="I32" s="7"/>
      <c r="J32" s="8">
        <f t="shared" ref="J32:J35" si="18">H32*I32</f>
        <v>0</v>
      </c>
      <c r="K32" s="6"/>
      <c r="L32" s="7"/>
      <c r="M32" s="8">
        <f t="shared" ref="M32:M35" si="19">K32*L32</f>
        <v>0</v>
      </c>
      <c r="N32" s="6"/>
      <c r="O32" s="7"/>
      <c r="P32" s="8">
        <f t="shared" ref="P32:P35" si="20">N32*O32</f>
        <v>0</v>
      </c>
      <c r="Q32" s="1"/>
      <c r="R32" s="6">
        <f t="shared" ref="R32:R35" si="21">B32+E32+H32+K32+N32</f>
        <v>0</v>
      </c>
      <c r="S32" s="9" t="e">
        <f t="shared" ref="S32:S35" si="22">(D32+G32+J32+M32+P32)/R32</f>
        <v>#DIV/0!</v>
      </c>
      <c r="T32" s="9">
        <f t="shared" ref="T32:T35" si="23">R32/$V$3</f>
        <v>0</v>
      </c>
      <c r="U32" s="9" t="e">
        <f>R32 / _xlfn.XLOOKUP(A32, Mid!A:A, Mid!AA:AA)</f>
        <v>#DIV/0!</v>
      </c>
    </row>
    <row r="33" spans="1:21" x14ac:dyDescent="0.25">
      <c r="A33" s="1"/>
      <c r="B33" s="6"/>
      <c r="C33" s="7"/>
      <c r="D33" s="8">
        <f t="shared" si="16"/>
        <v>0</v>
      </c>
      <c r="E33" s="6"/>
      <c r="F33" s="7"/>
      <c r="G33" s="8">
        <f t="shared" si="17"/>
        <v>0</v>
      </c>
      <c r="H33" s="6"/>
      <c r="I33" s="7"/>
      <c r="J33" s="8">
        <f t="shared" si="18"/>
        <v>0</v>
      </c>
      <c r="K33" s="6"/>
      <c r="L33" s="7"/>
      <c r="M33" s="8">
        <f t="shared" si="19"/>
        <v>0</v>
      </c>
      <c r="N33" s="6"/>
      <c r="O33" s="7"/>
      <c r="P33" s="8">
        <f t="shared" si="20"/>
        <v>0</v>
      </c>
      <c r="Q33" s="1"/>
      <c r="R33" s="6">
        <f t="shared" si="21"/>
        <v>0</v>
      </c>
      <c r="S33" s="9" t="e">
        <f t="shared" si="22"/>
        <v>#DIV/0!</v>
      </c>
      <c r="T33" s="9">
        <f t="shared" si="23"/>
        <v>0</v>
      </c>
      <c r="U33" s="9" t="e">
        <f>R33 / _xlfn.XLOOKUP(A33, Mid!A:A, Mid!AA:AA)</f>
        <v>#DIV/0!</v>
      </c>
    </row>
    <row r="34" spans="1:21" x14ac:dyDescent="0.25">
      <c r="A34" s="1"/>
      <c r="B34" s="6"/>
      <c r="C34" s="7"/>
      <c r="D34" s="8">
        <f t="shared" si="16"/>
        <v>0</v>
      </c>
      <c r="E34" s="6"/>
      <c r="F34" s="7"/>
      <c r="G34" s="8">
        <f t="shared" si="17"/>
        <v>0</v>
      </c>
      <c r="H34" s="6"/>
      <c r="I34" s="7"/>
      <c r="J34" s="8">
        <f t="shared" si="18"/>
        <v>0</v>
      </c>
      <c r="K34" s="6"/>
      <c r="L34" s="7"/>
      <c r="M34" s="8">
        <f t="shared" si="19"/>
        <v>0</v>
      </c>
      <c r="N34" s="6"/>
      <c r="O34" s="7"/>
      <c r="P34" s="8">
        <f t="shared" si="20"/>
        <v>0</v>
      </c>
      <c r="Q34" s="1"/>
      <c r="R34" s="6">
        <f t="shared" si="21"/>
        <v>0</v>
      </c>
      <c r="S34" s="9" t="e">
        <f t="shared" si="22"/>
        <v>#DIV/0!</v>
      </c>
      <c r="T34" s="9">
        <f t="shared" si="23"/>
        <v>0</v>
      </c>
      <c r="U34" s="9" t="e">
        <f>R34 / _xlfn.XLOOKUP(A34, Mid!A:A, Mid!AA:AA)</f>
        <v>#DIV/0!</v>
      </c>
    </row>
    <row r="35" spans="1:21" x14ac:dyDescent="0.25">
      <c r="A35" s="1"/>
      <c r="B35" s="6"/>
      <c r="C35" s="7"/>
      <c r="D35" s="8">
        <f t="shared" si="16"/>
        <v>0</v>
      </c>
      <c r="E35" s="6"/>
      <c r="F35" s="7"/>
      <c r="G35" s="8">
        <f t="shared" si="17"/>
        <v>0</v>
      </c>
      <c r="H35" s="6"/>
      <c r="I35" s="7"/>
      <c r="J35" s="8">
        <f t="shared" si="18"/>
        <v>0</v>
      </c>
      <c r="K35" s="6"/>
      <c r="L35" s="7"/>
      <c r="M35" s="8">
        <f t="shared" si="19"/>
        <v>0</v>
      </c>
      <c r="N35" s="6"/>
      <c r="O35" s="7"/>
      <c r="P35" s="8">
        <f t="shared" si="20"/>
        <v>0</v>
      </c>
      <c r="Q35" s="1"/>
      <c r="R35" s="6">
        <f t="shared" si="21"/>
        <v>0</v>
      </c>
      <c r="S35" s="9" t="e">
        <f t="shared" si="22"/>
        <v>#DIV/0!</v>
      </c>
      <c r="T35" s="9">
        <f t="shared" si="23"/>
        <v>0</v>
      </c>
      <c r="U35" s="9" t="e">
        <f>R35 / _xlfn.XLOOKUP(A35, Mid!A:A, Mid!AA:AA)</f>
        <v>#DIV/0!</v>
      </c>
    </row>
    <row r="36" spans="1:21" x14ac:dyDescent="0.25">
      <c r="A36" s="1"/>
      <c r="B36" s="6"/>
      <c r="C36" s="7"/>
      <c r="D36" s="31"/>
      <c r="E36" s="6"/>
      <c r="F36" s="7"/>
      <c r="G36" s="31"/>
      <c r="H36" s="6"/>
      <c r="I36" s="7"/>
      <c r="J36" s="31"/>
      <c r="K36" s="6"/>
      <c r="L36" s="7"/>
      <c r="M36" s="31"/>
      <c r="N36" s="1"/>
      <c r="O36" s="1"/>
      <c r="P36" s="1"/>
      <c r="Q36" s="1"/>
      <c r="R36" s="6"/>
      <c r="S36" s="9"/>
      <c r="T36" s="10"/>
    </row>
    <row r="37" spans="1:21" x14ac:dyDescent="0.25">
      <c r="A37" s="1"/>
      <c r="B37" s="6"/>
      <c r="C37" s="7"/>
      <c r="D37" s="31"/>
      <c r="E37" s="6"/>
      <c r="F37" s="7"/>
      <c r="G37" s="31"/>
      <c r="H37" s="6"/>
      <c r="I37" s="7"/>
      <c r="J37" s="31"/>
      <c r="K37" s="6"/>
      <c r="L37" s="7"/>
      <c r="M37" s="31"/>
      <c r="N37" s="1"/>
      <c r="O37" s="1"/>
      <c r="P37" s="1"/>
      <c r="Q37" s="1"/>
      <c r="R37" s="6"/>
      <c r="S37" s="9"/>
      <c r="T37" s="10"/>
    </row>
    <row r="38" spans="1:21" x14ac:dyDescent="0.25">
      <c r="A38" s="1"/>
      <c r="B38" s="6"/>
      <c r="C38" s="7"/>
      <c r="D38" s="31"/>
      <c r="E38" s="6"/>
      <c r="F38" s="7"/>
      <c r="G38" s="31"/>
      <c r="H38" s="6"/>
      <c r="I38" s="7"/>
      <c r="J38" s="31"/>
      <c r="K38" s="6"/>
      <c r="L38" s="7"/>
      <c r="M38" s="31"/>
      <c r="N38" s="1"/>
      <c r="O38" s="1"/>
      <c r="P38" s="1"/>
      <c r="Q38" s="1"/>
      <c r="R38" s="6"/>
      <c r="S38" s="9"/>
      <c r="T38" s="10"/>
    </row>
    <row r="39" spans="1:21" x14ac:dyDescent="0.25">
      <c r="A39" s="1"/>
      <c r="B39" s="6"/>
      <c r="C39" s="7"/>
      <c r="D39" s="31"/>
      <c r="E39" s="6"/>
      <c r="F39" s="7"/>
      <c r="G39" s="31"/>
      <c r="H39" s="6"/>
      <c r="I39" s="7"/>
      <c r="J39" s="31"/>
      <c r="K39" s="6"/>
      <c r="L39" s="7"/>
      <c r="M39" s="31"/>
      <c r="N39" s="1"/>
      <c r="O39" s="1"/>
      <c r="P39" s="1"/>
      <c r="Q39" s="1"/>
      <c r="R39" s="6"/>
      <c r="S39" s="9"/>
      <c r="T39" s="10"/>
    </row>
  </sheetData>
  <sortState xmlns:xlrd2="http://schemas.microsoft.com/office/spreadsheetml/2017/richdata2" ref="A3:U31">
    <sortCondition descending="1" ref="S3:S31"/>
  </sortState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670D5-B000-4285-98BF-4F510772D84F}">
  <sheetPr>
    <tabColor theme="7" tint="0.59999389629810485"/>
  </sheetPr>
  <dimension ref="A1:W46"/>
  <sheetViews>
    <sheetView workbookViewId="0">
      <selection activeCell="L25" sqref="K25:L25"/>
    </sheetView>
  </sheetViews>
  <sheetFormatPr baseColWidth="10" defaultRowHeight="15" x14ac:dyDescent="0.25"/>
  <sheetData>
    <row r="1" spans="1:23" ht="15.75" x14ac:dyDescent="0.25">
      <c r="A1" s="2" t="s">
        <v>205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9</v>
      </c>
      <c r="B3" s="6"/>
      <c r="C3" s="7"/>
      <c r="D3" s="8">
        <f t="shared" ref="D3:D24" si="0">B3*C3</f>
        <v>0</v>
      </c>
      <c r="E3" s="6"/>
      <c r="F3" s="7"/>
      <c r="G3" s="8">
        <f t="shared" ref="G3:G24" si="1">E3*F3</f>
        <v>0</v>
      </c>
      <c r="H3" s="6"/>
      <c r="I3" s="7"/>
      <c r="J3" s="8">
        <f t="shared" ref="J3:J24" si="2">H3*I3</f>
        <v>0</v>
      </c>
      <c r="K3" s="6"/>
      <c r="L3" s="7"/>
      <c r="M3" s="8">
        <f t="shared" ref="M3:M24" si="3">K3*L3</f>
        <v>0</v>
      </c>
      <c r="N3" s="6"/>
      <c r="O3" s="7"/>
      <c r="P3" s="8">
        <f t="shared" ref="P3:P24" si="4">N3*O3</f>
        <v>0</v>
      </c>
      <c r="Q3" s="1"/>
      <c r="R3" s="6">
        <f t="shared" ref="R3:R24" si="5">B3+E3+H3+K3+N3</f>
        <v>0</v>
      </c>
      <c r="S3" s="9" t="e">
        <f t="shared" ref="S3:S24" si="6">(D3+G3+J3+M3+P3)/R3</f>
        <v>#DIV/0!</v>
      </c>
      <c r="T3" s="9">
        <f t="shared" ref="T3:T24" si="7">R3/$V$3</f>
        <v>0</v>
      </c>
      <c r="U3" s="9">
        <f>R3 / _xlfn.XLOOKUP(A3, Mid!A:A, Mid!AA:AA)</f>
        <v>0</v>
      </c>
      <c r="V3" s="11">
        <f>SUM(R3:R60)</f>
        <v>97</v>
      </c>
      <c r="W3" s="12">
        <f>(SUM(D3:D90)+SUM(G3:G90)+SUM(J3:J90)+SUM(M3:M90)+SUM(P3:P90)) / V3</f>
        <v>0.31991752577319588</v>
      </c>
    </row>
    <row r="4" spans="1:23" x14ac:dyDescent="0.25">
      <c r="A4" s="1" t="s">
        <v>112</v>
      </c>
      <c r="B4" s="6"/>
      <c r="C4" s="7"/>
      <c r="D4" s="8">
        <f t="shared" si="0"/>
        <v>0</v>
      </c>
      <c r="E4" s="6"/>
      <c r="F4" s="7"/>
      <c r="G4" s="8">
        <f t="shared" si="1"/>
        <v>0</v>
      </c>
      <c r="H4" s="6"/>
      <c r="I4" s="7"/>
      <c r="J4" s="8">
        <f t="shared" si="2"/>
        <v>0</v>
      </c>
      <c r="K4" s="6">
        <v>2</v>
      </c>
      <c r="L4" s="7">
        <v>1</v>
      </c>
      <c r="M4" s="8">
        <f t="shared" si="3"/>
        <v>2</v>
      </c>
      <c r="N4" s="6"/>
      <c r="O4" s="7"/>
      <c r="P4" s="8">
        <f t="shared" si="4"/>
        <v>0</v>
      </c>
      <c r="Q4" s="1"/>
      <c r="R4" s="6">
        <f t="shared" si="5"/>
        <v>2</v>
      </c>
      <c r="S4" s="9">
        <f t="shared" si="6"/>
        <v>1</v>
      </c>
      <c r="T4" s="9">
        <f t="shared" si="7"/>
        <v>2.0618556701030927E-2</v>
      </c>
      <c r="U4" s="9">
        <f>R4 / _xlfn.XLOOKUP(A4, Mid!A:A, Mid!AA:AA)</f>
        <v>1.1299435028248588E-2</v>
      </c>
      <c r="V4" s="1"/>
      <c r="W4" s="1"/>
    </row>
    <row r="5" spans="1:23" x14ac:dyDescent="0.25">
      <c r="A5" s="1" t="s">
        <v>113</v>
      </c>
      <c r="B5" s="6"/>
      <c r="C5" s="7"/>
      <c r="D5" s="8">
        <f t="shared" si="0"/>
        <v>0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>
        <v>3</v>
      </c>
      <c r="L5" s="7">
        <v>0.66700000000000004</v>
      </c>
      <c r="M5" s="8">
        <f t="shared" si="3"/>
        <v>2.0010000000000003</v>
      </c>
      <c r="N5" s="6"/>
      <c r="O5" s="7"/>
      <c r="P5" s="8">
        <f t="shared" si="4"/>
        <v>0</v>
      </c>
      <c r="Q5" s="1"/>
      <c r="R5" s="6">
        <f t="shared" si="5"/>
        <v>3</v>
      </c>
      <c r="S5" s="9">
        <f t="shared" si="6"/>
        <v>0.66700000000000015</v>
      </c>
      <c r="T5" s="9">
        <f t="shared" si="7"/>
        <v>3.0927835051546393E-2</v>
      </c>
      <c r="U5" s="9">
        <f>R5 / _xlfn.XLOOKUP(A5, Mid!A:A, Mid!AA:AA)</f>
        <v>1.6216216216216217E-2</v>
      </c>
      <c r="V5" s="1"/>
      <c r="W5" s="1"/>
    </row>
    <row r="6" spans="1:23" x14ac:dyDescent="0.25">
      <c r="A6" s="1" t="s">
        <v>87</v>
      </c>
      <c r="B6" s="6"/>
      <c r="C6" s="7"/>
      <c r="D6" s="8">
        <f t="shared" si="0"/>
        <v>0</v>
      </c>
      <c r="E6" s="6"/>
      <c r="F6" s="7"/>
      <c r="G6" s="8">
        <f t="shared" si="1"/>
        <v>0</v>
      </c>
      <c r="H6" s="6">
        <v>5</v>
      </c>
      <c r="I6" s="7">
        <v>0.4</v>
      </c>
      <c r="J6" s="8">
        <f t="shared" si="2"/>
        <v>2</v>
      </c>
      <c r="K6" s="6">
        <v>6</v>
      </c>
      <c r="L6" s="7">
        <v>0.66700000000000004</v>
      </c>
      <c r="M6" s="8">
        <f t="shared" si="3"/>
        <v>4.0020000000000007</v>
      </c>
      <c r="N6" s="6"/>
      <c r="O6" s="7"/>
      <c r="P6" s="8">
        <f t="shared" si="4"/>
        <v>0</v>
      </c>
      <c r="Q6" s="1"/>
      <c r="R6" s="6">
        <f t="shared" si="5"/>
        <v>11</v>
      </c>
      <c r="S6" s="9">
        <f t="shared" si="6"/>
        <v>0.5456363636363637</v>
      </c>
      <c r="T6" s="9">
        <f t="shared" si="7"/>
        <v>0.1134020618556701</v>
      </c>
      <c r="U6" s="9">
        <f>R6 / _xlfn.XLOOKUP(A6, Mid!A:A, Mid!AA:AA)</f>
        <v>2.2774327122153208E-2</v>
      </c>
      <c r="V6" s="1"/>
      <c r="W6" s="1"/>
    </row>
    <row r="7" spans="1:23" x14ac:dyDescent="0.25">
      <c r="A7" s="1" t="s">
        <v>118</v>
      </c>
      <c r="B7" s="6"/>
      <c r="C7" s="7"/>
      <c r="D7" s="8">
        <f t="shared" si="0"/>
        <v>0</v>
      </c>
      <c r="E7" s="6"/>
      <c r="F7" s="7"/>
      <c r="G7" s="8">
        <f t="shared" si="1"/>
        <v>0</v>
      </c>
      <c r="H7" s="6">
        <v>8</v>
      </c>
      <c r="I7" s="7">
        <v>0.5</v>
      </c>
      <c r="J7" s="8">
        <f t="shared" si="2"/>
        <v>4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4"/>
      <c r="R7" s="6">
        <f t="shared" si="5"/>
        <v>8</v>
      </c>
      <c r="S7" s="9">
        <f t="shared" si="6"/>
        <v>0.5</v>
      </c>
      <c r="T7" s="9">
        <f t="shared" si="7"/>
        <v>8.247422680412371E-2</v>
      </c>
      <c r="U7" s="9">
        <f>R7 / _xlfn.XLOOKUP(A7, Mid!A:A, Mid!AA:AA)</f>
        <v>0.11428571428571428</v>
      </c>
      <c r="V7" s="1"/>
      <c r="W7" s="1"/>
    </row>
    <row r="8" spans="1:23" x14ac:dyDescent="0.25">
      <c r="A8" s="1" t="s">
        <v>35</v>
      </c>
      <c r="B8" s="6"/>
      <c r="C8" s="7"/>
      <c r="D8" s="8">
        <f t="shared" si="0"/>
        <v>0</v>
      </c>
      <c r="E8" s="6"/>
      <c r="F8" s="7"/>
      <c r="G8" s="8">
        <f t="shared" si="1"/>
        <v>0</v>
      </c>
      <c r="H8" s="6">
        <v>2</v>
      </c>
      <c r="I8" s="7">
        <v>0.5</v>
      </c>
      <c r="J8" s="8">
        <f t="shared" si="2"/>
        <v>1</v>
      </c>
      <c r="K8" s="6"/>
      <c r="L8" s="7"/>
      <c r="M8" s="8">
        <f t="shared" si="3"/>
        <v>0</v>
      </c>
      <c r="N8" s="6"/>
      <c r="O8" s="7"/>
      <c r="P8" s="8">
        <f t="shared" si="4"/>
        <v>0</v>
      </c>
      <c r="Q8" s="1"/>
      <c r="R8" s="6">
        <f t="shared" si="5"/>
        <v>2</v>
      </c>
      <c r="S8" s="9">
        <f t="shared" si="6"/>
        <v>0.5</v>
      </c>
      <c r="T8" s="9">
        <f t="shared" si="7"/>
        <v>2.0618556701030927E-2</v>
      </c>
      <c r="U8" s="9">
        <f>R8 / _xlfn.XLOOKUP(A8, Mid!A:A, Mid!AA:AA)</f>
        <v>6.8965517241379309E-2</v>
      </c>
      <c r="V8" s="1"/>
      <c r="W8" s="1"/>
    </row>
    <row r="9" spans="1:23" x14ac:dyDescent="0.25">
      <c r="A9" s="1" t="s">
        <v>48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/>
      <c r="I9" s="7"/>
      <c r="J9" s="8">
        <f t="shared" si="2"/>
        <v>0</v>
      </c>
      <c r="K9" s="6">
        <v>7</v>
      </c>
      <c r="L9" s="7">
        <v>0.42899999999999999</v>
      </c>
      <c r="M9" s="8">
        <f t="shared" si="3"/>
        <v>3.0030000000000001</v>
      </c>
      <c r="N9" s="6"/>
      <c r="O9" s="7"/>
      <c r="P9" s="8">
        <f t="shared" si="4"/>
        <v>0</v>
      </c>
      <c r="Q9" s="1"/>
      <c r="R9" s="6">
        <f t="shared" si="5"/>
        <v>7</v>
      </c>
      <c r="S9" s="9">
        <f t="shared" si="6"/>
        <v>0.42899999999999999</v>
      </c>
      <c r="T9" s="9">
        <f t="shared" si="7"/>
        <v>7.2164948453608241E-2</v>
      </c>
      <c r="U9" s="9">
        <f>R9 / _xlfn.XLOOKUP(A9, Mid!A:A, Mid!AA:AA)</f>
        <v>2.4475524475524476E-2</v>
      </c>
      <c r="V9" s="1"/>
      <c r="W9" s="1"/>
    </row>
    <row r="10" spans="1:23" x14ac:dyDescent="0.25">
      <c r="A10" s="15" t="s">
        <v>201</v>
      </c>
      <c r="B10" s="6"/>
      <c r="C10" s="7"/>
      <c r="D10" s="8">
        <f t="shared" si="0"/>
        <v>0</v>
      </c>
      <c r="E10" s="6"/>
      <c r="F10" s="7"/>
      <c r="G10" s="8">
        <f t="shared" si="1"/>
        <v>0</v>
      </c>
      <c r="H10" s="6"/>
      <c r="I10" s="7"/>
      <c r="J10" s="8">
        <f t="shared" si="2"/>
        <v>0</v>
      </c>
      <c r="K10" s="6">
        <v>5</v>
      </c>
      <c r="L10" s="7">
        <v>0.4</v>
      </c>
      <c r="M10" s="8">
        <f t="shared" si="3"/>
        <v>2</v>
      </c>
      <c r="N10" s="6"/>
      <c r="O10" s="7"/>
      <c r="P10" s="8">
        <f t="shared" si="4"/>
        <v>0</v>
      </c>
      <c r="Q10" s="4"/>
      <c r="R10" s="6">
        <f t="shared" si="5"/>
        <v>5</v>
      </c>
      <c r="S10" s="9">
        <f t="shared" si="6"/>
        <v>0.4</v>
      </c>
      <c r="T10" s="9">
        <f t="shared" si="7"/>
        <v>5.1546391752577317E-2</v>
      </c>
      <c r="U10" s="9">
        <f>R10 / _xlfn.XLOOKUP(A10, Mid!A:A, Mid!AA:AA)</f>
        <v>3.968253968253968E-2</v>
      </c>
      <c r="V10" s="1"/>
      <c r="W10" s="1"/>
    </row>
    <row r="11" spans="1:23" x14ac:dyDescent="0.25">
      <c r="A11" s="1" t="s">
        <v>29</v>
      </c>
      <c r="B11" s="6"/>
      <c r="C11" s="7"/>
      <c r="D11" s="8">
        <f t="shared" si="0"/>
        <v>0</v>
      </c>
      <c r="E11" s="6"/>
      <c r="F11" s="7"/>
      <c r="G11" s="8">
        <f t="shared" si="1"/>
        <v>0</v>
      </c>
      <c r="H11" s="6">
        <v>5</v>
      </c>
      <c r="I11" s="7">
        <v>0.4</v>
      </c>
      <c r="J11" s="8">
        <f t="shared" si="2"/>
        <v>2</v>
      </c>
      <c r="K11" s="6"/>
      <c r="L11" s="7"/>
      <c r="M11" s="8">
        <f t="shared" si="3"/>
        <v>0</v>
      </c>
      <c r="N11" s="6"/>
      <c r="O11" s="7"/>
      <c r="P11" s="8">
        <f t="shared" si="4"/>
        <v>0</v>
      </c>
      <c r="Q11" s="1"/>
      <c r="R11" s="6">
        <f t="shared" si="5"/>
        <v>5</v>
      </c>
      <c r="S11" s="9">
        <f t="shared" si="6"/>
        <v>0.4</v>
      </c>
      <c r="T11" s="9">
        <f t="shared" si="7"/>
        <v>5.1546391752577317E-2</v>
      </c>
      <c r="U11" s="9">
        <f>R11 / _xlfn.XLOOKUP(A11, Mid!A:A, Mid!AA:AA)</f>
        <v>0.13157894736842105</v>
      </c>
      <c r="V11" s="1"/>
      <c r="W11" s="1"/>
    </row>
    <row r="12" spans="1:23" x14ac:dyDescent="0.25">
      <c r="A12" s="1" t="s">
        <v>110</v>
      </c>
      <c r="B12" s="6"/>
      <c r="C12" s="7"/>
      <c r="D12" s="8">
        <f t="shared" si="0"/>
        <v>0</v>
      </c>
      <c r="E12" s="6"/>
      <c r="F12" s="7"/>
      <c r="G12" s="8">
        <f t="shared" si="1"/>
        <v>0</v>
      </c>
      <c r="H12" s="6">
        <v>1</v>
      </c>
      <c r="I12" s="7">
        <v>0</v>
      </c>
      <c r="J12" s="8">
        <f t="shared" si="2"/>
        <v>0</v>
      </c>
      <c r="K12" s="6">
        <v>2</v>
      </c>
      <c r="L12" s="7">
        <v>0.5</v>
      </c>
      <c r="M12" s="8">
        <f t="shared" si="3"/>
        <v>1</v>
      </c>
      <c r="N12" s="6"/>
      <c r="O12" s="7"/>
      <c r="P12" s="8">
        <f t="shared" si="4"/>
        <v>0</v>
      </c>
      <c r="Q12" s="1"/>
      <c r="R12" s="6">
        <f t="shared" si="5"/>
        <v>3</v>
      </c>
      <c r="S12" s="9">
        <f t="shared" si="6"/>
        <v>0.33333333333333331</v>
      </c>
      <c r="T12" s="9">
        <f t="shared" si="7"/>
        <v>3.0927835051546393E-2</v>
      </c>
      <c r="U12" s="9">
        <f>R12 / _xlfn.XLOOKUP(A12, Mid!A:A, Mid!AA:AA)</f>
        <v>9.8684210526315784E-3</v>
      </c>
      <c r="V12" s="1"/>
      <c r="W12" s="1"/>
    </row>
    <row r="13" spans="1:23" x14ac:dyDescent="0.25">
      <c r="A13" s="1" t="s">
        <v>117</v>
      </c>
      <c r="B13" s="6"/>
      <c r="C13" s="7"/>
      <c r="D13" s="8">
        <f t="shared" si="0"/>
        <v>0</v>
      </c>
      <c r="E13" s="6"/>
      <c r="F13" s="7"/>
      <c r="G13" s="8">
        <f t="shared" si="1"/>
        <v>0</v>
      </c>
      <c r="H13" s="6">
        <v>3</v>
      </c>
      <c r="I13" s="7">
        <v>0.33300000000000002</v>
      </c>
      <c r="J13" s="8">
        <f t="shared" si="2"/>
        <v>0.99900000000000011</v>
      </c>
      <c r="K13" s="6"/>
      <c r="L13" s="7"/>
      <c r="M13" s="8">
        <f t="shared" si="3"/>
        <v>0</v>
      </c>
      <c r="N13" s="6"/>
      <c r="O13" s="7"/>
      <c r="P13" s="8">
        <f t="shared" si="4"/>
        <v>0</v>
      </c>
      <c r="Q13" s="1"/>
      <c r="R13" s="6">
        <f t="shared" si="5"/>
        <v>3</v>
      </c>
      <c r="S13" s="9">
        <f t="shared" si="6"/>
        <v>0.33300000000000002</v>
      </c>
      <c r="T13" s="9">
        <f t="shared" si="7"/>
        <v>3.0927835051546393E-2</v>
      </c>
      <c r="U13" s="9">
        <f>R13 / _xlfn.XLOOKUP(A13, Mid!A:A, Mid!AA:AA)</f>
        <v>6.9767441860465115E-2</v>
      </c>
      <c r="V13" s="1"/>
      <c r="W13" s="1"/>
    </row>
    <row r="14" spans="1:23" x14ac:dyDescent="0.25">
      <c r="A14" s="1" t="s">
        <v>109</v>
      </c>
      <c r="B14" s="6"/>
      <c r="C14" s="7"/>
      <c r="D14" s="8">
        <f t="shared" si="0"/>
        <v>0</v>
      </c>
      <c r="E14" s="6"/>
      <c r="F14" s="7"/>
      <c r="G14" s="8">
        <f t="shared" si="1"/>
        <v>0</v>
      </c>
      <c r="H14" s="6"/>
      <c r="I14" s="7"/>
      <c r="J14" s="8">
        <f t="shared" si="2"/>
        <v>0</v>
      </c>
      <c r="K14" s="6">
        <v>3</v>
      </c>
      <c r="L14" s="7">
        <v>0.33300000000000002</v>
      </c>
      <c r="M14" s="8">
        <f t="shared" si="3"/>
        <v>0.99900000000000011</v>
      </c>
      <c r="N14" s="6"/>
      <c r="O14" s="7"/>
      <c r="P14" s="8">
        <f t="shared" si="4"/>
        <v>0</v>
      </c>
      <c r="Q14" s="1"/>
      <c r="R14" s="6">
        <f t="shared" si="5"/>
        <v>3</v>
      </c>
      <c r="S14" s="9">
        <f t="shared" si="6"/>
        <v>0.33300000000000002</v>
      </c>
      <c r="T14" s="9">
        <f t="shared" si="7"/>
        <v>3.0927835051546393E-2</v>
      </c>
      <c r="U14" s="9">
        <f>R14 / _xlfn.XLOOKUP(A14, Mid!A:A, Mid!AA:AA)</f>
        <v>1.2096774193548387E-2</v>
      </c>
      <c r="V14" s="1"/>
      <c r="W14" s="1"/>
    </row>
    <row r="15" spans="1:23" x14ac:dyDescent="0.25">
      <c r="A15" s="1" t="s">
        <v>64</v>
      </c>
      <c r="B15" s="6"/>
      <c r="C15" s="7"/>
      <c r="D15" s="8">
        <f t="shared" si="0"/>
        <v>0</v>
      </c>
      <c r="E15" s="6"/>
      <c r="F15" s="7"/>
      <c r="G15" s="8">
        <f t="shared" si="1"/>
        <v>0</v>
      </c>
      <c r="H15" s="6">
        <v>5</v>
      </c>
      <c r="I15" s="7">
        <v>0.2</v>
      </c>
      <c r="J15" s="8">
        <f t="shared" si="2"/>
        <v>1</v>
      </c>
      <c r="K15" s="6">
        <v>4</v>
      </c>
      <c r="L15" s="7">
        <v>0.25</v>
      </c>
      <c r="M15" s="8">
        <f t="shared" si="3"/>
        <v>1</v>
      </c>
      <c r="N15" s="6"/>
      <c r="O15" s="7"/>
      <c r="P15" s="8">
        <f t="shared" si="4"/>
        <v>0</v>
      </c>
      <c r="Q15" s="1"/>
      <c r="R15" s="6">
        <f t="shared" si="5"/>
        <v>9</v>
      </c>
      <c r="S15" s="9">
        <f t="shared" si="6"/>
        <v>0.22222222222222221</v>
      </c>
      <c r="T15" s="9">
        <f t="shared" si="7"/>
        <v>9.2783505154639179E-2</v>
      </c>
      <c r="U15" s="9">
        <f>R15 / _xlfn.XLOOKUP(A15, Mid!A:A, Mid!AA:AA)</f>
        <v>1.1795543905635648E-2</v>
      </c>
      <c r="V15" s="1"/>
      <c r="W15" s="1"/>
    </row>
    <row r="16" spans="1:23" x14ac:dyDescent="0.25">
      <c r="A16" s="1" t="s">
        <v>39</v>
      </c>
      <c r="B16" s="6"/>
      <c r="C16" s="7"/>
      <c r="D16" s="8">
        <f t="shared" si="0"/>
        <v>0</v>
      </c>
      <c r="E16" s="6"/>
      <c r="F16" s="7"/>
      <c r="G16" s="8">
        <f t="shared" si="1"/>
        <v>0</v>
      </c>
      <c r="H16" s="6">
        <v>9</v>
      </c>
      <c r="I16" s="7">
        <v>0.222</v>
      </c>
      <c r="J16" s="8">
        <f t="shared" si="2"/>
        <v>1.998</v>
      </c>
      <c r="K16" s="6"/>
      <c r="L16" s="7"/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9</v>
      </c>
      <c r="S16" s="9">
        <f t="shared" si="6"/>
        <v>0.222</v>
      </c>
      <c r="T16" s="9">
        <f t="shared" si="7"/>
        <v>9.2783505154639179E-2</v>
      </c>
      <c r="U16" s="9">
        <f>R16 / _xlfn.XLOOKUP(A16, Mid!A:A, Mid!AA:AA)</f>
        <v>0.04</v>
      </c>
      <c r="V16" s="1"/>
      <c r="W16" s="1"/>
    </row>
    <row r="17" spans="1:23" x14ac:dyDescent="0.25">
      <c r="A17" s="1" t="s">
        <v>108</v>
      </c>
      <c r="B17" s="6"/>
      <c r="C17" s="7"/>
      <c r="D17" s="8">
        <f t="shared" si="0"/>
        <v>0</v>
      </c>
      <c r="E17" s="6"/>
      <c r="F17" s="7"/>
      <c r="G17" s="8">
        <f t="shared" si="1"/>
        <v>0</v>
      </c>
      <c r="H17" s="6">
        <v>7</v>
      </c>
      <c r="I17" s="7">
        <v>0.14299999999999999</v>
      </c>
      <c r="J17" s="8">
        <f t="shared" si="2"/>
        <v>1.0009999999999999</v>
      </c>
      <c r="K17" s="6"/>
      <c r="L17" s="7"/>
      <c r="M17" s="8">
        <f t="shared" si="3"/>
        <v>0</v>
      </c>
      <c r="N17" s="6"/>
      <c r="O17" s="7"/>
      <c r="P17" s="8">
        <f t="shared" si="4"/>
        <v>0</v>
      </c>
      <c r="Q17" s="4"/>
      <c r="R17" s="6">
        <f t="shared" si="5"/>
        <v>7</v>
      </c>
      <c r="S17" s="9">
        <f t="shared" si="6"/>
        <v>0.14299999999999999</v>
      </c>
      <c r="T17" s="9">
        <f t="shared" si="7"/>
        <v>7.2164948453608241E-2</v>
      </c>
      <c r="U17" s="9">
        <f>R17 / _xlfn.XLOOKUP(A17, Mid!A:A, Mid!AA:AA)</f>
        <v>2.2222222222222223E-2</v>
      </c>
      <c r="V17" s="1"/>
      <c r="W17" s="1"/>
    </row>
    <row r="18" spans="1:23" x14ac:dyDescent="0.25">
      <c r="A18" s="1" t="s">
        <v>107</v>
      </c>
      <c r="B18" s="6"/>
      <c r="C18" s="7"/>
      <c r="D18" s="8">
        <f t="shared" si="0"/>
        <v>0</v>
      </c>
      <c r="E18" s="6">
        <v>4</v>
      </c>
      <c r="F18" s="7">
        <v>0</v>
      </c>
      <c r="G18" s="8">
        <f t="shared" si="1"/>
        <v>0</v>
      </c>
      <c r="H18" s="6">
        <v>2</v>
      </c>
      <c r="I18" s="7">
        <v>0</v>
      </c>
      <c r="J18" s="8">
        <f t="shared" si="2"/>
        <v>0</v>
      </c>
      <c r="K18" s="6">
        <v>3</v>
      </c>
      <c r="L18" s="7">
        <v>0.33300000000000002</v>
      </c>
      <c r="M18" s="8">
        <f t="shared" si="3"/>
        <v>0.99900000000000011</v>
      </c>
      <c r="N18" s="6"/>
      <c r="O18" s="7"/>
      <c r="P18" s="8">
        <f t="shared" si="4"/>
        <v>0</v>
      </c>
      <c r="Q18" s="13"/>
      <c r="R18" s="6">
        <f t="shared" si="5"/>
        <v>9</v>
      </c>
      <c r="S18" s="9">
        <f t="shared" si="6"/>
        <v>0.11100000000000002</v>
      </c>
      <c r="T18" s="9">
        <f t="shared" si="7"/>
        <v>9.2783505154639179E-2</v>
      </c>
      <c r="U18" s="9">
        <f>R18 / _xlfn.XLOOKUP(A18, Mid!A:A, Mid!AA:AA)</f>
        <v>1.7374517374517374E-2</v>
      </c>
      <c r="V18" s="1"/>
      <c r="W18" s="1"/>
    </row>
    <row r="19" spans="1:23" x14ac:dyDescent="0.25">
      <c r="A19" s="25" t="s">
        <v>252</v>
      </c>
      <c r="B19" s="6"/>
      <c r="C19" s="7"/>
      <c r="D19" s="8">
        <f t="shared" si="0"/>
        <v>0</v>
      </c>
      <c r="E19" s="6">
        <v>3</v>
      </c>
      <c r="F19" s="7">
        <v>0.01</v>
      </c>
      <c r="G19" s="8">
        <f t="shared" si="1"/>
        <v>0.03</v>
      </c>
      <c r="H19" s="6"/>
      <c r="I19" s="7"/>
      <c r="J19" s="8">
        <f t="shared" si="2"/>
        <v>0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1"/>
      <c r="R19" s="6">
        <f t="shared" si="5"/>
        <v>3</v>
      </c>
      <c r="S19" s="9">
        <f t="shared" si="6"/>
        <v>0.01</v>
      </c>
      <c r="T19" s="9">
        <f t="shared" si="7"/>
        <v>3.0927835051546393E-2</v>
      </c>
      <c r="U19" s="9">
        <f>R19 / _xlfn.XLOOKUP(A19, Mid!A:A, Mid!AA:AA)</f>
        <v>0.12</v>
      </c>
      <c r="V19" s="1"/>
      <c r="W19" s="1"/>
    </row>
    <row r="20" spans="1:23" x14ac:dyDescent="0.25">
      <c r="A20" s="1" t="s">
        <v>125</v>
      </c>
      <c r="B20" s="6"/>
      <c r="C20" s="7"/>
      <c r="D20" s="8">
        <f t="shared" si="0"/>
        <v>0</v>
      </c>
      <c r="E20" s="6"/>
      <c r="F20" s="7"/>
      <c r="G20" s="8">
        <f t="shared" si="1"/>
        <v>0</v>
      </c>
      <c r="H20" s="6"/>
      <c r="I20" s="7"/>
      <c r="J20" s="8">
        <f t="shared" si="2"/>
        <v>0</v>
      </c>
      <c r="K20" s="6">
        <v>1</v>
      </c>
      <c r="L20" s="7">
        <v>0</v>
      </c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1</v>
      </c>
      <c r="S20" s="9">
        <f t="shared" si="6"/>
        <v>0</v>
      </c>
      <c r="T20" s="9">
        <f t="shared" si="7"/>
        <v>1.0309278350515464E-2</v>
      </c>
      <c r="U20" s="9">
        <f>R20 / _xlfn.XLOOKUP(A20, Mid!A:A, Mid!AA:AA)</f>
        <v>1.8181818181818181E-2</v>
      </c>
      <c r="V20" s="1"/>
      <c r="W20" s="1"/>
    </row>
    <row r="21" spans="1:23" x14ac:dyDescent="0.25">
      <c r="A21" s="1" t="s">
        <v>10</v>
      </c>
      <c r="B21" s="6"/>
      <c r="C21" s="7"/>
      <c r="D21" s="8">
        <f t="shared" si="0"/>
        <v>0</v>
      </c>
      <c r="E21" s="6">
        <v>1</v>
      </c>
      <c r="F21" s="7">
        <v>0</v>
      </c>
      <c r="G21" s="8">
        <f t="shared" si="1"/>
        <v>0</v>
      </c>
      <c r="H21" s="6"/>
      <c r="I21" s="7"/>
      <c r="J21" s="8">
        <f t="shared" si="2"/>
        <v>0</v>
      </c>
      <c r="K21" s="6"/>
      <c r="L21" s="7"/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1</v>
      </c>
      <c r="S21" s="9">
        <f t="shared" si="6"/>
        <v>0</v>
      </c>
      <c r="T21" s="9">
        <f t="shared" si="7"/>
        <v>1.0309278350515464E-2</v>
      </c>
      <c r="U21" s="9">
        <f>R21 / _xlfn.XLOOKUP(A21, Mid!A:A, Mid!AA:AA)</f>
        <v>3.0303030303030304E-2</v>
      </c>
      <c r="V21" s="1"/>
      <c r="W21" s="1"/>
    </row>
    <row r="22" spans="1:23" x14ac:dyDescent="0.25">
      <c r="A22" s="1" t="s">
        <v>8</v>
      </c>
      <c r="B22" s="6"/>
      <c r="C22" s="7"/>
      <c r="D22" s="8">
        <f t="shared" si="0"/>
        <v>0</v>
      </c>
      <c r="E22" s="6">
        <v>1</v>
      </c>
      <c r="F22" s="7">
        <v>0</v>
      </c>
      <c r="G22" s="8">
        <f t="shared" si="1"/>
        <v>0</v>
      </c>
      <c r="H22" s="6">
        <v>1</v>
      </c>
      <c r="I22" s="7">
        <v>0</v>
      </c>
      <c r="J22" s="8">
        <f t="shared" si="2"/>
        <v>0</v>
      </c>
      <c r="K22" s="6"/>
      <c r="L22" s="7"/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2</v>
      </c>
      <c r="S22" s="9">
        <f t="shared" si="6"/>
        <v>0</v>
      </c>
      <c r="T22" s="9">
        <f t="shared" si="7"/>
        <v>2.0618556701030927E-2</v>
      </c>
      <c r="U22" s="9">
        <f>R22 / _xlfn.XLOOKUP(A22, Mid!A:A, Mid!AA:AA)</f>
        <v>1.8018018018018018E-2</v>
      </c>
      <c r="V22" s="1"/>
      <c r="W22" s="1"/>
    </row>
    <row r="23" spans="1:23" x14ac:dyDescent="0.25">
      <c r="A23" s="1" t="s">
        <v>32</v>
      </c>
      <c r="B23" s="6"/>
      <c r="C23" s="7"/>
      <c r="D23" s="8">
        <f t="shared" si="0"/>
        <v>0</v>
      </c>
      <c r="E23" s="6"/>
      <c r="F23" s="7"/>
      <c r="G23" s="8">
        <f t="shared" si="1"/>
        <v>0</v>
      </c>
      <c r="H23" s="6"/>
      <c r="I23" s="7"/>
      <c r="J23" s="8">
        <f t="shared" si="2"/>
        <v>0</v>
      </c>
      <c r="K23" s="6">
        <v>2</v>
      </c>
      <c r="L23" s="7">
        <v>0</v>
      </c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2</v>
      </c>
      <c r="S23" s="9">
        <f t="shared" si="6"/>
        <v>0</v>
      </c>
      <c r="T23" s="9">
        <f t="shared" si="7"/>
        <v>2.0618556701030927E-2</v>
      </c>
      <c r="U23" s="9">
        <f>R23 / _xlfn.XLOOKUP(A23, Mid!A:A, Mid!AA:AA)</f>
        <v>6.8493150684931503E-3</v>
      </c>
      <c r="V23" s="1"/>
      <c r="W23" s="1"/>
    </row>
    <row r="24" spans="1:23" x14ac:dyDescent="0.25">
      <c r="A24" s="1" t="s">
        <v>12</v>
      </c>
      <c r="B24" s="6"/>
      <c r="C24" s="7"/>
      <c r="D24" s="8">
        <f t="shared" si="0"/>
        <v>0</v>
      </c>
      <c r="E24" s="6"/>
      <c r="F24" s="7"/>
      <c r="G24" s="8">
        <f t="shared" si="1"/>
        <v>0</v>
      </c>
      <c r="H24" s="6">
        <v>1</v>
      </c>
      <c r="I24" s="7">
        <v>0</v>
      </c>
      <c r="J24" s="8">
        <f t="shared" si="2"/>
        <v>0</v>
      </c>
      <c r="K24" s="6">
        <v>1</v>
      </c>
      <c r="L24" s="7">
        <v>0</v>
      </c>
      <c r="M24" s="8">
        <f t="shared" si="3"/>
        <v>0</v>
      </c>
      <c r="N24" s="6"/>
      <c r="O24" s="7"/>
      <c r="P24" s="8">
        <f t="shared" si="4"/>
        <v>0</v>
      </c>
      <c r="Q24" s="1"/>
      <c r="R24" s="6">
        <f t="shared" si="5"/>
        <v>2</v>
      </c>
      <c r="S24" s="9">
        <f t="shared" si="6"/>
        <v>0</v>
      </c>
      <c r="T24" s="9">
        <f t="shared" si="7"/>
        <v>2.0618556701030927E-2</v>
      </c>
      <c r="U24" s="9">
        <f>R24 / _xlfn.XLOOKUP(A24, Mid!A:A, Mid!AA:AA)</f>
        <v>7.6335877862595417E-3</v>
      </c>
      <c r="V24" s="1"/>
      <c r="W24" s="1"/>
    </row>
    <row r="25" spans="1:23" x14ac:dyDescent="0.25">
      <c r="A25" s="1"/>
      <c r="B25" s="6"/>
      <c r="C25" s="7"/>
      <c r="D25" s="8">
        <f t="shared" ref="D25:D31" si="8">B25*C25</f>
        <v>0</v>
      </c>
      <c r="E25" s="6"/>
      <c r="F25" s="7"/>
      <c r="G25" s="8">
        <f t="shared" ref="G25:G31" si="9">E25*F25</f>
        <v>0</v>
      </c>
      <c r="H25" s="6"/>
      <c r="I25" s="7"/>
      <c r="J25" s="8">
        <f t="shared" ref="J25:J31" si="10">H25*I25</f>
        <v>0</v>
      </c>
      <c r="K25" s="6"/>
      <c r="L25" s="7"/>
      <c r="M25" s="8">
        <f t="shared" ref="M25:M31" si="11">K25*L25</f>
        <v>0</v>
      </c>
      <c r="N25" s="6"/>
      <c r="O25" s="7"/>
      <c r="P25" s="8">
        <f t="shared" ref="P25:P46" si="12">N25*O25</f>
        <v>0</v>
      </c>
      <c r="Q25" s="1"/>
      <c r="R25" s="6">
        <f t="shared" ref="R25:R46" si="13">B25+E25+H25+K25+N25</f>
        <v>0</v>
      </c>
      <c r="S25" s="9" t="e">
        <f t="shared" ref="S25:S46" si="14">(D25+G25+J25+M25+P25)/R25</f>
        <v>#DIV/0!</v>
      </c>
      <c r="T25" s="9">
        <f t="shared" ref="T25:T46" si="15">R25/$V$3</f>
        <v>0</v>
      </c>
      <c r="U25" s="9" t="e">
        <f>R25 / _xlfn.XLOOKUP(A25, Mid!A:A, Mid!AA:AA)</f>
        <v>#DIV/0!</v>
      </c>
      <c r="V25" s="1"/>
      <c r="W25" s="1"/>
    </row>
    <row r="26" spans="1:23" x14ac:dyDescent="0.25">
      <c r="A26" s="1"/>
      <c r="B26" s="6"/>
      <c r="C26" s="7"/>
      <c r="D26" s="8">
        <f t="shared" si="8"/>
        <v>0</v>
      </c>
      <c r="E26" s="6"/>
      <c r="F26" s="7"/>
      <c r="G26" s="8">
        <f t="shared" si="9"/>
        <v>0</v>
      </c>
      <c r="H26" s="6"/>
      <c r="I26" s="7"/>
      <c r="J26" s="8">
        <f t="shared" si="10"/>
        <v>0</v>
      </c>
      <c r="K26" s="6"/>
      <c r="L26" s="7"/>
      <c r="M26" s="8">
        <f t="shared" si="11"/>
        <v>0</v>
      </c>
      <c r="N26" s="6"/>
      <c r="O26" s="7"/>
      <c r="P26" s="8">
        <f t="shared" si="12"/>
        <v>0</v>
      </c>
      <c r="Q26" s="1"/>
      <c r="R26" s="6">
        <f t="shared" si="13"/>
        <v>0</v>
      </c>
      <c r="S26" s="9" t="e">
        <f t="shared" si="14"/>
        <v>#DIV/0!</v>
      </c>
      <c r="T26" s="9">
        <f t="shared" si="15"/>
        <v>0</v>
      </c>
      <c r="U26" s="9" t="e">
        <f>R26 / _xlfn.XLOOKUP(A26, Mid!A:A, Mid!AA:AA)</f>
        <v>#DIV/0!</v>
      </c>
      <c r="V26" s="1"/>
      <c r="W26" s="1"/>
    </row>
    <row r="27" spans="1:23" x14ac:dyDescent="0.25">
      <c r="A27" s="1"/>
      <c r="B27" s="6"/>
      <c r="C27" s="7"/>
      <c r="D27" s="8">
        <f t="shared" si="8"/>
        <v>0</v>
      </c>
      <c r="E27" s="6"/>
      <c r="F27" s="7"/>
      <c r="G27" s="8">
        <f t="shared" si="9"/>
        <v>0</v>
      </c>
      <c r="H27" s="6"/>
      <c r="I27" s="7"/>
      <c r="J27" s="8">
        <f t="shared" si="10"/>
        <v>0</v>
      </c>
      <c r="K27" s="6"/>
      <c r="L27" s="7"/>
      <c r="M27" s="8">
        <f t="shared" si="11"/>
        <v>0</v>
      </c>
      <c r="N27" s="6"/>
      <c r="O27" s="7"/>
      <c r="P27" s="8">
        <f t="shared" si="12"/>
        <v>0</v>
      </c>
      <c r="Q27" s="1"/>
      <c r="R27" s="6">
        <f t="shared" si="13"/>
        <v>0</v>
      </c>
      <c r="S27" s="9" t="e">
        <f t="shared" si="14"/>
        <v>#DIV/0!</v>
      </c>
      <c r="T27" s="9">
        <f t="shared" si="15"/>
        <v>0</v>
      </c>
      <c r="U27" s="9" t="e">
        <f>R27 / _xlfn.XLOOKUP(A27, Mid!A:A, Mid!AA:AA)</f>
        <v>#DIV/0!</v>
      </c>
      <c r="V27" s="1"/>
      <c r="W27" s="1"/>
    </row>
    <row r="28" spans="1:23" x14ac:dyDescent="0.25">
      <c r="A28" s="1"/>
      <c r="B28" s="6"/>
      <c r="C28" s="7"/>
      <c r="D28" s="8">
        <f t="shared" si="8"/>
        <v>0</v>
      </c>
      <c r="E28" s="6"/>
      <c r="F28" s="7"/>
      <c r="G28" s="8">
        <f t="shared" si="9"/>
        <v>0</v>
      </c>
      <c r="H28" s="6"/>
      <c r="I28" s="7"/>
      <c r="J28" s="8">
        <f t="shared" si="10"/>
        <v>0</v>
      </c>
      <c r="K28" s="6"/>
      <c r="L28" s="7"/>
      <c r="M28" s="8">
        <f t="shared" si="11"/>
        <v>0</v>
      </c>
      <c r="N28" s="6"/>
      <c r="O28" s="7"/>
      <c r="P28" s="8">
        <f t="shared" si="12"/>
        <v>0</v>
      </c>
      <c r="Q28" s="1"/>
      <c r="R28" s="6">
        <f t="shared" si="13"/>
        <v>0</v>
      </c>
      <c r="S28" s="9" t="e">
        <f t="shared" si="14"/>
        <v>#DIV/0!</v>
      </c>
      <c r="T28" s="9">
        <f t="shared" si="15"/>
        <v>0</v>
      </c>
      <c r="U28" s="9" t="e">
        <f>R28 / _xlfn.XLOOKUP(A28, Mid!A:A, Mid!AA:AA)</f>
        <v>#DIV/0!</v>
      </c>
      <c r="V28" s="1"/>
      <c r="W28" s="1"/>
    </row>
    <row r="29" spans="1:23" x14ac:dyDescent="0.25">
      <c r="A29" s="1"/>
      <c r="B29" s="6"/>
      <c r="C29" s="7"/>
      <c r="D29" s="8">
        <f t="shared" si="8"/>
        <v>0</v>
      </c>
      <c r="E29" s="6"/>
      <c r="F29" s="7"/>
      <c r="G29" s="8">
        <f t="shared" si="9"/>
        <v>0</v>
      </c>
      <c r="H29" s="6"/>
      <c r="I29" s="7"/>
      <c r="J29" s="8">
        <f t="shared" si="10"/>
        <v>0</v>
      </c>
      <c r="K29" s="6"/>
      <c r="L29" s="7"/>
      <c r="M29" s="8">
        <f t="shared" si="11"/>
        <v>0</v>
      </c>
      <c r="N29" s="6"/>
      <c r="O29" s="7"/>
      <c r="P29" s="8">
        <f t="shared" si="12"/>
        <v>0</v>
      </c>
      <c r="Q29" s="1"/>
      <c r="R29" s="6">
        <f t="shared" si="13"/>
        <v>0</v>
      </c>
      <c r="S29" s="9" t="e">
        <f t="shared" si="14"/>
        <v>#DIV/0!</v>
      </c>
      <c r="T29" s="9">
        <f t="shared" si="15"/>
        <v>0</v>
      </c>
      <c r="U29" s="9" t="e">
        <f>R29 / _xlfn.XLOOKUP(A29, Mid!A:A, Mid!AA:AA)</f>
        <v>#DIV/0!</v>
      </c>
      <c r="V29" s="1"/>
      <c r="W29" s="1"/>
    </row>
    <row r="30" spans="1:23" x14ac:dyDescent="0.25">
      <c r="A30" s="1"/>
      <c r="B30" s="6"/>
      <c r="C30" s="7"/>
      <c r="D30" s="8">
        <f t="shared" si="8"/>
        <v>0</v>
      </c>
      <c r="E30" s="6"/>
      <c r="F30" s="7"/>
      <c r="G30" s="8">
        <f t="shared" si="9"/>
        <v>0</v>
      </c>
      <c r="H30" s="6"/>
      <c r="I30" s="7"/>
      <c r="J30" s="8">
        <f t="shared" si="10"/>
        <v>0</v>
      </c>
      <c r="K30" s="6"/>
      <c r="L30" s="7"/>
      <c r="M30" s="8">
        <f t="shared" si="11"/>
        <v>0</v>
      </c>
      <c r="N30" s="6"/>
      <c r="O30" s="7"/>
      <c r="P30" s="8">
        <f t="shared" si="12"/>
        <v>0</v>
      </c>
      <c r="Q30" s="1"/>
      <c r="R30" s="6">
        <f t="shared" si="13"/>
        <v>0</v>
      </c>
      <c r="S30" s="9" t="e">
        <f t="shared" si="14"/>
        <v>#DIV/0!</v>
      </c>
      <c r="T30" s="9">
        <f t="shared" si="15"/>
        <v>0</v>
      </c>
      <c r="U30" s="9" t="e">
        <f>R30 / _xlfn.XLOOKUP(A30, Mid!A:A, Mid!AA:AA)</f>
        <v>#DIV/0!</v>
      </c>
    </row>
    <row r="31" spans="1:23" x14ac:dyDescent="0.25">
      <c r="A31" s="1"/>
      <c r="B31" s="6"/>
      <c r="C31" s="7"/>
      <c r="D31" s="8">
        <f t="shared" si="8"/>
        <v>0</v>
      </c>
      <c r="E31" s="6"/>
      <c r="F31" s="7"/>
      <c r="G31" s="8">
        <f t="shared" si="9"/>
        <v>0</v>
      </c>
      <c r="H31" s="6"/>
      <c r="I31" s="7"/>
      <c r="J31" s="8">
        <f t="shared" si="10"/>
        <v>0</v>
      </c>
      <c r="K31" s="6"/>
      <c r="L31" s="7"/>
      <c r="M31" s="8">
        <f t="shared" si="11"/>
        <v>0</v>
      </c>
      <c r="N31" s="6"/>
      <c r="O31" s="7"/>
      <c r="P31" s="8">
        <f t="shared" si="12"/>
        <v>0</v>
      </c>
      <c r="Q31" s="1"/>
      <c r="R31" s="6">
        <f t="shared" si="13"/>
        <v>0</v>
      </c>
      <c r="S31" s="9" t="e">
        <f t="shared" si="14"/>
        <v>#DIV/0!</v>
      </c>
      <c r="T31" s="9">
        <f t="shared" si="15"/>
        <v>0</v>
      </c>
      <c r="U31" s="9" t="e">
        <f>R31 / _xlfn.XLOOKUP(A31, Mid!A:A, Mid!AA:AA)</f>
        <v>#DIV/0!</v>
      </c>
    </row>
    <row r="32" spans="1:23" x14ac:dyDescent="0.25">
      <c r="N32" s="6"/>
      <c r="O32" s="7"/>
      <c r="P32" s="8">
        <f t="shared" si="12"/>
        <v>0</v>
      </c>
      <c r="Q32" s="1"/>
      <c r="R32" s="6">
        <f t="shared" si="13"/>
        <v>0</v>
      </c>
      <c r="S32" s="9" t="e">
        <f t="shared" si="14"/>
        <v>#DIV/0!</v>
      </c>
      <c r="T32" s="9">
        <f t="shared" si="15"/>
        <v>0</v>
      </c>
      <c r="U32" s="9" t="e">
        <f>R32 / _xlfn.XLOOKUP(A32, Mid!A:A, Mid!AA:AA)</f>
        <v>#DIV/0!</v>
      </c>
    </row>
    <row r="33" spans="14:21" x14ac:dyDescent="0.25">
      <c r="N33" s="6"/>
      <c r="O33" s="7"/>
      <c r="P33" s="8">
        <f t="shared" si="12"/>
        <v>0</v>
      </c>
      <c r="Q33" s="1"/>
      <c r="R33" s="6">
        <f t="shared" si="13"/>
        <v>0</v>
      </c>
      <c r="S33" s="9" t="e">
        <f t="shared" si="14"/>
        <v>#DIV/0!</v>
      </c>
      <c r="T33" s="9">
        <f t="shared" si="15"/>
        <v>0</v>
      </c>
      <c r="U33" s="9" t="e">
        <f>R33 / _xlfn.XLOOKUP(A33, Mid!A:A, Mid!AA:AA)</f>
        <v>#DIV/0!</v>
      </c>
    </row>
    <row r="34" spans="14:21" x14ac:dyDescent="0.25">
      <c r="N34" s="6"/>
      <c r="O34" s="7"/>
      <c r="P34" s="8">
        <f t="shared" si="12"/>
        <v>0</v>
      </c>
      <c r="Q34" s="1"/>
      <c r="R34" s="6">
        <f t="shared" si="13"/>
        <v>0</v>
      </c>
      <c r="S34" s="9" t="e">
        <f t="shared" si="14"/>
        <v>#DIV/0!</v>
      </c>
      <c r="T34" s="9">
        <f t="shared" si="15"/>
        <v>0</v>
      </c>
      <c r="U34" s="9" t="e">
        <f>R34 / _xlfn.XLOOKUP(A34, Mid!A:A, Mid!AA:AA)</f>
        <v>#DIV/0!</v>
      </c>
    </row>
    <row r="35" spans="14:21" x14ac:dyDescent="0.25">
      <c r="N35" s="6"/>
      <c r="O35" s="7"/>
      <c r="P35" s="8">
        <f t="shared" si="12"/>
        <v>0</v>
      </c>
      <c r="Q35" s="1"/>
      <c r="R35" s="6">
        <f t="shared" si="13"/>
        <v>0</v>
      </c>
      <c r="S35" s="9" t="e">
        <f t="shared" si="14"/>
        <v>#DIV/0!</v>
      </c>
      <c r="T35" s="9">
        <f t="shared" si="15"/>
        <v>0</v>
      </c>
      <c r="U35" s="9" t="e">
        <f>R35 / _xlfn.XLOOKUP(A35, Mid!A:A, Mid!AA:AA)</f>
        <v>#DIV/0!</v>
      </c>
    </row>
    <row r="36" spans="14:21" x14ac:dyDescent="0.25">
      <c r="N36" s="6"/>
      <c r="O36" s="7"/>
      <c r="P36" s="8">
        <f t="shared" si="12"/>
        <v>0</v>
      </c>
      <c r="Q36" s="1"/>
      <c r="R36" s="6">
        <f t="shared" si="13"/>
        <v>0</v>
      </c>
      <c r="S36" s="9" t="e">
        <f t="shared" si="14"/>
        <v>#DIV/0!</v>
      </c>
      <c r="T36" s="9">
        <f t="shared" si="15"/>
        <v>0</v>
      </c>
      <c r="U36" s="9" t="e">
        <f>R36 / _xlfn.XLOOKUP(A36, Mid!A:A, Mid!AA:AA)</f>
        <v>#DIV/0!</v>
      </c>
    </row>
    <row r="37" spans="14:21" x14ac:dyDescent="0.25">
      <c r="N37" s="6"/>
      <c r="O37" s="7"/>
      <c r="P37" s="8">
        <f t="shared" si="12"/>
        <v>0</v>
      </c>
      <c r="Q37" s="1"/>
      <c r="R37" s="6">
        <f t="shared" si="13"/>
        <v>0</v>
      </c>
      <c r="S37" s="9" t="e">
        <f t="shared" si="14"/>
        <v>#DIV/0!</v>
      </c>
      <c r="T37" s="9">
        <f t="shared" si="15"/>
        <v>0</v>
      </c>
      <c r="U37" s="9" t="e">
        <f>R37 / _xlfn.XLOOKUP(A37, Mid!A:A, Mid!AA:AA)</f>
        <v>#DIV/0!</v>
      </c>
    </row>
    <row r="38" spans="14:21" x14ac:dyDescent="0.25">
      <c r="N38" s="6"/>
      <c r="O38" s="7"/>
      <c r="P38" s="8">
        <f t="shared" si="12"/>
        <v>0</v>
      </c>
      <c r="Q38" s="1"/>
      <c r="R38" s="6">
        <f t="shared" si="13"/>
        <v>0</v>
      </c>
      <c r="S38" s="9" t="e">
        <f t="shared" si="14"/>
        <v>#DIV/0!</v>
      </c>
      <c r="T38" s="9">
        <f t="shared" si="15"/>
        <v>0</v>
      </c>
      <c r="U38" s="9" t="e">
        <f>R38 / _xlfn.XLOOKUP(A38, Mid!A:A, Mid!AA:AA)</f>
        <v>#DIV/0!</v>
      </c>
    </row>
    <row r="39" spans="14:21" x14ac:dyDescent="0.25">
      <c r="N39" s="6"/>
      <c r="O39" s="7"/>
      <c r="P39" s="8">
        <f t="shared" si="12"/>
        <v>0</v>
      </c>
      <c r="Q39" s="1"/>
      <c r="R39" s="6">
        <f t="shared" si="13"/>
        <v>0</v>
      </c>
      <c r="S39" s="9" t="e">
        <f t="shared" si="14"/>
        <v>#DIV/0!</v>
      </c>
      <c r="T39" s="9">
        <f t="shared" si="15"/>
        <v>0</v>
      </c>
      <c r="U39" s="9" t="e">
        <f>R39 / _xlfn.XLOOKUP(A39, Mid!A:A, Mid!AA:AA)</f>
        <v>#DIV/0!</v>
      </c>
    </row>
    <row r="40" spans="14:21" x14ac:dyDescent="0.25">
      <c r="N40" s="6"/>
      <c r="O40" s="7"/>
      <c r="P40" s="8">
        <f t="shared" si="12"/>
        <v>0</v>
      </c>
      <c r="Q40" s="1"/>
      <c r="R40" s="6">
        <f t="shared" si="13"/>
        <v>0</v>
      </c>
      <c r="S40" s="9" t="e">
        <f t="shared" si="14"/>
        <v>#DIV/0!</v>
      </c>
      <c r="T40" s="9">
        <f t="shared" si="15"/>
        <v>0</v>
      </c>
      <c r="U40" s="9" t="e">
        <f>R40 / _xlfn.XLOOKUP(A40, Mid!A:A, Mid!AA:AA)</f>
        <v>#DIV/0!</v>
      </c>
    </row>
    <row r="41" spans="14:21" x14ac:dyDescent="0.25">
      <c r="N41" s="6"/>
      <c r="O41" s="7"/>
      <c r="P41" s="8">
        <f t="shared" si="12"/>
        <v>0</v>
      </c>
      <c r="Q41" s="1"/>
      <c r="R41" s="6">
        <f t="shared" si="13"/>
        <v>0</v>
      </c>
      <c r="S41" s="9" t="e">
        <f t="shared" si="14"/>
        <v>#DIV/0!</v>
      </c>
      <c r="T41" s="9">
        <f t="shared" si="15"/>
        <v>0</v>
      </c>
      <c r="U41" s="9" t="e">
        <f>R41 / _xlfn.XLOOKUP(A41, Mid!A:A, Mid!AA:AA)</f>
        <v>#DIV/0!</v>
      </c>
    </row>
    <row r="42" spans="14:21" x14ac:dyDescent="0.25">
      <c r="N42" s="6"/>
      <c r="O42" s="7"/>
      <c r="P42" s="8">
        <f t="shared" si="12"/>
        <v>0</v>
      </c>
      <c r="Q42" s="1"/>
      <c r="R42" s="6">
        <f t="shared" si="13"/>
        <v>0</v>
      </c>
      <c r="S42" s="9" t="e">
        <f t="shared" si="14"/>
        <v>#DIV/0!</v>
      </c>
      <c r="T42" s="9">
        <f t="shared" si="15"/>
        <v>0</v>
      </c>
      <c r="U42" s="9" t="e">
        <f>R42 / _xlfn.XLOOKUP(A42, Mid!A:A, Mid!AA:AA)</f>
        <v>#DIV/0!</v>
      </c>
    </row>
    <row r="43" spans="14:21" x14ac:dyDescent="0.25">
      <c r="N43" s="6"/>
      <c r="O43" s="7"/>
      <c r="P43" s="8">
        <f t="shared" si="12"/>
        <v>0</v>
      </c>
      <c r="Q43" s="1"/>
      <c r="R43" s="6">
        <f t="shared" si="13"/>
        <v>0</v>
      </c>
      <c r="S43" s="9" t="e">
        <f t="shared" si="14"/>
        <v>#DIV/0!</v>
      </c>
      <c r="T43" s="9">
        <f t="shared" si="15"/>
        <v>0</v>
      </c>
      <c r="U43" s="9" t="e">
        <f>R43 / _xlfn.XLOOKUP(A43, Mid!A:A, Mid!AA:AA)</f>
        <v>#DIV/0!</v>
      </c>
    </row>
    <row r="44" spans="14:21" x14ac:dyDescent="0.25">
      <c r="N44" s="6"/>
      <c r="O44" s="7"/>
      <c r="P44" s="8">
        <f t="shared" si="12"/>
        <v>0</v>
      </c>
      <c r="Q44" s="1"/>
      <c r="R44" s="6">
        <f t="shared" si="13"/>
        <v>0</v>
      </c>
      <c r="S44" s="9" t="e">
        <f t="shared" si="14"/>
        <v>#DIV/0!</v>
      </c>
      <c r="T44" s="9">
        <f t="shared" si="15"/>
        <v>0</v>
      </c>
      <c r="U44" s="9" t="e">
        <f>R44 / _xlfn.XLOOKUP(A44, Mid!A:A, Mid!AA:AA)</f>
        <v>#DIV/0!</v>
      </c>
    </row>
    <row r="45" spans="14:21" x14ac:dyDescent="0.25">
      <c r="N45" s="6"/>
      <c r="O45" s="7"/>
      <c r="P45" s="8">
        <f t="shared" si="12"/>
        <v>0</v>
      </c>
      <c r="Q45" s="1"/>
      <c r="R45" s="6">
        <f t="shared" si="13"/>
        <v>0</v>
      </c>
      <c r="S45" s="9" t="e">
        <f t="shared" si="14"/>
        <v>#DIV/0!</v>
      </c>
      <c r="T45" s="9">
        <f t="shared" si="15"/>
        <v>0</v>
      </c>
      <c r="U45" s="9" t="e">
        <f>R45 / _xlfn.XLOOKUP(A45, Mid!A:A, Mid!AA:AA)</f>
        <v>#DIV/0!</v>
      </c>
    </row>
    <row r="46" spans="14:21" x14ac:dyDescent="0.25">
      <c r="N46" s="6"/>
      <c r="O46" s="7"/>
      <c r="P46" s="8">
        <f t="shared" si="12"/>
        <v>0</v>
      </c>
      <c r="Q46" s="1"/>
      <c r="R46" s="6">
        <f t="shared" si="13"/>
        <v>0</v>
      </c>
      <c r="S46" s="9" t="e">
        <f t="shared" si="14"/>
        <v>#DIV/0!</v>
      </c>
      <c r="T46" s="9">
        <f t="shared" si="15"/>
        <v>0</v>
      </c>
      <c r="U46" s="9" t="e">
        <f>R46 / _xlfn.XLOOKUP(A46, Mid!A:A, Mid!AA:AA)</f>
        <v>#DIV/0!</v>
      </c>
    </row>
  </sheetData>
  <sortState xmlns:xlrd2="http://schemas.microsoft.com/office/spreadsheetml/2017/richdata2" ref="A3:U24">
    <sortCondition descending="1" ref="S3:S24"/>
  </sortState>
  <pageMargins left="0.7" right="0.7" top="0.78740157499999996" bottom="0.78740157499999996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9B662-5311-4595-B90E-286043D336E6}">
  <sheetPr>
    <tabColor theme="7" tint="0.59999389629810485"/>
  </sheetPr>
  <dimension ref="A1:W59"/>
  <sheetViews>
    <sheetView topLeftCell="A3" workbookViewId="0">
      <selection activeCell="U3" sqref="U3:U52"/>
    </sheetView>
  </sheetViews>
  <sheetFormatPr baseColWidth="10" defaultRowHeight="15" x14ac:dyDescent="0.25"/>
  <sheetData>
    <row r="1" spans="1:23" ht="15.75" x14ac:dyDescent="0.25">
      <c r="A1" s="2" t="s">
        <v>126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10</v>
      </c>
      <c r="B3" s="6"/>
      <c r="C3" s="7"/>
      <c r="D3" s="8">
        <f t="shared" ref="D3:D29" si="0">B3*C3</f>
        <v>0</v>
      </c>
      <c r="E3" s="6"/>
      <c r="F3" s="7"/>
      <c r="G3" s="8">
        <f t="shared" ref="G3:G29" si="1">E3*F3</f>
        <v>0</v>
      </c>
      <c r="H3" s="6"/>
      <c r="I3" s="7"/>
      <c r="J3" s="8">
        <f t="shared" ref="J3:J29" si="2">H3*I3</f>
        <v>0</v>
      </c>
      <c r="K3" s="6"/>
      <c r="L3" s="7"/>
      <c r="M3" s="8">
        <f t="shared" ref="M3:M29" si="3">K3*L3</f>
        <v>0</v>
      </c>
      <c r="N3" s="6"/>
      <c r="O3" s="7"/>
      <c r="P3" s="8">
        <f t="shared" ref="P3:P29" si="4">N3*O3</f>
        <v>0</v>
      </c>
      <c r="Q3" s="1"/>
      <c r="R3" s="6">
        <f t="shared" ref="R3:R29" si="5">B3+E3+H3+K3+N3</f>
        <v>0</v>
      </c>
      <c r="S3" s="9" t="e">
        <f t="shared" ref="S3:S29" si="6">(D3+G3+J3+M3+P3)/R3</f>
        <v>#DIV/0!</v>
      </c>
      <c r="T3" s="9">
        <f t="shared" ref="T3:T29" si="7">R3/$V$3</f>
        <v>0</v>
      </c>
      <c r="U3" s="9">
        <f>R3 / _xlfn.XLOOKUP(A3, Mid!A:A, Mid!AA:AA)</f>
        <v>0</v>
      </c>
      <c r="V3" s="11">
        <f>SUM(R3:R63)</f>
        <v>476</v>
      </c>
      <c r="W3" s="12">
        <f>(SUM(D3:D95)+SUM(G3:G95)+SUM(J3:J95)+SUM(M3:M95)+SUM(P3:P95)) / V3</f>
        <v>0.56937605042016814</v>
      </c>
    </row>
    <row r="4" spans="1:23" x14ac:dyDescent="0.25">
      <c r="A4" s="1" t="s">
        <v>125</v>
      </c>
      <c r="B4" s="6"/>
      <c r="C4" s="7"/>
      <c r="D4" s="8">
        <f t="shared" si="0"/>
        <v>0</v>
      </c>
      <c r="E4" s="6"/>
      <c r="F4" s="7"/>
      <c r="G4" s="8">
        <f t="shared" si="1"/>
        <v>0</v>
      </c>
      <c r="H4" s="6"/>
      <c r="I4" s="7"/>
      <c r="J4" s="8">
        <f t="shared" si="2"/>
        <v>0</v>
      </c>
      <c r="K4" s="6">
        <v>2</v>
      </c>
      <c r="L4" s="7">
        <v>1</v>
      </c>
      <c r="M4" s="8">
        <f t="shared" si="3"/>
        <v>2</v>
      </c>
      <c r="N4" s="6"/>
      <c r="O4" s="7"/>
      <c r="P4" s="8">
        <f t="shared" si="4"/>
        <v>0</v>
      </c>
      <c r="Q4" s="1"/>
      <c r="R4" s="6">
        <f t="shared" si="5"/>
        <v>2</v>
      </c>
      <c r="S4" s="9">
        <f t="shared" si="6"/>
        <v>1</v>
      </c>
      <c r="T4" s="9">
        <f t="shared" si="7"/>
        <v>4.2016806722689074E-3</v>
      </c>
      <c r="U4" s="9">
        <f>R4 / _xlfn.XLOOKUP(A4, Mid!A:A, Mid!AA:AA)</f>
        <v>3.6363636363636362E-2</v>
      </c>
      <c r="V4" s="1"/>
      <c r="W4" s="1"/>
    </row>
    <row r="5" spans="1:23" x14ac:dyDescent="0.25">
      <c r="A5" s="1" t="s">
        <v>9</v>
      </c>
      <c r="B5" s="6">
        <v>1</v>
      </c>
      <c r="C5" s="7">
        <v>1</v>
      </c>
      <c r="D5" s="8">
        <f t="shared" si="0"/>
        <v>1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1</v>
      </c>
      <c r="S5" s="9">
        <f t="shared" si="6"/>
        <v>1</v>
      </c>
      <c r="T5" s="9">
        <f t="shared" si="7"/>
        <v>2.1008403361344537E-3</v>
      </c>
      <c r="U5" s="9">
        <f>R5 / _xlfn.XLOOKUP(A5, Mid!A:A, Mid!AA:AA)</f>
        <v>1</v>
      </c>
      <c r="V5" s="1"/>
      <c r="W5" s="1"/>
    </row>
    <row r="6" spans="1:23" x14ac:dyDescent="0.25">
      <c r="A6" s="1" t="s">
        <v>35</v>
      </c>
      <c r="B6" s="6">
        <v>1</v>
      </c>
      <c r="C6" s="7">
        <v>1</v>
      </c>
      <c r="D6" s="8">
        <f t="shared" si="0"/>
        <v>1</v>
      </c>
      <c r="E6" s="6"/>
      <c r="F6" s="7"/>
      <c r="G6" s="8">
        <f t="shared" si="1"/>
        <v>0</v>
      </c>
      <c r="H6" s="6"/>
      <c r="I6" s="7"/>
      <c r="J6" s="8">
        <f t="shared" si="2"/>
        <v>0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1"/>
      <c r="R6" s="6">
        <f t="shared" si="5"/>
        <v>1</v>
      </c>
      <c r="S6" s="9">
        <f t="shared" si="6"/>
        <v>1</v>
      </c>
      <c r="T6" s="9">
        <f t="shared" si="7"/>
        <v>2.1008403361344537E-3</v>
      </c>
      <c r="U6" s="9">
        <f>R6 / _xlfn.XLOOKUP(A6, Mid!A:A, Mid!AA:AA)</f>
        <v>3.4482758620689655E-2</v>
      </c>
      <c r="V6" s="1"/>
      <c r="W6" s="1"/>
    </row>
    <row r="7" spans="1:23" x14ac:dyDescent="0.25">
      <c r="A7" s="1" t="s">
        <v>129</v>
      </c>
      <c r="B7" s="6">
        <v>1</v>
      </c>
      <c r="C7" s="7">
        <v>1</v>
      </c>
      <c r="D7" s="8">
        <f t="shared" si="0"/>
        <v>1</v>
      </c>
      <c r="E7" s="6"/>
      <c r="F7" s="7"/>
      <c r="G7" s="8">
        <f t="shared" si="1"/>
        <v>0</v>
      </c>
      <c r="H7" s="6"/>
      <c r="I7" s="7"/>
      <c r="J7" s="8">
        <f t="shared" si="2"/>
        <v>0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1</v>
      </c>
      <c r="S7" s="9">
        <f t="shared" si="6"/>
        <v>1</v>
      </c>
      <c r="T7" s="9">
        <f t="shared" si="7"/>
        <v>2.1008403361344537E-3</v>
      </c>
      <c r="U7" s="9">
        <f>R7 / _xlfn.XLOOKUP(A7, Mid!A:A, Mid!AA:AA)</f>
        <v>0.25</v>
      </c>
      <c r="V7" s="1"/>
      <c r="W7" s="1"/>
    </row>
    <row r="8" spans="1:23" x14ac:dyDescent="0.25">
      <c r="A8" s="1" t="s">
        <v>123</v>
      </c>
      <c r="B8" s="6"/>
      <c r="C8" s="7"/>
      <c r="D8" s="8">
        <f t="shared" si="0"/>
        <v>0</v>
      </c>
      <c r="E8" s="6"/>
      <c r="F8" s="7"/>
      <c r="G8" s="8">
        <f t="shared" si="1"/>
        <v>0</v>
      </c>
      <c r="H8" s="6"/>
      <c r="I8" s="7"/>
      <c r="J8" s="8">
        <f t="shared" si="2"/>
        <v>0</v>
      </c>
      <c r="K8" s="6">
        <v>1</v>
      </c>
      <c r="L8" s="7">
        <v>1</v>
      </c>
      <c r="M8" s="8">
        <f t="shared" si="3"/>
        <v>1</v>
      </c>
      <c r="N8" s="6"/>
      <c r="O8" s="7"/>
      <c r="P8" s="8">
        <f t="shared" si="4"/>
        <v>0</v>
      </c>
      <c r="Q8" s="1"/>
      <c r="R8" s="6">
        <f t="shared" si="5"/>
        <v>1</v>
      </c>
      <c r="S8" s="9">
        <f t="shared" si="6"/>
        <v>1</v>
      </c>
      <c r="T8" s="9">
        <f t="shared" si="7"/>
        <v>2.1008403361344537E-3</v>
      </c>
      <c r="U8" s="9">
        <f>R8 / _xlfn.XLOOKUP(A8, Mid!A:A, Mid!AA:AA)</f>
        <v>0.125</v>
      </c>
      <c r="V8" s="1"/>
      <c r="W8" s="1"/>
    </row>
    <row r="9" spans="1:23" x14ac:dyDescent="0.25">
      <c r="A9" s="25" t="s">
        <v>69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/>
      <c r="I9" s="7"/>
      <c r="J9" s="8">
        <f t="shared" si="2"/>
        <v>0</v>
      </c>
      <c r="K9" s="6">
        <v>1</v>
      </c>
      <c r="L9" s="7">
        <v>1</v>
      </c>
      <c r="M9" s="8">
        <f t="shared" si="3"/>
        <v>1</v>
      </c>
      <c r="N9" s="6"/>
      <c r="O9" s="7"/>
      <c r="P9" s="8">
        <f t="shared" si="4"/>
        <v>0</v>
      </c>
      <c r="Q9" s="1"/>
      <c r="R9" s="6">
        <f t="shared" si="5"/>
        <v>1</v>
      </c>
      <c r="S9" s="9">
        <f t="shared" si="6"/>
        <v>1</v>
      </c>
      <c r="T9" s="9">
        <f t="shared" si="7"/>
        <v>2.1008403361344537E-3</v>
      </c>
      <c r="U9" s="9">
        <f>R9 / _xlfn.XLOOKUP(A9, Mid!A:A, Mid!AA:AA)</f>
        <v>0.5</v>
      </c>
      <c r="V9" s="1"/>
      <c r="W9" s="1"/>
    </row>
    <row r="10" spans="1:23" x14ac:dyDescent="0.25">
      <c r="A10" s="1" t="s">
        <v>127</v>
      </c>
      <c r="B10" s="6">
        <v>3</v>
      </c>
      <c r="C10" s="7">
        <v>1</v>
      </c>
      <c r="D10" s="8">
        <f t="shared" si="0"/>
        <v>3</v>
      </c>
      <c r="E10" s="6"/>
      <c r="F10" s="7"/>
      <c r="G10" s="8">
        <f t="shared" si="1"/>
        <v>0</v>
      </c>
      <c r="H10" s="6"/>
      <c r="I10" s="7"/>
      <c r="J10" s="8">
        <f t="shared" si="2"/>
        <v>0</v>
      </c>
      <c r="K10" s="6">
        <v>2</v>
      </c>
      <c r="L10" s="7">
        <v>0.5</v>
      </c>
      <c r="M10" s="8">
        <f t="shared" si="3"/>
        <v>1</v>
      </c>
      <c r="N10" s="6"/>
      <c r="O10" s="7"/>
      <c r="P10" s="8">
        <f t="shared" si="4"/>
        <v>0</v>
      </c>
      <c r="Q10" s="4"/>
      <c r="R10" s="6">
        <f t="shared" si="5"/>
        <v>5</v>
      </c>
      <c r="S10" s="9">
        <f t="shared" si="6"/>
        <v>0.8</v>
      </c>
      <c r="T10" s="9">
        <f t="shared" si="7"/>
        <v>1.050420168067227E-2</v>
      </c>
      <c r="U10" s="9">
        <f>R10 / _xlfn.XLOOKUP(A10, Mid!A:A, Mid!AA:AA)</f>
        <v>0.7142857142857143</v>
      </c>
      <c r="V10" s="1"/>
      <c r="W10" s="1"/>
    </row>
    <row r="11" spans="1:23" x14ac:dyDescent="0.25">
      <c r="A11" s="1" t="s">
        <v>39</v>
      </c>
      <c r="B11" s="6"/>
      <c r="C11" s="7"/>
      <c r="D11" s="8">
        <f t="shared" si="0"/>
        <v>0</v>
      </c>
      <c r="E11" s="6">
        <v>6</v>
      </c>
      <c r="F11" s="7">
        <v>1</v>
      </c>
      <c r="G11" s="8">
        <f t="shared" si="1"/>
        <v>6</v>
      </c>
      <c r="H11" s="6">
        <v>10</v>
      </c>
      <c r="I11" s="7">
        <v>0.6</v>
      </c>
      <c r="J11" s="8">
        <f t="shared" si="2"/>
        <v>6</v>
      </c>
      <c r="K11" s="6">
        <v>1</v>
      </c>
      <c r="L11" s="7">
        <v>1</v>
      </c>
      <c r="M11" s="8">
        <f t="shared" si="3"/>
        <v>1</v>
      </c>
      <c r="N11" s="6"/>
      <c r="O11" s="7"/>
      <c r="P11" s="8">
        <f t="shared" si="4"/>
        <v>0</v>
      </c>
      <c r="Q11" s="4"/>
      <c r="R11" s="6">
        <f t="shared" si="5"/>
        <v>17</v>
      </c>
      <c r="S11" s="9">
        <f t="shared" si="6"/>
        <v>0.76470588235294112</v>
      </c>
      <c r="T11" s="9">
        <f t="shared" si="7"/>
        <v>3.5714285714285712E-2</v>
      </c>
      <c r="U11" s="9">
        <f>R11 / _xlfn.XLOOKUP(A11, Mid!A:A, Mid!AA:AA)</f>
        <v>7.5555555555555556E-2</v>
      </c>
      <c r="V11" s="1"/>
      <c r="W11" s="1"/>
    </row>
    <row r="12" spans="1:23" x14ac:dyDescent="0.25">
      <c r="A12" s="1" t="s">
        <v>32</v>
      </c>
      <c r="B12" s="6">
        <v>9</v>
      </c>
      <c r="C12" s="7">
        <v>0.77800000000000002</v>
      </c>
      <c r="D12" s="8">
        <f t="shared" si="0"/>
        <v>7.0020000000000007</v>
      </c>
      <c r="E12" s="6">
        <v>9</v>
      </c>
      <c r="F12" s="7">
        <v>0.66700000000000004</v>
      </c>
      <c r="G12" s="8">
        <f t="shared" si="1"/>
        <v>6.0030000000000001</v>
      </c>
      <c r="H12" s="6">
        <v>5</v>
      </c>
      <c r="I12" s="7">
        <v>0.8</v>
      </c>
      <c r="J12" s="8">
        <f t="shared" si="2"/>
        <v>4</v>
      </c>
      <c r="K12" s="6">
        <v>2</v>
      </c>
      <c r="L12" s="7">
        <v>0.5</v>
      </c>
      <c r="M12" s="8">
        <f t="shared" si="3"/>
        <v>1</v>
      </c>
      <c r="N12" s="6"/>
      <c r="O12" s="7"/>
      <c r="P12" s="8">
        <f t="shared" si="4"/>
        <v>0</v>
      </c>
      <c r="Q12" s="1"/>
      <c r="R12" s="6">
        <f t="shared" si="5"/>
        <v>25</v>
      </c>
      <c r="S12" s="9">
        <f t="shared" si="6"/>
        <v>0.72020000000000006</v>
      </c>
      <c r="T12" s="9">
        <f t="shared" si="7"/>
        <v>5.2521008403361345E-2</v>
      </c>
      <c r="U12" s="9">
        <f>R12 / _xlfn.XLOOKUP(A12, Mid!A:A, Mid!AA:AA)</f>
        <v>8.5616438356164379E-2</v>
      </c>
      <c r="V12" s="1"/>
      <c r="W12" s="1"/>
    </row>
    <row r="13" spans="1:23" x14ac:dyDescent="0.25">
      <c r="A13" s="1" t="s">
        <v>18</v>
      </c>
      <c r="B13" s="6">
        <v>11</v>
      </c>
      <c r="C13" s="7">
        <v>0.81799999999999995</v>
      </c>
      <c r="D13" s="8">
        <f t="shared" si="0"/>
        <v>8.9979999999999993</v>
      </c>
      <c r="E13" s="6"/>
      <c r="F13" s="7"/>
      <c r="G13" s="8">
        <f t="shared" si="1"/>
        <v>0</v>
      </c>
      <c r="H13" s="6">
        <v>3</v>
      </c>
      <c r="I13" s="7">
        <v>0.66700000000000004</v>
      </c>
      <c r="J13" s="8">
        <f t="shared" si="2"/>
        <v>2.0010000000000003</v>
      </c>
      <c r="K13" s="6">
        <v>5</v>
      </c>
      <c r="L13" s="7">
        <v>0.4</v>
      </c>
      <c r="M13" s="8">
        <f t="shared" si="3"/>
        <v>2</v>
      </c>
      <c r="N13" s="6"/>
      <c r="O13" s="7"/>
      <c r="P13" s="8">
        <f t="shared" si="4"/>
        <v>0</v>
      </c>
      <c r="Q13" s="1"/>
      <c r="R13" s="6">
        <f t="shared" si="5"/>
        <v>19</v>
      </c>
      <c r="S13" s="9">
        <f t="shared" si="6"/>
        <v>0.68415789473684208</v>
      </c>
      <c r="T13" s="9">
        <f t="shared" si="7"/>
        <v>3.9915966386554619E-2</v>
      </c>
      <c r="U13" s="9">
        <f>R13 / _xlfn.XLOOKUP(A13, Mid!A:A, Mid!AA:AA)</f>
        <v>0.2</v>
      </c>
      <c r="V13" s="1"/>
      <c r="W13" s="1"/>
    </row>
    <row r="14" spans="1:23" x14ac:dyDescent="0.25">
      <c r="A14" s="25" t="s">
        <v>77</v>
      </c>
      <c r="B14" s="6"/>
      <c r="C14" s="7"/>
      <c r="D14" s="8">
        <f t="shared" si="0"/>
        <v>0</v>
      </c>
      <c r="E14" s="6"/>
      <c r="F14" s="7"/>
      <c r="G14" s="8">
        <f t="shared" si="1"/>
        <v>0</v>
      </c>
      <c r="H14" s="6"/>
      <c r="I14" s="7"/>
      <c r="J14" s="8">
        <f t="shared" si="2"/>
        <v>0</v>
      </c>
      <c r="K14" s="6">
        <v>3</v>
      </c>
      <c r="L14" s="7">
        <v>0.66700000000000004</v>
      </c>
      <c r="M14" s="8">
        <f t="shared" si="3"/>
        <v>2.0010000000000003</v>
      </c>
      <c r="N14" s="6"/>
      <c r="O14" s="7"/>
      <c r="P14" s="8">
        <f t="shared" si="4"/>
        <v>0</v>
      </c>
      <c r="Q14" s="1"/>
      <c r="R14" s="6">
        <f t="shared" si="5"/>
        <v>3</v>
      </c>
      <c r="S14" s="9">
        <f t="shared" si="6"/>
        <v>0.66700000000000015</v>
      </c>
      <c r="T14" s="9">
        <f t="shared" si="7"/>
        <v>6.3025210084033615E-3</v>
      </c>
      <c r="U14" s="9">
        <f>R14 / _xlfn.XLOOKUP(A14, Mid!A:A, Mid!AA:AA)</f>
        <v>1</v>
      </c>
      <c r="V14" s="1"/>
      <c r="W14" s="1"/>
    </row>
    <row r="15" spans="1:23" x14ac:dyDescent="0.25">
      <c r="A15" s="1" t="s">
        <v>8</v>
      </c>
      <c r="B15" s="6">
        <v>2</v>
      </c>
      <c r="C15" s="7">
        <v>0.5</v>
      </c>
      <c r="D15" s="8">
        <f t="shared" si="0"/>
        <v>1</v>
      </c>
      <c r="E15" s="6">
        <v>12</v>
      </c>
      <c r="F15" s="7">
        <v>0.66700000000000004</v>
      </c>
      <c r="G15" s="8">
        <f t="shared" si="1"/>
        <v>8.0040000000000013</v>
      </c>
      <c r="H15" s="6">
        <v>1</v>
      </c>
      <c r="I15" s="7">
        <v>0</v>
      </c>
      <c r="J15" s="8">
        <f t="shared" si="2"/>
        <v>0</v>
      </c>
      <c r="K15" s="6">
        <v>3</v>
      </c>
      <c r="L15" s="7">
        <v>1</v>
      </c>
      <c r="M15" s="8">
        <f t="shared" si="3"/>
        <v>3</v>
      </c>
      <c r="N15" s="6"/>
      <c r="O15" s="7"/>
      <c r="P15" s="8">
        <f t="shared" si="4"/>
        <v>0</v>
      </c>
      <c r="Q15" s="1"/>
      <c r="R15" s="6">
        <f t="shared" si="5"/>
        <v>18</v>
      </c>
      <c r="S15" s="9">
        <f t="shared" si="6"/>
        <v>0.66688888888888898</v>
      </c>
      <c r="T15" s="9">
        <f t="shared" si="7"/>
        <v>3.7815126050420166E-2</v>
      </c>
      <c r="U15" s="9">
        <f>R15 / _xlfn.XLOOKUP(A15, Mid!A:A, Mid!AA:AA)</f>
        <v>0.16216216216216217</v>
      </c>
      <c r="V15" s="1"/>
      <c r="W15" s="1"/>
    </row>
    <row r="16" spans="1:23" x14ac:dyDescent="0.25">
      <c r="A16" s="1" t="s">
        <v>91</v>
      </c>
      <c r="B16" s="6"/>
      <c r="C16" s="7"/>
      <c r="D16" s="8">
        <f t="shared" si="0"/>
        <v>0</v>
      </c>
      <c r="E16" s="6">
        <v>5</v>
      </c>
      <c r="F16" s="7">
        <v>0.6</v>
      </c>
      <c r="G16" s="8">
        <f t="shared" si="1"/>
        <v>3</v>
      </c>
      <c r="H16" s="6">
        <v>1</v>
      </c>
      <c r="I16" s="7">
        <v>1</v>
      </c>
      <c r="J16" s="8">
        <f t="shared" si="2"/>
        <v>1</v>
      </c>
      <c r="K16" s="6"/>
      <c r="L16" s="7"/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6</v>
      </c>
      <c r="S16" s="9">
        <f t="shared" si="6"/>
        <v>0.66666666666666663</v>
      </c>
      <c r="T16" s="9">
        <f t="shared" si="7"/>
        <v>1.2605042016806723E-2</v>
      </c>
      <c r="U16" s="9">
        <f>R16 / _xlfn.XLOOKUP(A16, Mid!A:A, Mid!AA:AA)</f>
        <v>9.0909090909090912E-2</v>
      </c>
      <c r="V16" s="1"/>
      <c r="W16" s="1"/>
    </row>
    <row r="17" spans="1:23" x14ac:dyDescent="0.25">
      <c r="A17" s="1" t="s">
        <v>116</v>
      </c>
      <c r="B17" s="6">
        <v>1</v>
      </c>
      <c r="C17" s="7">
        <v>0</v>
      </c>
      <c r="D17" s="8">
        <f t="shared" si="0"/>
        <v>0</v>
      </c>
      <c r="E17" s="6">
        <v>1</v>
      </c>
      <c r="F17" s="7">
        <v>1</v>
      </c>
      <c r="G17" s="8">
        <f t="shared" si="1"/>
        <v>1</v>
      </c>
      <c r="H17" s="6">
        <v>1</v>
      </c>
      <c r="I17" s="7">
        <v>1</v>
      </c>
      <c r="J17" s="8">
        <f t="shared" si="2"/>
        <v>1</v>
      </c>
      <c r="K17" s="6"/>
      <c r="L17" s="7"/>
      <c r="M17" s="8">
        <f t="shared" si="3"/>
        <v>0</v>
      </c>
      <c r="N17" s="6"/>
      <c r="O17" s="7"/>
      <c r="P17" s="8">
        <f t="shared" si="4"/>
        <v>0</v>
      </c>
      <c r="Q17" s="1"/>
      <c r="R17" s="6">
        <f t="shared" si="5"/>
        <v>3</v>
      </c>
      <c r="S17" s="9">
        <f t="shared" si="6"/>
        <v>0.66666666666666663</v>
      </c>
      <c r="T17" s="9">
        <f t="shared" si="7"/>
        <v>6.3025210084033615E-3</v>
      </c>
      <c r="U17" s="9">
        <f>R17 / _xlfn.XLOOKUP(A17, Mid!A:A, Mid!AA:AA)</f>
        <v>0.1</v>
      </c>
      <c r="V17" s="1"/>
      <c r="W17" s="1"/>
    </row>
    <row r="18" spans="1:23" x14ac:dyDescent="0.25">
      <c r="A18" s="1" t="s">
        <v>33</v>
      </c>
      <c r="B18" s="6"/>
      <c r="C18" s="7"/>
      <c r="D18" s="8">
        <f t="shared" si="0"/>
        <v>0</v>
      </c>
      <c r="E18" s="6"/>
      <c r="F18" s="7"/>
      <c r="G18" s="8">
        <f t="shared" si="1"/>
        <v>0</v>
      </c>
      <c r="H18" s="6">
        <v>1</v>
      </c>
      <c r="I18" s="7">
        <v>1</v>
      </c>
      <c r="J18" s="8">
        <f t="shared" si="2"/>
        <v>1</v>
      </c>
      <c r="K18" s="6">
        <v>2</v>
      </c>
      <c r="L18" s="7">
        <v>0.5</v>
      </c>
      <c r="M18" s="8">
        <f t="shared" si="3"/>
        <v>1</v>
      </c>
      <c r="N18" s="6"/>
      <c r="O18" s="7"/>
      <c r="P18" s="8">
        <f t="shared" si="4"/>
        <v>0</v>
      </c>
      <c r="Q18" s="1"/>
      <c r="R18" s="6">
        <f t="shared" si="5"/>
        <v>3</v>
      </c>
      <c r="S18" s="9">
        <f t="shared" si="6"/>
        <v>0.66666666666666663</v>
      </c>
      <c r="T18" s="9">
        <f t="shared" si="7"/>
        <v>6.3025210084033615E-3</v>
      </c>
      <c r="U18" s="9">
        <f>R18 / _xlfn.XLOOKUP(A18, Mid!A:A, Mid!AA:AA)</f>
        <v>0.375</v>
      </c>
      <c r="V18" s="1"/>
      <c r="W18" s="1"/>
    </row>
    <row r="19" spans="1:23" x14ac:dyDescent="0.25">
      <c r="A19" s="1" t="s">
        <v>52</v>
      </c>
      <c r="B19" s="6">
        <v>9</v>
      </c>
      <c r="C19" s="7">
        <v>0.66700000000000004</v>
      </c>
      <c r="D19" s="8">
        <f t="shared" si="0"/>
        <v>6.0030000000000001</v>
      </c>
      <c r="E19" s="6">
        <v>13</v>
      </c>
      <c r="F19" s="7">
        <v>0.46200000000000002</v>
      </c>
      <c r="G19" s="8">
        <f t="shared" si="1"/>
        <v>6.0060000000000002</v>
      </c>
      <c r="H19" s="6">
        <v>15</v>
      </c>
      <c r="I19" s="7">
        <v>0.73299999999999998</v>
      </c>
      <c r="J19" s="8">
        <f t="shared" si="2"/>
        <v>10.994999999999999</v>
      </c>
      <c r="K19" s="6">
        <v>3</v>
      </c>
      <c r="L19" s="7">
        <v>1</v>
      </c>
      <c r="M19" s="8">
        <f t="shared" si="3"/>
        <v>3</v>
      </c>
      <c r="N19" s="6"/>
      <c r="O19" s="7"/>
      <c r="P19" s="8">
        <f t="shared" si="4"/>
        <v>0</v>
      </c>
      <c r="Q19" s="1"/>
      <c r="R19" s="6">
        <f t="shared" si="5"/>
        <v>40</v>
      </c>
      <c r="S19" s="9">
        <f t="shared" si="6"/>
        <v>0.6500999999999999</v>
      </c>
      <c r="T19" s="9">
        <f t="shared" si="7"/>
        <v>8.4033613445378158E-2</v>
      </c>
      <c r="U19" s="9">
        <f>R19 / _xlfn.XLOOKUP(A19, Mid!A:A, Mid!AA:AA)</f>
        <v>0.18099547511312217</v>
      </c>
      <c r="V19" s="1"/>
      <c r="W19" s="1"/>
    </row>
    <row r="20" spans="1:23" x14ac:dyDescent="0.25">
      <c r="A20" s="1" t="s">
        <v>112</v>
      </c>
      <c r="B20" s="6">
        <v>4</v>
      </c>
      <c r="C20" s="7">
        <v>0.75</v>
      </c>
      <c r="D20" s="8">
        <f t="shared" si="0"/>
        <v>3</v>
      </c>
      <c r="E20" s="6"/>
      <c r="F20" s="7"/>
      <c r="G20" s="8">
        <f t="shared" si="1"/>
        <v>0</v>
      </c>
      <c r="H20" s="6"/>
      <c r="I20" s="7"/>
      <c r="J20" s="8">
        <f t="shared" si="2"/>
        <v>0</v>
      </c>
      <c r="K20" s="6">
        <v>4</v>
      </c>
      <c r="L20" s="7">
        <v>0.5</v>
      </c>
      <c r="M20" s="8">
        <f t="shared" si="3"/>
        <v>2</v>
      </c>
      <c r="N20" s="6"/>
      <c r="O20" s="7"/>
      <c r="P20" s="8">
        <f t="shared" si="4"/>
        <v>0</v>
      </c>
      <c r="Q20" s="1"/>
      <c r="R20" s="6">
        <f t="shared" si="5"/>
        <v>8</v>
      </c>
      <c r="S20" s="9">
        <f t="shared" si="6"/>
        <v>0.625</v>
      </c>
      <c r="T20" s="9">
        <f t="shared" si="7"/>
        <v>1.680672268907563E-2</v>
      </c>
      <c r="U20" s="9">
        <f>R20 / _xlfn.XLOOKUP(A20, Mid!A:A, Mid!AA:AA)</f>
        <v>4.519774011299435E-2</v>
      </c>
      <c r="V20" s="1"/>
      <c r="W20" s="1"/>
    </row>
    <row r="21" spans="1:23" x14ac:dyDescent="0.25">
      <c r="A21" s="1" t="s">
        <v>114</v>
      </c>
      <c r="B21" s="6">
        <v>7</v>
      </c>
      <c r="C21" s="7">
        <v>0.57099999999999995</v>
      </c>
      <c r="D21" s="8">
        <f t="shared" si="0"/>
        <v>3.9969999999999999</v>
      </c>
      <c r="E21" s="6">
        <v>1</v>
      </c>
      <c r="F21" s="7">
        <v>1</v>
      </c>
      <c r="G21" s="8">
        <f t="shared" si="1"/>
        <v>1</v>
      </c>
      <c r="H21" s="6"/>
      <c r="I21" s="7"/>
      <c r="J21" s="8">
        <f t="shared" si="2"/>
        <v>0</v>
      </c>
      <c r="K21" s="6"/>
      <c r="L21" s="7"/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8</v>
      </c>
      <c r="S21" s="9">
        <f t="shared" si="6"/>
        <v>0.62462499999999999</v>
      </c>
      <c r="T21" s="9">
        <f t="shared" si="7"/>
        <v>1.680672268907563E-2</v>
      </c>
      <c r="U21" s="9">
        <f>R21 / _xlfn.XLOOKUP(A21, Mid!A:A, Mid!AA:AA)</f>
        <v>8.7912087912087919E-2</v>
      </c>
      <c r="V21" s="1"/>
      <c r="W21" s="1"/>
    </row>
    <row r="22" spans="1:23" x14ac:dyDescent="0.25">
      <c r="A22" s="1" t="s">
        <v>113</v>
      </c>
      <c r="B22" s="6"/>
      <c r="C22" s="7"/>
      <c r="D22" s="8">
        <f t="shared" si="0"/>
        <v>0</v>
      </c>
      <c r="E22" s="6">
        <v>10</v>
      </c>
      <c r="F22" s="7">
        <v>0.8</v>
      </c>
      <c r="G22" s="8">
        <f t="shared" si="1"/>
        <v>8</v>
      </c>
      <c r="H22" s="6">
        <v>4</v>
      </c>
      <c r="I22" s="7">
        <v>0.25</v>
      </c>
      <c r="J22" s="8">
        <f t="shared" si="2"/>
        <v>1</v>
      </c>
      <c r="K22" s="6">
        <v>9</v>
      </c>
      <c r="L22" s="7">
        <v>0.55600000000000005</v>
      </c>
      <c r="M22" s="8">
        <f t="shared" si="3"/>
        <v>5.0040000000000004</v>
      </c>
      <c r="N22" s="6"/>
      <c r="O22" s="7"/>
      <c r="P22" s="8">
        <f t="shared" si="4"/>
        <v>0</v>
      </c>
      <c r="Q22" s="1"/>
      <c r="R22" s="6">
        <f t="shared" si="5"/>
        <v>23</v>
      </c>
      <c r="S22" s="9">
        <f t="shared" si="6"/>
        <v>0.60886956521739133</v>
      </c>
      <c r="T22" s="9">
        <f t="shared" si="7"/>
        <v>4.8319327731092439E-2</v>
      </c>
      <c r="U22" s="9">
        <f>R22 / _xlfn.XLOOKUP(A22, Mid!A:A, Mid!AA:AA)</f>
        <v>0.12432432432432433</v>
      </c>
      <c r="V22" s="1"/>
      <c r="W22" s="1"/>
    </row>
    <row r="23" spans="1:23" x14ac:dyDescent="0.25">
      <c r="A23" s="1" t="s">
        <v>29</v>
      </c>
      <c r="B23" s="6"/>
      <c r="C23" s="7"/>
      <c r="D23" s="8">
        <f t="shared" si="0"/>
        <v>0</v>
      </c>
      <c r="E23" s="6"/>
      <c r="F23" s="7"/>
      <c r="G23" s="8">
        <f t="shared" si="1"/>
        <v>0</v>
      </c>
      <c r="H23" s="6">
        <v>10</v>
      </c>
      <c r="I23" s="7">
        <v>0.6</v>
      </c>
      <c r="J23" s="8">
        <f t="shared" si="2"/>
        <v>6</v>
      </c>
      <c r="K23" s="6"/>
      <c r="L23" s="7"/>
      <c r="M23" s="8">
        <f t="shared" si="3"/>
        <v>0</v>
      </c>
      <c r="N23" s="6"/>
      <c r="O23" s="7"/>
      <c r="P23" s="8">
        <f t="shared" si="4"/>
        <v>0</v>
      </c>
      <c r="Q23" s="13"/>
      <c r="R23" s="6">
        <f t="shared" si="5"/>
        <v>10</v>
      </c>
      <c r="S23" s="9">
        <f t="shared" si="6"/>
        <v>0.6</v>
      </c>
      <c r="T23" s="9">
        <f t="shared" si="7"/>
        <v>2.100840336134454E-2</v>
      </c>
      <c r="U23" s="9">
        <f>R23 / _xlfn.XLOOKUP(A23, Mid!A:A, Mid!AA:AA)</f>
        <v>0.26315789473684209</v>
      </c>
      <c r="V23" s="1"/>
      <c r="W23" s="1"/>
    </row>
    <row r="24" spans="1:23" x14ac:dyDescent="0.25">
      <c r="A24" s="1" t="s">
        <v>120</v>
      </c>
      <c r="B24" s="6">
        <v>3</v>
      </c>
      <c r="C24" s="7">
        <v>0.33300000000000002</v>
      </c>
      <c r="D24" s="8">
        <f t="shared" si="0"/>
        <v>0.99900000000000011</v>
      </c>
      <c r="E24" s="6"/>
      <c r="F24" s="7"/>
      <c r="G24" s="8">
        <f t="shared" si="1"/>
        <v>0</v>
      </c>
      <c r="H24" s="6"/>
      <c r="I24" s="7"/>
      <c r="J24" s="8">
        <f t="shared" si="2"/>
        <v>0</v>
      </c>
      <c r="K24" s="6">
        <v>2</v>
      </c>
      <c r="L24" s="7">
        <v>1</v>
      </c>
      <c r="M24" s="8">
        <f t="shared" si="3"/>
        <v>2</v>
      </c>
      <c r="N24" s="6"/>
      <c r="O24" s="7"/>
      <c r="P24" s="8">
        <f t="shared" si="4"/>
        <v>0</v>
      </c>
      <c r="Q24" s="1"/>
      <c r="R24" s="6">
        <f t="shared" si="5"/>
        <v>5</v>
      </c>
      <c r="S24" s="9">
        <f t="shared" si="6"/>
        <v>0.5998</v>
      </c>
      <c r="T24" s="9">
        <f t="shared" si="7"/>
        <v>1.050420168067227E-2</v>
      </c>
      <c r="U24" s="9">
        <f>R24 / _xlfn.XLOOKUP(A24, Mid!A:A, Mid!AA:AA)</f>
        <v>0.10204081632653061</v>
      </c>
      <c r="V24" s="1"/>
      <c r="W24" s="1"/>
    </row>
    <row r="25" spans="1:23" x14ac:dyDescent="0.25">
      <c r="A25" s="1" t="s">
        <v>87</v>
      </c>
      <c r="B25" s="6">
        <v>8</v>
      </c>
      <c r="C25" s="7">
        <v>0.625</v>
      </c>
      <c r="D25" s="8">
        <f t="shared" si="0"/>
        <v>5</v>
      </c>
      <c r="E25" s="6">
        <v>7</v>
      </c>
      <c r="F25" s="7">
        <v>0.42899999999999999</v>
      </c>
      <c r="G25" s="8">
        <f t="shared" si="1"/>
        <v>3.0030000000000001</v>
      </c>
      <c r="H25" s="6">
        <v>16</v>
      </c>
      <c r="I25" s="7">
        <v>0.625</v>
      </c>
      <c r="J25" s="8">
        <f t="shared" si="2"/>
        <v>10</v>
      </c>
      <c r="K25" s="6">
        <v>11</v>
      </c>
      <c r="L25" s="7">
        <v>0.63600000000000001</v>
      </c>
      <c r="M25" s="8">
        <f t="shared" si="3"/>
        <v>6.9960000000000004</v>
      </c>
      <c r="N25" s="6"/>
      <c r="O25" s="7"/>
      <c r="P25" s="8">
        <f t="shared" si="4"/>
        <v>0</v>
      </c>
      <c r="Q25" s="1"/>
      <c r="R25" s="6">
        <f t="shared" si="5"/>
        <v>42</v>
      </c>
      <c r="S25" s="9">
        <f t="shared" si="6"/>
        <v>0.59521428571428581</v>
      </c>
      <c r="T25" s="9">
        <f t="shared" si="7"/>
        <v>8.8235294117647065E-2</v>
      </c>
      <c r="U25" s="9">
        <f>R25 / _xlfn.XLOOKUP(A25, Mid!A:A, Mid!AA:AA)</f>
        <v>8.6956521739130432E-2</v>
      </c>
      <c r="V25" s="1"/>
      <c r="W25" s="1"/>
    </row>
    <row r="26" spans="1:23" x14ac:dyDescent="0.25">
      <c r="A26" s="1" t="s">
        <v>48</v>
      </c>
      <c r="B26" s="6">
        <v>12</v>
      </c>
      <c r="C26" s="7">
        <v>0.58299999999999996</v>
      </c>
      <c r="D26" s="8">
        <f t="shared" si="0"/>
        <v>6.9959999999999996</v>
      </c>
      <c r="E26" s="6">
        <v>2</v>
      </c>
      <c r="F26" s="7">
        <v>0.5</v>
      </c>
      <c r="G26" s="8">
        <f t="shared" si="1"/>
        <v>1</v>
      </c>
      <c r="H26" s="6"/>
      <c r="I26" s="7"/>
      <c r="J26" s="8">
        <f t="shared" si="2"/>
        <v>0</v>
      </c>
      <c r="K26" s="6">
        <v>15</v>
      </c>
      <c r="L26" s="7">
        <v>0.6</v>
      </c>
      <c r="M26" s="8">
        <f t="shared" si="3"/>
        <v>9</v>
      </c>
      <c r="N26" s="6"/>
      <c r="O26" s="7"/>
      <c r="P26" s="8">
        <f t="shared" si="4"/>
        <v>0</v>
      </c>
      <c r="Q26" s="1"/>
      <c r="R26" s="6">
        <f t="shared" si="5"/>
        <v>29</v>
      </c>
      <c r="S26" s="9">
        <f t="shared" si="6"/>
        <v>0.5860689655172413</v>
      </c>
      <c r="T26" s="9">
        <f t="shared" si="7"/>
        <v>6.0924369747899158E-2</v>
      </c>
      <c r="U26" s="9">
        <f>R26 / _xlfn.XLOOKUP(A26, Mid!A:A, Mid!AA:AA)</f>
        <v>0.10139860139860139</v>
      </c>
      <c r="V26" s="1"/>
      <c r="W26" s="1"/>
    </row>
    <row r="27" spans="1:23" x14ac:dyDescent="0.25">
      <c r="A27" s="1" t="s">
        <v>64</v>
      </c>
      <c r="B27" s="6">
        <v>6</v>
      </c>
      <c r="C27" s="7">
        <v>0.5</v>
      </c>
      <c r="D27" s="8">
        <f t="shared" si="0"/>
        <v>3</v>
      </c>
      <c r="E27" s="6">
        <v>13</v>
      </c>
      <c r="F27" s="7">
        <v>0.46200000000000002</v>
      </c>
      <c r="G27" s="8">
        <f t="shared" si="1"/>
        <v>6.0060000000000002</v>
      </c>
      <c r="H27" s="6">
        <v>16</v>
      </c>
      <c r="I27" s="7">
        <v>0.625</v>
      </c>
      <c r="J27" s="8">
        <f t="shared" si="2"/>
        <v>10</v>
      </c>
      <c r="K27" s="6">
        <v>10</v>
      </c>
      <c r="L27" s="7">
        <v>0.5</v>
      </c>
      <c r="M27" s="8">
        <f t="shared" si="3"/>
        <v>5</v>
      </c>
      <c r="N27" s="6"/>
      <c r="O27" s="7"/>
      <c r="P27" s="8">
        <f t="shared" si="4"/>
        <v>0</v>
      </c>
      <c r="Q27" s="4"/>
      <c r="R27" s="6">
        <f t="shared" si="5"/>
        <v>45</v>
      </c>
      <c r="S27" s="9">
        <f t="shared" si="6"/>
        <v>0.53346666666666664</v>
      </c>
      <c r="T27" s="9">
        <f t="shared" si="7"/>
        <v>9.4537815126050417E-2</v>
      </c>
      <c r="U27" s="9">
        <f>R27 / _xlfn.XLOOKUP(A27, Mid!A:A, Mid!AA:AA)</f>
        <v>5.8977719528178242E-2</v>
      </c>
      <c r="V27" s="1"/>
      <c r="W27" s="1"/>
    </row>
    <row r="28" spans="1:23" x14ac:dyDescent="0.25">
      <c r="A28" s="1" t="s">
        <v>12</v>
      </c>
      <c r="B28" s="6"/>
      <c r="C28" s="7"/>
      <c r="D28" s="8">
        <f t="shared" si="0"/>
        <v>0</v>
      </c>
      <c r="E28" s="6">
        <v>1</v>
      </c>
      <c r="F28" s="7">
        <v>1</v>
      </c>
      <c r="G28" s="8">
        <f t="shared" si="1"/>
        <v>1</v>
      </c>
      <c r="H28" s="6">
        <v>4</v>
      </c>
      <c r="I28" s="7">
        <v>0.25</v>
      </c>
      <c r="J28" s="8">
        <f t="shared" si="2"/>
        <v>1</v>
      </c>
      <c r="K28" s="6">
        <v>5</v>
      </c>
      <c r="L28" s="7">
        <v>0.6</v>
      </c>
      <c r="M28" s="8">
        <f t="shared" si="3"/>
        <v>3</v>
      </c>
      <c r="N28" s="6"/>
      <c r="O28" s="7"/>
      <c r="P28" s="8">
        <f t="shared" si="4"/>
        <v>0</v>
      </c>
      <c r="Q28" s="1"/>
      <c r="R28" s="6">
        <f t="shared" si="5"/>
        <v>10</v>
      </c>
      <c r="S28" s="9">
        <f t="shared" si="6"/>
        <v>0.5</v>
      </c>
      <c r="T28" s="9">
        <f t="shared" si="7"/>
        <v>2.100840336134454E-2</v>
      </c>
      <c r="U28" s="9">
        <f>R28 / _xlfn.XLOOKUP(A28, Mid!A:A, Mid!AA:AA)</f>
        <v>3.8167938931297711E-2</v>
      </c>
      <c r="V28" s="1"/>
      <c r="W28" s="1"/>
    </row>
    <row r="29" spans="1:23" x14ac:dyDescent="0.25">
      <c r="A29" s="1" t="s">
        <v>115</v>
      </c>
      <c r="B29" s="6">
        <v>4</v>
      </c>
      <c r="C29" s="7">
        <v>0.5</v>
      </c>
      <c r="D29" s="8">
        <f t="shared" si="0"/>
        <v>2</v>
      </c>
      <c r="E29" s="6">
        <v>2</v>
      </c>
      <c r="F29" s="7">
        <v>0.5</v>
      </c>
      <c r="G29" s="8">
        <f t="shared" si="1"/>
        <v>1</v>
      </c>
      <c r="H29" s="6">
        <v>1</v>
      </c>
      <c r="I29" s="7">
        <v>0</v>
      </c>
      <c r="J29" s="8">
        <f t="shared" si="2"/>
        <v>0</v>
      </c>
      <c r="K29" s="6">
        <v>1</v>
      </c>
      <c r="L29" s="7">
        <v>1</v>
      </c>
      <c r="M29" s="8">
        <f t="shared" si="3"/>
        <v>1</v>
      </c>
      <c r="N29" s="6"/>
      <c r="O29" s="7"/>
      <c r="P29" s="8">
        <f t="shared" si="4"/>
        <v>0</v>
      </c>
      <c r="Q29" s="1"/>
      <c r="R29" s="6">
        <f t="shared" si="5"/>
        <v>8</v>
      </c>
      <c r="S29" s="9">
        <f t="shared" si="6"/>
        <v>0.5</v>
      </c>
      <c r="T29" s="9">
        <f t="shared" si="7"/>
        <v>1.680672268907563E-2</v>
      </c>
      <c r="U29" s="9">
        <f>R29 / _xlfn.XLOOKUP(A29, Mid!A:A, Mid!AA:AA)</f>
        <v>0.15686274509803921</v>
      </c>
      <c r="V29" s="1"/>
      <c r="W29" s="1"/>
    </row>
    <row r="30" spans="1:23" x14ac:dyDescent="0.25">
      <c r="A30" s="1" t="s">
        <v>61</v>
      </c>
      <c r="B30" s="6">
        <v>4</v>
      </c>
      <c r="C30" s="7">
        <v>0.75</v>
      </c>
      <c r="D30" s="8">
        <f t="shared" ref="D30:D52" si="8">B30*C30</f>
        <v>3</v>
      </c>
      <c r="E30" s="6">
        <v>1</v>
      </c>
      <c r="F30" s="7">
        <v>0</v>
      </c>
      <c r="G30" s="8">
        <f t="shared" ref="G30:G52" si="9">E30*F30</f>
        <v>0</v>
      </c>
      <c r="H30" s="6"/>
      <c r="I30" s="7"/>
      <c r="J30" s="8">
        <f t="shared" ref="J30:J52" si="10">H30*I30</f>
        <v>0</v>
      </c>
      <c r="K30" s="6">
        <v>1</v>
      </c>
      <c r="L30" s="7">
        <v>0</v>
      </c>
      <c r="M30" s="8">
        <f t="shared" ref="M30:M52" si="11">K30*L30</f>
        <v>0</v>
      </c>
      <c r="N30" s="6"/>
      <c r="O30" s="7"/>
      <c r="P30" s="8">
        <f t="shared" ref="P30:P52" si="12">N30*O30</f>
        <v>0</v>
      </c>
      <c r="Q30" s="1"/>
      <c r="R30" s="6">
        <f t="shared" ref="R30:R52" si="13">B30+E30+H30+K30+N30</f>
        <v>6</v>
      </c>
      <c r="S30" s="9">
        <f t="shared" ref="S30:S52" si="14">(D30+G30+J30+M30+P30)/R30</f>
        <v>0.5</v>
      </c>
      <c r="T30" s="9">
        <f t="shared" ref="T30:T52" si="15">R30/$V$3</f>
        <v>1.2605042016806723E-2</v>
      </c>
      <c r="U30" s="9">
        <f>R30 / _xlfn.XLOOKUP(A30, Mid!A:A, Mid!AA:AA)</f>
        <v>0.1875</v>
      </c>
      <c r="V30" s="1"/>
      <c r="W30" s="1"/>
    </row>
    <row r="31" spans="1:23" x14ac:dyDescent="0.25">
      <c r="A31" s="1" t="s">
        <v>117</v>
      </c>
      <c r="B31" s="6"/>
      <c r="C31" s="7"/>
      <c r="D31" s="8">
        <f t="shared" si="8"/>
        <v>0</v>
      </c>
      <c r="E31" s="6">
        <v>2</v>
      </c>
      <c r="F31" s="7">
        <v>0.5</v>
      </c>
      <c r="G31" s="8">
        <f t="shared" si="9"/>
        <v>1</v>
      </c>
      <c r="H31" s="6">
        <v>2</v>
      </c>
      <c r="I31" s="7">
        <v>0.5</v>
      </c>
      <c r="J31" s="8">
        <f t="shared" si="10"/>
        <v>1</v>
      </c>
      <c r="K31" s="6"/>
      <c r="L31" s="7"/>
      <c r="M31" s="8">
        <f t="shared" si="11"/>
        <v>0</v>
      </c>
      <c r="N31" s="6"/>
      <c r="O31" s="7"/>
      <c r="P31" s="8">
        <f t="shared" si="12"/>
        <v>0</v>
      </c>
      <c r="Q31" s="1"/>
      <c r="R31" s="6">
        <f t="shared" si="13"/>
        <v>4</v>
      </c>
      <c r="S31" s="9">
        <f t="shared" si="14"/>
        <v>0.5</v>
      </c>
      <c r="T31" s="9">
        <f t="shared" si="15"/>
        <v>8.4033613445378148E-3</v>
      </c>
      <c r="U31" s="9">
        <f>R31 / _xlfn.XLOOKUP(A31, Mid!A:A, Mid!AA:AA)</f>
        <v>9.3023255813953487E-2</v>
      </c>
      <c r="V31" s="1"/>
      <c r="W31" s="1"/>
    </row>
    <row r="32" spans="1:23" x14ac:dyDescent="0.25">
      <c r="A32" s="15" t="s">
        <v>201</v>
      </c>
      <c r="B32" s="6"/>
      <c r="C32" s="7"/>
      <c r="D32" s="8">
        <f t="shared" si="8"/>
        <v>0</v>
      </c>
      <c r="E32" s="6"/>
      <c r="F32" s="7"/>
      <c r="G32" s="8">
        <f t="shared" si="9"/>
        <v>0</v>
      </c>
      <c r="H32" s="6">
        <v>1</v>
      </c>
      <c r="I32" s="7">
        <v>0</v>
      </c>
      <c r="J32" s="8">
        <f t="shared" si="10"/>
        <v>0</v>
      </c>
      <c r="K32" s="6">
        <v>1</v>
      </c>
      <c r="L32" s="7">
        <v>1</v>
      </c>
      <c r="M32" s="8">
        <f t="shared" si="11"/>
        <v>1</v>
      </c>
      <c r="N32" s="6"/>
      <c r="O32" s="7"/>
      <c r="P32" s="8">
        <f t="shared" si="12"/>
        <v>0</v>
      </c>
      <c r="Q32" s="1"/>
      <c r="R32" s="6">
        <f t="shared" si="13"/>
        <v>2</v>
      </c>
      <c r="S32" s="9">
        <f t="shared" si="14"/>
        <v>0.5</v>
      </c>
      <c r="T32" s="9">
        <f t="shared" si="15"/>
        <v>4.2016806722689074E-3</v>
      </c>
      <c r="U32" s="9">
        <f>R32 / _xlfn.XLOOKUP(A32, Mid!A:A, Mid!AA:AA)</f>
        <v>1.5873015873015872E-2</v>
      </c>
      <c r="V32" s="1"/>
      <c r="W32" s="1"/>
    </row>
    <row r="33" spans="1:21" x14ac:dyDescent="0.25">
      <c r="A33" s="1" t="s">
        <v>22</v>
      </c>
      <c r="B33" s="6">
        <v>1</v>
      </c>
      <c r="C33" s="7">
        <v>0</v>
      </c>
      <c r="D33" s="8">
        <f t="shared" si="8"/>
        <v>0</v>
      </c>
      <c r="E33" s="6">
        <v>1</v>
      </c>
      <c r="F33" s="7">
        <v>1</v>
      </c>
      <c r="G33" s="8">
        <f t="shared" si="9"/>
        <v>1</v>
      </c>
      <c r="H33" s="6"/>
      <c r="I33" s="7"/>
      <c r="J33" s="8">
        <f t="shared" si="10"/>
        <v>0</v>
      </c>
      <c r="K33" s="6"/>
      <c r="L33" s="7"/>
      <c r="M33" s="8">
        <f t="shared" si="11"/>
        <v>0</v>
      </c>
      <c r="N33" s="6"/>
      <c r="O33" s="7"/>
      <c r="P33" s="8">
        <f t="shared" si="12"/>
        <v>0</v>
      </c>
      <c r="Q33" s="1"/>
      <c r="R33" s="6">
        <f t="shared" si="13"/>
        <v>2</v>
      </c>
      <c r="S33" s="9">
        <f t="shared" si="14"/>
        <v>0.5</v>
      </c>
      <c r="T33" s="9">
        <f t="shared" si="15"/>
        <v>4.2016806722689074E-3</v>
      </c>
      <c r="U33" s="9">
        <f>R33 / _xlfn.XLOOKUP(A33, Mid!A:A, Mid!AA:AA)</f>
        <v>0.25</v>
      </c>
    </row>
    <row r="34" spans="1:21" x14ac:dyDescent="0.25">
      <c r="A34" s="15" t="s">
        <v>139</v>
      </c>
      <c r="B34" s="6"/>
      <c r="C34" s="7"/>
      <c r="D34" s="8">
        <f t="shared" si="8"/>
        <v>0</v>
      </c>
      <c r="E34" s="6"/>
      <c r="F34" s="7"/>
      <c r="G34" s="8">
        <f t="shared" si="9"/>
        <v>0</v>
      </c>
      <c r="H34" s="6">
        <v>2</v>
      </c>
      <c r="I34" s="7">
        <v>0.5</v>
      </c>
      <c r="J34" s="8">
        <f t="shared" si="10"/>
        <v>1</v>
      </c>
      <c r="K34" s="6"/>
      <c r="L34" s="7"/>
      <c r="M34" s="8">
        <f t="shared" si="11"/>
        <v>0</v>
      </c>
      <c r="N34" s="6"/>
      <c r="O34" s="7"/>
      <c r="P34" s="8">
        <f t="shared" si="12"/>
        <v>0</v>
      </c>
      <c r="Q34" s="1"/>
      <c r="R34" s="6">
        <f t="shared" si="13"/>
        <v>2</v>
      </c>
      <c r="S34" s="9">
        <f t="shared" si="14"/>
        <v>0.5</v>
      </c>
      <c r="T34" s="9">
        <f t="shared" si="15"/>
        <v>4.2016806722689074E-3</v>
      </c>
      <c r="U34" s="9">
        <f>R34 / _xlfn.XLOOKUP(A34, Mid!A:A, Mid!AA:AA)</f>
        <v>0.1111111111111111</v>
      </c>
    </row>
    <row r="35" spans="1:21" x14ac:dyDescent="0.25">
      <c r="A35" s="15" t="s">
        <v>154</v>
      </c>
      <c r="B35" s="6"/>
      <c r="C35" s="7"/>
      <c r="D35" s="8">
        <f t="shared" si="8"/>
        <v>0</v>
      </c>
      <c r="E35" s="6"/>
      <c r="F35" s="7"/>
      <c r="G35" s="8">
        <f t="shared" si="9"/>
        <v>0</v>
      </c>
      <c r="H35" s="6">
        <v>2</v>
      </c>
      <c r="I35" s="7">
        <v>0.5</v>
      </c>
      <c r="J35" s="8">
        <f t="shared" si="10"/>
        <v>1</v>
      </c>
      <c r="K35" s="6"/>
      <c r="L35" s="7"/>
      <c r="M35" s="8">
        <f t="shared" si="11"/>
        <v>0</v>
      </c>
      <c r="N35" s="6"/>
      <c r="O35" s="7"/>
      <c r="P35" s="8">
        <f t="shared" si="12"/>
        <v>0</v>
      </c>
      <c r="Q35" s="1"/>
      <c r="R35" s="6">
        <f t="shared" si="13"/>
        <v>2</v>
      </c>
      <c r="S35" s="9">
        <f t="shared" si="14"/>
        <v>0.5</v>
      </c>
      <c r="T35" s="9">
        <f t="shared" si="15"/>
        <v>4.2016806722689074E-3</v>
      </c>
      <c r="U35" s="9">
        <f>R35 / _xlfn.XLOOKUP(A35, Mid!A:A, Mid!AA:AA)</f>
        <v>0.16666666666666666</v>
      </c>
    </row>
    <row r="36" spans="1:21" x14ac:dyDescent="0.25">
      <c r="A36" s="1" t="s">
        <v>27</v>
      </c>
      <c r="B36" s="6">
        <v>1</v>
      </c>
      <c r="C36" s="7">
        <v>0</v>
      </c>
      <c r="D36" s="8">
        <f t="shared" si="8"/>
        <v>0</v>
      </c>
      <c r="E36" s="6">
        <v>4</v>
      </c>
      <c r="F36" s="7">
        <v>0.75</v>
      </c>
      <c r="G36" s="8">
        <f t="shared" si="9"/>
        <v>3</v>
      </c>
      <c r="H36" s="6">
        <v>3</v>
      </c>
      <c r="I36" s="7">
        <v>0.33300000000000002</v>
      </c>
      <c r="J36" s="8">
        <f t="shared" si="10"/>
        <v>0.99900000000000011</v>
      </c>
      <c r="K36" s="6"/>
      <c r="L36" s="7"/>
      <c r="M36" s="8">
        <f t="shared" si="11"/>
        <v>0</v>
      </c>
      <c r="N36" s="6"/>
      <c r="O36" s="7"/>
      <c r="P36" s="8">
        <f t="shared" si="12"/>
        <v>0</v>
      </c>
      <c r="Q36" s="1"/>
      <c r="R36" s="6">
        <f t="shared" si="13"/>
        <v>8</v>
      </c>
      <c r="S36" s="9">
        <f t="shared" si="14"/>
        <v>0.49987500000000001</v>
      </c>
      <c r="T36" s="9">
        <f t="shared" si="15"/>
        <v>1.680672268907563E-2</v>
      </c>
      <c r="U36" s="9">
        <f>R36 / _xlfn.XLOOKUP(A36, Mid!A:A, Mid!AA:AA)</f>
        <v>3.7383177570093455E-2</v>
      </c>
    </row>
    <row r="37" spans="1:21" x14ac:dyDescent="0.25">
      <c r="A37" s="1" t="s">
        <v>107</v>
      </c>
      <c r="B37" s="6">
        <v>8</v>
      </c>
      <c r="C37" s="7">
        <v>0.5</v>
      </c>
      <c r="D37" s="8">
        <f t="shared" si="8"/>
        <v>4</v>
      </c>
      <c r="E37" s="6">
        <v>4</v>
      </c>
      <c r="F37" s="7">
        <v>0.5</v>
      </c>
      <c r="G37" s="8">
        <f t="shared" si="9"/>
        <v>2</v>
      </c>
      <c r="H37" s="6">
        <v>5</v>
      </c>
      <c r="I37" s="7">
        <v>0.2</v>
      </c>
      <c r="J37" s="8">
        <f t="shared" si="10"/>
        <v>1</v>
      </c>
      <c r="K37" s="6">
        <v>24</v>
      </c>
      <c r="L37" s="7">
        <v>0.54200000000000004</v>
      </c>
      <c r="M37" s="8">
        <f t="shared" si="11"/>
        <v>13.008000000000001</v>
      </c>
      <c r="N37" s="6"/>
      <c r="O37" s="7"/>
      <c r="P37" s="8">
        <f t="shared" si="12"/>
        <v>0</v>
      </c>
      <c r="Q37" s="4"/>
      <c r="R37" s="6">
        <f t="shared" si="13"/>
        <v>41</v>
      </c>
      <c r="S37" s="9">
        <f t="shared" si="14"/>
        <v>0.48800000000000004</v>
      </c>
      <c r="T37" s="9">
        <f t="shared" si="15"/>
        <v>8.6134453781512604E-2</v>
      </c>
      <c r="U37" s="9">
        <f>R37 / _xlfn.XLOOKUP(A37, Mid!A:A, Mid!AA:AA)</f>
        <v>7.9150579150579145E-2</v>
      </c>
    </row>
    <row r="38" spans="1:21" x14ac:dyDescent="0.25">
      <c r="A38" s="1" t="s">
        <v>109</v>
      </c>
      <c r="B38" s="6">
        <v>6</v>
      </c>
      <c r="C38" s="7">
        <v>0.66700000000000004</v>
      </c>
      <c r="D38" s="8">
        <f t="shared" si="8"/>
        <v>4.0020000000000007</v>
      </c>
      <c r="E38" s="6">
        <v>3</v>
      </c>
      <c r="F38" s="7">
        <v>0.66700000000000004</v>
      </c>
      <c r="G38" s="8">
        <f t="shared" si="9"/>
        <v>2.0010000000000003</v>
      </c>
      <c r="H38" s="6"/>
      <c r="I38" s="7"/>
      <c r="J38" s="8">
        <f t="shared" si="10"/>
        <v>0</v>
      </c>
      <c r="K38" s="6">
        <v>6</v>
      </c>
      <c r="L38" s="7">
        <v>0.16700000000000001</v>
      </c>
      <c r="M38" s="8">
        <f t="shared" si="11"/>
        <v>1.002</v>
      </c>
      <c r="N38" s="6"/>
      <c r="O38" s="7"/>
      <c r="P38" s="8">
        <f t="shared" si="12"/>
        <v>0</v>
      </c>
      <c r="Q38" s="1"/>
      <c r="R38" s="6">
        <f t="shared" si="13"/>
        <v>15</v>
      </c>
      <c r="S38" s="9">
        <f t="shared" si="14"/>
        <v>0.46700000000000003</v>
      </c>
      <c r="T38" s="9">
        <f t="shared" si="15"/>
        <v>3.1512605042016806E-2</v>
      </c>
      <c r="U38" s="9">
        <f>R38 / _xlfn.XLOOKUP(A38, Mid!A:A, Mid!AA:AA)</f>
        <v>6.0483870967741937E-2</v>
      </c>
    </row>
    <row r="39" spans="1:21" x14ac:dyDescent="0.25">
      <c r="A39" s="1" t="s">
        <v>110</v>
      </c>
      <c r="B39" s="6">
        <v>3</v>
      </c>
      <c r="C39" s="7">
        <v>0.33300000000000002</v>
      </c>
      <c r="D39" s="8">
        <f t="shared" si="8"/>
        <v>0.99900000000000011</v>
      </c>
      <c r="E39" s="6"/>
      <c r="F39" s="7"/>
      <c r="G39" s="8">
        <f t="shared" si="9"/>
        <v>0</v>
      </c>
      <c r="H39" s="6">
        <v>3</v>
      </c>
      <c r="I39" s="7">
        <v>0</v>
      </c>
      <c r="J39" s="8">
        <f t="shared" si="10"/>
        <v>0</v>
      </c>
      <c r="K39" s="6">
        <v>7</v>
      </c>
      <c r="L39" s="7">
        <v>0.71399999999999997</v>
      </c>
      <c r="M39" s="8">
        <f t="shared" si="11"/>
        <v>4.9979999999999993</v>
      </c>
      <c r="N39" s="6"/>
      <c r="O39" s="7"/>
      <c r="P39" s="8">
        <f t="shared" si="12"/>
        <v>0</v>
      </c>
      <c r="Q39" s="1"/>
      <c r="R39" s="6">
        <f t="shared" si="13"/>
        <v>13</v>
      </c>
      <c r="S39" s="9">
        <f t="shared" si="14"/>
        <v>0.46130769230769231</v>
      </c>
      <c r="T39" s="9">
        <f t="shared" si="15"/>
        <v>2.7310924369747899E-2</v>
      </c>
      <c r="U39" s="9">
        <f>R39 / _xlfn.XLOOKUP(A39, Mid!A:A, Mid!AA:AA)</f>
        <v>4.2763157894736843E-2</v>
      </c>
    </row>
    <row r="40" spans="1:21" x14ac:dyDescent="0.25">
      <c r="A40" s="1" t="s">
        <v>128</v>
      </c>
      <c r="B40" s="6">
        <v>3</v>
      </c>
      <c r="C40" s="7">
        <v>0.66700000000000004</v>
      </c>
      <c r="D40" s="8">
        <f t="shared" si="8"/>
        <v>2.0010000000000003</v>
      </c>
      <c r="E40" s="6">
        <v>2</v>
      </c>
      <c r="F40" s="7">
        <v>0.5</v>
      </c>
      <c r="G40" s="8">
        <f t="shared" si="9"/>
        <v>1</v>
      </c>
      <c r="H40" s="6">
        <v>2</v>
      </c>
      <c r="I40" s="7">
        <v>0.5</v>
      </c>
      <c r="J40" s="8">
        <f t="shared" si="10"/>
        <v>1</v>
      </c>
      <c r="K40" s="6">
        <v>2</v>
      </c>
      <c r="L40" s="7">
        <v>0</v>
      </c>
      <c r="M40" s="8">
        <f t="shared" si="11"/>
        <v>0</v>
      </c>
      <c r="N40" s="6"/>
      <c r="O40" s="7"/>
      <c r="P40" s="8">
        <f t="shared" si="12"/>
        <v>0</v>
      </c>
      <c r="Q40" s="1"/>
      <c r="R40" s="6">
        <f t="shared" si="13"/>
        <v>9</v>
      </c>
      <c r="S40" s="9">
        <f t="shared" si="14"/>
        <v>0.44455555555555559</v>
      </c>
      <c r="T40" s="9">
        <f t="shared" si="15"/>
        <v>1.8907563025210083E-2</v>
      </c>
      <c r="U40" s="9">
        <f>R40 / _xlfn.XLOOKUP(A40, Mid!A:A, Mid!AA:AA)</f>
        <v>7.3770491803278687E-2</v>
      </c>
    </row>
    <row r="41" spans="1:21" x14ac:dyDescent="0.25">
      <c r="A41" s="1" t="s">
        <v>108</v>
      </c>
      <c r="B41" s="6">
        <v>5</v>
      </c>
      <c r="C41" s="7">
        <v>0.6</v>
      </c>
      <c r="D41" s="8">
        <f t="shared" si="8"/>
        <v>3</v>
      </c>
      <c r="E41" s="6">
        <v>2</v>
      </c>
      <c r="F41" s="7">
        <v>0.5</v>
      </c>
      <c r="G41" s="8">
        <f t="shared" si="9"/>
        <v>1</v>
      </c>
      <c r="H41" s="6">
        <v>10</v>
      </c>
      <c r="I41" s="7">
        <v>0.3</v>
      </c>
      <c r="J41" s="8">
        <f t="shared" si="10"/>
        <v>3</v>
      </c>
      <c r="K41" s="6">
        <v>2</v>
      </c>
      <c r="L41" s="7">
        <v>0.5</v>
      </c>
      <c r="M41" s="8">
        <f t="shared" si="11"/>
        <v>1</v>
      </c>
      <c r="N41" s="6"/>
      <c r="O41" s="7"/>
      <c r="P41" s="8">
        <f t="shared" si="12"/>
        <v>0</v>
      </c>
      <c r="Q41" s="1"/>
      <c r="R41" s="6">
        <f t="shared" si="13"/>
        <v>19</v>
      </c>
      <c r="S41" s="9">
        <f t="shared" si="14"/>
        <v>0.42105263157894735</v>
      </c>
      <c r="T41" s="9">
        <f t="shared" si="15"/>
        <v>3.9915966386554619E-2</v>
      </c>
      <c r="U41" s="9">
        <f>R41 / _xlfn.XLOOKUP(A41, Mid!A:A, Mid!AA:AA)</f>
        <v>6.0317460317460318E-2</v>
      </c>
    </row>
    <row r="42" spans="1:21" x14ac:dyDescent="0.25">
      <c r="A42" s="1" t="s">
        <v>34</v>
      </c>
      <c r="B42" s="6">
        <v>1</v>
      </c>
      <c r="C42" s="7">
        <v>0</v>
      </c>
      <c r="D42" s="8">
        <f t="shared" si="8"/>
        <v>0</v>
      </c>
      <c r="E42" s="6">
        <v>1</v>
      </c>
      <c r="F42" s="7">
        <v>0</v>
      </c>
      <c r="G42" s="8">
        <f t="shared" si="9"/>
        <v>0</v>
      </c>
      <c r="H42" s="6">
        <v>1</v>
      </c>
      <c r="I42" s="7">
        <v>1</v>
      </c>
      <c r="J42" s="8">
        <f t="shared" si="10"/>
        <v>1</v>
      </c>
      <c r="K42" s="6"/>
      <c r="L42" s="7"/>
      <c r="M42" s="8">
        <f t="shared" si="11"/>
        <v>0</v>
      </c>
      <c r="N42" s="6"/>
      <c r="O42" s="7"/>
      <c r="P42" s="8">
        <f t="shared" si="12"/>
        <v>0</v>
      </c>
      <c r="Q42" s="1"/>
      <c r="R42" s="6">
        <f t="shared" si="13"/>
        <v>3</v>
      </c>
      <c r="S42" s="9">
        <f t="shared" si="14"/>
        <v>0.33333333333333331</v>
      </c>
      <c r="T42" s="9">
        <f t="shared" si="15"/>
        <v>6.3025210084033615E-3</v>
      </c>
      <c r="U42" s="9">
        <f>R42 / _xlfn.XLOOKUP(A42, Mid!A:A, Mid!AA:AA)</f>
        <v>0.15789473684210525</v>
      </c>
    </row>
    <row r="43" spans="1:21" x14ac:dyDescent="0.25">
      <c r="A43" s="15" t="s">
        <v>200</v>
      </c>
      <c r="B43" s="6"/>
      <c r="C43" s="7"/>
      <c r="D43" s="8">
        <f t="shared" si="8"/>
        <v>0</v>
      </c>
      <c r="E43" s="6"/>
      <c r="F43" s="7"/>
      <c r="G43" s="8">
        <f t="shared" si="9"/>
        <v>0</v>
      </c>
      <c r="H43" s="6">
        <v>3</v>
      </c>
      <c r="I43" s="7">
        <v>0.33300000000000002</v>
      </c>
      <c r="J43" s="8">
        <f t="shared" si="10"/>
        <v>0.99900000000000011</v>
      </c>
      <c r="K43" s="6"/>
      <c r="L43" s="7"/>
      <c r="M43" s="8">
        <f t="shared" si="11"/>
        <v>0</v>
      </c>
      <c r="N43" s="6"/>
      <c r="O43" s="7"/>
      <c r="P43" s="8">
        <f t="shared" si="12"/>
        <v>0</v>
      </c>
      <c r="Q43" s="1"/>
      <c r="R43" s="6">
        <f t="shared" si="13"/>
        <v>3</v>
      </c>
      <c r="S43" s="9">
        <f t="shared" si="14"/>
        <v>0.33300000000000002</v>
      </c>
      <c r="T43" s="9">
        <f t="shared" si="15"/>
        <v>6.3025210084033615E-3</v>
      </c>
      <c r="U43" s="9">
        <f>R43 / _xlfn.XLOOKUP(A43, Mid!A:A, Mid!AA:AA)</f>
        <v>0.6</v>
      </c>
    </row>
    <row r="44" spans="1:21" x14ac:dyDescent="0.25">
      <c r="A44" s="1" t="s">
        <v>111</v>
      </c>
      <c r="B44" s="6">
        <v>3</v>
      </c>
      <c r="C44" s="7">
        <v>0</v>
      </c>
      <c r="D44" s="8">
        <f t="shared" si="8"/>
        <v>0</v>
      </c>
      <c r="E44" s="6"/>
      <c r="F44" s="7"/>
      <c r="G44" s="8">
        <f t="shared" si="9"/>
        <v>0</v>
      </c>
      <c r="H44" s="6"/>
      <c r="I44" s="7"/>
      <c r="J44" s="8">
        <f t="shared" si="10"/>
        <v>0</v>
      </c>
      <c r="K44" s="6">
        <v>1</v>
      </c>
      <c r="L44" s="7">
        <v>0</v>
      </c>
      <c r="M44" s="8">
        <f t="shared" si="11"/>
        <v>0</v>
      </c>
      <c r="N44" s="6"/>
      <c r="O44" s="7"/>
      <c r="P44" s="8">
        <f t="shared" si="12"/>
        <v>0</v>
      </c>
      <c r="Q44" s="1"/>
      <c r="R44" s="6">
        <f t="shared" si="13"/>
        <v>4</v>
      </c>
      <c r="S44" s="9">
        <f t="shared" si="14"/>
        <v>0</v>
      </c>
      <c r="T44" s="9">
        <f t="shared" si="15"/>
        <v>8.4033613445378148E-3</v>
      </c>
      <c r="U44" s="9">
        <f>R44 / _xlfn.XLOOKUP(A44, Mid!A:A, Mid!AA:AA)</f>
        <v>6.8965517241379309E-2</v>
      </c>
    </row>
    <row r="45" spans="1:21" x14ac:dyDescent="0.25">
      <c r="A45" s="1" t="s">
        <v>124</v>
      </c>
      <c r="B45" s="6"/>
      <c r="C45" s="7"/>
      <c r="D45" s="8">
        <f t="shared" si="8"/>
        <v>0</v>
      </c>
      <c r="E45" s="6">
        <v>1</v>
      </c>
      <c r="F45" s="7">
        <v>0</v>
      </c>
      <c r="G45" s="8">
        <f t="shared" si="9"/>
        <v>0</v>
      </c>
      <c r="H45" s="6"/>
      <c r="I45" s="7"/>
      <c r="J45" s="8">
        <f t="shared" si="10"/>
        <v>0</v>
      </c>
      <c r="K45" s="6">
        <v>1</v>
      </c>
      <c r="L45" s="7">
        <v>0</v>
      </c>
      <c r="M45" s="8">
        <f t="shared" si="11"/>
        <v>0</v>
      </c>
      <c r="N45" s="6"/>
      <c r="O45" s="7"/>
      <c r="P45" s="8">
        <f t="shared" si="12"/>
        <v>0</v>
      </c>
      <c r="Q45" s="1"/>
      <c r="R45" s="6">
        <f t="shared" si="13"/>
        <v>2</v>
      </c>
      <c r="S45" s="9">
        <f t="shared" si="14"/>
        <v>0</v>
      </c>
      <c r="T45" s="9">
        <f t="shared" si="15"/>
        <v>4.2016806722689074E-3</v>
      </c>
      <c r="U45" s="9">
        <f>R45 / _xlfn.XLOOKUP(A45, Mid!A:A, Mid!AA:AA)</f>
        <v>0.22222222222222221</v>
      </c>
    </row>
    <row r="46" spans="1:21" x14ac:dyDescent="0.25">
      <c r="A46" s="25" t="s">
        <v>161</v>
      </c>
      <c r="B46" s="6"/>
      <c r="C46" s="7"/>
      <c r="D46" s="8">
        <f t="shared" si="8"/>
        <v>0</v>
      </c>
      <c r="E46" s="6"/>
      <c r="F46" s="7"/>
      <c r="G46" s="8">
        <f t="shared" si="9"/>
        <v>0</v>
      </c>
      <c r="H46" s="6"/>
      <c r="I46" s="7"/>
      <c r="J46" s="8">
        <f t="shared" si="10"/>
        <v>0</v>
      </c>
      <c r="K46" s="6">
        <v>1</v>
      </c>
      <c r="L46" s="7">
        <v>0</v>
      </c>
      <c r="M46" s="8">
        <f t="shared" si="11"/>
        <v>0</v>
      </c>
      <c r="N46" s="6"/>
      <c r="O46" s="7"/>
      <c r="P46" s="8">
        <f t="shared" si="12"/>
        <v>0</v>
      </c>
      <c r="Q46" s="1"/>
      <c r="R46" s="6">
        <f t="shared" si="13"/>
        <v>1</v>
      </c>
      <c r="S46" s="9">
        <f t="shared" si="14"/>
        <v>0</v>
      </c>
      <c r="T46" s="9">
        <f t="shared" si="15"/>
        <v>2.1008403361344537E-3</v>
      </c>
      <c r="U46" s="9">
        <f>R46 / _xlfn.XLOOKUP(A46, Mid!A:A, Mid!AA:AA)</f>
        <v>1</v>
      </c>
    </row>
    <row r="47" spans="1:21" x14ac:dyDescent="0.25">
      <c r="A47" s="1" t="s">
        <v>74</v>
      </c>
      <c r="B47" s="6"/>
      <c r="C47" s="7"/>
      <c r="D47" s="8">
        <f t="shared" si="8"/>
        <v>0</v>
      </c>
      <c r="E47" s="6"/>
      <c r="F47" s="7"/>
      <c r="G47" s="8">
        <f t="shared" si="9"/>
        <v>0</v>
      </c>
      <c r="H47" s="6">
        <v>1</v>
      </c>
      <c r="I47" s="7">
        <v>0</v>
      </c>
      <c r="J47" s="8">
        <f t="shared" si="10"/>
        <v>0</v>
      </c>
      <c r="K47" s="6"/>
      <c r="L47" s="7"/>
      <c r="M47" s="8">
        <f t="shared" si="11"/>
        <v>0</v>
      </c>
      <c r="N47" s="6"/>
      <c r="O47" s="7"/>
      <c r="P47" s="8">
        <f t="shared" si="12"/>
        <v>0</v>
      </c>
      <c r="Q47" s="1"/>
      <c r="R47" s="6">
        <f t="shared" si="13"/>
        <v>1</v>
      </c>
      <c r="S47" s="9">
        <f t="shared" si="14"/>
        <v>0</v>
      </c>
      <c r="T47" s="9">
        <f t="shared" si="15"/>
        <v>2.1008403361344537E-3</v>
      </c>
      <c r="U47" s="9">
        <f>R47 / _xlfn.XLOOKUP(A47, Mid!A:A, Mid!AA:AA)</f>
        <v>1</v>
      </c>
    </row>
    <row r="48" spans="1:21" x14ac:dyDescent="0.25">
      <c r="A48" s="1" t="s">
        <v>118</v>
      </c>
      <c r="B48" s="6"/>
      <c r="C48" s="7"/>
      <c r="D48" s="8">
        <f t="shared" si="8"/>
        <v>0</v>
      </c>
      <c r="E48" s="6"/>
      <c r="F48" s="7"/>
      <c r="G48" s="8">
        <f t="shared" si="9"/>
        <v>0</v>
      </c>
      <c r="H48" s="6">
        <v>1</v>
      </c>
      <c r="I48" s="7">
        <v>0</v>
      </c>
      <c r="J48" s="8">
        <f t="shared" si="10"/>
        <v>0</v>
      </c>
      <c r="K48" s="6"/>
      <c r="L48" s="7"/>
      <c r="M48" s="8">
        <f t="shared" si="11"/>
        <v>0</v>
      </c>
      <c r="N48" s="6"/>
      <c r="O48" s="7"/>
      <c r="P48" s="8">
        <f t="shared" si="12"/>
        <v>0</v>
      </c>
      <c r="Q48" s="1"/>
      <c r="R48" s="6">
        <f t="shared" si="13"/>
        <v>1</v>
      </c>
      <c r="S48" s="9">
        <f t="shared" si="14"/>
        <v>0</v>
      </c>
      <c r="T48" s="9">
        <f t="shared" si="15"/>
        <v>2.1008403361344537E-3</v>
      </c>
      <c r="U48" s="9">
        <f>R48 / _xlfn.XLOOKUP(A48, Mid!A:A, Mid!AA:AA)</f>
        <v>1.4285714285714285E-2</v>
      </c>
    </row>
    <row r="49" spans="1:21" x14ac:dyDescent="0.25">
      <c r="A49" s="25" t="s">
        <v>234</v>
      </c>
      <c r="B49" s="6"/>
      <c r="C49" s="7"/>
      <c r="D49" s="8">
        <f t="shared" si="8"/>
        <v>0</v>
      </c>
      <c r="E49" s="6"/>
      <c r="F49" s="7"/>
      <c r="G49" s="8">
        <f t="shared" si="9"/>
        <v>0</v>
      </c>
      <c r="H49" s="6"/>
      <c r="I49" s="7"/>
      <c r="J49" s="8">
        <f t="shared" si="10"/>
        <v>0</v>
      </c>
      <c r="K49" s="6">
        <v>1</v>
      </c>
      <c r="L49" s="7">
        <v>0</v>
      </c>
      <c r="M49" s="8">
        <f t="shared" si="11"/>
        <v>0</v>
      </c>
      <c r="N49" s="6"/>
      <c r="O49" s="7"/>
      <c r="P49" s="8">
        <f t="shared" si="12"/>
        <v>0</v>
      </c>
      <c r="Q49" s="1"/>
      <c r="R49" s="6">
        <f t="shared" si="13"/>
        <v>1</v>
      </c>
      <c r="S49" s="9">
        <f t="shared" si="14"/>
        <v>0</v>
      </c>
      <c r="T49" s="9">
        <f t="shared" si="15"/>
        <v>2.1008403361344537E-3</v>
      </c>
      <c r="U49" s="9">
        <f>R49 / _xlfn.XLOOKUP(A49, Mid!A:A, Mid!AA:AA)</f>
        <v>0.5</v>
      </c>
    </row>
    <row r="50" spans="1:21" x14ac:dyDescent="0.25">
      <c r="A50" s="25" t="s">
        <v>233</v>
      </c>
      <c r="B50" s="6"/>
      <c r="C50" s="7"/>
      <c r="D50" s="8">
        <f t="shared" si="8"/>
        <v>0</v>
      </c>
      <c r="E50" s="6"/>
      <c r="F50" s="7"/>
      <c r="G50" s="8">
        <f t="shared" si="9"/>
        <v>0</v>
      </c>
      <c r="H50" s="6"/>
      <c r="I50" s="7"/>
      <c r="J50" s="8">
        <f t="shared" si="10"/>
        <v>0</v>
      </c>
      <c r="K50" s="6">
        <v>1</v>
      </c>
      <c r="L50" s="7">
        <v>0</v>
      </c>
      <c r="M50" s="8">
        <f t="shared" si="11"/>
        <v>0</v>
      </c>
      <c r="N50" s="6"/>
      <c r="O50" s="7"/>
      <c r="P50" s="8">
        <f t="shared" si="12"/>
        <v>0</v>
      </c>
      <c r="Q50" s="1"/>
      <c r="R50" s="6">
        <f t="shared" si="13"/>
        <v>1</v>
      </c>
      <c r="S50" s="9">
        <f t="shared" si="14"/>
        <v>0</v>
      </c>
      <c r="T50" s="9">
        <f t="shared" si="15"/>
        <v>2.1008403361344537E-3</v>
      </c>
      <c r="U50" s="9">
        <f>R50 / _xlfn.XLOOKUP(A50, Mid!A:A, Mid!AA:AA)</f>
        <v>0.125</v>
      </c>
    </row>
    <row r="51" spans="1:21" x14ac:dyDescent="0.25">
      <c r="A51" s="25" t="s">
        <v>78</v>
      </c>
      <c r="B51" s="6"/>
      <c r="C51" s="7"/>
      <c r="D51" s="8">
        <f t="shared" si="8"/>
        <v>0</v>
      </c>
      <c r="E51" s="6"/>
      <c r="F51" s="7"/>
      <c r="G51" s="8">
        <f t="shared" si="9"/>
        <v>0</v>
      </c>
      <c r="H51" s="6"/>
      <c r="I51" s="7"/>
      <c r="J51" s="8">
        <f t="shared" si="10"/>
        <v>0</v>
      </c>
      <c r="K51" s="6">
        <v>1</v>
      </c>
      <c r="L51" s="7">
        <v>0</v>
      </c>
      <c r="M51" s="8">
        <f t="shared" si="11"/>
        <v>0</v>
      </c>
      <c r="N51" s="6"/>
      <c r="O51" s="7"/>
      <c r="P51" s="8">
        <f t="shared" si="12"/>
        <v>0</v>
      </c>
      <c r="Q51" s="1"/>
      <c r="R51" s="6">
        <f t="shared" si="13"/>
        <v>1</v>
      </c>
      <c r="S51" s="9">
        <f t="shared" si="14"/>
        <v>0</v>
      </c>
      <c r="T51" s="9">
        <f t="shared" si="15"/>
        <v>2.1008403361344537E-3</v>
      </c>
      <c r="U51" s="9">
        <f>R51 / _xlfn.XLOOKUP(A51, Mid!A:A, Mid!AA:AA)</f>
        <v>0.33333333333333331</v>
      </c>
    </row>
    <row r="52" spans="1:21" x14ac:dyDescent="0.25">
      <c r="A52" s="15" t="s">
        <v>59</v>
      </c>
      <c r="B52" s="6"/>
      <c r="C52" s="7"/>
      <c r="D52" s="8">
        <f t="shared" si="8"/>
        <v>0</v>
      </c>
      <c r="E52" s="6"/>
      <c r="F52" s="7"/>
      <c r="G52" s="8">
        <f t="shared" si="9"/>
        <v>0</v>
      </c>
      <c r="H52" s="6">
        <v>1</v>
      </c>
      <c r="I52" s="7">
        <v>0</v>
      </c>
      <c r="J52" s="8">
        <f t="shared" si="10"/>
        <v>0</v>
      </c>
      <c r="K52" s="6"/>
      <c r="L52" s="7"/>
      <c r="M52" s="8">
        <f t="shared" si="11"/>
        <v>0</v>
      </c>
      <c r="N52" s="6"/>
      <c r="O52" s="7"/>
      <c r="P52" s="8">
        <f t="shared" si="12"/>
        <v>0</v>
      </c>
      <c r="Q52" s="1"/>
      <c r="R52" s="6">
        <f t="shared" si="13"/>
        <v>1</v>
      </c>
      <c r="S52" s="9">
        <f t="shared" si="14"/>
        <v>0</v>
      </c>
      <c r="T52" s="9">
        <f t="shared" si="15"/>
        <v>2.1008403361344537E-3</v>
      </c>
      <c r="U52" s="9">
        <f>R52 / _xlfn.XLOOKUP(A52, Mid!A:A, Mid!AA:AA)</f>
        <v>2.6315789473684209E-2</v>
      </c>
    </row>
    <row r="53" spans="1:21" x14ac:dyDescent="0.25">
      <c r="A53" s="1"/>
      <c r="B53" s="6"/>
      <c r="C53" s="7"/>
      <c r="D53" s="31"/>
      <c r="E53" s="6"/>
      <c r="F53" s="7"/>
      <c r="G53" s="31"/>
      <c r="H53" s="6"/>
      <c r="I53" s="7"/>
      <c r="J53" s="31"/>
      <c r="K53" s="6"/>
      <c r="L53" s="7"/>
      <c r="M53" s="31"/>
      <c r="N53" s="1"/>
      <c r="O53" s="1"/>
      <c r="P53" s="1"/>
      <c r="Q53" s="1"/>
      <c r="R53" s="6"/>
      <c r="S53" s="9"/>
      <c r="T53" s="10"/>
    </row>
    <row r="54" spans="1:21" x14ac:dyDescent="0.25">
      <c r="A54" s="1"/>
      <c r="B54" s="6"/>
      <c r="C54" s="7"/>
      <c r="D54" s="31"/>
      <c r="E54" s="6"/>
      <c r="F54" s="7"/>
      <c r="G54" s="31"/>
      <c r="H54" s="6"/>
      <c r="I54" s="7"/>
      <c r="J54" s="31"/>
      <c r="K54" s="6"/>
      <c r="L54" s="7"/>
      <c r="M54" s="31"/>
      <c r="N54" s="1"/>
      <c r="O54" s="1"/>
      <c r="P54" s="1"/>
      <c r="Q54" s="1"/>
      <c r="R54" s="6"/>
      <c r="S54" s="9"/>
      <c r="T54" s="10"/>
    </row>
    <row r="55" spans="1:21" x14ac:dyDescent="0.25">
      <c r="A55" s="1"/>
      <c r="B55" s="6"/>
      <c r="C55" s="7"/>
      <c r="D55" s="31"/>
      <c r="E55" s="6"/>
      <c r="F55" s="7"/>
      <c r="G55" s="31"/>
      <c r="H55" s="6"/>
      <c r="I55" s="7"/>
      <c r="J55" s="31"/>
      <c r="K55" s="6"/>
      <c r="L55" s="7"/>
      <c r="M55" s="31"/>
      <c r="N55" s="1"/>
      <c r="O55" s="1"/>
      <c r="P55" s="1"/>
      <c r="Q55" s="1"/>
      <c r="R55" s="6"/>
      <c r="S55" s="9"/>
      <c r="T55" s="10"/>
    </row>
    <row r="56" spans="1:21" x14ac:dyDescent="0.25">
      <c r="A56" s="1"/>
      <c r="B56" s="6"/>
      <c r="C56" s="7"/>
      <c r="D56" s="31"/>
      <c r="E56" s="6"/>
      <c r="F56" s="7"/>
      <c r="G56" s="31"/>
      <c r="H56" s="6"/>
      <c r="I56" s="7"/>
      <c r="J56" s="31"/>
      <c r="K56" s="6"/>
      <c r="L56" s="7"/>
      <c r="M56" s="31"/>
      <c r="N56" s="1"/>
      <c r="O56" s="1"/>
      <c r="P56" s="1"/>
      <c r="Q56" s="1"/>
      <c r="R56" s="6"/>
      <c r="S56" s="9"/>
      <c r="T56" s="10"/>
    </row>
    <row r="57" spans="1:21" x14ac:dyDescent="0.25">
      <c r="A57" s="1"/>
      <c r="B57" s="6"/>
      <c r="C57" s="7"/>
      <c r="D57" s="31"/>
      <c r="E57" s="6"/>
      <c r="F57" s="7"/>
      <c r="G57" s="31"/>
      <c r="H57" s="6"/>
      <c r="I57" s="7"/>
      <c r="J57" s="31"/>
      <c r="K57" s="6"/>
      <c r="L57" s="7"/>
      <c r="M57" s="31"/>
      <c r="N57" s="1"/>
      <c r="O57" s="1"/>
      <c r="P57" s="1"/>
      <c r="Q57" s="1"/>
      <c r="R57" s="6"/>
      <c r="S57" s="9"/>
      <c r="T57" s="10"/>
    </row>
    <row r="58" spans="1:21" x14ac:dyDescent="0.25">
      <c r="A58" s="1"/>
      <c r="B58" s="6"/>
      <c r="C58" s="7"/>
      <c r="D58" s="31"/>
      <c r="E58" s="6"/>
      <c r="F58" s="7"/>
      <c r="G58" s="31"/>
      <c r="H58" s="6"/>
      <c r="I58" s="7"/>
      <c r="J58" s="31"/>
      <c r="K58" s="6"/>
      <c r="L58" s="7"/>
      <c r="M58" s="31"/>
      <c r="N58" s="1"/>
      <c r="O58" s="1"/>
      <c r="P58" s="1"/>
      <c r="Q58" s="1"/>
      <c r="R58" s="6"/>
      <c r="S58" s="9"/>
      <c r="T58" s="10"/>
    </row>
    <row r="59" spans="1:21" x14ac:dyDescent="0.25">
      <c r="A59" s="1"/>
      <c r="B59" s="6"/>
      <c r="C59" s="7"/>
      <c r="D59" s="31"/>
      <c r="E59" s="6"/>
      <c r="F59" s="7"/>
      <c r="G59" s="31"/>
      <c r="H59" s="6"/>
      <c r="I59" s="7"/>
      <c r="J59" s="31"/>
      <c r="K59" s="6"/>
      <c r="L59" s="7"/>
      <c r="M59" s="31"/>
      <c r="N59" s="1"/>
      <c r="O59" s="1"/>
      <c r="P59" s="1"/>
      <c r="Q59" s="1"/>
      <c r="R59" s="6"/>
      <c r="S59" s="9"/>
      <c r="T59" s="10"/>
    </row>
  </sheetData>
  <sortState xmlns:xlrd2="http://schemas.microsoft.com/office/spreadsheetml/2017/richdata2" ref="A3:U52">
    <sortCondition descending="1" ref="S3:S52"/>
  </sortState>
  <pageMargins left="0.7" right="0.7" top="0.78740157499999996" bottom="0.78740157499999996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7D243-E225-4874-9E99-9A063C499ED9}">
  <sheetPr>
    <tabColor theme="7" tint="0.59999389629810485"/>
  </sheetPr>
  <dimension ref="A1:W45"/>
  <sheetViews>
    <sheetView workbookViewId="0">
      <selection activeCell="U3" sqref="U3:U24"/>
    </sheetView>
  </sheetViews>
  <sheetFormatPr baseColWidth="10" defaultRowHeight="15" x14ac:dyDescent="0.25"/>
  <sheetData>
    <row r="1" spans="1:23" ht="15.75" x14ac:dyDescent="0.25">
      <c r="A1" s="2" t="s">
        <v>235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9</v>
      </c>
      <c r="B3" s="6"/>
      <c r="C3" s="7"/>
      <c r="D3" s="8">
        <f t="shared" ref="D3:D24" si="0">B3*C3</f>
        <v>0</v>
      </c>
      <c r="E3" s="6"/>
      <c r="F3" s="7"/>
      <c r="G3" s="8">
        <f t="shared" ref="G3:G24" si="1">E3*F3</f>
        <v>0</v>
      </c>
      <c r="H3" s="6"/>
      <c r="I3" s="7"/>
      <c r="J3" s="8">
        <f t="shared" ref="J3:J24" si="2">H3*I3</f>
        <v>0</v>
      </c>
      <c r="K3" s="6"/>
      <c r="L3" s="7"/>
      <c r="M3" s="8">
        <f t="shared" ref="M3:M24" si="3">K3*L3</f>
        <v>0</v>
      </c>
      <c r="N3" s="6"/>
      <c r="O3" s="7"/>
      <c r="P3" s="8">
        <f t="shared" ref="P3:P24" si="4">N3*O3</f>
        <v>0</v>
      </c>
      <c r="Q3" s="1"/>
      <c r="R3" s="6">
        <f t="shared" ref="R3:R24" si="5">B3+E3+H3+K3+N3</f>
        <v>0</v>
      </c>
      <c r="S3" s="9" t="e">
        <f t="shared" ref="S3:S24" si="6">(D3+G3+J3+M3+P3)/R3</f>
        <v>#DIV/0!</v>
      </c>
      <c r="T3" s="9">
        <f t="shared" ref="T3:T24" si="7">R3/$V$3</f>
        <v>0</v>
      </c>
      <c r="U3" s="9">
        <f>R3 / _xlfn.XLOOKUP(A3, Mid!A:A, Mid!AA:AA)</f>
        <v>0</v>
      </c>
      <c r="V3" s="11">
        <f>SUM(R3:R35)</f>
        <v>160</v>
      </c>
      <c r="W3" s="12">
        <f>(SUM(D3:D89)+SUM(G3:G89)+SUM(J3:J89)+SUM(M3:M89)+SUM(P3:P89)) / V3</f>
        <v>0.48118125</v>
      </c>
    </row>
    <row r="4" spans="1:23" x14ac:dyDescent="0.25">
      <c r="A4" s="1" t="s">
        <v>18</v>
      </c>
      <c r="B4" s="6"/>
      <c r="C4" s="7"/>
      <c r="D4" s="8">
        <f t="shared" si="0"/>
        <v>0</v>
      </c>
      <c r="E4" s="6"/>
      <c r="F4" s="7"/>
      <c r="G4" s="8">
        <f t="shared" si="1"/>
        <v>0</v>
      </c>
      <c r="H4" s="6"/>
      <c r="I4" s="7"/>
      <c r="J4" s="8">
        <f t="shared" si="2"/>
        <v>0</v>
      </c>
      <c r="K4" s="6">
        <v>2</v>
      </c>
      <c r="L4" s="7">
        <v>1</v>
      </c>
      <c r="M4" s="8">
        <f t="shared" si="3"/>
        <v>2</v>
      </c>
      <c r="N4" s="6"/>
      <c r="O4" s="7"/>
      <c r="P4" s="8">
        <f t="shared" si="4"/>
        <v>0</v>
      </c>
      <c r="Q4" s="1"/>
      <c r="R4" s="6">
        <f t="shared" si="5"/>
        <v>2</v>
      </c>
      <c r="S4" s="9">
        <f t="shared" si="6"/>
        <v>1</v>
      </c>
      <c r="T4" s="9">
        <f t="shared" si="7"/>
        <v>1.2500000000000001E-2</v>
      </c>
      <c r="U4" s="9">
        <f>R4 / _xlfn.XLOOKUP(A4, Mid!A:A, Mid!AA:AA)</f>
        <v>2.1052631578947368E-2</v>
      </c>
      <c r="V4" s="1"/>
      <c r="W4" s="1"/>
    </row>
    <row r="5" spans="1:23" x14ac:dyDescent="0.25">
      <c r="A5" s="1" t="s">
        <v>110</v>
      </c>
      <c r="B5" s="6"/>
      <c r="C5" s="7"/>
      <c r="D5" s="8">
        <f t="shared" si="0"/>
        <v>0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>
        <v>4</v>
      </c>
      <c r="L5" s="7">
        <v>0.75</v>
      </c>
      <c r="M5" s="8">
        <f t="shared" si="3"/>
        <v>3</v>
      </c>
      <c r="N5" s="6"/>
      <c r="O5" s="7"/>
      <c r="P5" s="8">
        <f t="shared" si="4"/>
        <v>0</v>
      </c>
      <c r="Q5" s="1"/>
      <c r="R5" s="6">
        <f t="shared" si="5"/>
        <v>4</v>
      </c>
      <c r="S5" s="9">
        <f t="shared" si="6"/>
        <v>0.75</v>
      </c>
      <c r="T5" s="9">
        <f t="shared" si="7"/>
        <v>2.5000000000000001E-2</v>
      </c>
      <c r="U5" s="9">
        <f>R5 / _xlfn.XLOOKUP(A5, Mid!A:A, Mid!AA:AA)</f>
        <v>1.3157894736842105E-2</v>
      </c>
      <c r="V5" s="1"/>
      <c r="W5" s="1"/>
    </row>
    <row r="6" spans="1:23" x14ac:dyDescent="0.25">
      <c r="A6" s="1" t="s">
        <v>48</v>
      </c>
      <c r="B6" s="6">
        <v>5</v>
      </c>
      <c r="C6" s="7">
        <v>0.8</v>
      </c>
      <c r="D6" s="8">
        <f t="shared" si="0"/>
        <v>4</v>
      </c>
      <c r="E6" s="6"/>
      <c r="F6" s="7"/>
      <c r="G6" s="8">
        <f t="shared" si="1"/>
        <v>0</v>
      </c>
      <c r="H6" s="6"/>
      <c r="I6" s="7"/>
      <c r="J6" s="8">
        <f t="shared" si="2"/>
        <v>0</v>
      </c>
      <c r="K6" s="6">
        <v>10</v>
      </c>
      <c r="L6" s="7">
        <v>0.6</v>
      </c>
      <c r="M6" s="8">
        <f t="shared" si="3"/>
        <v>6</v>
      </c>
      <c r="N6" s="6"/>
      <c r="O6" s="7"/>
      <c r="P6" s="8">
        <f t="shared" si="4"/>
        <v>0</v>
      </c>
      <c r="Q6" s="1"/>
      <c r="R6" s="6">
        <f t="shared" si="5"/>
        <v>15</v>
      </c>
      <c r="S6" s="9">
        <f t="shared" si="6"/>
        <v>0.66666666666666663</v>
      </c>
      <c r="T6" s="9">
        <f t="shared" si="7"/>
        <v>9.375E-2</v>
      </c>
      <c r="U6" s="9">
        <f>R6 / _xlfn.XLOOKUP(A6, Mid!A:A, Mid!AA:AA)</f>
        <v>5.2447552447552448E-2</v>
      </c>
      <c r="V6" s="1"/>
      <c r="W6" s="1"/>
    </row>
    <row r="7" spans="1:23" x14ac:dyDescent="0.25">
      <c r="A7" s="1" t="s">
        <v>32</v>
      </c>
      <c r="B7" s="6">
        <v>12</v>
      </c>
      <c r="C7" s="7">
        <v>0.75</v>
      </c>
      <c r="D7" s="8">
        <f t="shared" si="0"/>
        <v>9</v>
      </c>
      <c r="E7" s="6"/>
      <c r="F7" s="7"/>
      <c r="G7" s="8">
        <f t="shared" si="1"/>
        <v>0</v>
      </c>
      <c r="H7" s="6"/>
      <c r="I7" s="7"/>
      <c r="J7" s="8">
        <f t="shared" si="2"/>
        <v>0</v>
      </c>
      <c r="K7" s="6">
        <v>3</v>
      </c>
      <c r="L7" s="7">
        <v>0</v>
      </c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15</v>
      </c>
      <c r="S7" s="9">
        <f t="shared" si="6"/>
        <v>0.6</v>
      </c>
      <c r="T7" s="9">
        <f t="shared" si="7"/>
        <v>9.375E-2</v>
      </c>
      <c r="U7" s="9">
        <f>R7 / _xlfn.XLOOKUP(A7, Mid!A:A, Mid!AA:AA)</f>
        <v>5.1369863013698627E-2</v>
      </c>
      <c r="V7" s="1"/>
      <c r="W7" s="1"/>
    </row>
    <row r="8" spans="1:23" x14ac:dyDescent="0.25">
      <c r="A8" s="1" t="s">
        <v>107</v>
      </c>
      <c r="B8" s="6">
        <v>10</v>
      </c>
      <c r="C8" s="7">
        <v>0.5</v>
      </c>
      <c r="D8" s="8">
        <f t="shared" si="0"/>
        <v>5</v>
      </c>
      <c r="E8" s="6"/>
      <c r="F8" s="7"/>
      <c r="G8" s="8">
        <f t="shared" si="1"/>
        <v>0</v>
      </c>
      <c r="H8" s="6"/>
      <c r="I8" s="7"/>
      <c r="J8" s="8">
        <f t="shared" si="2"/>
        <v>0</v>
      </c>
      <c r="K8" s="6">
        <v>6</v>
      </c>
      <c r="L8" s="7">
        <v>0.66700000000000004</v>
      </c>
      <c r="M8" s="8">
        <f t="shared" si="3"/>
        <v>4.0020000000000007</v>
      </c>
      <c r="N8" s="6"/>
      <c r="O8" s="7"/>
      <c r="P8" s="8">
        <f t="shared" si="4"/>
        <v>0</v>
      </c>
      <c r="Q8" s="4"/>
      <c r="R8" s="6">
        <f t="shared" si="5"/>
        <v>16</v>
      </c>
      <c r="S8" s="9">
        <f t="shared" si="6"/>
        <v>0.56262500000000004</v>
      </c>
      <c r="T8" s="9">
        <f t="shared" si="7"/>
        <v>0.1</v>
      </c>
      <c r="U8" s="9">
        <f>R8 / _xlfn.XLOOKUP(A8, Mid!A:A, Mid!AA:AA)</f>
        <v>3.0888030888030889E-2</v>
      </c>
      <c r="V8" s="1"/>
      <c r="W8" s="1"/>
    </row>
    <row r="9" spans="1:23" x14ac:dyDescent="0.25">
      <c r="A9" s="1" t="s">
        <v>113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/>
      <c r="I9" s="7"/>
      <c r="J9" s="8">
        <f t="shared" si="2"/>
        <v>0</v>
      </c>
      <c r="K9" s="6">
        <v>9</v>
      </c>
      <c r="L9" s="7">
        <v>0.55600000000000005</v>
      </c>
      <c r="M9" s="8">
        <f t="shared" si="3"/>
        <v>5.0040000000000004</v>
      </c>
      <c r="N9" s="6"/>
      <c r="O9" s="7"/>
      <c r="P9" s="8">
        <f t="shared" si="4"/>
        <v>0</v>
      </c>
      <c r="Q9" s="1"/>
      <c r="R9" s="6">
        <f t="shared" si="5"/>
        <v>9</v>
      </c>
      <c r="S9" s="9">
        <f t="shared" si="6"/>
        <v>0.55600000000000005</v>
      </c>
      <c r="T9" s="9">
        <f t="shared" si="7"/>
        <v>5.6250000000000001E-2</v>
      </c>
      <c r="U9" s="9">
        <f>R9 / _xlfn.XLOOKUP(A9, Mid!A:A, Mid!AA:AA)</f>
        <v>4.8648648648648651E-2</v>
      </c>
      <c r="V9" s="1"/>
      <c r="W9" s="1"/>
    </row>
    <row r="10" spans="1:23" x14ac:dyDescent="0.25">
      <c r="A10" s="1" t="s">
        <v>64</v>
      </c>
      <c r="B10" s="6">
        <v>6</v>
      </c>
      <c r="C10" s="7">
        <v>0.33300000000000002</v>
      </c>
      <c r="D10" s="8">
        <f t="shared" si="0"/>
        <v>1.9980000000000002</v>
      </c>
      <c r="E10" s="6"/>
      <c r="F10" s="7"/>
      <c r="G10" s="8">
        <f t="shared" si="1"/>
        <v>0</v>
      </c>
      <c r="H10" s="6"/>
      <c r="I10" s="7"/>
      <c r="J10" s="8">
        <f t="shared" si="2"/>
        <v>0</v>
      </c>
      <c r="K10" s="6">
        <v>16</v>
      </c>
      <c r="L10" s="7">
        <v>0.625</v>
      </c>
      <c r="M10" s="8">
        <f t="shared" si="3"/>
        <v>10</v>
      </c>
      <c r="N10" s="6"/>
      <c r="O10" s="7"/>
      <c r="P10" s="8">
        <f t="shared" si="4"/>
        <v>0</v>
      </c>
      <c r="Q10" s="4"/>
      <c r="R10" s="6">
        <f t="shared" si="5"/>
        <v>22</v>
      </c>
      <c r="S10" s="9">
        <f t="shared" si="6"/>
        <v>0.54536363636363638</v>
      </c>
      <c r="T10" s="9">
        <f t="shared" si="7"/>
        <v>0.13750000000000001</v>
      </c>
      <c r="U10" s="9">
        <f>R10 / _xlfn.XLOOKUP(A10, Mid!A:A, Mid!AA:AA)</f>
        <v>2.8833551769331587E-2</v>
      </c>
      <c r="V10" s="1"/>
      <c r="W10" s="1"/>
    </row>
    <row r="11" spans="1:23" x14ac:dyDescent="0.25">
      <c r="A11" s="1" t="s">
        <v>27</v>
      </c>
      <c r="B11" s="6">
        <v>2</v>
      </c>
      <c r="C11" s="7">
        <v>0.5</v>
      </c>
      <c r="D11" s="8">
        <f t="shared" si="0"/>
        <v>1</v>
      </c>
      <c r="E11" s="6"/>
      <c r="F11" s="7"/>
      <c r="G11" s="8">
        <f t="shared" si="1"/>
        <v>0</v>
      </c>
      <c r="H11" s="6"/>
      <c r="I11" s="7"/>
      <c r="J11" s="8">
        <f t="shared" si="2"/>
        <v>0</v>
      </c>
      <c r="K11" s="6">
        <v>2</v>
      </c>
      <c r="L11" s="7">
        <v>0.5</v>
      </c>
      <c r="M11" s="8">
        <f t="shared" si="3"/>
        <v>1</v>
      </c>
      <c r="N11" s="6"/>
      <c r="O11" s="7"/>
      <c r="P11" s="8">
        <f t="shared" si="4"/>
        <v>0</v>
      </c>
      <c r="Q11" s="1"/>
      <c r="R11" s="6">
        <f t="shared" si="5"/>
        <v>4</v>
      </c>
      <c r="S11" s="9">
        <f t="shared" si="6"/>
        <v>0.5</v>
      </c>
      <c r="T11" s="9">
        <f t="shared" si="7"/>
        <v>2.5000000000000001E-2</v>
      </c>
      <c r="U11" s="9">
        <f>R11 / _xlfn.XLOOKUP(A11, Mid!A:A, Mid!AA:AA)</f>
        <v>1.8691588785046728E-2</v>
      </c>
      <c r="V11" s="1"/>
      <c r="W11" s="1"/>
    </row>
    <row r="12" spans="1:23" x14ac:dyDescent="0.25">
      <c r="A12" s="1" t="s">
        <v>114</v>
      </c>
      <c r="B12" s="6">
        <v>2</v>
      </c>
      <c r="C12" s="7">
        <v>0.5</v>
      </c>
      <c r="D12" s="8">
        <f t="shared" si="0"/>
        <v>1</v>
      </c>
      <c r="E12" s="6"/>
      <c r="F12" s="7"/>
      <c r="G12" s="8">
        <f t="shared" si="1"/>
        <v>0</v>
      </c>
      <c r="H12" s="6"/>
      <c r="I12" s="7"/>
      <c r="J12" s="8">
        <f t="shared" si="2"/>
        <v>0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1"/>
      <c r="R12" s="6">
        <f t="shared" si="5"/>
        <v>2</v>
      </c>
      <c r="S12" s="9">
        <f t="shared" si="6"/>
        <v>0.5</v>
      </c>
      <c r="T12" s="9">
        <f t="shared" si="7"/>
        <v>1.2500000000000001E-2</v>
      </c>
      <c r="U12" s="9">
        <f>R12 / _xlfn.XLOOKUP(A12, Mid!A:A, Mid!AA:AA)</f>
        <v>2.197802197802198E-2</v>
      </c>
      <c r="V12" s="1"/>
      <c r="W12" s="1"/>
    </row>
    <row r="13" spans="1:23" x14ac:dyDescent="0.25">
      <c r="A13" s="25" t="s">
        <v>78</v>
      </c>
      <c r="B13" s="6"/>
      <c r="C13" s="7"/>
      <c r="D13" s="8">
        <f t="shared" si="0"/>
        <v>0</v>
      </c>
      <c r="E13" s="6"/>
      <c r="F13" s="7"/>
      <c r="G13" s="8">
        <f t="shared" si="1"/>
        <v>0</v>
      </c>
      <c r="H13" s="6"/>
      <c r="I13" s="7"/>
      <c r="J13" s="8">
        <f t="shared" si="2"/>
        <v>0</v>
      </c>
      <c r="K13" s="6">
        <v>2</v>
      </c>
      <c r="L13" s="7">
        <v>0.5</v>
      </c>
      <c r="M13" s="8">
        <f t="shared" si="3"/>
        <v>1</v>
      </c>
      <c r="N13" s="6"/>
      <c r="O13" s="7"/>
      <c r="P13" s="8">
        <f t="shared" si="4"/>
        <v>0</v>
      </c>
      <c r="Q13" s="1"/>
      <c r="R13" s="6">
        <f t="shared" si="5"/>
        <v>2</v>
      </c>
      <c r="S13" s="9">
        <f t="shared" si="6"/>
        <v>0.5</v>
      </c>
      <c r="T13" s="9">
        <f t="shared" si="7"/>
        <v>1.2500000000000001E-2</v>
      </c>
      <c r="U13" s="9">
        <f>R13 / _xlfn.XLOOKUP(A13, Mid!A:A, Mid!AA:AA)</f>
        <v>0.66666666666666663</v>
      </c>
      <c r="V13" s="1"/>
      <c r="W13" s="1"/>
    </row>
    <row r="14" spans="1:23" x14ac:dyDescent="0.25">
      <c r="A14" s="1" t="s">
        <v>61</v>
      </c>
      <c r="B14" s="6">
        <v>2</v>
      </c>
      <c r="C14" s="7">
        <v>0.5</v>
      </c>
      <c r="D14" s="8">
        <f t="shared" si="0"/>
        <v>1</v>
      </c>
      <c r="E14" s="6"/>
      <c r="F14" s="7"/>
      <c r="G14" s="8">
        <f t="shared" si="1"/>
        <v>0</v>
      </c>
      <c r="H14" s="6"/>
      <c r="I14" s="7"/>
      <c r="J14" s="8">
        <f t="shared" si="2"/>
        <v>0</v>
      </c>
      <c r="K14" s="6"/>
      <c r="L14" s="7"/>
      <c r="M14" s="8">
        <f t="shared" si="3"/>
        <v>0</v>
      </c>
      <c r="N14" s="6"/>
      <c r="O14" s="7"/>
      <c r="P14" s="8">
        <f t="shared" si="4"/>
        <v>0</v>
      </c>
      <c r="Q14" s="1"/>
      <c r="R14" s="6">
        <f t="shared" si="5"/>
        <v>2</v>
      </c>
      <c r="S14" s="9">
        <f t="shared" si="6"/>
        <v>0.5</v>
      </c>
      <c r="T14" s="9">
        <f t="shared" si="7"/>
        <v>1.2500000000000001E-2</v>
      </c>
      <c r="U14" s="9">
        <f>R14 / _xlfn.XLOOKUP(A14, Mid!A:A, Mid!AA:AA)</f>
        <v>6.25E-2</v>
      </c>
    </row>
    <row r="15" spans="1:23" x14ac:dyDescent="0.25">
      <c r="A15" s="1" t="s">
        <v>87</v>
      </c>
      <c r="B15" s="6">
        <v>8</v>
      </c>
      <c r="C15" s="7">
        <v>0.375</v>
      </c>
      <c r="D15" s="8">
        <f t="shared" si="0"/>
        <v>3</v>
      </c>
      <c r="E15" s="6"/>
      <c r="F15" s="7"/>
      <c r="G15" s="8">
        <f t="shared" si="1"/>
        <v>0</v>
      </c>
      <c r="H15" s="6"/>
      <c r="I15" s="7"/>
      <c r="J15" s="8">
        <f t="shared" si="2"/>
        <v>0</v>
      </c>
      <c r="K15" s="6">
        <v>19</v>
      </c>
      <c r="L15" s="7">
        <v>0.47299999999999998</v>
      </c>
      <c r="M15" s="8">
        <f t="shared" si="3"/>
        <v>8.9870000000000001</v>
      </c>
      <c r="N15" s="6"/>
      <c r="O15" s="7"/>
      <c r="P15" s="8">
        <f t="shared" si="4"/>
        <v>0</v>
      </c>
      <c r="Q15" s="1"/>
      <c r="R15" s="6">
        <f t="shared" si="5"/>
        <v>27</v>
      </c>
      <c r="S15" s="9">
        <f t="shared" si="6"/>
        <v>0.44396296296296295</v>
      </c>
      <c r="T15" s="9">
        <f t="shared" si="7"/>
        <v>0.16875000000000001</v>
      </c>
      <c r="U15" s="9">
        <f>R15 / _xlfn.XLOOKUP(A15, Mid!A:A, Mid!AA:AA)</f>
        <v>5.5900621118012424E-2</v>
      </c>
    </row>
    <row r="16" spans="1:23" x14ac:dyDescent="0.25">
      <c r="A16" s="1" t="s">
        <v>111</v>
      </c>
      <c r="B16" s="6">
        <v>3</v>
      </c>
      <c r="C16" s="7">
        <v>0.33300000000000002</v>
      </c>
      <c r="D16" s="8">
        <f t="shared" si="0"/>
        <v>0.99900000000000011</v>
      </c>
      <c r="E16" s="6"/>
      <c r="F16" s="7"/>
      <c r="G16" s="8">
        <f t="shared" si="1"/>
        <v>0</v>
      </c>
      <c r="H16" s="6"/>
      <c r="I16" s="7"/>
      <c r="J16" s="8">
        <f t="shared" si="2"/>
        <v>0</v>
      </c>
      <c r="K16" s="6"/>
      <c r="L16" s="7"/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3</v>
      </c>
      <c r="S16" s="9">
        <f t="shared" si="6"/>
        <v>0.33300000000000002</v>
      </c>
      <c r="T16" s="9">
        <f t="shared" si="7"/>
        <v>1.8749999999999999E-2</v>
      </c>
      <c r="U16" s="9">
        <f>R16 / _xlfn.XLOOKUP(A16, Mid!A:A, Mid!AA:AA)</f>
        <v>5.1724137931034482E-2</v>
      </c>
    </row>
    <row r="17" spans="1:21" x14ac:dyDescent="0.25">
      <c r="A17" s="1" t="s">
        <v>112</v>
      </c>
      <c r="B17" s="6">
        <v>3</v>
      </c>
      <c r="C17" s="7">
        <v>1</v>
      </c>
      <c r="D17" s="8">
        <f t="shared" si="0"/>
        <v>3</v>
      </c>
      <c r="E17" s="6"/>
      <c r="F17" s="7"/>
      <c r="G17" s="8">
        <f t="shared" si="1"/>
        <v>0</v>
      </c>
      <c r="H17" s="6"/>
      <c r="I17" s="7"/>
      <c r="J17" s="8">
        <f t="shared" si="2"/>
        <v>0</v>
      </c>
      <c r="K17" s="6">
        <v>7</v>
      </c>
      <c r="L17" s="7">
        <v>0</v>
      </c>
      <c r="M17" s="8">
        <f t="shared" si="3"/>
        <v>0</v>
      </c>
      <c r="N17" s="6"/>
      <c r="O17" s="7"/>
      <c r="P17" s="8">
        <f t="shared" si="4"/>
        <v>0</v>
      </c>
      <c r="Q17" s="1"/>
      <c r="R17" s="6">
        <f t="shared" si="5"/>
        <v>10</v>
      </c>
      <c r="S17" s="9">
        <f t="shared" si="6"/>
        <v>0.3</v>
      </c>
      <c r="T17" s="9">
        <f t="shared" si="7"/>
        <v>6.25E-2</v>
      </c>
      <c r="U17" s="9">
        <f>R17 / _xlfn.XLOOKUP(A17, Mid!A:A, Mid!AA:AA)</f>
        <v>5.6497175141242938E-2</v>
      </c>
    </row>
    <row r="18" spans="1:21" x14ac:dyDescent="0.25">
      <c r="A18" s="1" t="s">
        <v>109</v>
      </c>
      <c r="B18" s="6">
        <v>2</v>
      </c>
      <c r="C18" s="7">
        <v>0.5</v>
      </c>
      <c r="D18" s="8">
        <f t="shared" si="0"/>
        <v>1</v>
      </c>
      <c r="E18" s="6"/>
      <c r="F18" s="7"/>
      <c r="G18" s="8">
        <f t="shared" si="1"/>
        <v>0</v>
      </c>
      <c r="H18" s="6"/>
      <c r="I18" s="7"/>
      <c r="J18" s="8">
        <f t="shared" si="2"/>
        <v>0</v>
      </c>
      <c r="K18" s="6">
        <v>5</v>
      </c>
      <c r="L18" s="7">
        <v>0.2</v>
      </c>
      <c r="M18" s="8">
        <f t="shared" si="3"/>
        <v>1</v>
      </c>
      <c r="N18" s="6"/>
      <c r="O18" s="7"/>
      <c r="P18" s="8">
        <f t="shared" si="4"/>
        <v>0</v>
      </c>
      <c r="Q18" s="1"/>
      <c r="R18" s="6">
        <f t="shared" si="5"/>
        <v>7</v>
      </c>
      <c r="S18" s="9">
        <f t="shared" si="6"/>
        <v>0.2857142857142857</v>
      </c>
      <c r="T18" s="9">
        <f t="shared" si="7"/>
        <v>4.3749999999999997E-2</v>
      </c>
      <c r="U18" s="9">
        <f>R18 / _xlfn.XLOOKUP(A18, Mid!A:A, Mid!AA:AA)</f>
        <v>2.8225806451612902E-2</v>
      </c>
    </row>
    <row r="19" spans="1:21" x14ac:dyDescent="0.25">
      <c r="A19" s="1" t="s">
        <v>12</v>
      </c>
      <c r="B19" s="6">
        <v>3</v>
      </c>
      <c r="C19" s="7">
        <v>0.33300000000000002</v>
      </c>
      <c r="D19" s="8">
        <f t="shared" si="0"/>
        <v>0.99900000000000011</v>
      </c>
      <c r="E19" s="6"/>
      <c r="F19" s="7"/>
      <c r="G19" s="8">
        <f t="shared" si="1"/>
        <v>0</v>
      </c>
      <c r="H19" s="6"/>
      <c r="I19" s="7"/>
      <c r="J19" s="8">
        <f t="shared" si="2"/>
        <v>0</v>
      </c>
      <c r="K19" s="6">
        <v>4</v>
      </c>
      <c r="L19" s="7">
        <v>0.25</v>
      </c>
      <c r="M19" s="8">
        <f t="shared" si="3"/>
        <v>1</v>
      </c>
      <c r="N19" s="6"/>
      <c r="O19" s="7"/>
      <c r="P19" s="8">
        <f t="shared" si="4"/>
        <v>0</v>
      </c>
      <c r="Q19" s="1"/>
      <c r="R19" s="6">
        <f t="shared" si="5"/>
        <v>7</v>
      </c>
      <c r="S19" s="9">
        <f t="shared" si="6"/>
        <v>0.28557142857142859</v>
      </c>
      <c r="T19" s="9">
        <f t="shared" si="7"/>
        <v>4.3749999999999997E-2</v>
      </c>
      <c r="U19" s="9">
        <f>R19 / _xlfn.XLOOKUP(A19, Mid!A:A, Mid!AA:AA)</f>
        <v>2.6717557251908396E-2</v>
      </c>
    </row>
    <row r="20" spans="1:21" x14ac:dyDescent="0.25">
      <c r="A20" s="1" t="s">
        <v>108</v>
      </c>
      <c r="B20" s="6">
        <v>4</v>
      </c>
      <c r="C20" s="7">
        <v>0.5</v>
      </c>
      <c r="D20" s="8">
        <f t="shared" si="0"/>
        <v>2</v>
      </c>
      <c r="E20" s="6"/>
      <c r="F20" s="7"/>
      <c r="G20" s="8">
        <f t="shared" si="1"/>
        <v>0</v>
      </c>
      <c r="H20" s="6"/>
      <c r="I20" s="7"/>
      <c r="J20" s="8">
        <f t="shared" si="2"/>
        <v>0</v>
      </c>
      <c r="K20" s="6">
        <v>4</v>
      </c>
      <c r="L20" s="7">
        <v>0</v>
      </c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8</v>
      </c>
      <c r="S20" s="9">
        <f t="shared" si="6"/>
        <v>0.25</v>
      </c>
      <c r="T20" s="9">
        <f t="shared" si="7"/>
        <v>0.05</v>
      </c>
      <c r="U20" s="9">
        <f>R20 / _xlfn.XLOOKUP(A20, Mid!A:A, Mid!AA:AA)</f>
        <v>2.5396825396825397E-2</v>
      </c>
    </row>
    <row r="21" spans="1:21" x14ac:dyDescent="0.25">
      <c r="A21" s="1" t="s">
        <v>39</v>
      </c>
      <c r="B21" s="6"/>
      <c r="C21" s="7"/>
      <c r="D21" s="8">
        <f t="shared" si="0"/>
        <v>0</v>
      </c>
      <c r="E21" s="6"/>
      <c r="F21" s="7"/>
      <c r="G21" s="8">
        <f t="shared" si="1"/>
        <v>0</v>
      </c>
      <c r="H21" s="6"/>
      <c r="I21" s="7"/>
      <c r="J21" s="8">
        <f t="shared" si="2"/>
        <v>0</v>
      </c>
      <c r="K21" s="6">
        <v>2</v>
      </c>
      <c r="L21" s="7">
        <v>0</v>
      </c>
      <c r="M21" s="8">
        <f t="shared" si="3"/>
        <v>0</v>
      </c>
      <c r="N21" s="6"/>
      <c r="O21" s="7"/>
      <c r="P21" s="8">
        <f t="shared" si="4"/>
        <v>0</v>
      </c>
      <c r="Q21" s="4"/>
      <c r="R21" s="6">
        <f t="shared" si="5"/>
        <v>2</v>
      </c>
      <c r="S21" s="9">
        <f t="shared" si="6"/>
        <v>0</v>
      </c>
      <c r="T21" s="9">
        <f t="shared" si="7"/>
        <v>1.2500000000000001E-2</v>
      </c>
      <c r="U21" s="9">
        <f>R21 / _xlfn.XLOOKUP(A21, Mid!A:A, Mid!AA:AA)</f>
        <v>8.8888888888888889E-3</v>
      </c>
    </row>
    <row r="22" spans="1:21" x14ac:dyDescent="0.25">
      <c r="A22" s="15" t="s">
        <v>201</v>
      </c>
      <c r="B22" s="6"/>
      <c r="C22" s="7"/>
      <c r="D22" s="8">
        <f t="shared" si="0"/>
        <v>0</v>
      </c>
      <c r="E22" s="6"/>
      <c r="F22" s="7"/>
      <c r="G22" s="8">
        <f t="shared" si="1"/>
        <v>0</v>
      </c>
      <c r="H22" s="6"/>
      <c r="I22" s="7"/>
      <c r="J22" s="8">
        <f t="shared" si="2"/>
        <v>0</v>
      </c>
      <c r="K22" s="6">
        <v>1</v>
      </c>
      <c r="L22" s="7">
        <v>0</v>
      </c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1</v>
      </c>
      <c r="S22" s="9">
        <f t="shared" si="6"/>
        <v>0</v>
      </c>
      <c r="T22" s="9">
        <f t="shared" si="7"/>
        <v>6.2500000000000003E-3</v>
      </c>
      <c r="U22" s="9">
        <f>R22 / _xlfn.XLOOKUP(A22, Mid!A:A, Mid!AA:AA)</f>
        <v>7.9365079365079361E-3</v>
      </c>
    </row>
    <row r="23" spans="1:21" x14ac:dyDescent="0.25">
      <c r="A23" s="1" t="s">
        <v>125</v>
      </c>
      <c r="B23" s="6"/>
      <c r="C23" s="7"/>
      <c r="D23" s="8">
        <f t="shared" si="0"/>
        <v>0</v>
      </c>
      <c r="E23" s="6"/>
      <c r="F23" s="7"/>
      <c r="G23" s="8">
        <f t="shared" si="1"/>
        <v>0</v>
      </c>
      <c r="H23" s="6"/>
      <c r="I23" s="7"/>
      <c r="J23" s="8">
        <f t="shared" si="2"/>
        <v>0</v>
      </c>
      <c r="K23" s="6">
        <v>1</v>
      </c>
      <c r="L23" s="7">
        <v>0</v>
      </c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1</v>
      </c>
      <c r="S23" s="9">
        <f t="shared" si="6"/>
        <v>0</v>
      </c>
      <c r="T23" s="9">
        <f t="shared" si="7"/>
        <v>6.2500000000000003E-3</v>
      </c>
      <c r="U23" s="9">
        <f>R23 / _xlfn.XLOOKUP(A23, Mid!A:A, Mid!AA:AA)</f>
        <v>1.8181818181818181E-2</v>
      </c>
    </row>
    <row r="24" spans="1:21" x14ac:dyDescent="0.25">
      <c r="A24" s="1" t="s">
        <v>52</v>
      </c>
      <c r="B24" s="6">
        <v>1</v>
      </c>
      <c r="C24" s="7">
        <v>0</v>
      </c>
      <c r="D24" s="8">
        <f t="shared" si="0"/>
        <v>0</v>
      </c>
      <c r="E24" s="6"/>
      <c r="F24" s="7"/>
      <c r="G24" s="8">
        <f t="shared" si="1"/>
        <v>0</v>
      </c>
      <c r="H24" s="6"/>
      <c r="I24" s="7"/>
      <c r="J24" s="8">
        <f t="shared" si="2"/>
        <v>0</v>
      </c>
      <c r="K24" s="6"/>
      <c r="L24" s="7"/>
      <c r="M24" s="8">
        <f t="shared" si="3"/>
        <v>0</v>
      </c>
      <c r="N24" s="6"/>
      <c r="O24" s="7"/>
      <c r="P24" s="8">
        <f t="shared" si="4"/>
        <v>0</v>
      </c>
      <c r="Q24" s="1"/>
      <c r="R24" s="6">
        <f t="shared" si="5"/>
        <v>1</v>
      </c>
      <c r="S24" s="9">
        <f t="shared" si="6"/>
        <v>0</v>
      </c>
      <c r="T24" s="9">
        <f t="shared" si="7"/>
        <v>6.2500000000000003E-3</v>
      </c>
      <c r="U24" s="9">
        <f>R24 / _xlfn.XLOOKUP(A24, Mid!A:A, Mid!AA:AA)</f>
        <v>4.5248868778280547E-3</v>
      </c>
    </row>
    <row r="25" spans="1:21" x14ac:dyDescent="0.25">
      <c r="A25" s="1"/>
      <c r="B25" s="6"/>
      <c r="C25" s="7"/>
      <c r="D25" s="31"/>
      <c r="E25" s="6"/>
      <c r="F25" s="7"/>
      <c r="G25" s="31"/>
      <c r="H25" s="6"/>
      <c r="I25" s="7"/>
      <c r="J25" s="31"/>
      <c r="K25" s="6"/>
      <c r="L25" s="7"/>
      <c r="M25" s="31"/>
      <c r="N25" s="1"/>
      <c r="O25" s="1"/>
      <c r="P25" s="1"/>
      <c r="Q25" s="1"/>
      <c r="R25" s="6"/>
      <c r="S25" s="9"/>
      <c r="T25" s="10"/>
      <c r="U25" s="9" t="e">
        <f>R25 / _xlfn.XLOOKUP(A25, Mid!A:A, Mid!AA:AA)</f>
        <v>#DIV/0!</v>
      </c>
    </row>
    <row r="26" spans="1:21" x14ac:dyDescent="0.25">
      <c r="A26" s="1"/>
      <c r="B26" s="6"/>
      <c r="C26" s="7"/>
      <c r="D26" s="31"/>
      <c r="E26" s="6"/>
      <c r="F26" s="7"/>
      <c r="G26" s="31"/>
      <c r="H26" s="6"/>
      <c r="I26" s="7"/>
      <c r="J26" s="31"/>
      <c r="K26" s="6"/>
      <c r="L26" s="7"/>
      <c r="M26" s="31"/>
      <c r="N26" s="1"/>
      <c r="O26" s="1"/>
      <c r="P26" s="1"/>
      <c r="Q26" s="1"/>
      <c r="R26" s="6"/>
      <c r="S26" s="9"/>
      <c r="T26" s="10"/>
      <c r="U26" s="9" t="e">
        <f>R26 / _xlfn.XLOOKUP(A26, Mid!A:A, Mid!AA:AA)</f>
        <v>#DIV/0!</v>
      </c>
    </row>
    <row r="27" spans="1:21" x14ac:dyDescent="0.25">
      <c r="A27" s="1"/>
      <c r="B27" s="6"/>
      <c r="C27" s="7"/>
      <c r="D27" s="31"/>
      <c r="E27" s="6"/>
      <c r="F27" s="7"/>
      <c r="G27" s="31"/>
      <c r="H27" s="6"/>
      <c r="I27" s="7"/>
      <c r="J27" s="31"/>
      <c r="K27" s="6"/>
      <c r="L27" s="7"/>
      <c r="M27" s="31"/>
      <c r="N27" s="1"/>
      <c r="O27" s="1"/>
      <c r="P27" s="1"/>
      <c r="Q27" s="1"/>
      <c r="R27" s="6"/>
      <c r="S27" s="9"/>
      <c r="T27" s="10"/>
      <c r="U27" s="9" t="e">
        <f>R27 / _xlfn.XLOOKUP(A27, Mid!A:A, Mid!AA:AA)</f>
        <v>#DIV/0!</v>
      </c>
    </row>
    <row r="28" spans="1:21" x14ac:dyDescent="0.25">
      <c r="A28" s="1"/>
      <c r="B28" s="6"/>
      <c r="C28" s="7"/>
      <c r="D28" s="31"/>
      <c r="E28" s="6"/>
      <c r="F28" s="7"/>
      <c r="G28" s="31"/>
      <c r="H28" s="6"/>
      <c r="I28" s="7"/>
      <c r="J28" s="31"/>
      <c r="K28" s="6"/>
      <c r="L28" s="7"/>
      <c r="M28" s="31"/>
      <c r="N28" s="1"/>
      <c r="O28" s="1"/>
      <c r="P28" s="1"/>
      <c r="Q28" s="1"/>
      <c r="R28" s="6"/>
      <c r="S28" s="9"/>
      <c r="T28" s="10"/>
      <c r="U28" s="9" t="e">
        <f>R28 / _xlfn.XLOOKUP(A28, Mid!A:A, Mid!AA:AA)</f>
        <v>#DIV/0!</v>
      </c>
    </row>
    <row r="29" spans="1:21" x14ac:dyDescent="0.25">
      <c r="A29" s="1"/>
      <c r="B29" s="6"/>
      <c r="C29" s="7"/>
      <c r="D29" s="31"/>
      <c r="E29" s="6"/>
      <c r="F29" s="7"/>
      <c r="G29" s="31"/>
      <c r="H29" s="6"/>
      <c r="I29" s="7"/>
      <c r="J29" s="31"/>
      <c r="K29" s="6"/>
      <c r="L29" s="7"/>
      <c r="M29" s="31"/>
      <c r="N29" s="1"/>
      <c r="O29" s="1"/>
      <c r="P29" s="1"/>
      <c r="Q29" s="1"/>
      <c r="R29" s="6"/>
      <c r="S29" s="9"/>
      <c r="T29" s="10"/>
      <c r="U29" s="9" t="e">
        <f>R29 / _xlfn.XLOOKUP(A29, Mid!A:A, Mid!AA:AA)</f>
        <v>#DIV/0!</v>
      </c>
    </row>
    <row r="30" spans="1:21" x14ac:dyDescent="0.25">
      <c r="A30" s="1"/>
      <c r="B30" s="6"/>
      <c r="C30" s="7"/>
      <c r="D30" s="31"/>
      <c r="E30" s="6"/>
      <c r="F30" s="7"/>
      <c r="G30" s="31"/>
      <c r="H30" s="6"/>
      <c r="I30" s="7"/>
      <c r="J30" s="31"/>
      <c r="K30" s="6"/>
      <c r="L30" s="7"/>
      <c r="M30" s="31"/>
      <c r="N30" s="1"/>
      <c r="O30" s="1"/>
      <c r="P30" s="1"/>
      <c r="Q30" s="1"/>
      <c r="R30" s="6"/>
      <c r="S30" s="9"/>
      <c r="T30" s="10"/>
      <c r="U30" s="9" t="e">
        <f>R30 / _xlfn.XLOOKUP(A30, Mid!A:A, Mid!AA:AA)</f>
        <v>#DIV/0!</v>
      </c>
    </row>
    <row r="31" spans="1:21" x14ac:dyDescent="0.25">
      <c r="A31" s="1"/>
      <c r="B31" s="6"/>
      <c r="C31" s="7"/>
      <c r="D31" s="31"/>
      <c r="E31" s="6"/>
      <c r="F31" s="7"/>
      <c r="G31" s="31"/>
      <c r="H31" s="6"/>
      <c r="I31" s="7"/>
      <c r="J31" s="31"/>
      <c r="K31" s="6"/>
      <c r="L31" s="7"/>
      <c r="M31" s="31"/>
      <c r="N31" s="1"/>
      <c r="O31" s="1"/>
      <c r="P31" s="1"/>
      <c r="Q31" s="1"/>
      <c r="R31" s="6"/>
      <c r="S31" s="9"/>
      <c r="T31" s="10"/>
      <c r="U31" s="9" t="e">
        <f>R31 / _xlfn.XLOOKUP(A31, Mid!A:A, Mid!AA:AA)</f>
        <v>#DIV/0!</v>
      </c>
    </row>
    <row r="32" spans="1:21" x14ac:dyDescent="0.25">
      <c r="U32" s="9" t="e">
        <f>R32 / _xlfn.XLOOKUP(A32, Mid!A:A, Mid!AA:AA)</f>
        <v>#DIV/0!</v>
      </c>
    </row>
    <row r="33" spans="21:21" x14ac:dyDescent="0.25">
      <c r="U33" s="9" t="e">
        <f>R33 / _xlfn.XLOOKUP(A33, Mid!A:A, Mid!AA:AA)</f>
        <v>#DIV/0!</v>
      </c>
    </row>
    <row r="34" spans="21:21" x14ac:dyDescent="0.25">
      <c r="U34" s="9" t="e">
        <f>R34 / _xlfn.XLOOKUP(A34, Mid!A:A, Mid!AA:AA)</f>
        <v>#DIV/0!</v>
      </c>
    </row>
    <row r="35" spans="21:21" x14ac:dyDescent="0.25">
      <c r="U35" s="9" t="e">
        <f>R35 / _xlfn.XLOOKUP(A35, Mid!A:A, Mid!AA:AA)</f>
        <v>#DIV/0!</v>
      </c>
    </row>
    <row r="36" spans="21:21" x14ac:dyDescent="0.25">
      <c r="U36" s="9" t="e">
        <f>R36 / _xlfn.XLOOKUP(A36, Mid!A:A, Mid!AA:AA)</f>
        <v>#DIV/0!</v>
      </c>
    </row>
    <row r="37" spans="21:21" x14ac:dyDescent="0.25">
      <c r="U37" s="9" t="e">
        <f>R37 / _xlfn.XLOOKUP(A37, Mid!A:A, Mid!AA:AA)</f>
        <v>#DIV/0!</v>
      </c>
    </row>
    <row r="38" spans="21:21" x14ac:dyDescent="0.25">
      <c r="U38" s="9" t="e">
        <f>R38 / _xlfn.XLOOKUP(A38, Mid!A:A, Mid!AA:AA)</f>
        <v>#DIV/0!</v>
      </c>
    </row>
    <row r="39" spans="21:21" x14ac:dyDescent="0.25">
      <c r="U39" s="9" t="e">
        <f>R39 / _xlfn.XLOOKUP(A39, Mid!A:A, Mid!AA:AA)</f>
        <v>#DIV/0!</v>
      </c>
    </row>
    <row r="40" spans="21:21" x14ac:dyDescent="0.25">
      <c r="U40" s="9" t="e">
        <f>R40 / _xlfn.XLOOKUP(A40, Mid!A:A, Mid!AA:AA)</f>
        <v>#DIV/0!</v>
      </c>
    </row>
    <row r="41" spans="21:21" x14ac:dyDescent="0.25">
      <c r="U41" s="9" t="e">
        <f>R41 / _xlfn.XLOOKUP(A41, Mid!A:A, Mid!AA:AA)</f>
        <v>#DIV/0!</v>
      </c>
    </row>
    <row r="42" spans="21:21" x14ac:dyDescent="0.25">
      <c r="U42" s="9" t="e">
        <f>R42 / _xlfn.XLOOKUP(A42, Mid!A:A, Mid!AA:AA)</f>
        <v>#DIV/0!</v>
      </c>
    </row>
    <row r="43" spans="21:21" x14ac:dyDescent="0.25">
      <c r="U43" s="9" t="e">
        <f>R43 / _xlfn.XLOOKUP(A43, Mid!A:A, Mid!AA:AA)</f>
        <v>#DIV/0!</v>
      </c>
    </row>
    <row r="44" spans="21:21" x14ac:dyDescent="0.25">
      <c r="U44" s="9" t="e">
        <f>R44 / _xlfn.XLOOKUP(A44, Mid!A:A, Mid!AA:AA)</f>
        <v>#DIV/0!</v>
      </c>
    </row>
    <row r="45" spans="21:21" x14ac:dyDescent="0.25">
      <c r="U45" s="9" t="e">
        <f>R45 / _xlfn.XLOOKUP(A45, Mid!A:A, Mid!AA:AA)</f>
        <v>#DIV/0!</v>
      </c>
    </row>
  </sheetData>
  <sortState xmlns:xlrd2="http://schemas.microsoft.com/office/spreadsheetml/2017/richdata2" ref="A3:U24">
    <sortCondition descending="1" ref="S3:S24"/>
  </sortState>
  <pageMargins left="0.7" right="0.7" top="0.78740157499999996" bottom="0.78740157499999996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C163-D55E-4F67-A619-5333A9D641D4}">
  <sheetPr>
    <tabColor theme="7" tint="0.59999389629810485"/>
  </sheetPr>
  <dimension ref="A1:W56"/>
  <sheetViews>
    <sheetView topLeftCell="A12" workbookViewId="0">
      <selection activeCell="U3" sqref="U3:U38"/>
    </sheetView>
  </sheetViews>
  <sheetFormatPr baseColWidth="10" defaultRowHeight="15" x14ac:dyDescent="0.25"/>
  <sheetData>
    <row r="1" spans="1:23" ht="15.75" x14ac:dyDescent="0.25">
      <c r="A1" s="2" t="s">
        <v>119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91</v>
      </c>
      <c r="B3" s="6"/>
      <c r="C3" s="7"/>
      <c r="D3" s="8">
        <f t="shared" ref="D3:D38" si="0">B3*C3</f>
        <v>0</v>
      </c>
      <c r="E3" s="6">
        <v>1</v>
      </c>
      <c r="F3" s="7">
        <v>1</v>
      </c>
      <c r="G3" s="8">
        <f t="shared" ref="G3:G38" si="1">E3*F3</f>
        <v>1</v>
      </c>
      <c r="H3" s="6"/>
      <c r="I3" s="7"/>
      <c r="J3" s="8">
        <f t="shared" ref="J3:J38" si="2">H3*I3</f>
        <v>0</v>
      </c>
      <c r="K3" s="6"/>
      <c r="L3" s="7"/>
      <c r="M3" s="8">
        <f t="shared" ref="M3:M38" si="3">K3*L3</f>
        <v>0</v>
      </c>
      <c r="N3" s="6"/>
      <c r="O3" s="7"/>
      <c r="P3" s="8">
        <f t="shared" ref="P3:P38" si="4">N3*O3</f>
        <v>0</v>
      </c>
      <c r="Q3" s="1"/>
      <c r="R3" s="6">
        <f t="shared" ref="R3:R38" si="5">B3+E3+H3+K3+N3</f>
        <v>1</v>
      </c>
      <c r="S3" s="9">
        <f t="shared" ref="S3:S38" si="6">(D3+G3+J3+M3+P3)/R3</f>
        <v>1</v>
      </c>
      <c r="T3" s="9">
        <f t="shared" ref="T3:T38" si="7">R3/$V$3</f>
        <v>1.9455252918287938E-3</v>
      </c>
      <c r="U3" s="9">
        <f>R3 / _xlfn.XLOOKUP(A3, Mid!A:A, Mid!AA:AA)</f>
        <v>1.5151515151515152E-2</v>
      </c>
      <c r="V3" s="11">
        <f>SUM(R3:R65)</f>
        <v>514</v>
      </c>
      <c r="W3" s="12">
        <f>(SUM(D3:D100)+SUM(G3:G100)+SUM(J3:J100)+SUM(M3:M100)+SUM(P3:P100)) / V3</f>
        <v>0.60496303501945525</v>
      </c>
    </row>
    <row r="4" spans="1:23" x14ac:dyDescent="0.25">
      <c r="A4" s="1" t="s">
        <v>33</v>
      </c>
      <c r="B4" s="6">
        <v>1</v>
      </c>
      <c r="C4" s="7">
        <v>1</v>
      </c>
      <c r="D4" s="8">
        <f t="shared" si="0"/>
        <v>1</v>
      </c>
      <c r="E4" s="6"/>
      <c r="F4" s="7"/>
      <c r="G4" s="8">
        <f t="shared" si="1"/>
        <v>0</v>
      </c>
      <c r="H4" s="6"/>
      <c r="I4" s="7"/>
      <c r="J4" s="8">
        <f t="shared" si="2"/>
        <v>0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1</v>
      </c>
      <c r="S4" s="9">
        <f t="shared" si="6"/>
        <v>1</v>
      </c>
      <c r="T4" s="9">
        <f t="shared" si="7"/>
        <v>1.9455252918287938E-3</v>
      </c>
      <c r="U4" s="9">
        <f>R4 / _xlfn.XLOOKUP(A4, Mid!A:A, Mid!AA:AA)</f>
        <v>0.125</v>
      </c>
      <c r="V4" s="6"/>
      <c r="W4" s="9"/>
    </row>
    <row r="5" spans="1:23" x14ac:dyDescent="0.25">
      <c r="A5" s="25" t="s">
        <v>54</v>
      </c>
      <c r="B5" s="6"/>
      <c r="C5" s="7"/>
      <c r="D5" s="8">
        <f t="shared" si="0"/>
        <v>0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>
        <v>1</v>
      </c>
      <c r="L5" s="7">
        <v>1</v>
      </c>
      <c r="M5" s="8">
        <f t="shared" si="3"/>
        <v>1</v>
      </c>
      <c r="N5" s="6"/>
      <c r="O5" s="7"/>
      <c r="P5" s="8">
        <f t="shared" si="4"/>
        <v>0</v>
      </c>
      <c r="Q5" s="1"/>
      <c r="R5" s="6">
        <f t="shared" si="5"/>
        <v>1</v>
      </c>
      <c r="S5" s="9">
        <f t="shared" si="6"/>
        <v>1</v>
      </c>
      <c r="T5" s="9">
        <f t="shared" si="7"/>
        <v>1.9455252918287938E-3</v>
      </c>
      <c r="U5" s="9">
        <f>R5 / _xlfn.XLOOKUP(A5, Mid!A:A, Mid!AA:AA)</f>
        <v>1</v>
      </c>
      <c r="W5" s="1"/>
    </row>
    <row r="6" spans="1:23" x14ac:dyDescent="0.25">
      <c r="A6" s="25" t="s">
        <v>215</v>
      </c>
      <c r="B6" s="6"/>
      <c r="C6" s="7"/>
      <c r="D6" s="8">
        <f t="shared" si="0"/>
        <v>0</v>
      </c>
      <c r="E6" s="6"/>
      <c r="F6" s="7"/>
      <c r="G6" s="8">
        <f t="shared" si="1"/>
        <v>0</v>
      </c>
      <c r="H6" s="6"/>
      <c r="I6" s="7"/>
      <c r="J6" s="8">
        <f t="shared" si="2"/>
        <v>0</v>
      </c>
      <c r="K6" s="6">
        <v>1</v>
      </c>
      <c r="L6" s="7">
        <v>1</v>
      </c>
      <c r="M6" s="8">
        <f t="shared" si="3"/>
        <v>1</v>
      </c>
      <c r="N6" s="6"/>
      <c r="O6" s="7"/>
      <c r="P6" s="8">
        <f t="shared" si="4"/>
        <v>0</v>
      </c>
      <c r="Q6" s="1"/>
      <c r="R6" s="6">
        <f t="shared" si="5"/>
        <v>1</v>
      </c>
      <c r="S6" s="9">
        <f t="shared" si="6"/>
        <v>1</v>
      </c>
      <c r="T6" s="9">
        <f t="shared" si="7"/>
        <v>1.9455252918287938E-3</v>
      </c>
      <c r="U6" s="9">
        <f>R6 / _xlfn.XLOOKUP(A6, Mid!A:A, Mid!AA:AA)</f>
        <v>0.5</v>
      </c>
      <c r="W6" s="1"/>
    </row>
    <row r="7" spans="1:23" x14ac:dyDescent="0.25">
      <c r="A7" s="15" t="s">
        <v>59</v>
      </c>
      <c r="B7" s="6"/>
      <c r="C7" s="7"/>
      <c r="D7" s="8">
        <f t="shared" si="0"/>
        <v>0</v>
      </c>
      <c r="E7" s="6"/>
      <c r="F7" s="7"/>
      <c r="G7" s="8">
        <f t="shared" si="1"/>
        <v>0</v>
      </c>
      <c r="H7" s="6">
        <v>7</v>
      </c>
      <c r="I7" s="7">
        <v>0.85699999999999998</v>
      </c>
      <c r="J7" s="8">
        <f t="shared" si="2"/>
        <v>5.9989999999999997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7</v>
      </c>
      <c r="S7" s="9">
        <f t="shared" si="6"/>
        <v>0.85699999999999998</v>
      </c>
      <c r="T7" s="9">
        <f t="shared" si="7"/>
        <v>1.3618677042801557E-2</v>
      </c>
      <c r="U7" s="9">
        <f>R7 / _xlfn.XLOOKUP(A7, Mid!A:A, Mid!AA:AA)</f>
        <v>0.18421052631578946</v>
      </c>
      <c r="V7" s="1"/>
      <c r="W7" s="1"/>
    </row>
    <row r="8" spans="1:23" x14ac:dyDescent="0.25">
      <c r="A8" s="1" t="s">
        <v>116</v>
      </c>
      <c r="B8" s="6"/>
      <c r="C8" s="7"/>
      <c r="D8" s="8">
        <f t="shared" si="0"/>
        <v>0</v>
      </c>
      <c r="E8" s="6">
        <v>5</v>
      </c>
      <c r="F8" s="7">
        <v>0.8</v>
      </c>
      <c r="G8" s="8">
        <f t="shared" si="1"/>
        <v>4</v>
      </c>
      <c r="H8" s="6"/>
      <c r="I8" s="7"/>
      <c r="J8" s="8">
        <f t="shared" si="2"/>
        <v>0</v>
      </c>
      <c r="K8" s="6">
        <v>1</v>
      </c>
      <c r="L8" s="7">
        <v>1</v>
      </c>
      <c r="M8" s="8">
        <f t="shared" si="3"/>
        <v>1</v>
      </c>
      <c r="N8" s="6"/>
      <c r="O8" s="7"/>
      <c r="P8" s="8">
        <f t="shared" si="4"/>
        <v>0</v>
      </c>
      <c r="Q8" s="1"/>
      <c r="R8" s="6">
        <f t="shared" si="5"/>
        <v>6</v>
      </c>
      <c r="S8" s="9">
        <f t="shared" si="6"/>
        <v>0.83333333333333337</v>
      </c>
      <c r="T8" s="9">
        <f t="shared" si="7"/>
        <v>1.1673151750972763E-2</v>
      </c>
      <c r="U8" s="9">
        <f>R8 / _xlfn.XLOOKUP(A8, Mid!A:A, Mid!AA:AA)</f>
        <v>0.2</v>
      </c>
      <c r="V8" s="1"/>
      <c r="W8" s="1"/>
    </row>
    <row r="9" spans="1:23" x14ac:dyDescent="0.25">
      <c r="A9" s="15" t="s">
        <v>35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>
        <v>6</v>
      </c>
      <c r="I9" s="7">
        <v>0.83299999999999996</v>
      </c>
      <c r="J9" s="8">
        <f t="shared" si="2"/>
        <v>4.9979999999999993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4"/>
      <c r="R9" s="6">
        <f t="shared" si="5"/>
        <v>6</v>
      </c>
      <c r="S9" s="9">
        <f t="shared" si="6"/>
        <v>0.83299999999999985</v>
      </c>
      <c r="T9" s="9">
        <f t="shared" si="7"/>
        <v>1.1673151750972763E-2</v>
      </c>
      <c r="U9" s="9">
        <f>R9 / _xlfn.XLOOKUP(A9, Mid!A:A, Mid!AA:AA)</f>
        <v>0.20689655172413793</v>
      </c>
      <c r="V9" s="1"/>
      <c r="W9" s="1"/>
    </row>
    <row r="10" spans="1:23" x14ac:dyDescent="0.25">
      <c r="A10" s="1" t="s">
        <v>12</v>
      </c>
      <c r="B10" s="6">
        <v>1</v>
      </c>
      <c r="C10" s="7">
        <v>1</v>
      </c>
      <c r="D10" s="8">
        <f t="shared" si="0"/>
        <v>1</v>
      </c>
      <c r="E10" s="6">
        <v>17</v>
      </c>
      <c r="F10" s="7">
        <v>0.58799999999999997</v>
      </c>
      <c r="G10" s="8">
        <f t="shared" si="1"/>
        <v>9.9959999999999987</v>
      </c>
      <c r="H10" s="6">
        <v>19</v>
      </c>
      <c r="I10" s="7">
        <v>0.78900000000000003</v>
      </c>
      <c r="J10" s="8">
        <f t="shared" si="2"/>
        <v>14.991000000000001</v>
      </c>
      <c r="K10" s="6">
        <v>14</v>
      </c>
      <c r="L10" s="7">
        <v>0.85699999999999998</v>
      </c>
      <c r="M10" s="8">
        <f t="shared" si="3"/>
        <v>11.997999999999999</v>
      </c>
      <c r="N10" s="6"/>
      <c r="O10" s="7"/>
      <c r="P10" s="8">
        <f t="shared" si="4"/>
        <v>0</v>
      </c>
      <c r="Q10" s="4"/>
      <c r="R10" s="6">
        <f t="shared" si="5"/>
        <v>51</v>
      </c>
      <c r="S10" s="9">
        <f t="shared" si="6"/>
        <v>0.7448039215686274</v>
      </c>
      <c r="T10" s="9">
        <f t="shared" si="7"/>
        <v>9.9221789883268477E-2</v>
      </c>
      <c r="U10" s="9">
        <f>R10 / _xlfn.XLOOKUP(A10, Mid!A:A, Mid!AA:AA)</f>
        <v>0.19465648854961831</v>
      </c>
      <c r="V10" s="1"/>
      <c r="W10" s="1"/>
    </row>
    <row r="11" spans="1:23" x14ac:dyDescent="0.25">
      <c r="A11" s="1" t="s">
        <v>32</v>
      </c>
      <c r="B11" s="6">
        <v>17</v>
      </c>
      <c r="C11" s="7">
        <v>0.76500000000000001</v>
      </c>
      <c r="D11" s="8">
        <f t="shared" si="0"/>
        <v>13.005000000000001</v>
      </c>
      <c r="E11" s="6">
        <v>6</v>
      </c>
      <c r="F11" s="7">
        <v>0.66700000000000004</v>
      </c>
      <c r="G11" s="8">
        <f t="shared" si="1"/>
        <v>4.0020000000000007</v>
      </c>
      <c r="H11" s="6">
        <v>3</v>
      </c>
      <c r="I11" s="7">
        <v>0.66700000000000004</v>
      </c>
      <c r="J11" s="8">
        <f t="shared" si="2"/>
        <v>2.0010000000000003</v>
      </c>
      <c r="K11" s="6">
        <v>13</v>
      </c>
      <c r="L11" s="7">
        <v>0.69199999999999995</v>
      </c>
      <c r="M11" s="8">
        <f t="shared" si="3"/>
        <v>8.9959999999999987</v>
      </c>
      <c r="N11" s="6"/>
      <c r="O11" s="7"/>
      <c r="P11" s="8">
        <f t="shared" si="4"/>
        <v>0</v>
      </c>
      <c r="Q11" s="4"/>
      <c r="R11" s="6">
        <f t="shared" si="5"/>
        <v>39</v>
      </c>
      <c r="S11" s="9">
        <f t="shared" si="6"/>
        <v>0.7180512820512821</v>
      </c>
      <c r="T11" s="9">
        <f t="shared" si="7"/>
        <v>7.5875486381322951E-2</v>
      </c>
      <c r="U11" s="9">
        <f>R11 / _xlfn.XLOOKUP(A11, Mid!A:A, Mid!AA:AA)</f>
        <v>0.13356164383561644</v>
      </c>
      <c r="V11" s="1"/>
      <c r="W11" s="1"/>
    </row>
    <row r="12" spans="1:23" x14ac:dyDescent="0.25">
      <c r="A12" s="1" t="s">
        <v>8</v>
      </c>
      <c r="B12" s="6"/>
      <c r="C12" s="7"/>
      <c r="D12" s="8">
        <f t="shared" si="0"/>
        <v>0</v>
      </c>
      <c r="E12" s="6">
        <v>3</v>
      </c>
      <c r="F12" s="7">
        <v>0.66700000000000004</v>
      </c>
      <c r="G12" s="8">
        <f t="shared" si="1"/>
        <v>2.0010000000000003</v>
      </c>
      <c r="H12" s="6">
        <v>1</v>
      </c>
      <c r="I12" s="7">
        <v>1</v>
      </c>
      <c r="J12" s="8">
        <f t="shared" si="2"/>
        <v>1</v>
      </c>
      <c r="K12" s="6">
        <v>3</v>
      </c>
      <c r="L12" s="7">
        <v>0.66700000000000004</v>
      </c>
      <c r="M12" s="8">
        <f t="shared" si="3"/>
        <v>2.0010000000000003</v>
      </c>
      <c r="N12" s="6"/>
      <c r="O12" s="7"/>
      <c r="P12" s="8">
        <f t="shared" si="4"/>
        <v>0</v>
      </c>
      <c r="Q12" s="1"/>
      <c r="R12" s="6">
        <f t="shared" si="5"/>
        <v>7</v>
      </c>
      <c r="S12" s="9">
        <f t="shared" si="6"/>
        <v>0.71457142857142864</v>
      </c>
      <c r="T12" s="9">
        <f t="shared" si="7"/>
        <v>1.3618677042801557E-2</v>
      </c>
      <c r="U12" s="9">
        <f>R12 / _xlfn.XLOOKUP(A12, Mid!A:A, Mid!AA:AA)</f>
        <v>6.3063063063063057E-2</v>
      </c>
      <c r="V12" s="1"/>
      <c r="W12" s="1"/>
    </row>
    <row r="13" spans="1:23" x14ac:dyDescent="0.25">
      <c r="A13" s="1" t="s">
        <v>27</v>
      </c>
      <c r="B13" s="6">
        <v>18</v>
      </c>
      <c r="C13" s="7">
        <v>0.72199999999999998</v>
      </c>
      <c r="D13" s="8">
        <f t="shared" si="0"/>
        <v>12.995999999999999</v>
      </c>
      <c r="E13" s="6">
        <v>9</v>
      </c>
      <c r="F13" s="7">
        <v>0.66700000000000004</v>
      </c>
      <c r="G13" s="8">
        <f t="shared" si="1"/>
        <v>6.0030000000000001</v>
      </c>
      <c r="H13" s="6">
        <v>5</v>
      </c>
      <c r="I13" s="7">
        <v>0.8</v>
      </c>
      <c r="J13" s="8">
        <f t="shared" si="2"/>
        <v>4</v>
      </c>
      <c r="K13" s="6">
        <v>6</v>
      </c>
      <c r="L13" s="7">
        <v>0.66700000000000004</v>
      </c>
      <c r="M13" s="8">
        <f t="shared" si="3"/>
        <v>4.0020000000000007</v>
      </c>
      <c r="N13" s="6"/>
      <c r="O13" s="7"/>
      <c r="P13" s="8">
        <f t="shared" si="4"/>
        <v>0</v>
      </c>
      <c r="Q13" s="1"/>
      <c r="R13" s="6">
        <f t="shared" si="5"/>
        <v>38</v>
      </c>
      <c r="S13" s="9">
        <f t="shared" si="6"/>
        <v>0.71055263157894732</v>
      </c>
      <c r="T13" s="9">
        <f t="shared" si="7"/>
        <v>7.3929961089494164E-2</v>
      </c>
      <c r="U13" s="9">
        <f>R13 / _xlfn.XLOOKUP(A13, Mid!A:A, Mid!AA:AA)</f>
        <v>0.17757009345794392</v>
      </c>
      <c r="V13" s="1"/>
      <c r="W13" s="1"/>
    </row>
    <row r="14" spans="1:23" x14ac:dyDescent="0.25">
      <c r="A14" s="1" t="s">
        <v>61</v>
      </c>
      <c r="B14" s="6">
        <v>3</v>
      </c>
      <c r="C14" s="7">
        <v>0.66700000000000004</v>
      </c>
      <c r="D14" s="8">
        <f t="shared" si="0"/>
        <v>2.0010000000000003</v>
      </c>
      <c r="E14" s="6"/>
      <c r="F14" s="7"/>
      <c r="G14" s="8">
        <f t="shared" si="1"/>
        <v>0</v>
      </c>
      <c r="H14" s="6"/>
      <c r="I14" s="7"/>
      <c r="J14" s="8">
        <f t="shared" si="2"/>
        <v>0</v>
      </c>
      <c r="K14" s="6"/>
      <c r="L14" s="7"/>
      <c r="M14" s="8">
        <f t="shared" si="3"/>
        <v>0</v>
      </c>
      <c r="N14" s="6"/>
      <c r="O14" s="7"/>
      <c r="P14" s="8">
        <f t="shared" si="4"/>
        <v>0</v>
      </c>
      <c r="Q14" s="1"/>
      <c r="R14" s="6">
        <f t="shared" si="5"/>
        <v>3</v>
      </c>
      <c r="S14" s="9">
        <f t="shared" si="6"/>
        <v>0.66700000000000015</v>
      </c>
      <c r="T14" s="9">
        <f t="shared" si="7"/>
        <v>5.8365758754863814E-3</v>
      </c>
      <c r="U14" s="9">
        <f>R14 / _xlfn.XLOOKUP(A14, Mid!A:A, Mid!AA:AA)</f>
        <v>9.375E-2</v>
      </c>
      <c r="V14" s="1"/>
      <c r="W14" s="1"/>
    </row>
    <row r="15" spans="1:23" x14ac:dyDescent="0.25">
      <c r="A15" s="1" t="s">
        <v>87</v>
      </c>
      <c r="B15" s="6">
        <v>3</v>
      </c>
      <c r="C15" s="7">
        <v>0.33300000000000002</v>
      </c>
      <c r="D15" s="8">
        <f t="shared" si="0"/>
        <v>0.99900000000000011</v>
      </c>
      <c r="E15" s="6">
        <v>5</v>
      </c>
      <c r="F15" s="7">
        <v>0.4</v>
      </c>
      <c r="G15" s="8">
        <f t="shared" si="1"/>
        <v>2</v>
      </c>
      <c r="H15" s="6">
        <v>10</v>
      </c>
      <c r="I15" s="7">
        <v>0.6</v>
      </c>
      <c r="J15" s="8">
        <f t="shared" si="2"/>
        <v>6</v>
      </c>
      <c r="K15" s="6">
        <v>17</v>
      </c>
      <c r="L15" s="7">
        <v>0.82299999999999995</v>
      </c>
      <c r="M15" s="8">
        <f t="shared" si="3"/>
        <v>13.991</v>
      </c>
      <c r="N15" s="6"/>
      <c r="O15" s="7"/>
      <c r="P15" s="8">
        <f t="shared" si="4"/>
        <v>0</v>
      </c>
      <c r="Q15" s="1"/>
      <c r="R15" s="6">
        <f t="shared" si="5"/>
        <v>35</v>
      </c>
      <c r="S15" s="9">
        <f t="shared" si="6"/>
        <v>0.65685714285714292</v>
      </c>
      <c r="T15" s="9">
        <f t="shared" si="7"/>
        <v>6.8093385214007776E-2</v>
      </c>
      <c r="U15" s="9">
        <f>R15 / _xlfn.XLOOKUP(A15, Mid!A:A, Mid!AA:AA)</f>
        <v>7.2463768115942032E-2</v>
      </c>
      <c r="V15" s="1"/>
      <c r="W15" s="1"/>
    </row>
    <row r="16" spans="1:23" x14ac:dyDescent="0.25">
      <c r="A16" s="25" t="s">
        <v>201</v>
      </c>
      <c r="B16" s="6"/>
      <c r="C16" s="7"/>
      <c r="D16" s="8">
        <f t="shared" si="0"/>
        <v>0</v>
      </c>
      <c r="E16" s="6"/>
      <c r="F16" s="7"/>
      <c r="G16" s="8">
        <f t="shared" si="1"/>
        <v>0</v>
      </c>
      <c r="H16" s="6"/>
      <c r="I16" s="7"/>
      <c r="J16" s="8">
        <f t="shared" si="2"/>
        <v>0</v>
      </c>
      <c r="K16" s="6">
        <v>11</v>
      </c>
      <c r="L16" s="7">
        <v>0.63600000000000001</v>
      </c>
      <c r="M16" s="8">
        <f t="shared" si="3"/>
        <v>6.9960000000000004</v>
      </c>
      <c r="N16" s="6"/>
      <c r="O16" s="7"/>
      <c r="P16" s="8">
        <f t="shared" si="4"/>
        <v>0</v>
      </c>
      <c r="Q16" s="1"/>
      <c r="R16" s="6">
        <f t="shared" si="5"/>
        <v>11</v>
      </c>
      <c r="S16" s="9">
        <f t="shared" si="6"/>
        <v>0.63600000000000001</v>
      </c>
      <c r="T16" s="9">
        <f t="shared" si="7"/>
        <v>2.1400778210116732E-2</v>
      </c>
      <c r="U16" s="9">
        <f>R16 / _xlfn.XLOOKUP(A16, Mid!A:A, Mid!AA:AA)</f>
        <v>8.7301587301587297E-2</v>
      </c>
      <c r="V16" s="1"/>
      <c r="W16" s="1"/>
    </row>
    <row r="17" spans="1:23" x14ac:dyDescent="0.25">
      <c r="A17" s="1" t="s">
        <v>39</v>
      </c>
      <c r="B17" s="6"/>
      <c r="C17" s="7"/>
      <c r="D17" s="8">
        <f t="shared" si="0"/>
        <v>0</v>
      </c>
      <c r="E17" s="6">
        <v>9</v>
      </c>
      <c r="F17" s="7">
        <v>0.66700000000000004</v>
      </c>
      <c r="G17" s="8">
        <f t="shared" si="1"/>
        <v>6.0030000000000001</v>
      </c>
      <c r="H17" s="6">
        <v>16</v>
      </c>
      <c r="I17" s="7">
        <v>0.625</v>
      </c>
      <c r="J17" s="8">
        <f t="shared" si="2"/>
        <v>10</v>
      </c>
      <c r="K17" s="6">
        <v>1</v>
      </c>
      <c r="L17" s="7">
        <v>0</v>
      </c>
      <c r="M17" s="8">
        <f t="shared" si="3"/>
        <v>0</v>
      </c>
      <c r="N17" s="6"/>
      <c r="O17" s="7"/>
      <c r="P17" s="8">
        <f t="shared" si="4"/>
        <v>0</v>
      </c>
      <c r="Q17" s="1"/>
      <c r="R17" s="6">
        <f t="shared" si="5"/>
        <v>26</v>
      </c>
      <c r="S17" s="9">
        <f t="shared" si="6"/>
        <v>0.61550000000000005</v>
      </c>
      <c r="T17" s="9">
        <f t="shared" si="7"/>
        <v>5.0583657587548639E-2</v>
      </c>
      <c r="U17" s="9">
        <f>R17 / _xlfn.XLOOKUP(A17, Mid!A:A, Mid!AA:AA)</f>
        <v>0.11555555555555555</v>
      </c>
      <c r="V17" s="1"/>
      <c r="W17" s="1"/>
    </row>
    <row r="18" spans="1:23" x14ac:dyDescent="0.25">
      <c r="A18" s="1" t="s">
        <v>110</v>
      </c>
      <c r="B18" s="6">
        <v>3</v>
      </c>
      <c r="C18" s="7">
        <v>0.33300000000000002</v>
      </c>
      <c r="D18" s="8">
        <f t="shared" si="0"/>
        <v>0.99900000000000011</v>
      </c>
      <c r="E18" s="6"/>
      <c r="F18" s="7"/>
      <c r="G18" s="8">
        <f t="shared" si="1"/>
        <v>0</v>
      </c>
      <c r="H18" s="6">
        <v>3</v>
      </c>
      <c r="I18" s="7">
        <v>0.66700000000000004</v>
      </c>
      <c r="J18" s="8">
        <f t="shared" si="2"/>
        <v>2.0010000000000003</v>
      </c>
      <c r="K18" s="6">
        <v>7</v>
      </c>
      <c r="L18" s="7">
        <v>0.71399999999999997</v>
      </c>
      <c r="M18" s="8">
        <f t="shared" si="3"/>
        <v>4.9979999999999993</v>
      </c>
      <c r="N18" s="6"/>
      <c r="O18" s="7"/>
      <c r="P18" s="8">
        <f t="shared" si="4"/>
        <v>0</v>
      </c>
      <c r="Q18" s="1"/>
      <c r="R18" s="6">
        <f t="shared" si="5"/>
        <v>13</v>
      </c>
      <c r="S18" s="9">
        <f t="shared" si="6"/>
        <v>0.61523076923076914</v>
      </c>
      <c r="T18" s="9">
        <f t="shared" si="7"/>
        <v>2.5291828793774319E-2</v>
      </c>
      <c r="U18" s="9">
        <f>R18 / _xlfn.XLOOKUP(A18, Mid!A:A, Mid!AA:AA)</f>
        <v>4.2763157894736843E-2</v>
      </c>
      <c r="V18" s="1"/>
      <c r="W18" s="1"/>
    </row>
    <row r="19" spans="1:23" x14ac:dyDescent="0.25">
      <c r="A19" s="1" t="s">
        <v>108</v>
      </c>
      <c r="B19" s="6">
        <v>8</v>
      </c>
      <c r="C19" s="7">
        <v>0.75</v>
      </c>
      <c r="D19" s="8">
        <f t="shared" si="0"/>
        <v>6</v>
      </c>
      <c r="E19" s="6">
        <v>1</v>
      </c>
      <c r="F19" s="7">
        <v>0</v>
      </c>
      <c r="G19" s="8">
        <f t="shared" si="1"/>
        <v>0</v>
      </c>
      <c r="H19" s="6">
        <v>18</v>
      </c>
      <c r="I19" s="7">
        <v>0.66700000000000004</v>
      </c>
      <c r="J19" s="8">
        <f t="shared" si="2"/>
        <v>12.006</v>
      </c>
      <c r="K19" s="6">
        <v>4</v>
      </c>
      <c r="L19" s="7">
        <v>0.25</v>
      </c>
      <c r="M19" s="8">
        <f t="shared" si="3"/>
        <v>1</v>
      </c>
      <c r="N19" s="6"/>
      <c r="O19" s="7"/>
      <c r="P19" s="8">
        <f t="shared" si="4"/>
        <v>0</v>
      </c>
      <c r="Q19" s="1"/>
      <c r="R19" s="6">
        <f t="shared" si="5"/>
        <v>31</v>
      </c>
      <c r="S19" s="9">
        <f t="shared" si="6"/>
        <v>0.61309677419354836</v>
      </c>
      <c r="T19" s="9">
        <f t="shared" si="7"/>
        <v>6.0311284046692608E-2</v>
      </c>
      <c r="U19" s="9">
        <f>R19 / _xlfn.XLOOKUP(A19, Mid!A:A, Mid!AA:AA)</f>
        <v>9.841269841269841E-2</v>
      </c>
      <c r="V19" s="1"/>
      <c r="W19" s="1"/>
    </row>
    <row r="20" spans="1:23" x14ac:dyDescent="0.25">
      <c r="A20" s="1" t="s">
        <v>18</v>
      </c>
      <c r="B20" s="6">
        <v>4</v>
      </c>
      <c r="C20" s="7">
        <v>0.5</v>
      </c>
      <c r="D20" s="8">
        <f t="shared" si="0"/>
        <v>2</v>
      </c>
      <c r="E20" s="6"/>
      <c r="F20" s="7"/>
      <c r="G20" s="8">
        <f t="shared" si="1"/>
        <v>0</v>
      </c>
      <c r="H20" s="6"/>
      <c r="I20" s="7"/>
      <c r="J20" s="8">
        <f t="shared" si="2"/>
        <v>0</v>
      </c>
      <c r="K20" s="6">
        <v>1</v>
      </c>
      <c r="L20" s="7">
        <v>1</v>
      </c>
      <c r="M20" s="8">
        <f t="shared" si="3"/>
        <v>1</v>
      </c>
      <c r="N20" s="6"/>
      <c r="O20" s="7"/>
      <c r="P20" s="8">
        <f t="shared" si="4"/>
        <v>0</v>
      </c>
      <c r="Q20" s="1"/>
      <c r="R20" s="6">
        <f t="shared" si="5"/>
        <v>5</v>
      </c>
      <c r="S20" s="9">
        <f t="shared" si="6"/>
        <v>0.6</v>
      </c>
      <c r="T20" s="9">
        <f t="shared" si="7"/>
        <v>9.727626459143969E-3</v>
      </c>
      <c r="U20" s="9">
        <f>R20 / _xlfn.XLOOKUP(A20, Mid!A:A, Mid!AA:AA)</f>
        <v>5.2631578947368418E-2</v>
      </c>
      <c r="V20" s="1"/>
      <c r="W20" s="1"/>
    </row>
    <row r="21" spans="1:23" x14ac:dyDescent="0.25">
      <c r="A21" s="1" t="s">
        <v>64</v>
      </c>
      <c r="B21" s="6">
        <v>19</v>
      </c>
      <c r="C21" s="7">
        <v>0.52600000000000002</v>
      </c>
      <c r="D21" s="8">
        <f t="shared" si="0"/>
        <v>9.9939999999999998</v>
      </c>
      <c r="E21" s="6">
        <v>26</v>
      </c>
      <c r="F21" s="7">
        <v>0.53800000000000003</v>
      </c>
      <c r="G21" s="8">
        <f t="shared" si="1"/>
        <v>13.988000000000001</v>
      </c>
      <c r="H21" s="6">
        <v>20</v>
      </c>
      <c r="I21" s="7">
        <v>0.55000000000000004</v>
      </c>
      <c r="J21" s="8">
        <f t="shared" si="2"/>
        <v>11</v>
      </c>
      <c r="K21" s="6">
        <v>24</v>
      </c>
      <c r="L21" s="7">
        <v>0.70799999999999996</v>
      </c>
      <c r="M21" s="8">
        <f t="shared" si="3"/>
        <v>16.991999999999997</v>
      </c>
      <c r="N21" s="6"/>
      <c r="O21" s="7"/>
      <c r="P21" s="8">
        <f t="shared" si="4"/>
        <v>0</v>
      </c>
      <c r="Q21" s="1"/>
      <c r="R21" s="6">
        <f t="shared" si="5"/>
        <v>89</v>
      </c>
      <c r="S21" s="9">
        <f t="shared" si="6"/>
        <v>0.58397752808988757</v>
      </c>
      <c r="T21" s="9">
        <f t="shared" si="7"/>
        <v>0.17315175097276264</v>
      </c>
      <c r="U21" s="9">
        <f>R21 / _xlfn.XLOOKUP(A21, Mid!A:A, Mid!AA:AA)</f>
        <v>0.11664482306684142</v>
      </c>
      <c r="V21" s="1"/>
      <c r="W21" s="1"/>
    </row>
    <row r="22" spans="1:23" x14ac:dyDescent="0.25">
      <c r="A22" s="1" t="s">
        <v>107</v>
      </c>
      <c r="B22" s="6">
        <v>19</v>
      </c>
      <c r="C22" s="7">
        <v>0.52600000000000002</v>
      </c>
      <c r="D22" s="8">
        <f t="shared" si="0"/>
        <v>9.9939999999999998</v>
      </c>
      <c r="E22" s="6">
        <v>9</v>
      </c>
      <c r="F22" s="7">
        <v>0.44400000000000001</v>
      </c>
      <c r="G22" s="8">
        <f t="shared" si="1"/>
        <v>3.996</v>
      </c>
      <c r="H22" s="6">
        <v>11</v>
      </c>
      <c r="I22" s="7">
        <v>0.63600000000000001</v>
      </c>
      <c r="J22" s="8">
        <f t="shared" si="2"/>
        <v>6.9960000000000004</v>
      </c>
      <c r="K22" s="6">
        <v>12</v>
      </c>
      <c r="L22" s="7">
        <v>0.66700000000000004</v>
      </c>
      <c r="M22" s="8">
        <f t="shared" si="3"/>
        <v>8.0040000000000013</v>
      </c>
      <c r="N22" s="6"/>
      <c r="O22" s="7"/>
      <c r="P22" s="8">
        <f t="shared" si="4"/>
        <v>0</v>
      </c>
      <c r="Q22" s="1"/>
      <c r="R22" s="6">
        <f t="shared" si="5"/>
        <v>51</v>
      </c>
      <c r="S22" s="9">
        <f t="shared" si="6"/>
        <v>0.56843137254901965</v>
      </c>
      <c r="T22" s="9">
        <f t="shared" si="7"/>
        <v>9.9221789883268477E-2</v>
      </c>
      <c r="U22" s="9">
        <f>R22 / _xlfn.XLOOKUP(A22, Mid!A:A, Mid!AA:AA)</f>
        <v>9.8455598455598453E-2</v>
      </c>
      <c r="V22" s="1"/>
      <c r="W22" s="1"/>
    </row>
    <row r="23" spans="1:23" x14ac:dyDescent="0.25">
      <c r="A23" s="1" t="s">
        <v>113</v>
      </c>
      <c r="B23" s="6"/>
      <c r="C23" s="7"/>
      <c r="D23" s="8">
        <f t="shared" si="0"/>
        <v>0</v>
      </c>
      <c r="E23" s="6">
        <v>7</v>
      </c>
      <c r="F23" s="7">
        <v>0.57099999999999995</v>
      </c>
      <c r="G23" s="8">
        <f t="shared" si="1"/>
        <v>3.9969999999999999</v>
      </c>
      <c r="H23" s="6"/>
      <c r="I23" s="7"/>
      <c r="J23" s="8">
        <f t="shared" si="2"/>
        <v>0</v>
      </c>
      <c r="K23" s="6">
        <v>2</v>
      </c>
      <c r="L23" s="7">
        <v>0.5</v>
      </c>
      <c r="M23" s="8">
        <f t="shared" si="3"/>
        <v>1</v>
      </c>
      <c r="N23" s="6"/>
      <c r="O23" s="7"/>
      <c r="P23" s="8">
        <f t="shared" si="4"/>
        <v>0</v>
      </c>
      <c r="Q23" s="1"/>
      <c r="R23" s="6">
        <f t="shared" si="5"/>
        <v>9</v>
      </c>
      <c r="S23" s="9">
        <f t="shared" si="6"/>
        <v>0.55522222222222217</v>
      </c>
      <c r="T23" s="9">
        <f t="shared" si="7"/>
        <v>1.7509727626459144E-2</v>
      </c>
      <c r="U23" s="9">
        <f>R23 / _xlfn.XLOOKUP(A23, Mid!A:A, Mid!AA:AA)</f>
        <v>4.8648648648648651E-2</v>
      </c>
      <c r="V23" s="1"/>
      <c r="W23" s="1"/>
    </row>
    <row r="24" spans="1:23" x14ac:dyDescent="0.25">
      <c r="A24" s="1" t="s">
        <v>111</v>
      </c>
      <c r="B24" s="6">
        <v>4</v>
      </c>
      <c r="C24" s="7">
        <v>0.5</v>
      </c>
      <c r="D24" s="8">
        <f t="shared" si="0"/>
        <v>2</v>
      </c>
      <c r="E24" s="6"/>
      <c r="F24" s="7"/>
      <c r="G24" s="8">
        <f t="shared" si="1"/>
        <v>0</v>
      </c>
      <c r="H24" s="6"/>
      <c r="I24" s="7"/>
      <c r="J24" s="8">
        <f t="shared" si="2"/>
        <v>0</v>
      </c>
      <c r="K24" s="6"/>
      <c r="L24" s="7"/>
      <c r="M24" s="8">
        <f t="shared" si="3"/>
        <v>0</v>
      </c>
      <c r="N24" s="6"/>
      <c r="O24" s="7"/>
      <c r="P24" s="8">
        <f t="shared" si="4"/>
        <v>0</v>
      </c>
      <c r="Q24" s="4"/>
      <c r="R24" s="6">
        <f t="shared" si="5"/>
        <v>4</v>
      </c>
      <c r="S24" s="9">
        <f t="shared" si="6"/>
        <v>0.5</v>
      </c>
      <c r="T24" s="9">
        <f t="shared" si="7"/>
        <v>7.7821011673151752E-3</v>
      </c>
      <c r="U24" s="9">
        <f>R24 / _xlfn.XLOOKUP(A24, Mid!A:A, Mid!AA:AA)</f>
        <v>6.8965517241379309E-2</v>
      </c>
      <c r="V24" s="1"/>
      <c r="W24" s="1"/>
    </row>
    <row r="25" spans="1:23" x14ac:dyDescent="0.25">
      <c r="A25" s="15" t="s">
        <v>139</v>
      </c>
      <c r="B25" s="6"/>
      <c r="C25" s="7"/>
      <c r="D25" s="8">
        <f t="shared" si="0"/>
        <v>0</v>
      </c>
      <c r="E25" s="6"/>
      <c r="F25" s="7"/>
      <c r="G25" s="8">
        <f t="shared" si="1"/>
        <v>0</v>
      </c>
      <c r="H25" s="6">
        <v>2</v>
      </c>
      <c r="I25" s="7">
        <v>0.5</v>
      </c>
      <c r="J25" s="8">
        <f t="shared" si="2"/>
        <v>1</v>
      </c>
      <c r="K25" s="6"/>
      <c r="L25" s="7"/>
      <c r="M25" s="8">
        <f t="shared" si="3"/>
        <v>0</v>
      </c>
      <c r="N25" s="6"/>
      <c r="O25" s="7"/>
      <c r="P25" s="8">
        <f t="shared" si="4"/>
        <v>0</v>
      </c>
      <c r="Q25" s="1"/>
      <c r="R25" s="6">
        <f t="shared" si="5"/>
        <v>2</v>
      </c>
      <c r="S25" s="9">
        <f t="shared" si="6"/>
        <v>0.5</v>
      </c>
      <c r="T25" s="9">
        <f t="shared" si="7"/>
        <v>3.8910505836575876E-3</v>
      </c>
      <c r="U25" s="9">
        <f>R25 / _xlfn.XLOOKUP(A25, Mid!A:A, Mid!AA:AA)</f>
        <v>0.1111111111111111</v>
      </c>
      <c r="V25" s="1"/>
      <c r="W25" s="1"/>
    </row>
    <row r="26" spans="1:23" x14ac:dyDescent="0.25">
      <c r="A26" s="1" t="s">
        <v>120</v>
      </c>
      <c r="B26" s="6">
        <v>2</v>
      </c>
      <c r="C26" s="7">
        <v>0.5</v>
      </c>
      <c r="D26" s="8">
        <f t="shared" si="0"/>
        <v>1</v>
      </c>
      <c r="E26" s="6"/>
      <c r="F26" s="7"/>
      <c r="G26" s="8">
        <f t="shared" si="1"/>
        <v>0</v>
      </c>
      <c r="H26" s="6"/>
      <c r="I26" s="7"/>
      <c r="J26" s="8">
        <f t="shared" si="2"/>
        <v>0</v>
      </c>
      <c r="K26" s="6"/>
      <c r="L26" s="7"/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2</v>
      </c>
      <c r="S26" s="9">
        <f t="shared" si="6"/>
        <v>0.5</v>
      </c>
      <c r="T26" s="9">
        <f t="shared" si="7"/>
        <v>3.8910505836575876E-3</v>
      </c>
      <c r="U26" s="9">
        <f>R26 / _xlfn.XLOOKUP(A26, Mid!A:A, Mid!AA:AA)</f>
        <v>4.0816326530612242E-2</v>
      </c>
      <c r="V26" s="1"/>
      <c r="W26" s="1"/>
    </row>
    <row r="27" spans="1:23" x14ac:dyDescent="0.25">
      <c r="A27" s="1" t="s">
        <v>48</v>
      </c>
      <c r="B27" s="6">
        <v>3</v>
      </c>
      <c r="C27" s="7">
        <v>0</v>
      </c>
      <c r="D27" s="8">
        <f t="shared" si="0"/>
        <v>0</v>
      </c>
      <c r="E27" s="6">
        <v>1</v>
      </c>
      <c r="F27" s="7">
        <v>0</v>
      </c>
      <c r="G27" s="8">
        <f t="shared" si="1"/>
        <v>0</v>
      </c>
      <c r="H27" s="6"/>
      <c r="I27" s="7"/>
      <c r="J27" s="8">
        <f t="shared" si="2"/>
        <v>0</v>
      </c>
      <c r="K27" s="6">
        <v>8</v>
      </c>
      <c r="L27" s="7">
        <v>0.625</v>
      </c>
      <c r="M27" s="8">
        <f t="shared" si="3"/>
        <v>5</v>
      </c>
      <c r="N27" s="6"/>
      <c r="O27" s="7"/>
      <c r="P27" s="8">
        <f t="shared" si="4"/>
        <v>0</v>
      </c>
      <c r="Q27" s="1"/>
      <c r="R27" s="6">
        <f t="shared" si="5"/>
        <v>12</v>
      </c>
      <c r="S27" s="9">
        <f t="shared" si="6"/>
        <v>0.41666666666666669</v>
      </c>
      <c r="T27" s="9">
        <f t="shared" si="7"/>
        <v>2.3346303501945526E-2</v>
      </c>
      <c r="U27" s="9">
        <f>R27 / _xlfn.XLOOKUP(A27, Mid!A:A, Mid!AA:AA)</f>
        <v>4.195804195804196E-2</v>
      </c>
      <c r="V27" s="1"/>
      <c r="W27" s="1"/>
    </row>
    <row r="28" spans="1:23" x14ac:dyDescent="0.25">
      <c r="A28" s="1" t="s">
        <v>34</v>
      </c>
      <c r="B28" s="6">
        <v>1</v>
      </c>
      <c r="C28" s="7">
        <v>0</v>
      </c>
      <c r="D28" s="8">
        <f t="shared" si="0"/>
        <v>0</v>
      </c>
      <c r="E28" s="6">
        <v>1</v>
      </c>
      <c r="F28" s="7">
        <v>1</v>
      </c>
      <c r="G28" s="8">
        <f t="shared" si="1"/>
        <v>1</v>
      </c>
      <c r="H28" s="6">
        <v>2</v>
      </c>
      <c r="I28" s="7">
        <v>0.5</v>
      </c>
      <c r="J28" s="8">
        <f t="shared" si="2"/>
        <v>1</v>
      </c>
      <c r="K28" s="6">
        <v>1</v>
      </c>
      <c r="L28" s="7">
        <v>0</v>
      </c>
      <c r="M28" s="8">
        <f t="shared" si="3"/>
        <v>0</v>
      </c>
      <c r="N28" s="6"/>
      <c r="O28" s="7"/>
      <c r="P28" s="8">
        <f t="shared" si="4"/>
        <v>0</v>
      </c>
      <c r="Q28" s="1"/>
      <c r="R28" s="6">
        <f t="shared" si="5"/>
        <v>5</v>
      </c>
      <c r="S28" s="9">
        <f t="shared" si="6"/>
        <v>0.4</v>
      </c>
      <c r="T28" s="9">
        <f t="shared" si="7"/>
        <v>9.727626459143969E-3</v>
      </c>
      <c r="U28" s="9">
        <f>R28 / _xlfn.XLOOKUP(A28, Mid!A:A, Mid!AA:AA)</f>
        <v>0.26315789473684209</v>
      </c>
      <c r="V28" s="1"/>
      <c r="W28" s="1"/>
    </row>
    <row r="29" spans="1:23" x14ac:dyDescent="0.25">
      <c r="A29" s="1" t="s">
        <v>109</v>
      </c>
      <c r="B29" s="6">
        <v>5</v>
      </c>
      <c r="C29" s="7">
        <v>0.4</v>
      </c>
      <c r="D29" s="8">
        <f t="shared" si="0"/>
        <v>2</v>
      </c>
      <c r="E29" s="6">
        <v>2</v>
      </c>
      <c r="F29" s="7">
        <v>0</v>
      </c>
      <c r="G29" s="8">
        <f t="shared" si="1"/>
        <v>0</v>
      </c>
      <c r="H29" s="6"/>
      <c r="I29" s="7"/>
      <c r="J29" s="8">
        <f t="shared" si="2"/>
        <v>0</v>
      </c>
      <c r="K29" s="6">
        <v>7</v>
      </c>
      <c r="L29" s="7">
        <v>0.42899999999999999</v>
      </c>
      <c r="M29" s="8">
        <f t="shared" si="3"/>
        <v>3.0030000000000001</v>
      </c>
      <c r="N29" s="6"/>
      <c r="O29" s="7"/>
      <c r="P29" s="8">
        <f t="shared" si="4"/>
        <v>0</v>
      </c>
      <c r="Q29" s="1"/>
      <c r="R29" s="6">
        <f t="shared" si="5"/>
        <v>14</v>
      </c>
      <c r="S29" s="9">
        <f t="shared" si="6"/>
        <v>0.35735714285714287</v>
      </c>
      <c r="T29" s="9">
        <f t="shared" si="7"/>
        <v>2.7237354085603113E-2</v>
      </c>
      <c r="U29" s="9">
        <f>R29 / _xlfn.XLOOKUP(A29, Mid!A:A, Mid!AA:AA)</f>
        <v>5.6451612903225805E-2</v>
      </c>
      <c r="V29" s="1"/>
      <c r="W29" s="1"/>
    </row>
    <row r="30" spans="1:23" x14ac:dyDescent="0.25">
      <c r="A30" s="1" t="s">
        <v>112</v>
      </c>
      <c r="B30" s="6">
        <v>4</v>
      </c>
      <c r="C30" s="7">
        <v>0.5</v>
      </c>
      <c r="D30" s="8">
        <f t="shared" si="0"/>
        <v>2</v>
      </c>
      <c r="E30" s="6"/>
      <c r="F30" s="7"/>
      <c r="G30" s="8">
        <f t="shared" si="1"/>
        <v>0</v>
      </c>
      <c r="H30" s="6"/>
      <c r="I30" s="7"/>
      <c r="J30" s="8">
        <f t="shared" si="2"/>
        <v>0</v>
      </c>
      <c r="K30" s="6">
        <v>10</v>
      </c>
      <c r="L30" s="7">
        <v>0.3</v>
      </c>
      <c r="M30" s="8">
        <f t="shared" si="3"/>
        <v>3</v>
      </c>
      <c r="N30" s="6"/>
      <c r="O30" s="7"/>
      <c r="P30" s="8">
        <f t="shared" si="4"/>
        <v>0</v>
      </c>
      <c r="Q30" s="1"/>
      <c r="R30" s="6">
        <f t="shared" si="5"/>
        <v>14</v>
      </c>
      <c r="S30" s="9">
        <f t="shared" si="6"/>
        <v>0.35714285714285715</v>
      </c>
      <c r="T30" s="9">
        <f t="shared" si="7"/>
        <v>2.7237354085603113E-2</v>
      </c>
      <c r="U30" s="9">
        <f>R30 / _xlfn.XLOOKUP(A30, Mid!A:A, Mid!AA:AA)</f>
        <v>7.909604519774012E-2</v>
      </c>
      <c r="V30" s="1"/>
      <c r="W30" s="1"/>
    </row>
    <row r="31" spans="1:23" x14ac:dyDescent="0.25">
      <c r="A31" s="1" t="s">
        <v>114</v>
      </c>
      <c r="B31" s="6">
        <v>5</v>
      </c>
      <c r="C31" s="7">
        <v>0.4</v>
      </c>
      <c r="D31" s="8">
        <f t="shared" si="0"/>
        <v>2</v>
      </c>
      <c r="E31" s="6">
        <v>1</v>
      </c>
      <c r="F31" s="7">
        <v>0</v>
      </c>
      <c r="G31" s="8">
        <f t="shared" si="1"/>
        <v>0</v>
      </c>
      <c r="H31" s="6"/>
      <c r="I31" s="7"/>
      <c r="J31" s="8">
        <f t="shared" si="2"/>
        <v>0</v>
      </c>
      <c r="K31" s="6"/>
      <c r="L31" s="7"/>
      <c r="M31" s="8">
        <f t="shared" si="3"/>
        <v>0</v>
      </c>
      <c r="N31" s="6"/>
      <c r="O31" s="7"/>
      <c r="P31" s="8">
        <f t="shared" si="4"/>
        <v>0</v>
      </c>
      <c r="Q31" s="1"/>
      <c r="R31" s="6">
        <f t="shared" si="5"/>
        <v>6</v>
      </c>
      <c r="S31" s="9">
        <f t="shared" si="6"/>
        <v>0.33333333333333331</v>
      </c>
      <c r="T31" s="9">
        <f t="shared" si="7"/>
        <v>1.1673151750972763E-2</v>
      </c>
      <c r="U31" s="9">
        <f>R31 / _xlfn.XLOOKUP(A31, Mid!A:A, Mid!AA:AA)</f>
        <v>6.5934065934065936E-2</v>
      </c>
      <c r="V31" s="1"/>
      <c r="W31" s="1"/>
    </row>
    <row r="32" spans="1:23" x14ac:dyDescent="0.25">
      <c r="A32" s="1" t="s">
        <v>115</v>
      </c>
      <c r="B32" s="6">
        <v>1</v>
      </c>
      <c r="C32" s="7">
        <v>0</v>
      </c>
      <c r="D32" s="8">
        <f t="shared" si="0"/>
        <v>0</v>
      </c>
      <c r="E32" s="6">
        <v>2</v>
      </c>
      <c r="F32" s="7">
        <v>0.5</v>
      </c>
      <c r="G32" s="8">
        <f t="shared" si="1"/>
        <v>1</v>
      </c>
      <c r="H32" s="6"/>
      <c r="I32" s="7"/>
      <c r="J32" s="8">
        <f t="shared" si="2"/>
        <v>0</v>
      </c>
      <c r="K32" s="6"/>
      <c r="L32" s="7"/>
      <c r="M32" s="8">
        <f t="shared" si="3"/>
        <v>0</v>
      </c>
      <c r="N32" s="6"/>
      <c r="O32" s="7"/>
      <c r="P32" s="8">
        <f t="shared" si="4"/>
        <v>0</v>
      </c>
      <c r="Q32" s="1"/>
      <c r="R32" s="6">
        <f t="shared" si="5"/>
        <v>3</v>
      </c>
      <c r="S32" s="9">
        <f t="shared" si="6"/>
        <v>0.33333333333333331</v>
      </c>
      <c r="T32" s="9">
        <f t="shared" si="7"/>
        <v>5.8365758754863814E-3</v>
      </c>
      <c r="U32" s="9">
        <f>R32 / _xlfn.XLOOKUP(A32, Mid!A:A, Mid!AA:AA)</f>
        <v>5.8823529411764705E-2</v>
      </c>
      <c r="V32" s="1"/>
      <c r="W32" s="1"/>
    </row>
    <row r="33" spans="1:23" x14ac:dyDescent="0.25">
      <c r="A33" s="1" t="s">
        <v>52</v>
      </c>
      <c r="B33" s="6">
        <v>7</v>
      </c>
      <c r="C33" s="7">
        <v>0.28599999999999998</v>
      </c>
      <c r="D33" s="8">
        <f t="shared" si="0"/>
        <v>2.0019999999999998</v>
      </c>
      <c r="E33" s="6">
        <v>2</v>
      </c>
      <c r="F33" s="7">
        <v>0</v>
      </c>
      <c r="G33" s="8">
        <f t="shared" si="1"/>
        <v>0</v>
      </c>
      <c r="H33" s="6">
        <v>1</v>
      </c>
      <c r="I33" s="7">
        <v>1</v>
      </c>
      <c r="J33" s="8">
        <f t="shared" si="2"/>
        <v>1</v>
      </c>
      <c r="K33" s="6"/>
      <c r="L33" s="7"/>
      <c r="M33" s="8">
        <f t="shared" si="3"/>
        <v>0</v>
      </c>
      <c r="N33" s="6"/>
      <c r="O33" s="7"/>
      <c r="P33" s="8">
        <f t="shared" si="4"/>
        <v>0</v>
      </c>
      <c r="Q33" s="13"/>
      <c r="R33" s="6">
        <f t="shared" si="5"/>
        <v>10</v>
      </c>
      <c r="S33" s="9">
        <f t="shared" si="6"/>
        <v>0.30019999999999997</v>
      </c>
      <c r="T33" s="9">
        <f t="shared" si="7"/>
        <v>1.9455252918287938E-2</v>
      </c>
      <c r="U33" s="9">
        <f>R33 / _xlfn.XLOOKUP(A33, Mid!A:A, Mid!AA:AA)</f>
        <v>4.5248868778280542E-2</v>
      </c>
      <c r="V33" s="1"/>
      <c r="W33" s="1"/>
    </row>
    <row r="34" spans="1:23" x14ac:dyDescent="0.25">
      <c r="A34" s="1" t="s">
        <v>10</v>
      </c>
      <c r="B34" s="6"/>
      <c r="C34" s="7"/>
      <c r="D34" s="8">
        <f t="shared" si="0"/>
        <v>0</v>
      </c>
      <c r="E34" s="6">
        <v>7</v>
      </c>
      <c r="F34" s="7">
        <v>0.28599999999999998</v>
      </c>
      <c r="G34" s="8">
        <f t="shared" si="1"/>
        <v>2.0019999999999998</v>
      </c>
      <c r="H34" s="6"/>
      <c r="I34" s="7"/>
      <c r="J34" s="8">
        <f t="shared" si="2"/>
        <v>0</v>
      </c>
      <c r="K34" s="6"/>
      <c r="L34" s="7"/>
      <c r="M34" s="8">
        <f t="shared" si="3"/>
        <v>0</v>
      </c>
      <c r="N34" s="6"/>
      <c r="O34" s="7"/>
      <c r="P34" s="8">
        <f t="shared" si="4"/>
        <v>0</v>
      </c>
      <c r="Q34" s="1"/>
      <c r="R34" s="6">
        <f t="shared" si="5"/>
        <v>7</v>
      </c>
      <c r="S34" s="9">
        <f t="shared" si="6"/>
        <v>0.28599999999999998</v>
      </c>
      <c r="T34" s="9">
        <f t="shared" si="7"/>
        <v>1.3618677042801557E-2</v>
      </c>
      <c r="U34" s="9">
        <f>R34 / _xlfn.XLOOKUP(A34, Mid!A:A, Mid!AA:AA)</f>
        <v>0.21212121212121213</v>
      </c>
      <c r="V34" s="1"/>
      <c r="W34" s="1"/>
    </row>
    <row r="35" spans="1:23" x14ac:dyDescent="0.25">
      <c r="A35" s="1" t="s">
        <v>118</v>
      </c>
      <c r="B35" s="6"/>
      <c r="C35" s="7"/>
      <c r="D35" s="8">
        <f t="shared" si="0"/>
        <v>0</v>
      </c>
      <c r="E35" s="6"/>
      <c r="F35" s="7"/>
      <c r="G35" s="8">
        <f t="shared" si="1"/>
        <v>0</v>
      </c>
      <c r="H35" s="6"/>
      <c r="I35" s="7"/>
      <c r="J35" s="8">
        <f t="shared" si="2"/>
        <v>0</v>
      </c>
      <c r="K35" s="6">
        <v>1</v>
      </c>
      <c r="L35" s="7">
        <v>0</v>
      </c>
      <c r="M35" s="8">
        <f t="shared" si="3"/>
        <v>0</v>
      </c>
      <c r="N35" s="6"/>
      <c r="O35" s="7"/>
      <c r="P35" s="8">
        <f t="shared" si="4"/>
        <v>0</v>
      </c>
      <c r="Q35" s="1"/>
      <c r="R35" s="6">
        <f t="shared" si="5"/>
        <v>1</v>
      </c>
      <c r="S35" s="9">
        <f t="shared" si="6"/>
        <v>0</v>
      </c>
      <c r="T35" s="9">
        <f t="shared" si="7"/>
        <v>1.9455252918287938E-3</v>
      </c>
      <c r="U35" s="9">
        <f>R35 / _xlfn.XLOOKUP(A35, Mid!A:A, Mid!AA:AA)</f>
        <v>1.4285714285714285E-2</v>
      </c>
      <c r="V35" s="1"/>
      <c r="W35" s="1"/>
    </row>
    <row r="36" spans="1:23" x14ac:dyDescent="0.25">
      <c r="A36" s="1" t="s">
        <v>24</v>
      </c>
      <c r="B36" s="6"/>
      <c r="C36" s="7"/>
      <c r="D36" s="8">
        <f t="shared" si="0"/>
        <v>0</v>
      </c>
      <c r="E36" s="6">
        <v>1</v>
      </c>
      <c r="F36" s="7">
        <v>0</v>
      </c>
      <c r="G36" s="8">
        <f t="shared" si="1"/>
        <v>0</v>
      </c>
      <c r="H36" s="6"/>
      <c r="I36" s="7"/>
      <c r="J36" s="8">
        <f t="shared" si="2"/>
        <v>0</v>
      </c>
      <c r="K36" s="6"/>
      <c r="L36" s="7"/>
      <c r="M36" s="8">
        <f t="shared" si="3"/>
        <v>0</v>
      </c>
      <c r="N36" s="6"/>
      <c r="O36" s="7"/>
      <c r="P36" s="8">
        <f t="shared" si="4"/>
        <v>0</v>
      </c>
      <c r="Q36" s="1"/>
      <c r="R36" s="6">
        <f t="shared" si="5"/>
        <v>1</v>
      </c>
      <c r="S36" s="9">
        <f t="shared" si="6"/>
        <v>0</v>
      </c>
      <c r="T36" s="9">
        <f t="shared" si="7"/>
        <v>1.9455252918287938E-3</v>
      </c>
      <c r="U36" s="9">
        <f>R36 / _xlfn.XLOOKUP(A36, Mid!A:A, Mid!AA:AA)</f>
        <v>0.1</v>
      </c>
      <c r="V36" s="1"/>
      <c r="W36" s="1"/>
    </row>
    <row r="37" spans="1:23" x14ac:dyDescent="0.25">
      <c r="A37" s="25" t="s">
        <v>125</v>
      </c>
      <c r="B37" s="6"/>
      <c r="C37" s="7"/>
      <c r="D37" s="8">
        <f t="shared" si="0"/>
        <v>0</v>
      </c>
      <c r="E37" s="6"/>
      <c r="F37" s="7"/>
      <c r="G37" s="8">
        <f t="shared" si="1"/>
        <v>0</v>
      </c>
      <c r="H37" s="6"/>
      <c r="I37" s="7"/>
      <c r="J37" s="8">
        <f t="shared" si="2"/>
        <v>0</v>
      </c>
      <c r="K37" s="6">
        <v>1</v>
      </c>
      <c r="L37" s="7">
        <v>0</v>
      </c>
      <c r="M37" s="8">
        <f t="shared" si="3"/>
        <v>0</v>
      </c>
      <c r="N37" s="6"/>
      <c r="O37" s="7"/>
      <c r="P37" s="8">
        <f t="shared" si="4"/>
        <v>0</v>
      </c>
      <c r="Q37" s="1"/>
      <c r="R37" s="6">
        <f t="shared" si="5"/>
        <v>1</v>
      </c>
      <c r="S37" s="9">
        <f t="shared" si="6"/>
        <v>0</v>
      </c>
      <c r="T37" s="9">
        <f t="shared" si="7"/>
        <v>1.9455252918287938E-3</v>
      </c>
      <c r="U37" s="9">
        <f>R37 / _xlfn.XLOOKUP(A37, Mid!A:A, Mid!AA:AA)</f>
        <v>1.8181818181818181E-2</v>
      </c>
    </row>
    <row r="38" spans="1:23" x14ac:dyDescent="0.25">
      <c r="A38" s="25" t="s">
        <v>22</v>
      </c>
      <c r="B38" s="6"/>
      <c r="C38" s="7"/>
      <c r="D38" s="8">
        <f t="shared" si="0"/>
        <v>0</v>
      </c>
      <c r="E38" s="6"/>
      <c r="F38" s="7"/>
      <c r="G38" s="8">
        <f t="shared" si="1"/>
        <v>0</v>
      </c>
      <c r="H38" s="6"/>
      <c r="I38" s="7"/>
      <c r="J38" s="8">
        <f t="shared" si="2"/>
        <v>0</v>
      </c>
      <c r="K38" s="6">
        <v>1</v>
      </c>
      <c r="L38" s="7">
        <v>0</v>
      </c>
      <c r="M38" s="8">
        <f t="shared" si="3"/>
        <v>0</v>
      </c>
      <c r="N38" s="6"/>
      <c r="O38" s="7"/>
      <c r="P38" s="8">
        <f t="shared" si="4"/>
        <v>0</v>
      </c>
      <c r="Q38" s="1"/>
      <c r="R38" s="6">
        <f t="shared" si="5"/>
        <v>1</v>
      </c>
      <c r="S38" s="9">
        <f t="shared" si="6"/>
        <v>0</v>
      </c>
      <c r="T38" s="9">
        <f t="shared" si="7"/>
        <v>1.9455252918287938E-3</v>
      </c>
      <c r="U38" s="9">
        <f>R38 / _xlfn.XLOOKUP(A38, Mid!A:A, Mid!AA:AA)</f>
        <v>0.125</v>
      </c>
    </row>
    <row r="39" spans="1:23" x14ac:dyDescent="0.25">
      <c r="A39" s="15"/>
      <c r="B39" s="6"/>
      <c r="C39" s="7"/>
      <c r="D39" s="8">
        <f t="shared" ref="D39:D40" si="8">B39*C39</f>
        <v>0</v>
      </c>
      <c r="E39" s="6"/>
      <c r="F39" s="7"/>
      <c r="G39" s="8">
        <f t="shared" ref="G39:G40" si="9">E39*F39</f>
        <v>0</v>
      </c>
      <c r="H39" s="6"/>
      <c r="I39" s="7"/>
      <c r="J39" s="8">
        <f t="shared" ref="J39:J40" si="10">H39*I39</f>
        <v>0</v>
      </c>
      <c r="K39" s="6"/>
      <c r="L39" s="7"/>
      <c r="M39" s="8">
        <f t="shared" ref="M39:M40" si="11">K39*L39</f>
        <v>0</v>
      </c>
      <c r="N39" s="6"/>
      <c r="O39" s="7"/>
      <c r="P39" s="8">
        <f t="shared" ref="P39:P51" si="12">N39*O39</f>
        <v>0</v>
      </c>
      <c r="Q39" s="1"/>
      <c r="R39" s="6">
        <f t="shared" ref="R39:R51" si="13">B39+E39+H39+K39+N39</f>
        <v>0</v>
      </c>
      <c r="S39" s="9" t="e">
        <f t="shared" ref="S39:S51" si="14">(D39+G39+J39+M39+P39)/R39</f>
        <v>#DIV/0!</v>
      </c>
      <c r="T39" s="9">
        <f t="shared" ref="T39:T51" si="15">R39/$V$3</f>
        <v>0</v>
      </c>
      <c r="U39" s="9" t="e">
        <f>R39 / _xlfn.XLOOKUP(A39, Mid!A:A, Mid!AA:AA)</f>
        <v>#DIV/0!</v>
      </c>
    </row>
    <row r="40" spans="1:23" x14ac:dyDescent="0.25">
      <c r="A40" s="15"/>
      <c r="B40" s="6"/>
      <c r="C40" s="7"/>
      <c r="D40" s="8">
        <f t="shared" si="8"/>
        <v>0</v>
      </c>
      <c r="E40" s="6"/>
      <c r="F40" s="7"/>
      <c r="G40" s="8">
        <f t="shared" si="9"/>
        <v>0</v>
      </c>
      <c r="H40" s="6"/>
      <c r="I40" s="7"/>
      <c r="J40" s="8">
        <f t="shared" si="10"/>
        <v>0</v>
      </c>
      <c r="K40" s="6"/>
      <c r="L40" s="7"/>
      <c r="M40" s="8">
        <f t="shared" si="11"/>
        <v>0</v>
      </c>
      <c r="N40" s="6"/>
      <c r="O40" s="7"/>
      <c r="P40" s="8">
        <f t="shared" si="12"/>
        <v>0</v>
      </c>
      <c r="Q40" s="1"/>
      <c r="R40" s="6">
        <f t="shared" si="13"/>
        <v>0</v>
      </c>
      <c r="S40" s="9" t="e">
        <f t="shared" si="14"/>
        <v>#DIV/0!</v>
      </c>
      <c r="T40" s="9">
        <f t="shared" si="15"/>
        <v>0</v>
      </c>
      <c r="U40" s="9" t="e">
        <f>R40 / _xlfn.XLOOKUP(A40, Mid!A:A, Mid!AA:AA)</f>
        <v>#DIV/0!</v>
      </c>
    </row>
    <row r="41" spans="1:23" x14ac:dyDescent="0.25">
      <c r="N41" s="6"/>
      <c r="O41" s="7"/>
      <c r="P41" s="8">
        <f t="shared" si="12"/>
        <v>0</v>
      </c>
      <c r="Q41" s="1"/>
      <c r="R41" s="6">
        <f t="shared" si="13"/>
        <v>0</v>
      </c>
      <c r="S41" s="9" t="e">
        <f t="shared" si="14"/>
        <v>#DIV/0!</v>
      </c>
      <c r="T41" s="9">
        <f t="shared" si="15"/>
        <v>0</v>
      </c>
      <c r="U41" s="9" t="e">
        <f>R41 / _xlfn.XLOOKUP(A41, Mid!A:A, Mid!AA:AA)</f>
        <v>#DIV/0!</v>
      </c>
    </row>
    <row r="42" spans="1:23" x14ac:dyDescent="0.25">
      <c r="N42" s="6"/>
      <c r="O42" s="7"/>
      <c r="P42" s="8">
        <f t="shared" si="12"/>
        <v>0</v>
      </c>
      <c r="Q42" s="1"/>
      <c r="R42" s="6">
        <f t="shared" si="13"/>
        <v>0</v>
      </c>
      <c r="S42" s="9" t="e">
        <f t="shared" si="14"/>
        <v>#DIV/0!</v>
      </c>
      <c r="T42" s="9">
        <f t="shared" si="15"/>
        <v>0</v>
      </c>
      <c r="U42" s="9" t="e">
        <f>R42 / _xlfn.XLOOKUP(A42, Mid!A:A, Mid!AA:AA)</f>
        <v>#DIV/0!</v>
      </c>
    </row>
    <row r="43" spans="1:23" x14ac:dyDescent="0.25">
      <c r="N43" s="6"/>
      <c r="O43" s="7"/>
      <c r="P43" s="8">
        <f t="shared" si="12"/>
        <v>0</v>
      </c>
      <c r="Q43" s="1"/>
      <c r="R43" s="6">
        <f t="shared" si="13"/>
        <v>0</v>
      </c>
      <c r="S43" s="9" t="e">
        <f t="shared" si="14"/>
        <v>#DIV/0!</v>
      </c>
      <c r="T43" s="9">
        <f t="shared" si="15"/>
        <v>0</v>
      </c>
      <c r="U43" s="9" t="e">
        <f>R43 / _xlfn.XLOOKUP(A43, Mid!A:A, Mid!AA:AA)</f>
        <v>#DIV/0!</v>
      </c>
    </row>
    <row r="44" spans="1:23" x14ac:dyDescent="0.25">
      <c r="N44" s="6"/>
      <c r="O44" s="7"/>
      <c r="P44" s="8">
        <f t="shared" si="12"/>
        <v>0</v>
      </c>
      <c r="Q44" s="1"/>
      <c r="R44" s="6">
        <f t="shared" si="13"/>
        <v>0</v>
      </c>
      <c r="S44" s="9" t="e">
        <f t="shared" si="14"/>
        <v>#DIV/0!</v>
      </c>
      <c r="T44" s="9">
        <f t="shared" si="15"/>
        <v>0</v>
      </c>
      <c r="U44" s="9" t="e">
        <f>R44 / _xlfn.XLOOKUP(A44, Mid!A:A, Mid!AA:AA)</f>
        <v>#DIV/0!</v>
      </c>
    </row>
    <row r="45" spans="1:23" x14ac:dyDescent="0.25">
      <c r="N45" s="6"/>
      <c r="O45" s="7"/>
      <c r="P45" s="8">
        <f t="shared" si="12"/>
        <v>0</v>
      </c>
      <c r="Q45" s="1"/>
      <c r="R45" s="6">
        <f t="shared" si="13"/>
        <v>0</v>
      </c>
      <c r="S45" s="9" t="e">
        <f t="shared" si="14"/>
        <v>#DIV/0!</v>
      </c>
      <c r="T45" s="9">
        <f t="shared" si="15"/>
        <v>0</v>
      </c>
      <c r="U45" s="9" t="e">
        <f>R45 / _xlfn.XLOOKUP(A45, Mid!A:A, Mid!AA:AA)</f>
        <v>#DIV/0!</v>
      </c>
    </row>
    <row r="46" spans="1:23" x14ac:dyDescent="0.25">
      <c r="N46" s="6"/>
      <c r="O46" s="7"/>
      <c r="P46" s="8">
        <f t="shared" si="12"/>
        <v>0</v>
      </c>
      <c r="Q46" s="1"/>
      <c r="R46" s="6">
        <f t="shared" si="13"/>
        <v>0</v>
      </c>
      <c r="S46" s="9" t="e">
        <f t="shared" si="14"/>
        <v>#DIV/0!</v>
      </c>
      <c r="T46" s="9">
        <f t="shared" si="15"/>
        <v>0</v>
      </c>
      <c r="U46" s="9" t="e">
        <f>R46 / _xlfn.XLOOKUP(A46, Mid!A:A, Mid!AA:AA)</f>
        <v>#DIV/0!</v>
      </c>
    </row>
    <row r="47" spans="1:23" x14ac:dyDescent="0.25">
      <c r="N47" s="6"/>
      <c r="O47" s="7"/>
      <c r="P47" s="8">
        <f t="shared" si="12"/>
        <v>0</v>
      </c>
      <c r="Q47" s="1"/>
      <c r="R47" s="6">
        <f t="shared" si="13"/>
        <v>0</v>
      </c>
      <c r="S47" s="9" t="e">
        <f t="shared" si="14"/>
        <v>#DIV/0!</v>
      </c>
      <c r="T47" s="9">
        <f t="shared" si="15"/>
        <v>0</v>
      </c>
      <c r="U47" s="9" t="e">
        <f>R47 / _xlfn.XLOOKUP(A47, Mid!A:A, Mid!AA:AA)</f>
        <v>#DIV/0!</v>
      </c>
    </row>
    <row r="48" spans="1:23" x14ac:dyDescent="0.25">
      <c r="N48" s="6"/>
      <c r="O48" s="7"/>
      <c r="P48" s="8">
        <f t="shared" si="12"/>
        <v>0</v>
      </c>
      <c r="Q48" s="1"/>
      <c r="R48" s="6">
        <f t="shared" si="13"/>
        <v>0</v>
      </c>
      <c r="S48" s="9" t="e">
        <f t="shared" si="14"/>
        <v>#DIV/0!</v>
      </c>
      <c r="T48" s="9">
        <f t="shared" si="15"/>
        <v>0</v>
      </c>
      <c r="U48" s="9" t="e">
        <f>R48 / _xlfn.XLOOKUP(A48, Mid!A:A, Mid!AA:AA)</f>
        <v>#DIV/0!</v>
      </c>
    </row>
    <row r="49" spans="14:21" x14ac:dyDescent="0.25">
      <c r="N49" s="6"/>
      <c r="O49" s="7"/>
      <c r="P49" s="8">
        <f t="shared" si="12"/>
        <v>0</v>
      </c>
      <c r="Q49" s="1"/>
      <c r="R49" s="6">
        <f t="shared" si="13"/>
        <v>0</v>
      </c>
      <c r="S49" s="9" t="e">
        <f t="shared" si="14"/>
        <v>#DIV/0!</v>
      </c>
      <c r="T49" s="9">
        <f t="shared" si="15"/>
        <v>0</v>
      </c>
      <c r="U49" s="9" t="e">
        <f>R49 / _xlfn.XLOOKUP(A49, Mid!A:A, Mid!AA:AA)</f>
        <v>#DIV/0!</v>
      </c>
    </row>
    <row r="50" spans="14:21" x14ac:dyDescent="0.25">
      <c r="N50" s="6"/>
      <c r="O50" s="7"/>
      <c r="P50" s="8">
        <f t="shared" si="12"/>
        <v>0</v>
      </c>
      <c r="Q50" s="1"/>
      <c r="R50" s="6">
        <f t="shared" si="13"/>
        <v>0</v>
      </c>
      <c r="S50" s="9" t="e">
        <f t="shared" si="14"/>
        <v>#DIV/0!</v>
      </c>
      <c r="T50" s="9">
        <f t="shared" si="15"/>
        <v>0</v>
      </c>
      <c r="U50" s="9" t="e">
        <f>R50 / _xlfn.XLOOKUP(A50, Mid!A:A, Mid!AA:AA)</f>
        <v>#DIV/0!</v>
      </c>
    </row>
    <row r="51" spans="14:21" x14ac:dyDescent="0.25">
      <c r="N51" s="6"/>
      <c r="O51" s="7"/>
      <c r="P51" s="8">
        <f t="shared" si="12"/>
        <v>0</v>
      </c>
      <c r="Q51" s="1"/>
      <c r="R51" s="6">
        <f t="shared" si="13"/>
        <v>0</v>
      </c>
      <c r="S51" s="9" t="e">
        <f t="shared" si="14"/>
        <v>#DIV/0!</v>
      </c>
      <c r="T51" s="9">
        <f t="shared" si="15"/>
        <v>0</v>
      </c>
      <c r="U51" s="9" t="e">
        <f>R51 / _xlfn.XLOOKUP(A51, Mid!A:A, Mid!AA:AA)</f>
        <v>#DIV/0!</v>
      </c>
    </row>
    <row r="52" spans="14:21" x14ac:dyDescent="0.25">
      <c r="U52" s="9" t="e">
        <f>R52 / _xlfn.XLOOKUP(A52, Mid!A:A, Mid!AA:AA)</f>
        <v>#DIV/0!</v>
      </c>
    </row>
    <row r="53" spans="14:21" x14ac:dyDescent="0.25">
      <c r="U53" s="9" t="e">
        <f>R53 / _xlfn.XLOOKUP(A53, Mid!A:A, Mid!AA:AA)</f>
        <v>#DIV/0!</v>
      </c>
    </row>
    <row r="54" spans="14:21" x14ac:dyDescent="0.25">
      <c r="U54" s="9" t="e">
        <f>R54 / _xlfn.XLOOKUP(A54, Mid!A:A, Mid!AA:AA)</f>
        <v>#DIV/0!</v>
      </c>
    </row>
    <row r="55" spans="14:21" x14ac:dyDescent="0.25">
      <c r="U55" s="9" t="e">
        <f>R55 / _xlfn.XLOOKUP(A55, Mid!A:A, Mid!AA:AA)</f>
        <v>#DIV/0!</v>
      </c>
    </row>
    <row r="56" spans="14:21" x14ac:dyDescent="0.25">
      <c r="U56" s="9" t="e">
        <f>R56 / _xlfn.XLOOKUP(A56, Mid!A:A, Mid!AA:AA)</f>
        <v>#DIV/0!</v>
      </c>
    </row>
  </sheetData>
  <sortState xmlns:xlrd2="http://schemas.microsoft.com/office/spreadsheetml/2017/richdata2" ref="A3:U38">
    <sortCondition descending="1" ref="S3:S38"/>
  </sortState>
  <pageMargins left="0.7" right="0.7" top="0.78740157499999996" bottom="0.78740157499999996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4791C-90D4-44BA-AEF5-8D1181B3164C}">
  <sheetPr>
    <tabColor theme="5" tint="0.59999389629810485"/>
  </sheetPr>
  <dimension ref="A1:W54"/>
  <sheetViews>
    <sheetView workbookViewId="0">
      <selection activeCell="U3" sqref="U3:U31"/>
    </sheetView>
  </sheetViews>
  <sheetFormatPr baseColWidth="10" defaultRowHeight="15" x14ac:dyDescent="0.25"/>
  <sheetData>
    <row r="1" spans="1:23" ht="15.75" x14ac:dyDescent="0.25">
      <c r="A1" s="2" t="s">
        <v>162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161</v>
      </c>
      <c r="B3" s="6"/>
      <c r="C3" s="7"/>
      <c r="D3" s="8">
        <f t="shared" ref="D3:D31" si="0">B3*C3</f>
        <v>0</v>
      </c>
      <c r="E3" s="6"/>
      <c r="F3" s="7"/>
      <c r="G3" s="8">
        <f t="shared" ref="G3:G31" si="1">E3*F3</f>
        <v>0</v>
      </c>
      <c r="H3" s="6"/>
      <c r="I3" s="7"/>
      <c r="J3" s="8">
        <f t="shared" ref="J3:J31" si="2">H3*I3</f>
        <v>0</v>
      </c>
      <c r="K3" s="6"/>
      <c r="L3" s="7"/>
      <c r="M3" s="8">
        <f t="shared" ref="M3:M31" si="3">K3*L3</f>
        <v>0</v>
      </c>
      <c r="N3" s="6"/>
      <c r="O3" s="7"/>
      <c r="P3" s="8">
        <f t="shared" ref="P3:P31" si="4">N3*O3</f>
        <v>0</v>
      </c>
      <c r="Q3" s="1"/>
      <c r="R3" s="6">
        <f t="shared" ref="R3:R31" si="5">B3+E3+H3+K3+N3</f>
        <v>0</v>
      </c>
      <c r="S3" s="9" t="e">
        <f t="shared" ref="S3:S31" si="6">(D3+G3+J3+M3+P3)/R3</f>
        <v>#DIV/0!</v>
      </c>
      <c r="T3" s="9">
        <f t="shared" ref="T3:T31" si="7">R3/$V$3</f>
        <v>0</v>
      </c>
      <c r="U3" s="9">
        <f>R3 / _xlfn.XLOOKUP(A3, Bottom!A:A, Bottom!AA:AA)</f>
        <v>0</v>
      </c>
      <c r="V3" s="11">
        <f>SUM(R3:R68)</f>
        <v>483</v>
      </c>
      <c r="W3" s="12">
        <f>(SUM(D3:D98)+SUM(G3:G98)+SUM(J3:J98)+SUM(M3:M98)+SUM(P3:P98)) / V3</f>
        <v>0.5651635610766047</v>
      </c>
    </row>
    <row r="4" spans="1:23" x14ac:dyDescent="0.25">
      <c r="A4" s="1" t="s">
        <v>152</v>
      </c>
      <c r="B4" s="6"/>
      <c r="C4" s="7"/>
      <c r="D4" s="8">
        <f t="shared" si="0"/>
        <v>0</v>
      </c>
      <c r="E4" s="6"/>
      <c r="F4" s="7"/>
      <c r="G4" s="8">
        <f t="shared" si="1"/>
        <v>0</v>
      </c>
      <c r="H4" s="6">
        <v>1</v>
      </c>
      <c r="I4" s="7">
        <v>1</v>
      </c>
      <c r="J4" s="8">
        <f t="shared" si="2"/>
        <v>1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1</v>
      </c>
      <c r="S4" s="9">
        <f t="shared" si="6"/>
        <v>1</v>
      </c>
      <c r="T4" s="9">
        <f t="shared" si="7"/>
        <v>2.070393374741201E-3</v>
      </c>
      <c r="U4" s="9">
        <f>R4 / _xlfn.XLOOKUP(A4, Bottom!A:A, Bottom!AA:AA)</f>
        <v>3.8461538461538464E-2</v>
      </c>
      <c r="W4" s="1"/>
    </row>
    <row r="5" spans="1:23" x14ac:dyDescent="0.25">
      <c r="A5" s="1" t="s">
        <v>25</v>
      </c>
      <c r="B5" s="6"/>
      <c r="C5" s="7"/>
      <c r="D5" s="8">
        <f t="shared" si="0"/>
        <v>0</v>
      </c>
      <c r="E5" s="6">
        <v>1</v>
      </c>
      <c r="F5" s="7">
        <v>1</v>
      </c>
      <c r="G5" s="8">
        <f t="shared" si="1"/>
        <v>1</v>
      </c>
      <c r="H5" s="6"/>
      <c r="I5" s="7"/>
      <c r="J5" s="8">
        <f t="shared" si="2"/>
        <v>0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1</v>
      </c>
      <c r="S5" s="9">
        <f t="shared" si="6"/>
        <v>1</v>
      </c>
      <c r="T5" s="9">
        <f t="shared" si="7"/>
        <v>2.070393374741201E-3</v>
      </c>
      <c r="U5" s="9">
        <f>R5 / _xlfn.XLOOKUP(A5, Bottom!A:A, Bottom!AA:AA)</f>
        <v>9.0909090909090912E-2</v>
      </c>
      <c r="V5" s="1"/>
      <c r="W5" s="1"/>
    </row>
    <row r="6" spans="1:23" x14ac:dyDescent="0.25">
      <c r="A6" s="1" t="s">
        <v>140</v>
      </c>
      <c r="B6" s="6">
        <v>19</v>
      </c>
      <c r="C6" s="7">
        <v>0.84199999999999997</v>
      </c>
      <c r="D6" s="8">
        <f t="shared" si="0"/>
        <v>15.997999999999999</v>
      </c>
      <c r="E6" s="6">
        <v>15</v>
      </c>
      <c r="F6" s="7">
        <v>0.6</v>
      </c>
      <c r="G6" s="8">
        <f t="shared" si="1"/>
        <v>9</v>
      </c>
      <c r="H6" s="6">
        <v>3</v>
      </c>
      <c r="I6" s="7">
        <v>0.33300000000000002</v>
      </c>
      <c r="J6" s="8">
        <f t="shared" si="2"/>
        <v>0.99900000000000011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4"/>
      <c r="R6" s="6">
        <f t="shared" si="5"/>
        <v>37</v>
      </c>
      <c r="S6" s="9">
        <f t="shared" si="6"/>
        <v>0.70262162162162156</v>
      </c>
      <c r="T6" s="9">
        <f t="shared" si="7"/>
        <v>7.6604554865424432E-2</v>
      </c>
      <c r="U6" s="9">
        <f>R6 / _xlfn.XLOOKUP(A6, Bottom!A:A, Bottom!AA:AA)</f>
        <v>7.1428571428571425E-2</v>
      </c>
      <c r="V6" s="1"/>
      <c r="W6" s="1"/>
    </row>
    <row r="7" spans="1:23" x14ac:dyDescent="0.25">
      <c r="A7" s="1" t="s">
        <v>139</v>
      </c>
      <c r="B7" s="6">
        <v>14</v>
      </c>
      <c r="C7" s="7">
        <v>0.57099999999999995</v>
      </c>
      <c r="D7" s="8">
        <f t="shared" si="0"/>
        <v>7.9939999999999998</v>
      </c>
      <c r="E7" s="6">
        <v>33</v>
      </c>
      <c r="F7" s="7">
        <v>0.78800000000000003</v>
      </c>
      <c r="G7" s="8">
        <f t="shared" si="1"/>
        <v>26.004000000000001</v>
      </c>
      <c r="H7" s="6">
        <v>18</v>
      </c>
      <c r="I7" s="7">
        <v>0.5</v>
      </c>
      <c r="J7" s="8">
        <f t="shared" si="2"/>
        <v>9</v>
      </c>
      <c r="K7" s="6">
        <v>7</v>
      </c>
      <c r="L7" s="7">
        <v>0.85699999999999998</v>
      </c>
      <c r="M7" s="8">
        <f t="shared" si="3"/>
        <v>5.9989999999999997</v>
      </c>
      <c r="N7" s="6"/>
      <c r="O7" s="7"/>
      <c r="P7" s="8">
        <f t="shared" si="4"/>
        <v>0</v>
      </c>
      <c r="Q7" s="1"/>
      <c r="R7" s="6">
        <f t="shared" si="5"/>
        <v>72</v>
      </c>
      <c r="S7" s="9">
        <f t="shared" si="6"/>
        <v>0.68051388888888897</v>
      </c>
      <c r="T7" s="9">
        <f t="shared" si="7"/>
        <v>0.14906832298136646</v>
      </c>
      <c r="U7" s="9">
        <f>R7 / _xlfn.XLOOKUP(A7, Bottom!A:A, Bottom!AA:AA)</f>
        <v>0.13533834586466165</v>
      </c>
      <c r="V7" s="1"/>
      <c r="W7" s="1"/>
    </row>
    <row r="8" spans="1:23" x14ac:dyDescent="0.25">
      <c r="A8" s="1" t="s">
        <v>134</v>
      </c>
      <c r="B8" s="6">
        <v>8</v>
      </c>
      <c r="C8" s="7">
        <v>0.375</v>
      </c>
      <c r="D8" s="8">
        <f t="shared" si="0"/>
        <v>3</v>
      </c>
      <c r="E8" s="6">
        <v>12</v>
      </c>
      <c r="F8" s="7">
        <v>0.83299999999999996</v>
      </c>
      <c r="G8" s="8">
        <f t="shared" si="1"/>
        <v>9.9959999999999987</v>
      </c>
      <c r="H8" s="6">
        <v>10</v>
      </c>
      <c r="I8" s="7">
        <v>0.8</v>
      </c>
      <c r="J8" s="8">
        <f t="shared" si="2"/>
        <v>8</v>
      </c>
      <c r="K8" s="6">
        <v>16</v>
      </c>
      <c r="L8" s="7">
        <v>0.625</v>
      </c>
      <c r="M8" s="8">
        <f t="shared" si="3"/>
        <v>10</v>
      </c>
      <c r="N8" s="6"/>
      <c r="O8" s="7"/>
      <c r="P8" s="8">
        <f t="shared" si="4"/>
        <v>0</v>
      </c>
      <c r="Q8" s="1"/>
      <c r="R8" s="6">
        <f t="shared" si="5"/>
        <v>46</v>
      </c>
      <c r="S8" s="9">
        <f t="shared" si="6"/>
        <v>0.67382608695652169</v>
      </c>
      <c r="T8" s="9">
        <f t="shared" si="7"/>
        <v>9.5238095238095233E-2</v>
      </c>
      <c r="U8" s="9">
        <f>R8 / _xlfn.XLOOKUP(A8, Bottom!A:A, Bottom!AA:AA)</f>
        <v>0.10043668122270742</v>
      </c>
      <c r="V8" s="1"/>
      <c r="W8" s="1"/>
    </row>
    <row r="9" spans="1:23" x14ac:dyDescent="0.25">
      <c r="A9" s="1" t="s">
        <v>156</v>
      </c>
      <c r="B9" s="6"/>
      <c r="C9" s="7"/>
      <c r="D9" s="8">
        <f t="shared" si="0"/>
        <v>0</v>
      </c>
      <c r="E9" s="6">
        <v>6</v>
      </c>
      <c r="F9" s="7">
        <v>0.66700000000000004</v>
      </c>
      <c r="G9" s="8">
        <f t="shared" si="1"/>
        <v>4.0020000000000007</v>
      </c>
      <c r="H9" s="6"/>
      <c r="I9" s="7"/>
      <c r="J9" s="8">
        <f t="shared" si="2"/>
        <v>0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13"/>
      <c r="R9" s="6">
        <f t="shared" si="5"/>
        <v>6</v>
      </c>
      <c r="S9" s="9">
        <f t="shared" si="6"/>
        <v>0.66700000000000015</v>
      </c>
      <c r="T9" s="9">
        <f t="shared" si="7"/>
        <v>1.2422360248447204E-2</v>
      </c>
      <c r="U9" s="9">
        <f>R9 / _xlfn.XLOOKUP(A9, Bottom!A:A, Bottom!AA:AA)</f>
        <v>5.2631578947368418E-2</v>
      </c>
      <c r="V9" s="1"/>
      <c r="W9" s="1"/>
    </row>
    <row r="10" spans="1:23" x14ac:dyDescent="0.25">
      <c r="A10" s="1" t="s">
        <v>141</v>
      </c>
      <c r="B10" s="6">
        <v>2</v>
      </c>
      <c r="C10" s="7">
        <v>0.5</v>
      </c>
      <c r="D10" s="8">
        <f t="shared" si="0"/>
        <v>1</v>
      </c>
      <c r="E10" s="6">
        <v>10</v>
      </c>
      <c r="F10" s="7">
        <v>0.7</v>
      </c>
      <c r="G10" s="8">
        <f t="shared" si="1"/>
        <v>7</v>
      </c>
      <c r="H10" s="6">
        <v>8</v>
      </c>
      <c r="I10" s="7">
        <v>0.625</v>
      </c>
      <c r="J10" s="8">
        <f t="shared" si="2"/>
        <v>5</v>
      </c>
      <c r="K10" s="6">
        <v>4</v>
      </c>
      <c r="L10" s="7">
        <v>0.75</v>
      </c>
      <c r="M10" s="8">
        <f t="shared" si="3"/>
        <v>3</v>
      </c>
      <c r="N10" s="6"/>
      <c r="O10" s="7"/>
      <c r="P10" s="8">
        <f t="shared" si="4"/>
        <v>0</v>
      </c>
      <c r="Q10" s="1"/>
      <c r="R10" s="6">
        <f t="shared" si="5"/>
        <v>24</v>
      </c>
      <c r="S10" s="9">
        <f t="shared" si="6"/>
        <v>0.66666666666666663</v>
      </c>
      <c r="T10" s="9">
        <f t="shared" si="7"/>
        <v>4.9689440993788817E-2</v>
      </c>
      <c r="U10" s="9">
        <f>R10 / _xlfn.XLOOKUP(A10, Bottom!A:A, Bottom!AA:AA)</f>
        <v>5.4669703872437359E-2</v>
      </c>
      <c r="V10" s="1"/>
      <c r="W10" s="1"/>
    </row>
    <row r="11" spans="1:23" x14ac:dyDescent="0.25">
      <c r="A11" s="1" t="s">
        <v>151</v>
      </c>
      <c r="B11" s="6">
        <v>2</v>
      </c>
      <c r="C11" s="7">
        <v>1</v>
      </c>
      <c r="D11" s="8">
        <f t="shared" si="0"/>
        <v>2</v>
      </c>
      <c r="E11" s="6">
        <v>5</v>
      </c>
      <c r="F11" s="7">
        <v>0.4</v>
      </c>
      <c r="G11" s="8">
        <f t="shared" si="1"/>
        <v>2</v>
      </c>
      <c r="H11" s="6">
        <v>2</v>
      </c>
      <c r="I11" s="7">
        <v>1</v>
      </c>
      <c r="J11" s="8">
        <f t="shared" si="2"/>
        <v>2</v>
      </c>
      <c r="K11" s="6"/>
      <c r="L11" s="7"/>
      <c r="M11" s="8">
        <f t="shared" si="3"/>
        <v>0</v>
      </c>
      <c r="N11" s="6"/>
      <c r="O11" s="7"/>
      <c r="P11" s="8">
        <f t="shared" si="4"/>
        <v>0</v>
      </c>
      <c r="Q11" s="4"/>
      <c r="R11" s="6">
        <f t="shared" si="5"/>
        <v>9</v>
      </c>
      <c r="S11" s="9">
        <f t="shared" si="6"/>
        <v>0.66666666666666663</v>
      </c>
      <c r="T11" s="9">
        <f t="shared" si="7"/>
        <v>1.8633540372670808E-2</v>
      </c>
      <c r="U11" s="9">
        <f>R11 / _xlfn.XLOOKUP(A11, Bottom!A:A, Bottom!AA:AA)</f>
        <v>5.6603773584905662E-2</v>
      </c>
      <c r="V11" s="1"/>
      <c r="W11" s="1"/>
    </row>
    <row r="12" spans="1:23" x14ac:dyDescent="0.25">
      <c r="A12" s="1" t="s">
        <v>39</v>
      </c>
      <c r="B12" s="6">
        <v>1</v>
      </c>
      <c r="C12" s="7">
        <v>0</v>
      </c>
      <c r="D12" s="8">
        <f t="shared" si="0"/>
        <v>0</v>
      </c>
      <c r="E12" s="6">
        <v>2</v>
      </c>
      <c r="F12" s="7">
        <v>1</v>
      </c>
      <c r="G12" s="8">
        <f t="shared" si="1"/>
        <v>2</v>
      </c>
      <c r="H12" s="6"/>
      <c r="I12" s="7"/>
      <c r="J12" s="8">
        <f t="shared" si="2"/>
        <v>0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1"/>
      <c r="R12" s="6">
        <f t="shared" si="5"/>
        <v>3</v>
      </c>
      <c r="S12" s="9">
        <f t="shared" si="6"/>
        <v>0.66666666666666663</v>
      </c>
      <c r="T12" s="9">
        <f t="shared" si="7"/>
        <v>6.2111801242236021E-3</v>
      </c>
      <c r="U12" s="9">
        <f>R12 / _xlfn.XLOOKUP(A12, Bottom!A:A, Bottom!AA:AA)</f>
        <v>4.9180327868852458E-2</v>
      </c>
      <c r="V12" s="1"/>
      <c r="W12" s="1"/>
    </row>
    <row r="13" spans="1:23" x14ac:dyDescent="0.25">
      <c r="A13" s="1" t="s">
        <v>143</v>
      </c>
      <c r="B13" s="6">
        <v>3</v>
      </c>
      <c r="C13" s="7">
        <v>0.33300000000000002</v>
      </c>
      <c r="D13" s="8">
        <f t="shared" si="0"/>
        <v>0.99900000000000011</v>
      </c>
      <c r="E13" s="6"/>
      <c r="F13" s="7"/>
      <c r="G13" s="8">
        <f t="shared" si="1"/>
        <v>0</v>
      </c>
      <c r="H13" s="6">
        <v>5</v>
      </c>
      <c r="I13" s="7">
        <v>0.8</v>
      </c>
      <c r="J13" s="8">
        <f t="shared" si="2"/>
        <v>4</v>
      </c>
      <c r="K13" s="6">
        <v>7</v>
      </c>
      <c r="L13" s="7">
        <v>0.57099999999999995</v>
      </c>
      <c r="M13" s="8">
        <f t="shared" si="3"/>
        <v>3.9969999999999999</v>
      </c>
      <c r="N13" s="6"/>
      <c r="O13" s="7"/>
      <c r="P13" s="8">
        <f t="shared" si="4"/>
        <v>0</v>
      </c>
      <c r="Q13" s="1"/>
      <c r="R13" s="6">
        <f t="shared" si="5"/>
        <v>15</v>
      </c>
      <c r="S13" s="9">
        <f t="shared" si="6"/>
        <v>0.59973333333333334</v>
      </c>
      <c r="T13" s="9">
        <f t="shared" si="7"/>
        <v>3.1055900621118012E-2</v>
      </c>
      <c r="U13" s="9">
        <f>R13 / _xlfn.XLOOKUP(A13, Bottom!A:A, Bottom!AA:AA)</f>
        <v>0.10344827586206896</v>
      </c>
      <c r="V13" s="1"/>
      <c r="W13" s="1"/>
    </row>
    <row r="14" spans="1:23" x14ac:dyDescent="0.25">
      <c r="A14" s="1" t="s">
        <v>150</v>
      </c>
      <c r="B14" s="6">
        <v>6</v>
      </c>
      <c r="C14" s="7">
        <v>0.33300000000000002</v>
      </c>
      <c r="D14" s="8">
        <f t="shared" si="0"/>
        <v>1.9980000000000002</v>
      </c>
      <c r="E14" s="6">
        <v>20</v>
      </c>
      <c r="F14" s="7">
        <v>0.8</v>
      </c>
      <c r="G14" s="8">
        <f t="shared" si="1"/>
        <v>16</v>
      </c>
      <c r="H14" s="6">
        <v>8</v>
      </c>
      <c r="I14" s="7">
        <v>0.5</v>
      </c>
      <c r="J14" s="8">
        <f t="shared" si="2"/>
        <v>4</v>
      </c>
      <c r="K14" s="6">
        <v>13</v>
      </c>
      <c r="L14" s="7">
        <v>0.46200000000000002</v>
      </c>
      <c r="M14" s="8">
        <f t="shared" si="3"/>
        <v>6.0060000000000002</v>
      </c>
      <c r="N14" s="6"/>
      <c r="O14" s="7"/>
      <c r="P14" s="8">
        <f t="shared" si="4"/>
        <v>0</v>
      </c>
      <c r="Q14" s="1"/>
      <c r="R14" s="6">
        <f t="shared" si="5"/>
        <v>47</v>
      </c>
      <c r="S14" s="9">
        <f t="shared" si="6"/>
        <v>0.59582978723404256</v>
      </c>
      <c r="T14" s="9">
        <f t="shared" si="7"/>
        <v>9.7308488612836433E-2</v>
      </c>
      <c r="U14" s="9">
        <f>R14 / _xlfn.XLOOKUP(A14, Bottom!A:A, Bottom!AA:AA)</f>
        <v>9.8121085594989568E-2</v>
      </c>
      <c r="V14" s="1"/>
      <c r="W14" s="1"/>
    </row>
    <row r="15" spans="1:23" x14ac:dyDescent="0.25">
      <c r="A15" s="1" t="s">
        <v>154</v>
      </c>
      <c r="B15" s="6"/>
      <c r="C15" s="7"/>
      <c r="D15" s="8">
        <f t="shared" si="0"/>
        <v>0</v>
      </c>
      <c r="E15" s="6"/>
      <c r="F15" s="7"/>
      <c r="G15" s="8">
        <f t="shared" si="1"/>
        <v>0</v>
      </c>
      <c r="H15" s="6">
        <v>7</v>
      </c>
      <c r="I15" s="7">
        <v>0.42899999999999999</v>
      </c>
      <c r="J15" s="8">
        <f t="shared" si="2"/>
        <v>3.0030000000000001</v>
      </c>
      <c r="K15" s="6">
        <v>5</v>
      </c>
      <c r="L15" s="7">
        <v>0.8</v>
      </c>
      <c r="M15" s="8">
        <f t="shared" si="3"/>
        <v>4</v>
      </c>
      <c r="N15" s="6"/>
      <c r="O15" s="7"/>
      <c r="P15" s="8">
        <f t="shared" si="4"/>
        <v>0</v>
      </c>
      <c r="Q15" s="1"/>
      <c r="R15" s="6">
        <f t="shared" si="5"/>
        <v>12</v>
      </c>
      <c r="S15" s="9">
        <f t="shared" si="6"/>
        <v>0.58358333333333334</v>
      </c>
      <c r="T15" s="9">
        <f t="shared" si="7"/>
        <v>2.4844720496894408E-2</v>
      </c>
      <c r="U15" s="9">
        <f>R15 / _xlfn.XLOOKUP(A15, Bottom!A:A, Bottom!AA:AA)</f>
        <v>0.10084033613445378</v>
      </c>
      <c r="V15" s="1"/>
      <c r="W15" s="1"/>
    </row>
    <row r="16" spans="1:23" x14ac:dyDescent="0.25">
      <c r="A16" s="25" t="s">
        <v>213</v>
      </c>
      <c r="B16" s="6"/>
      <c r="C16" s="7"/>
      <c r="D16" s="8">
        <f t="shared" si="0"/>
        <v>0</v>
      </c>
      <c r="E16" s="6"/>
      <c r="F16" s="7"/>
      <c r="G16" s="8">
        <f t="shared" si="1"/>
        <v>0</v>
      </c>
      <c r="H16" s="6"/>
      <c r="I16" s="7"/>
      <c r="J16" s="8">
        <f t="shared" si="2"/>
        <v>0</v>
      </c>
      <c r="K16" s="6">
        <v>4</v>
      </c>
      <c r="L16" s="7">
        <v>0.5</v>
      </c>
      <c r="M16" s="8">
        <f t="shared" si="3"/>
        <v>2</v>
      </c>
      <c r="N16" s="6"/>
      <c r="O16" s="7"/>
      <c r="P16" s="8">
        <f t="shared" si="4"/>
        <v>0</v>
      </c>
      <c r="Q16" s="1"/>
      <c r="R16" s="6">
        <f t="shared" si="5"/>
        <v>4</v>
      </c>
      <c r="S16" s="9">
        <f t="shared" si="6"/>
        <v>0.5</v>
      </c>
      <c r="T16" s="9">
        <f t="shared" si="7"/>
        <v>8.2815734989648039E-3</v>
      </c>
      <c r="U16" s="9">
        <f>R16 / _xlfn.XLOOKUP(A16, Bottom!A:A, Bottom!AA:AA)</f>
        <v>5.2631578947368418E-2</v>
      </c>
      <c r="V16" s="1"/>
      <c r="W16" s="1"/>
    </row>
    <row r="17" spans="1:23" x14ac:dyDescent="0.25">
      <c r="A17" s="1" t="s">
        <v>144</v>
      </c>
      <c r="B17" s="6">
        <v>2</v>
      </c>
      <c r="C17" s="7">
        <v>0.5</v>
      </c>
      <c r="D17" s="8">
        <f t="shared" si="0"/>
        <v>1</v>
      </c>
      <c r="E17" s="6"/>
      <c r="F17" s="7"/>
      <c r="G17" s="8">
        <f t="shared" si="1"/>
        <v>0</v>
      </c>
      <c r="H17" s="6"/>
      <c r="I17" s="7"/>
      <c r="J17" s="8">
        <f t="shared" si="2"/>
        <v>0</v>
      </c>
      <c r="K17" s="6"/>
      <c r="L17" s="7"/>
      <c r="M17" s="8">
        <f t="shared" si="3"/>
        <v>0</v>
      </c>
      <c r="N17" s="6"/>
      <c r="O17" s="7"/>
      <c r="P17" s="8">
        <f t="shared" si="4"/>
        <v>0</v>
      </c>
      <c r="Q17" s="1"/>
      <c r="R17" s="6">
        <f t="shared" si="5"/>
        <v>2</v>
      </c>
      <c r="S17" s="9">
        <f t="shared" si="6"/>
        <v>0.5</v>
      </c>
      <c r="T17" s="9">
        <f t="shared" si="7"/>
        <v>4.140786749482402E-3</v>
      </c>
      <c r="U17" s="9">
        <f>R17 / _xlfn.XLOOKUP(A17, Bottom!A:A, Bottom!AA:AA)</f>
        <v>0.15384615384615385</v>
      </c>
      <c r="V17" s="1"/>
      <c r="W17" s="1"/>
    </row>
    <row r="18" spans="1:23" x14ac:dyDescent="0.25">
      <c r="A18" s="1" t="s">
        <v>146</v>
      </c>
      <c r="B18" s="6">
        <v>3</v>
      </c>
      <c r="C18" s="7">
        <v>0.33300000000000002</v>
      </c>
      <c r="D18" s="8">
        <f t="shared" si="0"/>
        <v>0.99900000000000011</v>
      </c>
      <c r="E18" s="6">
        <v>2</v>
      </c>
      <c r="F18" s="7">
        <v>0</v>
      </c>
      <c r="G18" s="8">
        <f t="shared" si="1"/>
        <v>0</v>
      </c>
      <c r="H18" s="6"/>
      <c r="I18" s="7"/>
      <c r="J18" s="8">
        <f t="shared" si="2"/>
        <v>0</v>
      </c>
      <c r="K18" s="6">
        <v>5</v>
      </c>
      <c r="L18" s="7">
        <v>0.8</v>
      </c>
      <c r="M18" s="8">
        <f t="shared" si="3"/>
        <v>4</v>
      </c>
      <c r="N18" s="6"/>
      <c r="O18" s="7"/>
      <c r="P18" s="8">
        <f t="shared" si="4"/>
        <v>0</v>
      </c>
      <c r="Q18" s="1"/>
      <c r="R18" s="6">
        <f t="shared" si="5"/>
        <v>10</v>
      </c>
      <c r="S18" s="9">
        <f t="shared" si="6"/>
        <v>0.49990000000000007</v>
      </c>
      <c r="T18" s="9">
        <f t="shared" si="7"/>
        <v>2.0703933747412008E-2</v>
      </c>
      <c r="U18" s="9">
        <f>R18 / _xlfn.XLOOKUP(A18, Bottom!A:A, Bottom!AA:AA)</f>
        <v>5.4054054054054057E-2</v>
      </c>
      <c r="V18" s="1"/>
      <c r="W18" s="1"/>
    </row>
    <row r="19" spans="1:23" x14ac:dyDescent="0.25">
      <c r="A19" s="18" t="s">
        <v>108</v>
      </c>
      <c r="B19" s="6"/>
      <c r="C19" s="7"/>
      <c r="D19" s="8">
        <f t="shared" si="0"/>
        <v>0</v>
      </c>
      <c r="E19" s="6"/>
      <c r="F19" s="7"/>
      <c r="G19" s="8">
        <f t="shared" si="1"/>
        <v>0</v>
      </c>
      <c r="H19" s="6">
        <v>3</v>
      </c>
      <c r="I19" s="7">
        <v>0.33300000000000002</v>
      </c>
      <c r="J19" s="8">
        <f t="shared" si="2"/>
        <v>0.99900000000000011</v>
      </c>
      <c r="K19" s="6">
        <v>9</v>
      </c>
      <c r="L19" s="7">
        <v>0.55500000000000005</v>
      </c>
      <c r="M19" s="8">
        <f t="shared" si="3"/>
        <v>4.9950000000000001</v>
      </c>
      <c r="N19" s="6"/>
      <c r="O19" s="7"/>
      <c r="P19" s="8">
        <f t="shared" si="4"/>
        <v>0</v>
      </c>
      <c r="Q19" s="1"/>
      <c r="R19" s="6">
        <f t="shared" si="5"/>
        <v>12</v>
      </c>
      <c r="S19" s="9">
        <f t="shared" si="6"/>
        <v>0.4995</v>
      </c>
      <c r="T19" s="9">
        <f t="shared" si="7"/>
        <v>2.4844720496894408E-2</v>
      </c>
      <c r="U19" s="9">
        <f>R19 / _xlfn.XLOOKUP(A19, Bottom!A:A, Bottom!AA:AA)</f>
        <v>8.1081081081081086E-2</v>
      </c>
      <c r="V19" s="1"/>
      <c r="W19" s="1"/>
    </row>
    <row r="20" spans="1:23" x14ac:dyDescent="0.25">
      <c r="A20" s="1" t="s">
        <v>145</v>
      </c>
      <c r="B20" s="6"/>
      <c r="C20" s="7"/>
      <c r="D20" s="8">
        <f t="shared" si="0"/>
        <v>0</v>
      </c>
      <c r="E20" s="6">
        <v>12</v>
      </c>
      <c r="F20" s="7">
        <v>0.5</v>
      </c>
      <c r="G20" s="8">
        <f t="shared" si="1"/>
        <v>6</v>
      </c>
      <c r="H20" s="6">
        <v>6</v>
      </c>
      <c r="I20" s="7">
        <v>0.33300000000000002</v>
      </c>
      <c r="J20" s="8">
        <f t="shared" si="2"/>
        <v>1.9980000000000002</v>
      </c>
      <c r="K20" s="6">
        <v>13</v>
      </c>
      <c r="L20" s="7">
        <v>0.53800000000000003</v>
      </c>
      <c r="M20" s="8">
        <f t="shared" si="3"/>
        <v>6.9940000000000007</v>
      </c>
      <c r="N20" s="6"/>
      <c r="O20" s="7"/>
      <c r="P20" s="8">
        <f t="shared" si="4"/>
        <v>0</v>
      </c>
      <c r="Q20" s="1"/>
      <c r="R20" s="6">
        <f t="shared" si="5"/>
        <v>31</v>
      </c>
      <c r="S20" s="9">
        <f t="shared" si="6"/>
        <v>0.48361290322580647</v>
      </c>
      <c r="T20" s="9">
        <f t="shared" si="7"/>
        <v>6.4182194616977231E-2</v>
      </c>
      <c r="U20" s="9">
        <f>R20 / _xlfn.XLOOKUP(A20, Bottom!A:A, Bottom!AA:AA)</f>
        <v>6.7245119305856832E-2</v>
      </c>
      <c r="V20" s="1"/>
      <c r="W20" s="1"/>
    </row>
    <row r="21" spans="1:23" x14ac:dyDescent="0.25">
      <c r="A21" s="1" t="s">
        <v>138</v>
      </c>
      <c r="B21" s="6">
        <v>13</v>
      </c>
      <c r="C21" s="7">
        <v>0.308</v>
      </c>
      <c r="D21" s="8">
        <f t="shared" si="0"/>
        <v>4.0039999999999996</v>
      </c>
      <c r="E21" s="6">
        <v>5</v>
      </c>
      <c r="F21" s="7">
        <v>0.8</v>
      </c>
      <c r="G21" s="8">
        <f t="shared" si="1"/>
        <v>4</v>
      </c>
      <c r="H21" s="6">
        <v>2</v>
      </c>
      <c r="I21" s="7">
        <v>0</v>
      </c>
      <c r="J21" s="8">
        <f t="shared" si="2"/>
        <v>0</v>
      </c>
      <c r="K21" s="6">
        <v>3</v>
      </c>
      <c r="L21" s="7">
        <v>1</v>
      </c>
      <c r="M21" s="8">
        <f t="shared" si="3"/>
        <v>3</v>
      </c>
      <c r="N21" s="6"/>
      <c r="O21" s="7"/>
      <c r="P21" s="8">
        <f t="shared" si="4"/>
        <v>0</v>
      </c>
      <c r="Q21" s="1"/>
      <c r="R21" s="6">
        <f t="shared" si="5"/>
        <v>23</v>
      </c>
      <c r="S21" s="9">
        <f t="shared" si="6"/>
        <v>0.47843478260869565</v>
      </c>
      <c r="T21" s="9">
        <f t="shared" si="7"/>
        <v>4.7619047619047616E-2</v>
      </c>
      <c r="U21" s="9">
        <f>R21 / _xlfn.XLOOKUP(A21, Bottom!A:A, Bottom!AA:AA)</f>
        <v>7.796610169491526E-2</v>
      </c>
      <c r="V21" s="1"/>
      <c r="W21" s="1"/>
    </row>
    <row r="22" spans="1:23" x14ac:dyDescent="0.25">
      <c r="A22" s="1" t="s">
        <v>142</v>
      </c>
      <c r="B22" s="6">
        <v>4</v>
      </c>
      <c r="C22" s="7">
        <v>0</v>
      </c>
      <c r="D22" s="8">
        <f t="shared" si="0"/>
        <v>0</v>
      </c>
      <c r="E22" s="6"/>
      <c r="F22" s="7"/>
      <c r="G22" s="8">
        <f t="shared" si="1"/>
        <v>0</v>
      </c>
      <c r="H22" s="6">
        <v>1</v>
      </c>
      <c r="I22" s="7">
        <v>0</v>
      </c>
      <c r="J22" s="8">
        <f t="shared" si="2"/>
        <v>0</v>
      </c>
      <c r="K22" s="6">
        <v>12</v>
      </c>
      <c r="L22" s="7">
        <v>0.66700000000000004</v>
      </c>
      <c r="M22" s="8">
        <f t="shared" si="3"/>
        <v>8.0040000000000013</v>
      </c>
      <c r="N22" s="6"/>
      <c r="O22" s="7"/>
      <c r="P22" s="8">
        <f t="shared" si="4"/>
        <v>0</v>
      </c>
      <c r="Q22" s="1"/>
      <c r="R22" s="6">
        <f t="shared" si="5"/>
        <v>17</v>
      </c>
      <c r="S22" s="9">
        <f t="shared" si="6"/>
        <v>0.47082352941176481</v>
      </c>
      <c r="T22" s="9">
        <f t="shared" si="7"/>
        <v>3.5196687370600416E-2</v>
      </c>
      <c r="U22" s="9">
        <f>R22 / _xlfn.XLOOKUP(A22, Bottom!A:A, Bottom!AA:AA)</f>
        <v>5.5374592833876218E-2</v>
      </c>
      <c r="V22" s="1"/>
      <c r="W22" s="1"/>
    </row>
    <row r="23" spans="1:23" x14ac:dyDescent="0.25">
      <c r="A23" s="1" t="s">
        <v>35</v>
      </c>
      <c r="B23" s="6">
        <v>8</v>
      </c>
      <c r="C23" s="7">
        <v>0.625</v>
      </c>
      <c r="D23" s="8">
        <f t="shared" si="0"/>
        <v>5</v>
      </c>
      <c r="E23" s="6">
        <v>5</v>
      </c>
      <c r="F23" s="7">
        <v>0</v>
      </c>
      <c r="G23" s="8">
        <f t="shared" si="1"/>
        <v>0</v>
      </c>
      <c r="H23" s="6">
        <v>16</v>
      </c>
      <c r="I23" s="7">
        <v>0.5</v>
      </c>
      <c r="J23" s="8">
        <f t="shared" si="2"/>
        <v>8</v>
      </c>
      <c r="K23" s="6">
        <v>8</v>
      </c>
      <c r="L23" s="7">
        <v>0.5</v>
      </c>
      <c r="M23" s="8">
        <f t="shared" si="3"/>
        <v>4</v>
      </c>
      <c r="N23" s="6"/>
      <c r="O23" s="7"/>
      <c r="P23" s="8">
        <f t="shared" si="4"/>
        <v>0</v>
      </c>
      <c r="Q23" s="4"/>
      <c r="R23" s="6">
        <f t="shared" si="5"/>
        <v>37</v>
      </c>
      <c r="S23" s="9">
        <f t="shared" si="6"/>
        <v>0.45945945945945948</v>
      </c>
      <c r="T23" s="9">
        <f t="shared" si="7"/>
        <v>7.6604554865424432E-2</v>
      </c>
      <c r="U23" s="9">
        <f>R23 / _xlfn.XLOOKUP(A23, Bottom!A:A, Bottom!AA:AA)</f>
        <v>9.5607235142118857E-2</v>
      </c>
      <c r="V23" s="1"/>
      <c r="W23" s="1"/>
    </row>
    <row r="24" spans="1:23" x14ac:dyDescent="0.25">
      <c r="A24" s="1" t="s">
        <v>149</v>
      </c>
      <c r="B24" s="6">
        <v>9</v>
      </c>
      <c r="C24" s="7">
        <v>0.33300000000000002</v>
      </c>
      <c r="D24" s="8">
        <f t="shared" si="0"/>
        <v>2.9970000000000003</v>
      </c>
      <c r="E24" s="6"/>
      <c r="F24" s="7"/>
      <c r="G24" s="8">
        <f t="shared" si="1"/>
        <v>0</v>
      </c>
      <c r="H24" s="6">
        <v>12</v>
      </c>
      <c r="I24" s="7">
        <v>0.58299999999999996</v>
      </c>
      <c r="J24" s="8">
        <f t="shared" si="2"/>
        <v>6.9959999999999996</v>
      </c>
      <c r="K24" s="6">
        <v>4</v>
      </c>
      <c r="L24" s="7">
        <v>0.25</v>
      </c>
      <c r="M24" s="8">
        <f t="shared" si="3"/>
        <v>1</v>
      </c>
      <c r="N24" s="6"/>
      <c r="O24" s="7"/>
      <c r="P24" s="8">
        <f t="shared" si="4"/>
        <v>0</v>
      </c>
      <c r="Q24" s="1"/>
      <c r="R24" s="6">
        <f t="shared" si="5"/>
        <v>25</v>
      </c>
      <c r="S24" s="9">
        <f t="shared" si="6"/>
        <v>0.43972</v>
      </c>
      <c r="T24" s="9">
        <f t="shared" si="7"/>
        <v>5.1759834368530024E-2</v>
      </c>
      <c r="U24" s="9">
        <f>R24 / _xlfn.XLOOKUP(A24, Bottom!A:A, Bottom!AA:AA)</f>
        <v>7.4626865671641784E-2</v>
      </c>
      <c r="V24" s="1"/>
      <c r="W24" s="1"/>
    </row>
    <row r="25" spans="1:23" x14ac:dyDescent="0.25">
      <c r="A25" s="1" t="s">
        <v>148</v>
      </c>
      <c r="B25" s="6"/>
      <c r="C25" s="7"/>
      <c r="D25" s="8">
        <f t="shared" si="0"/>
        <v>0</v>
      </c>
      <c r="E25" s="6"/>
      <c r="F25" s="7"/>
      <c r="G25" s="8">
        <f t="shared" si="1"/>
        <v>0</v>
      </c>
      <c r="H25" s="6">
        <v>11</v>
      </c>
      <c r="I25" s="7">
        <v>0.54500000000000004</v>
      </c>
      <c r="J25" s="8">
        <f t="shared" si="2"/>
        <v>5.9950000000000001</v>
      </c>
      <c r="K25" s="6">
        <v>14</v>
      </c>
      <c r="L25" s="7">
        <v>0.35699999999999998</v>
      </c>
      <c r="M25" s="8">
        <f t="shared" si="3"/>
        <v>4.9979999999999993</v>
      </c>
      <c r="N25" s="6"/>
      <c r="O25" s="7"/>
      <c r="P25" s="8">
        <f t="shared" si="4"/>
        <v>0</v>
      </c>
      <c r="Q25" s="1"/>
      <c r="R25" s="6">
        <f t="shared" si="5"/>
        <v>25</v>
      </c>
      <c r="S25" s="9">
        <f t="shared" si="6"/>
        <v>0.43971999999999994</v>
      </c>
      <c r="T25" s="9">
        <f t="shared" si="7"/>
        <v>5.1759834368530024E-2</v>
      </c>
      <c r="U25" s="9">
        <f>R25 / _xlfn.XLOOKUP(A25, Bottom!A:A, Bottom!AA:AA)</f>
        <v>0.12315270935960591</v>
      </c>
      <c r="V25" s="1"/>
      <c r="W25" s="1"/>
    </row>
    <row r="26" spans="1:23" x14ac:dyDescent="0.25">
      <c r="A26" s="1" t="s">
        <v>59</v>
      </c>
      <c r="B26" s="6"/>
      <c r="C26" s="7"/>
      <c r="D26" s="8">
        <f t="shared" si="0"/>
        <v>0</v>
      </c>
      <c r="E26" s="6"/>
      <c r="F26" s="7"/>
      <c r="G26" s="8">
        <f t="shared" si="1"/>
        <v>0</v>
      </c>
      <c r="H26" s="6">
        <v>7</v>
      </c>
      <c r="I26" s="7">
        <v>0.42899999999999999</v>
      </c>
      <c r="J26" s="8">
        <f t="shared" si="2"/>
        <v>3.0030000000000001</v>
      </c>
      <c r="K26" s="6">
        <v>2</v>
      </c>
      <c r="L26" s="7">
        <v>0</v>
      </c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9</v>
      </c>
      <c r="S26" s="9">
        <f t="shared" si="6"/>
        <v>0.33366666666666667</v>
      </c>
      <c r="T26" s="9">
        <f t="shared" si="7"/>
        <v>1.8633540372670808E-2</v>
      </c>
      <c r="U26" s="9">
        <f>R26 / _xlfn.XLOOKUP(A26, Bottom!A:A, Bottom!AA:AA)</f>
        <v>0.17647058823529413</v>
      </c>
      <c r="V26" s="1"/>
      <c r="W26" s="1"/>
    </row>
    <row r="27" spans="1:23" x14ac:dyDescent="0.25">
      <c r="A27" s="1" t="s">
        <v>147</v>
      </c>
      <c r="B27" s="6">
        <v>1</v>
      </c>
      <c r="C27" s="7">
        <v>0</v>
      </c>
      <c r="D27" s="8">
        <f t="shared" si="0"/>
        <v>0</v>
      </c>
      <c r="E27" s="6"/>
      <c r="F27" s="7"/>
      <c r="G27" s="8">
        <f t="shared" si="1"/>
        <v>0</v>
      </c>
      <c r="H27" s="6">
        <v>3</v>
      </c>
      <c r="I27" s="7">
        <v>0.33300000000000002</v>
      </c>
      <c r="J27" s="8">
        <f t="shared" si="2"/>
        <v>0.99900000000000011</v>
      </c>
      <c r="K27" s="6">
        <v>3</v>
      </c>
      <c r="L27" s="7">
        <v>0.33300000000000002</v>
      </c>
      <c r="M27" s="8">
        <f t="shared" si="3"/>
        <v>0.99900000000000011</v>
      </c>
      <c r="N27" s="6"/>
      <c r="O27" s="7"/>
      <c r="P27" s="8">
        <f t="shared" si="4"/>
        <v>0</v>
      </c>
      <c r="Q27" s="1"/>
      <c r="R27" s="6">
        <f t="shared" si="5"/>
        <v>7</v>
      </c>
      <c r="S27" s="9">
        <f t="shared" si="6"/>
        <v>0.28542857142857148</v>
      </c>
      <c r="T27" s="9">
        <f t="shared" si="7"/>
        <v>1.4492753623188406E-2</v>
      </c>
      <c r="U27" s="9">
        <f>R27 / _xlfn.XLOOKUP(A27, Bottom!A:A, Bottom!AA:AA)</f>
        <v>3.3333333333333333E-2</v>
      </c>
      <c r="V27" s="1"/>
      <c r="W27" s="1"/>
    </row>
    <row r="28" spans="1:23" x14ac:dyDescent="0.25">
      <c r="A28" s="1" t="s">
        <v>153</v>
      </c>
      <c r="B28" s="6">
        <v>3</v>
      </c>
      <c r="C28" s="7">
        <v>0.33300000000000002</v>
      </c>
      <c r="D28" s="8">
        <f t="shared" si="0"/>
        <v>0.99900000000000011</v>
      </c>
      <c r="E28" s="6">
        <v>1</v>
      </c>
      <c r="F28" s="7">
        <v>0</v>
      </c>
      <c r="G28" s="8">
        <f t="shared" si="1"/>
        <v>0</v>
      </c>
      <c r="H28" s="6"/>
      <c r="I28" s="7"/>
      <c r="J28" s="8">
        <f t="shared" si="2"/>
        <v>0</v>
      </c>
      <c r="K28" s="6"/>
      <c r="L28" s="7"/>
      <c r="M28" s="8">
        <f t="shared" si="3"/>
        <v>0</v>
      </c>
      <c r="N28" s="6"/>
      <c r="O28" s="7"/>
      <c r="P28" s="8">
        <f t="shared" si="4"/>
        <v>0</v>
      </c>
      <c r="Q28" s="4"/>
      <c r="R28" s="6">
        <f t="shared" si="5"/>
        <v>4</v>
      </c>
      <c r="S28" s="9">
        <f t="shared" si="6"/>
        <v>0.24975000000000003</v>
      </c>
      <c r="T28" s="9">
        <f t="shared" si="7"/>
        <v>8.2815734989648039E-3</v>
      </c>
      <c r="U28" s="9">
        <f>R28 / _xlfn.XLOOKUP(A28, Bottom!A:A, Bottom!AA:AA)</f>
        <v>0.13333333333333333</v>
      </c>
      <c r="V28" s="1"/>
      <c r="W28" s="1"/>
    </row>
    <row r="29" spans="1:23" x14ac:dyDescent="0.25">
      <c r="A29" s="1" t="s">
        <v>159</v>
      </c>
      <c r="B29" s="6"/>
      <c r="C29" s="7"/>
      <c r="D29" s="8">
        <f t="shared" si="0"/>
        <v>0</v>
      </c>
      <c r="E29" s="6"/>
      <c r="F29" s="7"/>
      <c r="G29" s="8">
        <f t="shared" si="1"/>
        <v>0</v>
      </c>
      <c r="H29" s="6">
        <v>1</v>
      </c>
      <c r="I29" s="7">
        <v>0</v>
      </c>
      <c r="J29" s="8">
        <f t="shared" si="2"/>
        <v>0</v>
      </c>
      <c r="K29" s="6">
        <v>1</v>
      </c>
      <c r="L29" s="7">
        <v>0</v>
      </c>
      <c r="M29" s="8">
        <f t="shared" si="3"/>
        <v>0</v>
      </c>
      <c r="N29" s="6"/>
      <c r="O29" s="7"/>
      <c r="P29" s="8">
        <f t="shared" si="4"/>
        <v>0</v>
      </c>
      <c r="Q29" s="1"/>
      <c r="R29" s="6">
        <f t="shared" si="5"/>
        <v>2</v>
      </c>
      <c r="S29" s="9">
        <f t="shared" si="6"/>
        <v>0</v>
      </c>
      <c r="T29" s="9">
        <f t="shared" si="7"/>
        <v>4.140786749482402E-3</v>
      </c>
      <c r="U29" s="9">
        <f>R29 / _xlfn.XLOOKUP(A29, Bottom!A:A, Bottom!AA:AA)</f>
        <v>0.18181818181818182</v>
      </c>
      <c r="V29" s="1"/>
      <c r="W29" s="1"/>
    </row>
    <row r="30" spans="1:23" x14ac:dyDescent="0.25">
      <c r="A30" s="25" t="s">
        <v>233</v>
      </c>
      <c r="B30" s="6"/>
      <c r="C30" s="7"/>
      <c r="D30" s="8">
        <f t="shared" si="0"/>
        <v>0</v>
      </c>
      <c r="E30" s="6"/>
      <c r="F30" s="7"/>
      <c r="G30" s="8">
        <f t="shared" si="1"/>
        <v>0</v>
      </c>
      <c r="H30" s="6"/>
      <c r="I30" s="7"/>
      <c r="J30" s="8">
        <f t="shared" si="2"/>
        <v>0</v>
      </c>
      <c r="K30" s="6">
        <v>1</v>
      </c>
      <c r="L30" s="7">
        <v>0</v>
      </c>
      <c r="M30" s="8">
        <f t="shared" si="3"/>
        <v>0</v>
      </c>
      <c r="N30" s="6"/>
      <c r="O30" s="7"/>
      <c r="P30" s="8">
        <f t="shared" si="4"/>
        <v>0</v>
      </c>
      <c r="Q30" s="1"/>
      <c r="R30" s="6">
        <f t="shared" si="5"/>
        <v>1</v>
      </c>
      <c r="S30" s="9">
        <f t="shared" si="6"/>
        <v>0</v>
      </c>
      <c r="T30" s="9">
        <f t="shared" si="7"/>
        <v>2.070393374741201E-3</v>
      </c>
      <c r="U30" s="9">
        <f>R30 / _xlfn.XLOOKUP(A30, Bottom!A:A, Bottom!AA:AA)</f>
        <v>1</v>
      </c>
      <c r="V30" s="1"/>
      <c r="W30" s="1"/>
    </row>
    <row r="31" spans="1:23" x14ac:dyDescent="0.25">
      <c r="A31" s="18" t="s">
        <v>122</v>
      </c>
      <c r="B31" s="6"/>
      <c r="C31" s="7"/>
      <c r="D31" s="8">
        <f t="shared" si="0"/>
        <v>0</v>
      </c>
      <c r="E31" s="6"/>
      <c r="F31" s="7"/>
      <c r="G31" s="8">
        <f t="shared" si="1"/>
        <v>0</v>
      </c>
      <c r="H31" s="6">
        <v>1</v>
      </c>
      <c r="I31" s="7">
        <v>0</v>
      </c>
      <c r="J31" s="8">
        <f t="shared" si="2"/>
        <v>0</v>
      </c>
      <c r="K31" s="6"/>
      <c r="L31" s="7"/>
      <c r="M31" s="8">
        <f t="shared" si="3"/>
        <v>0</v>
      </c>
      <c r="N31" s="6"/>
      <c r="O31" s="7"/>
      <c r="P31" s="8">
        <f t="shared" si="4"/>
        <v>0</v>
      </c>
      <c r="Q31" s="1"/>
      <c r="R31" s="6">
        <f t="shared" si="5"/>
        <v>1</v>
      </c>
      <c r="S31" s="9">
        <f t="shared" si="6"/>
        <v>0</v>
      </c>
      <c r="T31" s="9">
        <f t="shared" si="7"/>
        <v>2.070393374741201E-3</v>
      </c>
      <c r="U31" s="9">
        <f>R31 / _xlfn.XLOOKUP(A31, Bottom!A:A, Bottom!AA:AA)</f>
        <v>3.7037037037037035E-2</v>
      </c>
      <c r="V31" s="1"/>
      <c r="W31" s="1"/>
    </row>
    <row r="32" spans="1:23" x14ac:dyDescent="0.25">
      <c r="A32" s="1"/>
      <c r="B32" s="6"/>
      <c r="C32" s="7"/>
      <c r="D32" s="8">
        <f t="shared" ref="D32:D35" si="8">B32*C32</f>
        <v>0</v>
      </c>
      <c r="E32" s="6"/>
      <c r="F32" s="7"/>
      <c r="G32" s="8">
        <f t="shared" ref="G32:G35" si="9">E32*F32</f>
        <v>0</v>
      </c>
      <c r="H32" s="6"/>
      <c r="I32" s="7"/>
      <c r="J32" s="8">
        <f t="shared" ref="J32:J35" si="10">H32*I32</f>
        <v>0</v>
      </c>
      <c r="K32" s="6"/>
      <c r="L32" s="7"/>
      <c r="M32" s="8">
        <f t="shared" ref="M32:M35" si="11">K32*L32</f>
        <v>0</v>
      </c>
      <c r="N32" s="6"/>
      <c r="O32" s="7"/>
      <c r="P32" s="8">
        <f t="shared" ref="P32" si="12">N32*O32</f>
        <v>0</v>
      </c>
      <c r="Q32" s="1"/>
      <c r="R32" s="6">
        <f t="shared" ref="R32" si="13">B32+E32+H32+K32+N32</f>
        <v>0</v>
      </c>
      <c r="S32" s="9" t="e">
        <f t="shared" ref="S32" si="14">(D32+G32+J32+M32+P32)/R32</f>
        <v>#DIV/0!</v>
      </c>
      <c r="T32" s="9">
        <f t="shared" ref="T32" si="15">R32/$V$3</f>
        <v>0</v>
      </c>
      <c r="U32" s="9" t="e">
        <f>R32 / _xlfn.XLOOKUP(A32, Bottom!A:A, Bottom!AA:AA)</f>
        <v>#DIV/0!</v>
      </c>
      <c r="V32" s="1"/>
      <c r="W32" s="1"/>
    </row>
    <row r="33" spans="1:23" x14ac:dyDescent="0.25">
      <c r="A33" s="1"/>
      <c r="B33" s="6"/>
      <c r="C33" s="7"/>
      <c r="D33" s="8">
        <f t="shared" si="8"/>
        <v>0</v>
      </c>
      <c r="E33" s="6"/>
      <c r="F33" s="7"/>
      <c r="G33" s="8">
        <f t="shared" si="9"/>
        <v>0</v>
      </c>
      <c r="H33" s="6"/>
      <c r="I33" s="7"/>
      <c r="J33" s="8">
        <f t="shared" si="10"/>
        <v>0</v>
      </c>
      <c r="K33" s="6"/>
      <c r="L33" s="7"/>
      <c r="M33" s="8">
        <f t="shared" si="11"/>
        <v>0</v>
      </c>
      <c r="N33" s="6"/>
      <c r="O33" s="7"/>
      <c r="P33" s="8">
        <f t="shared" ref="P33:P54" si="16">N33*O33</f>
        <v>0</v>
      </c>
      <c r="Q33" s="1"/>
      <c r="R33" s="6">
        <f t="shared" ref="R33:R54" si="17">B33+E33+H33+K33+N33</f>
        <v>0</v>
      </c>
      <c r="S33" s="9" t="e">
        <f t="shared" ref="S33:S54" si="18">(D33+G33+J33+M33+P33)/R33</f>
        <v>#DIV/0!</v>
      </c>
      <c r="T33" s="9">
        <f t="shared" ref="T33:T54" si="19">R33/$V$3</f>
        <v>0</v>
      </c>
      <c r="U33" s="9" t="e">
        <f>R33 / _xlfn.XLOOKUP(A33, Bottom!A:A, Bottom!AA:AA)</f>
        <v>#DIV/0!</v>
      </c>
      <c r="V33" s="1"/>
      <c r="W33" s="1"/>
    </row>
    <row r="34" spans="1:23" x14ac:dyDescent="0.25">
      <c r="A34" s="1"/>
      <c r="B34" s="6"/>
      <c r="C34" s="7"/>
      <c r="D34" s="8">
        <f t="shared" si="8"/>
        <v>0</v>
      </c>
      <c r="E34" s="6"/>
      <c r="F34" s="7"/>
      <c r="G34" s="8">
        <f t="shared" si="9"/>
        <v>0</v>
      </c>
      <c r="H34" s="6"/>
      <c r="I34" s="7"/>
      <c r="J34" s="8">
        <f t="shared" si="10"/>
        <v>0</v>
      </c>
      <c r="K34" s="6"/>
      <c r="L34" s="7"/>
      <c r="M34" s="8">
        <f t="shared" si="11"/>
        <v>0</v>
      </c>
      <c r="N34" s="6"/>
      <c r="O34" s="7"/>
      <c r="P34" s="8">
        <f t="shared" si="16"/>
        <v>0</v>
      </c>
      <c r="Q34" s="1"/>
      <c r="R34" s="6">
        <f t="shared" si="17"/>
        <v>0</v>
      </c>
      <c r="S34" s="9" t="e">
        <f t="shared" si="18"/>
        <v>#DIV/0!</v>
      </c>
      <c r="T34" s="9">
        <f t="shared" si="19"/>
        <v>0</v>
      </c>
      <c r="U34" s="9" t="e">
        <f>R34 / _xlfn.XLOOKUP(A34, Bottom!A:A, Bottom!AA:AA)</f>
        <v>#DIV/0!</v>
      </c>
      <c r="V34" s="1"/>
      <c r="W34" s="1"/>
    </row>
    <row r="35" spans="1:23" x14ac:dyDescent="0.25">
      <c r="A35" s="1"/>
      <c r="B35" s="6"/>
      <c r="C35" s="7"/>
      <c r="D35" s="8">
        <f t="shared" si="8"/>
        <v>0</v>
      </c>
      <c r="E35" s="6"/>
      <c r="F35" s="7"/>
      <c r="G35" s="8">
        <f t="shared" si="9"/>
        <v>0</v>
      </c>
      <c r="H35" s="6"/>
      <c r="I35" s="7"/>
      <c r="J35" s="8">
        <f t="shared" si="10"/>
        <v>0</v>
      </c>
      <c r="K35" s="6"/>
      <c r="L35" s="7"/>
      <c r="M35" s="8">
        <f t="shared" si="11"/>
        <v>0</v>
      </c>
      <c r="N35" s="6"/>
      <c r="O35" s="7"/>
      <c r="P35" s="8">
        <f t="shared" si="16"/>
        <v>0</v>
      </c>
      <c r="Q35" s="1"/>
      <c r="R35" s="6">
        <f t="shared" si="17"/>
        <v>0</v>
      </c>
      <c r="S35" s="9" t="e">
        <f t="shared" si="18"/>
        <v>#DIV/0!</v>
      </c>
      <c r="T35" s="9">
        <f t="shared" si="19"/>
        <v>0</v>
      </c>
      <c r="U35" s="9" t="e">
        <f>R35 / _xlfn.XLOOKUP(A35, Bottom!A:A, Bottom!AA:AA)</f>
        <v>#DIV/0!</v>
      </c>
      <c r="V35" s="1"/>
      <c r="W35" s="1"/>
    </row>
    <row r="36" spans="1:23" x14ac:dyDescent="0.25">
      <c r="N36" s="6"/>
      <c r="O36" s="7"/>
      <c r="P36" s="8">
        <f t="shared" si="16"/>
        <v>0</v>
      </c>
      <c r="Q36" s="1"/>
      <c r="R36" s="6">
        <f t="shared" si="17"/>
        <v>0</v>
      </c>
      <c r="S36" s="9" t="e">
        <f t="shared" si="18"/>
        <v>#DIV/0!</v>
      </c>
      <c r="T36" s="9">
        <f t="shared" si="19"/>
        <v>0</v>
      </c>
      <c r="U36" s="9" t="e">
        <f>R36 / _xlfn.XLOOKUP(A36, Bottom!A:A, Bottom!AA:AA)</f>
        <v>#DIV/0!</v>
      </c>
      <c r="V36" s="1"/>
      <c r="W36" s="1"/>
    </row>
    <row r="37" spans="1:23" x14ac:dyDescent="0.25">
      <c r="N37" s="6"/>
      <c r="O37" s="7"/>
      <c r="P37" s="8">
        <f t="shared" si="16"/>
        <v>0</v>
      </c>
      <c r="Q37" s="1"/>
      <c r="R37" s="6">
        <f t="shared" si="17"/>
        <v>0</v>
      </c>
      <c r="S37" s="9" t="e">
        <f t="shared" si="18"/>
        <v>#DIV/0!</v>
      </c>
      <c r="T37" s="9">
        <f t="shared" si="19"/>
        <v>0</v>
      </c>
      <c r="U37" s="9" t="e">
        <f>R37 / _xlfn.XLOOKUP(A37, Bottom!A:A, Bottom!AA:AA)</f>
        <v>#DIV/0!</v>
      </c>
      <c r="V37" s="1"/>
      <c r="W37" s="1"/>
    </row>
    <row r="38" spans="1:23" x14ac:dyDescent="0.25">
      <c r="N38" s="6"/>
      <c r="O38" s="7"/>
      <c r="P38" s="8">
        <f t="shared" si="16"/>
        <v>0</v>
      </c>
      <c r="Q38" s="1"/>
      <c r="R38" s="6">
        <f t="shared" si="17"/>
        <v>0</v>
      </c>
      <c r="S38" s="9" t="e">
        <f t="shared" si="18"/>
        <v>#DIV/0!</v>
      </c>
      <c r="T38" s="9">
        <f t="shared" si="19"/>
        <v>0</v>
      </c>
      <c r="U38" s="9" t="e">
        <f>R38 / _xlfn.XLOOKUP(A38, Bottom!A:A, Bottom!AA:AA)</f>
        <v>#DIV/0!</v>
      </c>
    </row>
    <row r="39" spans="1:23" x14ac:dyDescent="0.25">
      <c r="N39" s="6"/>
      <c r="O39" s="7"/>
      <c r="P39" s="8">
        <f t="shared" si="16"/>
        <v>0</v>
      </c>
      <c r="Q39" s="1"/>
      <c r="R39" s="6">
        <f t="shared" si="17"/>
        <v>0</v>
      </c>
      <c r="S39" s="9" t="e">
        <f t="shared" si="18"/>
        <v>#DIV/0!</v>
      </c>
      <c r="T39" s="9">
        <f t="shared" si="19"/>
        <v>0</v>
      </c>
      <c r="U39" s="9" t="e">
        <f>R39 / _xlfn.XLOOKUP(A39, Bottom!A:A, Bottom!AA:AA)</f>
        <v>#DIV/0!</v>
      </c>
    </row>
    <row r="40" spans="1:23" x14ac:dyDescent="0.25">
      <c r="N40" s="6"/>
      <c r="O40" s="7"/>
      <c r="P40" s="8">
        <f t="shared" si="16"/>
        <v>0</v>
      </c>
      <c r="Q40" s="1"/>
      <c r="R40" s="6">
        <f t="shared" si="17"/>
        <v>0</v>
      </c>
      <c r="S40" s="9" t="e">
        <f t="shared" si="18"/>
        <v>#DIV/0!</v>
      </c>
      <c r="T40" s="9">
        <f t="shared" si="19"/>
        <v>0</v>
      </c>
      <c r="U40" s="9" t="e">
        <f>R40 / _xlfn.XLOOKUP(A40, Bottom!A:A, Bottom!AA:AA)</f>
        <v>#DIV/0!</v>
      </c>
    </row>
    <row r="41" spans="1:23" x14ac:dyDescent="0.25">
      <c r="N41" s="6"/>
      <c r="O41" s="7"/>
      <c r="P41" s="8">
        <f t="shared" si="16"/>
        <v>0</v>
      </c>
      <c r="Q41" s="1"/>
      <c r="R41" s="6">
        <f t="shared" si="17"/>
        <v>0</v>
      </c>
      <c r="S41" s="9" t="e">
        <f t="shared" si="18"/>
        <v>#DIV/0!</v>
      </c>
      <c r="T41" s="9">
        <f t="shared" si="19"/>
        <v>0</v>
      </c>
      <c r="U41" s="9" t="e">
        <f>R41 / _xlfn.XLOOKUP(A41, Bottom!A:A, Bottom!AA:AA)</f>
        <v>#DIV/0!</v>
      </c>
    </row>
    <row r="42" spans="1:23" x14ac:dyDescent="0.25">
      <c r="N42" s="6"/>
      <c r="O42" s="7"/>
      <c r="P42" s="8">
        <f t="shared" si="16"/>
        <v>0</v>
      </c>
      <c r="Q42" s="1"/>
      <c r="R42" s="6">
        <f t="shared" si="17"/>
        <v>0</v>
      </c>
      <c r="S42" s="9" t="e">
        <f t="shared" si="18"/>
        <v>#DIV/0!</v>
      </c>
      <c r="T42" s="9">
        <f t="shared" si="19"/>
        <v>0</v>
      </c>
      <c r="U42" s="9" t="e">
        <f>R42 / _xlfn.XLOOKUP(A42, Bottom!A:A, Bottom!AA:AA)</f>
        <v>#DIV/0!</v>
      </c>
    </row>
    <row r="43" spans="1:23" x14ac:dyDescent="0.25">
      <c r="N43" s="6"/>
      <c r="O43" s="7"/>
      <c r="P43" s="8">
        <f t="shared" si="16"/>
        <v>0</v>
      </c>
      <c r="Q43" s="1"/>
      <c r="R43" s="6">
        <f t="shared" si="17"/>
        <v>0</v>
      </c>
      <c r="S43" s="9" t="e">
        <f t="shared" si="18"/>
        <v>#DIV/0!</v>
      </c>
      <c r="T43" s="9">
        <f t="shared" si="19"/>
        <v>0</v>
      </c>
      <c r="U43" s="9" t="e">
        <f>R43 / _xlfn.XLOOKUP(A43, Bottom!A:A, Bottom!AA:AA)</f>
        <v>#DIV/0!</v>
      </c>
    </row>
    <row r="44" spans="1:23" x14ac:dyDescent="0.25">
      <c r="N44" s="6"/>
      <c r="O44" s="7"/>
      <c r="P44" s="8">
        <f t="shared" si="16"/>
        <v>0</v>
      </c>
      <c r="Q44" s="1"/>
      <c r="R44" s="6">
        <f t="shared" si="17"/>
        <v>0</v>
      </c>
      <c r="S44" s="9" t="e">
        <f t="shared" si="18"/>
        <v>#DIV/0!</v>
      </c>
      <c r="T44" s="9">
        <f t="shared" si="19"/>
        <v>0</v>
      </c>
      <c r="U44" s="9" t="e">
        <f>R44 / _xlfn.XLOOKUP(A44, Bottom!A:A, Bottom!AA:AA)</f>
        <v>#DIV/0!</v>
      </c>
    </row>
    <row r="45" spans="1:23" x14ac:dyDescent="0.25">
      <c r="N45" s="6"/>
      <c r="O45" s="7"/>
      <c r="P45" s="8">
        <f t="shared" si="16"/>
        <v>0</v>
      </c>
      <c r="Q45" s="1"/>
      <c r="R45" s="6">
        <f t="shared" si="17"/>
        <v>0</v>
      </c>
      <c r="S45" s="9" t="e">
        <f t="shared" si="18"/>
        <v>#DIV/0!</v>
      </c>
      <c r="T45" s="9">
        <f t="shared" si="19"/>
        <v>0</v>
      </c>
      <c r="U45" s="9" t="e">
        <f>R45 / _xlfn.XLOOKUP(A45, Bottom!A:A, Bottom!AA:AA)</f>
        <v>#DIV/0!</v>
      </c>
    </row>
    <row r="46" spans="1:23" x14ac:dyDescent="0.25">
      <c r="N46" s="6"/>
      <c r="O46" s="7"/>
      <c r="P46" s="8">
        <f t="shared" si="16"/>
        <v>0</v>
      </c>
      <c r="Q46" s="1"/>
      <c r="R46" s="6">
        <f t="shared" si="17"/>
        <v>0</v>
      </c>
      <c r="S46" s="9" t="e">
        <f t="shared" si="18"/>
        <v>#DIV/0!</v>
      </c>
      <c r="T46" s="9">
        <f t="shared" si="19"/>
        <v>0</v>
      </c>
      <c r="U46" s="9" t="e">
        <f>R46 / _xlfn.XLOOKUP(A46, Bottom!A:A, Bottom!AA:AA)</f>
        <v>#DIV/0!</v>
      </c>
    </row>
    <row r="47" spans="1:23" x14ac:dyDescent="0.25">
      <c r="N47" s="6"/>
      <c r="O47" s="7"/>
      <c r="P47" s="8">
        <f t="shared" si="16"/>
        <v>0</v>
      </c>
      <c r="Q47" s="1"/>
      <c r="R47" s="6">
        <f t="shared" si="17"/>
        <v>0</v>
      </c>
      <c r="S47" s="9" t="e">
        <f t="shared" si="18"/>
        <v>#DIV/0!</v>
      </c>
      <c r="T47" s="9">
        <f t="shared" si="19"/>
        <v>0</v>
      </c>
      <c r="U47" s="9" t="e">
        <f>R47 / _xlfn.XLOOKUP(A47, Bottom!A:A, Bottom!AA:AA)</f>
        <v>#DIV/0!</v>
      </c>
    </row>
    <row r="48" spans="1:23" x14ac:dyDescent="0.25">
      <c r="N48" s="6"/>
      <c r="O48" s="7"/>
      <c r="P48" s="8">
        <f t="shared" si="16"/>
        <v>0</v>
      </c>
      <c r="Q48" s="1"/>
      <c r="R48" s="6">
        <f t="shared" si="17"/>
        <v>0</v>
      </c>
      <c r="S48" s="9" t="e">
        <f t="shared" si="18"/>
        <v>#DIV/0!</v>
      </c>
      <c r="T48" s="9">
        <f t="shared" si="19"/>
        <v>0</v>
      </c>
      <c r="U48" s="9" t="e">
        <f>R48 / _xlfn.XLOOKUP(A48, Bottom!A:A, Bottom!AA:AA)</f>
        <v>#DIV/0!</v>
      </c>
    </row>
    <row r="49" spans="14:21" x14ac:dyDescent="0.25">
      <c r="N49" s="6"/>
      <c r="O49" s="7"/>
      <c r="P49" s="8">
        <f t="shared" si="16"/>
        <v>0</v>
      </c>
      <c r="Q49" s="1"/>
      <c r="R49" s="6">
        <f t="shared" si="17"/>
        <v>0</v>
      </c>
      <c r="S49" s="9" t="e">
        <f t="shared" si="18"/>
        <v>#DIV/0!</v>
      </c>
      <c r="T49" s="9">
        <f t="shared" si="19"/>
        <v>0</v>
      </c>
      <c r="U49" s="9" t="e">
        <f>R49 / _xlfn.XLOOKUP(A49, Bottom!A:A, Bottom!AA:AA)</f>
        <v>#DIV/0!</v>
      </c>
    </row>
    <row r="50" spans="14:21" x14ac:dyDescent="0.25">
      <c r="N50" s="6"/>
      <c r="O50" s="7"/>
      <c r="P50" s="8">
        <f t="shared" si="16"/>
        <v>0</v>
      </c>
      <c r="Q50" s="1"/>
      <c r="R50" s="6">
        <f t="shared" si="17"/>
        <v>0</v>
      </c>
      <c r="S50" s="9" t="e">
        <f t="shared" si="18"/>
        <v>#DIV/0!</v>
      </c>
      <c r="T50" s="9">
        <f t="shared" si="19"/>
        <v>0</v>
      </c>
      <c r="U50" s="9" t="e">
        <f>R50 / _xlfn.XLOOKUP(A50, Bottom!A:A, Bottom!AA:AA)</f>
        <v>#DIV/0!</v>
      </c>
    </row>
    <row r="51" spans="14:21" x14ac:dyDescent="0.25">
      <c r="N51" s="6"/>
      <c r="O51" s="7"/>
      <c r="P51" s="8">
        <f t="shared" si="16"/>
        <v>0</v>
      </c>
      <c r="Q51" s="1"/>
      <c r="R51" s="6">
        <f t="shared" si="17"/>
        <v>0</v>
      </c>
      <c r="S51" s="9" t="e">
        <f t="shared" si="18"/>
        <v>#DIV/0!</v>
      </c>
      <c r="T51" s="9">
        <f t="shared" si="19"/>
        <v>0</v>
      </c>
      <c r="U51" s="9" t="e">
        <f>R51 / _xlfn.XLOOKUP(A51, Bottom!A:A, Bottom!AA:AA)</f>
        <v>#DIV/0!</v>
      </c>
    </row>
    <row r="52" spans="14:21" x14ac:dyDescent="0.25">
      <c r="N52" s="6"/>
      <c r="O52" s="7"/>
      <c r="P52" s="8">
        <f t="shared" si="16"/>
        <v>0</v>
      </c>
      <c r="Q52" s="1"/>
      <c r="R52" s="6">
        <f t="shared" si="17"/>
        <v>0</v>
      </c>
      <c r="S52" s="9" t="e">
        <f t="shared" si="18"/>
        <v>#DIV/0!</v>
      </c>
      <c r="T52" s="9">
        <f t="shared" si="19"/>
        <v>0</v>
      </c>
      <c r="U52" s="9" t="e">
        <f>R52 / _xlfn.XLOOKUP(A52, Bottom!A:A, Bottom!AA:AA)</f>
        <v>#DIV/0!</v>
      </c>
    </row>
    <row r="53" spans="14:21" x14ac:dyDescent="0.25">
      <c r="N53" s="6"/>
      <c r="O53" s="7"/>
      <c r="P53" s="8">
        <f t="shared" si="16"/>
        <v>0</v>
      </c>
      <c r="Q53" s="1"/>
      <c r="R53" s="6">
        <f t="shared" si="17"/>
        <v>0</v>
      </c>
      <c r="S53" s="9" t="e">
        <f t="shared" si="18"/>
        <v>#DIV/0!</v>
      </c>
      <c r="T53" s="9">
        <f t="shared" si="19"/>
        <v>0</v>
      </c>
      <c r="U53" s="9" t="e">
        <f>R53 / _xlfn.XLOOKUP(A53, Bottom!A:A, Bottom!AA:AA)</f>
        <v>#DIV/0!</v>
      </c>
    </row>
    <row r="54" spans="14:21" x14ac:dyDescent="0.25">
      <c r="N54" s="6"/>
      <c r="O54" s="7"/>
      <c r="P54" s="8">
        <f t="shared" si="16"/>
        <v>0</v>
      </c>
      <c r="Q54" s="1"/>
      <c r="R54" s="6">
        <f t="shared" si="17"/>
        <v>0</v>
      </c>
      <c r="S54" s="9" t="e">
        <f t="shared" si="18"/>
        <v>#DIV/0!</v>
      </c>
      <c r="T54" s="9">
        <f t="shared" si="19"/>
        <v>0</v>
      </c>
      <c r="U54" s="9" t="e">
        <f>R54 / _xlfn.XLOOKUP(A54, Bottom!A:A, Bottom!AA:AA)</f>
        <v>#DIV/0!</v>
      </c>
    </row>
  </sheetData>
  <sortState xmlns:xlrd2="http://schemas.microsoft.com/office/spreadsheetml/2017/richdata2" ref="A3:U31">
    <sortCondition descending="1" ref="S3:S31"/>
  </sortState>
  <pageMargins left="0.7" right="0.7" top="0.78740157499999996" bottom="0.78740157499999996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FB459-C671-4F59-B746-B88AC972AB75}">
  <sheetPr>
    <tabColor theme="5" tint="0.59999389629810485"/>
  </sheetPr>
  <dimension ref="A1:W47"/>
  <sheetViews>
    <sheetView workbookViewId="0">
      <selection activeCell="L22" sqref="L22"/>
    </sheetView>
  </sheetViews>
  <sheetFormatPr baseColWidth="10" defaultRowHeight="15" x14ac:dyDescent="0.25"/>
  <sheetData>
    <row r="1" spans="1:23" ht="15.75" x14ac:dyDescent="0.25">
      <c r="A1" s="2" t="s">
        <v>212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161</v>
      </c>
      <c r="B3" s="6"/>
      <c r="C3" s="7"/>
      <c r="D3" s="8">
        <f t="shared" ref="D3:D23" si="0">B3*C3</f>
        <v>0</v>
      </c>
      <c r="E3" s="6"/>
      <c r="F3" s="7"/>
      <c r="G3" s="8">
        <f t="shared" ref="G3:G23" si="1">E3*F3</f>
        <v>0</v>
      </c>
      <c r="H3" s="6"/>
      <c r="I3" s="7"/>
      <c r="J3" s="8">
        <f t="shared" ref="J3:J23" si="2">H3*I3</f>
        <v>0</v>
      </c>
      <c r="K3" s="6"/>
      <c r="L3" s="7"/>
      <c r="M3" s="8">
        <f t="shared" ref="M3:M23" si="3">K3*L3</f>
        <v>0</v>
      </c>
      <c r="N3" s="6"/>
      <c r="O3" s="7"/>
      <c r="P3" s="8">
        <f t="shared" ref="P3:P23" si="4">N3*O3</f>
        <v>0</v>
      </c>
      <c r="Q3" s="1"/>
      <c r="R3" s="6">
        <f t="shared" ref="R3:R23" si="5">B3+E3+H3+K3+N3</f>
        <v>0</v>
      </c>
      <c r="S3" s="9" t="e">
        <f t="shared" ref="S3:S23" si="6">(D3+G3+J3+M3+P3)/R3</f>
        <v>#DIV/0!</v>
      </c>
      <c r="T3" s="9">
        <f t="shared" ref="T3:T23" si="7">R3/$V$3</f>
        <v>0</v>
      </c>
      <c r="U3" s="9">
        <f>R3 / _xlfn.XLOOKUP(A3, Bottom!A:A, Bottom!AA:AA)</f>
        <v>0</v>
      </c>
      <c r="V3" s="11">
        <f>SUM(R3:R61)</f>
        <v>110</v>
      </c>
      <c r="W3" s="12">
        <f>(SUM(D3:D91)+SUM(G3:G91)+SUM(J3:J91)+SUM(M3:M91)+SUM(P3:P91)) / V3</f>
        <v>0.24536363636363639</v>
      </c>
    </row>
    <row r="4" spans="1:23" x14ac:dyDescent="0.25">
      <c r="A4" s="23" t="s">
        <v>213</v>
      </c>
      <c r="B4" s="6"/>
      <c r="C4" s="7"/>
      <c r="D4" s="8">
        <f t="shared" si="0"/>
        <v>0</v>
      </c>
      <c r="E4" s="6"/>
      <c r="F4" s="7"/>
      <c r="G4" s="8">
        <f t="shared" si="1"/>
        <v>0</v>
      </c>
      <c r="H4" s="6"/>
      <c r="I4" s="7"/>
      <c r="J4" s="8">
        <f t="shared" si="2"/>
        <v>0</v>
      </c>
      <c r="K4" s="6">
        <v>2</v>
      </c>
      <c r="L4" s="7">
        <v>1</v>
      </c>
      <c r="M4" s="8">
        <f t="shared" si="3"/>
        <v>2</v>
      </c>
      <c r="N4" s="6"/>
      <c r="O4" s="7"/>
      <c r="P4" s="8">
        <f t="shared" si="4"/>
        <v>0</v>
      </c>
      <c r="Q4" s="1"/>
      <c r="R4" s="6">
        <f t="shared" si="5"/>
        <v>2</v>
      </c>
      <c r="S4" s="9">
        <f t="shared" si="6"/>
        <v>1</v>
      </c>
      <c r="T4" s="9">
        <f t="shared" si="7"/>
        <v>1.8181818181818181E-2</v>
      </c>
      <c r="U4" s="9">
        <f>R4 / _xlfn.XLOOKUP(A4, Bottom!A:A, Bottom!AA:AA)</f>
        <v>2.6315789473684209E-2</v>
      </c>
      <c r="V4" s="1"/>
      <c r="W4" s="1"/>
    </row>
    <row r="5" spans="1:23" x14ac:dyDescent="0.25">
      <c r="A5" s="1" t="s">
        <v>146</v>
      </c>
      <c r="B5" s="6"/>
      <c r="C5" s="7"/>
      <c r="D5" s="8">
        <f t="shared" si="0"/>
        <v>0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>
        <v>4</v>
      </c>
      <c r="L5" s="7">
        <v>0.5</v>
      </c>
      <c r="M5" s="8">
        <f t="shared" si="3"/>
        <v>2</v>
      </c>
      <c r="N5" s="6"/>
      <c r="O5" s="7"/>
      <c r="P5" s="8">
        <f t="shared" si="4"/>
        <v>0</v>
      </c>
      <c r="Q5" s="4"/>
      <c r="R5" s="6">
        <f t="shared" si="5"/>
        <v>4</v>
      </c>
      <c r="S5" s="9">
        <f t="shared" si="6"/>
        <v>0.5</v>
      </c>
      <c r="T5" s="9">
        <f t="shared" si="7"/>
        <v>3.6363636363636362E-2</v>
      </c>
      <c r="U5" s="9">
        <f>R5 / _xlfn.XLOOKUP(A5, Bottom!A:A, Bottom!AA:AA)</f>
        <v>2.1621621621621623E-2</v>
      </c>
      <c r="V5" s="1"/>
      <c r="W5" s="1"/>
    </row>
    <row r="6" spans="1:23" x14ac:dyDescent="0.25">
      <c r="A6" s="1" t="s">
        <v>141</v>
      </c>
      <c r="B6" s="6"/>
      <c r="C6" s="7"/>
      <c r="D6" s="8">
        <f t="shared" si="0"/>
        <v>0</v>
      </c>
      <c r="E6" s="6">
        <v>6</v>
      </c>
      <c r="F6" s="7">
        <v>0.5</v>
      </c>
      <c r="G6" s="8">
        <f t="shared" si="1"/>
        <v>3</v>
      </c>
      <c r="H6" s="6"/>
      <c r="I6" s="7"/>
      <c r="J6" s="8">
        <f t="shared" si="2"/>
        <v>0</v>
      </c>
      <c r="K6" s="6">
        <v>5</v>
      </c>
      <c r="L6" s="7">
        <v>0.4</v>
      </c>
      <c r="M6" s="8">
        <f t="shared" si="3"/>
        <v>2</v>
      </c>
      <c r="N6" s="6"/>
      <c r="O6" s="7"/>
      <c r="P6" s="8">
        <f t="shared" si="4"/>
        <v>0</v>
      </c>
      <c r="Q6" s="4"/>
      <c r="R6" s="6">
        <f t="shared" si="5"/>
        <v>11</v>
      </c>
      <c r="S6" s="9">
        <f t="shared" si="6"/>
        <v>0.45454545454545453</v>
      </c>
      <c r="T6" s="9">
        <f t="shared" si="7"/>
        <v>0.1</v>
      </c>
      <c r="U6" s="9">
        <f>R6 / _xlfn.XLOOKUP(A6, Bottom!A:A, Bottom!AA:AA)</f>
        <v>2.5056947608200455E-2</v>
      </c>
      <c r="V6" s="1"/>
      <c r="W6" s="1"/>
    </row>
    <row r="7" spans="1:23" x14ac:dyDescent="0.25">
      <c r="A7" s="1" t="s">
        <v>150</v>
      </c>
      <c r="B7" s="6">
        <v>1</v>
      </c>
      <c r="C7" s="7">
        <v>0</v>
      </c>
      <c r="D7" s="8">
        <f t="shared" si="0"/>
        <v>0</v>
      </c>
      <c r="E7" s="6">
        <v>2</v>
      </c>
      <c r="F7" s="7">
        <v>0</v>
      </c>
      <c r="G7" s="8">
        <f t="shared" si="1"/>
        <v>0</v>
      </c>
      <c r="H7" s="6"/>
      <c r="I7" s="7"/>
      <c r="J7" s="8">
        <f t="shared" si="2"/>
        <v>0</v>
      </c>
      <c r="K7" s="6">
        <v>11</v>
      </c>
      <c r="L7" s="7">
        <v>0.54500000000000004</v>
      </c>
      <c r="M7" s="8">
        <f t="shared" si="3"/>
        <v>5.9950000000000001</v>
      </c>
      <c r="N7" s="6"/>
      <c r="O7" s="7"/>
      <c r="P7" s="8">
        <f t="shared" si="4"/>
        <v>0</v>
      </c>
      <c r="Q7" s="1"/>
      <c r="R7" s="6">
        <f t="shared" si="5"/>
        <v>14</v>
      </c>
      <c r="S7" s="9">
        <f t="shared" si="6"/>
        <v>0.42821428571428571</v>
      </c>
      <c r="T7" s="9">
        <f t="shared" si="7"/>
        <v>0.12727272727272726</v>
      </c>
      <c r="U7" s="9">
        <f>R7 / _xlfn.XLOOKUP(A7, Bottom!A:A, Bottom!AA:AA)</f>
        <v>2.9227557411273485E-2</v>
      </c>
      <c r="V7" s="1"/>
      <c r="W7" s="1"/>
    </row>
    <row r="8" spans="1:23" x14ac:dyDescent="0.25">
      <c r="A8" s="1" t="s">
        <v>147</v>
      </c>
      <c r="B8" s="6"/>
      <c r="C8" s="7"/>
      <c r="D8" s="8">
        <f t="shared" si="0"/>
        <v>0</v>
      </c>
      <c r="E8" s="6"/>
      <c r="F8" s="7"/>
      <c r="G8" s="8">
        <f t="shared" si="1"/>
        <v>0</v>
      </c>
      <c r="H8" s="6"/>
      <c r="I8" s="7"/>
      <c r="J8" s="8">
        <f t="shared" si="2"/>
        <v>0</v>
      </c>
      <c r="K8" s="6">
        <v>5</v>
      </c>
      <c r="L8" s="7">
        <v>0.4</v>
      </c>
      <c r="M8" s="8">
        <f t="shared" si="3"/>
        <v>2</v>
      </c>
      <c r="N8" s="6"/>
      <c r="O8" s="7"/>
      <c r="P8" s="8">
        <f t="shared" si="4"/>
        <v>0</v>
      </c>
      <c r="Q8" s="1"/>
      <c r="R8" s="6">
        <f t="shared" si="5"/>
        <v>5</v>
      </c>
      <c r="S8" s="9">
        <f t="shared" si="6"/>
        <v>0.4</v>
      </c>
      <c r="T8" s="9">
        <f t="shared" si="7"/>
        <v>4.5454545454545456E-2</v>
      </c>
      <c r="U8" s="9">
        <f>R8 / _xlfn.XLOOKUP(A8, Bottom!A:A, Bottom!AA:AA)</f>
        <v>2.3809523809523808E-2</v>
      </c>
      <c r="V8" s="1"/>
      <c r="W8" s="1"/>
    </row>
    <row r="9" spans="1:23" x14ac:dyDescent="0.25">
      <c r="A9" s="1" t="s">
        <v>138</v>
      </c>
      <c r="B9" s="6">
        <v>1</v>
      </c>
      <c r="C9" s="7">
        <v>1</v>
      </c>
      <c r="D9" s="8">
        <f t="shared" si="0"/>
        <v>1</v>
      </c>
      <c r="E9" s="6">
        <v>1</v>
      </c>
      <c r="F9" s="7">
        <v>0</v>
      </c>
      <c r="G9" s="8">
        <f t="shared" si="1"/>
        <v>0</v>
      </c>
      <c r="H9" s="6"/>
      <c r="I9" s="7"/>
      <c r="J9" s="8">
        <f t="shared" si="2"/>
        <v>0</v>
      </c>
      <c r="K9" s="6">
        <v>1</v>
      </c>
      <c r="L9" s="7">
        <v>0</v>
      </c>
      <c r="M9" s="8">
        <f t="shared" si="3"/>
        <v>0</v>
      </c>
      <c r="N9" s="6"/>
      <c r="O9" s="7"/>
      <c r="P9" s="8">
        <f t="shared" si="4"/>
        <v>0</v>
      </c>
      <c r="Q9" s="1"/>
      <c r="R9" s="6">
        <f t="shared" si="5"/>
        <v>3</v>
      </c>
      <c r="S9" s="9">
        <f t="shared" si="6"/>
        <v>0.33333333333333331</v>
      </c>
      <c r="T9" s="9">
        <f t="shared" si="7"/>
        <v>2.7272727272727271E-2</v>
      </c>
      <c r="U9" s="9">
        <f>R9 / _xlfn.XLOOKUP(A9, Bottom!A:A, Bottom!AA:AA)</f>
        <v>1.0169491525423728E-2</v>
      </c>
      <c r="V9" s="1"/>
      <c r="W9" s="1"/>
    </row>
    <row r="10" spans="1:23" x14ac:dyDescent="0.25">
      <c r="A10" s="1" t="s">
        <v>39</v>
      </c>
      <c r="B10" s="6">
        <v>1</v>
      </c>
      <c r="C10" s="7">
        <v>0</v>
      </c>
      <c r="D10" s="8">
        <f t="shared" si="0"/>
        <v>0</v>
      </c>
      <c r="E10" s="6"/>
      <c r="F10" s="7"/>
      <c r="G10" s="8">
        <f t="shared" si="1"/>
        <v>0</v>
      </c>
      <c r="H10" s="6"/>
      <c r="I10" s="7"/>
      <c r="J10" s="8">
        <f t="shared" si="2"/>
        <v>0</v>
      </c>
      <c r="K10" s="6">
        <v>2</v>
      </c>
      <c r="L10" s="7">
        <v>0.5</v>
      </c>
      <c r="M10" s="8">
        <f t="shared" si="3"/>
        <v>1</v>
      </c>
      <c r="N10" s="6"/>
      <c r="O10" s="7"/>
      <c r="P10" s="8">
        <f t="shared" si="4"/>
        <v>0</v>
      </c>
      <c r="Q10" s="1"/>
      <c r="R10" s="6">
        <f t="shared" si="5"/>
        <v>3</v>
      </c>
      <c r="S10" s="9">
        <f t="shared" si="6"/>
        <v>0.33333333333333331</v>
      </c>
      <c r="T10" s="9">
        <f t="shared" si="7"/>
        <v>2.7272727272727271E-2</v>
      </c>
      <c r="U10" s="9">
        <f>R10 / _xlfn.XLOOKUP(A10, Bottom!A:A, Bottom!AA:AA)</f>
        <v>4.9180327868852458E-2</v>
      </c>
      <c r="V10" s="1"/>
      <c r="W10" s="1"/>
    </row>
    <row r="11" spans="1:23" x14ac:dyDescent="0.25">
      <c r="A11" s="1" t="s">
        <v>151</v>
      </c>
      <c r="B11" s="6"/>
      <c r="C11" s="7"/>
      <c r="D11" s="8">
        <f t="shared" si="0"/>
        <v>0</v>
      </c>
      <c r="E11" s="6"/>
      <c r="F11" s="7"/>
      <c r="G11" s="8">
        <f t="shared" si="1"/>
        <v>0</v>
      </c>
      <c r="H11" s="6"/>
      <c r="I11" s="7"/>
      <c r="J11" s="8">
        <f t="shared" si="2"/>
        <v>0</v>
      </c>
      <c r="K11" s="6">
        <v>3</v>
      </c>
      <c r="L11" s="7">
        <v>0.33300000000000002</v>
      </c>
      <c r="M11" s="8">
        <f t="shared" si="3"/>
        <v>0.99900000000000011</v>
      </c>
      <c r="N11" s="6"/>
      <c r="O11" s="7"/>
      <c r="P11" s="8">
        <f t="shared" si="4"/>
        <v>0</v>
      </c>
      <c r="Q11" s="1"/>
      <c r="R11" s="6">
        <f t="shared" si="5"/>
        <v>3</v>
      </c>
      <c r="S11" s="9">
        <f t="shared" si="6"/>
        <v>0.33300000000000002</v>
      </c>
      <c r="T11" s="9">
        <f t="shared" si="7"/>
        <v>2.7272727272727271E-2</v>
      </c>
      <c r="U11" s="9">
        <f>R11 / _xlfn.XLOOKUP(A11, Bottom!A:A, Bottom!AA:AA)</f>
        <v>1.8867924528301886E-2</v>
      </c>
      <c r="V11" s="1"/>
      <c r="W11" s="1"/>
    </row>
    <row r="12" spans="1:23" x14ac:dyDescent="0.25">
      <c r="A12" s="1" t="s">
        <v>149</v>
      </c>
      <c r="B12" s="6"/>
      <c r="C12" s="7"/>
      <c r="D12" s="8">
        <f t="shared" si="0"/>
        <v>0</v>
      </c>
      <c r="E12" s="6"/>
      <c r="F12" s="7"/>
      <c r="G12" s="8">
        <f t="shared" si="1"/>
        <v>0</v>
      </c>
      <c r="H12" s="6"/>
      <c r="I12" s="7"/>
      <c r="J12" s="8">
        <f t="shared" si="2"/>
        <v>0</v>
      </c>
      <c r="K12" s="6">
        <v>3</v>
      </c>
      <c r="L12" s="7">
        <v>0.33300000000000002</v>
      </c>
      <c r="M12" s="8">
        <f t="shared" si="3"/>
        <v>0.99900000000000011</v>
      </c>
      <c r="N12" s="6"/>
      <c r="O12" s="7"/>
      <c r="P12" s="8">
        <f t="shared" si="4"/>
        <v>0</v>
      </c>
      <c r="Q12" s="13"/>
      <c r="R12" s="6">
        <f t="shared" si="5"/>
        <v>3</v>
      </c>
      <c r="S12" s="9">
        <f t="shared" si="6"/>
        <v>0.33300000000000002</v>
      </c>
      <c r="T12" s="9">
        <f t="shared" si="7"/>
        <v>2.7272727272727271E-2</v>
      </c>
      <c r="U12" s="9">
        <f>R12 / _xlfn.XLOOKUP(A12, Bottom!A:A, Bottom!AA:AA)</f>
        <v>8.9552238805970154E-3</v>
      </c>
      <c r="V12" s="1"/>
      <c r="W12" s="1"/>
    </row>
    <row r="13" spans="1:23" x14ac:dyDescent="0.25">
      <c r="A13" s="18" t="s">
        <v>108</v>
      </c>
      <c r="B13" s="6"/>
      <c r="C13" s="7"/>
      <c r="D13" s="8">
        <f t="shared" si="0"/>
        <v>0</v>
      </c>
      <c r="E13" s="6"/>
      <c r="F13" s="7"/>
      <c r="G13" s="8">
        <f t="shared" si="1"/>
        <v>0</v>
      </c>
      <c r="H13" s="6"/>
      <c r="I13" s="7"/>
      <c r="J13" s="8">
        <f t="shared" si="2"/>
        <v>0</v>
      </c>
      <c r="K13" s="6">
        <v>9</v>
      </c>
      <c r="L13" s="7">
        <v>0.222</v>
      </c>
      <c r="M13" s="8">
        <f t="shared" si="3"/>
        <v>1.998</v>
      </c>
      <c r="N13" s="6"/>
      <c r="O13" s="7"/>
      <c r="P13" s="8">
        <f t="shared" si="4"/>
        <v>0</v>
      </c>
      <c r="Q13" s="1"/>
      <c r="R13" s="6">
        <f t="shared" si="5"/>
        <v>9</v>
      </c>
      <c r="S13" s="9">
        <f t="shared" si="6"/>
        <v>0.222</v>
      </c>
      <c r="T13" s="9">
        <f t="shared" si="7"/>
        <v>8.1818181818181818E-2</v>
      </c>
      <c r="U13" s="9">
        <f>R13 / _xlfn.XLOOKUP(A13, Bottom!A:A, Bottom!AA:AA)</f>
        <v>6.0810810810810814E-2</v>
      </c>
      <c r="V13" s="1"/>
      <c r="W13" s="1"/>
    </row>
    <row r="14" spans="1:23" x14ac:dyDescent="0.25">
      <c r="A14" s="1" t="s">
        <v>140</v>
      </c>
      <c r="B14" s="6">
        <v>1</v>
      </c>
      <c r="C14" s="7">
        <v>0</v>
      </c>
      <c r="D14" s="8">
        <f t="shared" si="0"/>
        <v>0</v>
      </c>
      <c r="E14" s="6">
        <v>3</v>
      </c>
      <c r="F14" s="7">
        <v>0.33300000000000002</v>
      </c>
      <c r="G14" s="8">
        <f t="shared" si="1"/>
        <v>0.99900000000000011</v>
      </c>
      <c r="H14" s="6"/>
      <c r="I14" s="7"/>
      <c r="J14" s="8">
        <f t="shared" si="2"/>
        <v>0</v>
      </c>
      <c r="K14" s="6">
        <v>1</v>
      </c>
      <c r="L14" s="7">
        <v>0</v>
      </c>
      <c r="M14" s="8">
        <f t="shared" si="3"/>
        <v>0</v>
      </c>
      <c r="N14" s="6"/>
      <c r="O14" s="7"/>
      <c r="P14" s="8">
        <f t="shared" si="4"/>
        <v>0</v>
      </c>
      <c r="Q14" s="1"/>
      <c r="R14" s="6">
        <f t="shared" si="5"/>
        <v>5</v>
      </c>
      <c r="S14" s="9">
        <f t="shared" si="6"/>
        <v>0.19980000000000003</v>
      </c>
      <c r="T14" s="9">
        <f t="shared" si="7"/>
        <v>4.5454545454545456E-2</v>
      </c>
      <c r="U14" s="9">
        <f>R14 / _xlfn.XLOOKUP(A14, Bottom!A:A, Bottom!AA:AA)</f>
        <v>9.6525096525096523E-3</v>
      </c>
      <c r="V14" s="1"/>
      <c r="W14" s="1"/>
    </row>
    <row r="15" spans="1:23" x14ac:dyDescent="0.25">
      <c r="A15" s="1" t="s">
        <v>35</v>
      </c>
      <c r="B15" s="6"/>
      <c r="C15" s="7"/>
      <c r="D15" s="8">
        <f t="shared" si="0"/>
        <v>0</v>
      </c>
      <c r="E15" s="6">
        <v>2</v>
      </c>
      <c r="F15" s="7">
        <v>0</v>
      </c>
      <c r="G15" s="8">
        <f t="shared" si="1"/>
        <v>0</v>
      </c>
      <c r="H15" s="6"/>
      <c r="I15" s="7"/>
      <c r="J15" s="8">
        <f t="shared" si="2"/>
        <v>0</v>
      </c>
      <c r="K15" s="6">
        <v>10</v>
      </c>
      <c r="L15" s="7">
        <v>0.2</v>
      </c>
      <c r="M15" s="8">
        <f t="shared" si="3"/>
        <v>2</v>
      </c>
      <c r="N15" s="6"/>
      <c r="O15" s="7"/>
      <c r="P15" s="8">
        <f t="shared" si="4"/>
        <v>0</v>
      </c>
      <c r="Q15" s="1"/>
      <c r="R15" s="6">
        <f t="shared" si="5"/>
        <v>12</v>
      </c>
      <c r="S15" s="9">
        <f t="shared" si="6"/>
        <v>0.16666666666666666</v>
      </c>
      <c r="T15" s="9">
        <f t="shared" si="7"/>
        <v>0.10909090909090909</v>
      </c>
      <c r="U15" s="9">
        <f>R15 / _xlfn.XLOOKUP(A15, Bottom!A:A, Bottom!AA:AA)</f>
        <v>3.1007751937984496E-2</v>
      </c>
      <c r="V15" s="1"/>
      <c r="W15" s="1"/>
    </row>
    <row r="16" spans="1:23" x14ac:dyDescent="0.25">
      <c r="A16" s="1" t="s">
        <v>145</v>
      </c>
      <c r="B16" s="6">
        <v>1</v>
      </c>
      <c r="C16" s="7">
        <v>0</v>
      </c>
      <c r="D16" s="8">
        <f t="shared" si="0"/>
        <v>0</v>
      </c>
      <c r="E16" s="6">
        <v>1</v>
      </c>
      <c r="F16" s="7">
        <v>1</v>
      </c>
      <c r="G16" s="8">
        <f t="shared" si="1"/>
        <v>1</v>
      </c>
      <c r="H16" s="6"/>
      <c r="I16" s="7"/>
      <c r="J16" s="8">
        <f t="shared" si="2"/>
        <v>0</v>
      </c>
      <c r="K16" s="6">
        <v>6</v>
      </c>
      <c r="L16" s="7">
        <v>0</v>
      </c>
      <c r="M16" s="8">
        <f t="shared" si="3"/>
        <v>0</v>
      </c>
      <c r="N16" s="6"/>
      <c r="O16" s="7"/>
      <c r="P16" s="8">
        <f t="shared" si="4"/>
        <v>0</v>
      </c>
      <c r="Q16" s="4"/>
      <c r="R16" s="6">
        <f t="shared" si="5"/>
        <v>8</v>
      </c>
      <c r="S16" s="9">
        <f t="shared" si="6"/>
        <v>0.125</v>
      </c>
      <c r="T16" s="9">
        <f t="shared" si="7"/>
        <v>7.2727272727272724E-2</v>
      </c>
      <c r="U16" s="9">
        <f>R16 / _xlfn.XLOOKUP(A16, Bottom!A:A, Bottom!AA:AA)</f>
        <v>1.735357917570499E-2</v>
      </c>
      <c r="V16" s="1"/>
      <c r="W16" s="1"/>
    </row>
    <row r="17" spans="1:23" x14ac:dyDescent="0.25">
      <c r="A17" s="1" t="s">
        <v>156</v>
      </c>
      <c r="B17" s="6"/>
      <c r="C17" s="7"/>
      <c r="D17" s="8">
        <f t="shared" si="0"/>
        <v>0</v>
      </c>
      <c r="E17" s="6"/>
      <c r="F17" s="7"/>
      <c r="G17" s="8">
        <f t="shared" si="1"/>
        <v>0</v>
      </c>
      <c r="H17" s="6"/>
      <c r="I17" s="7"/>
      <c r="J17" s="8">
        <f t="shared" si="2"/>
        <v>0</v>
      </c>
      <c r="K17" s="6">
        <v>1</v>
      </c>
      <c r="L17" s="7">
        <v>0</v>
      </c>
      <c r="M17" s="8">
        <f t="shared" si="3"/>
        <v>0</v>
      </c>
      <c r="N17" s="6"/>
      <c r="O17" s="7"/>
      <c r="P17" s="8">
        <f t="shared" si="4"/>
        <v>0</v>
      </c>
      <c r="Q17" s="1"/>
      <c r="R17" s="6">
        <f t="shared" si="5"/>
        <v>1</v>
      </c>
      <c r="S17" s="9">
        <f t="shared" si="6"/>
        <v>0</v>
      </c>
      <c r="T17" s="9">
        <f t="shared" si="7"/>
        <v>9.0909090909090905E-3</v>
      </c>
      <c r="U17" s="9">
        <f>R17 / _xlfn.XLOOKUP(A17, Bottom!A:A, Bottom!AA:AA)</f>
        <v>8.771929824561403E-3</v>
      </c>
      <c r="V17" s="1"/>
      <c r="W17" s="1"/>
    </row>
    <row r="18" spans="1:23" x14ac:dyDescent="0.25">
      <c r="A18" s="1" t="s">
        <v>134</v>
      </c>
      <c r="B18" s="6"/>
      <c r="C18" s="7"/>
      <c r="D18" s="8">
        <f t="shared" si="0"/>
        <v>0</v>
      </c>
      <c r="E18" s="6"/>
      <c r="F18" s="7"/>
      <c r="G18" s="8">
        <f t="shared" si="1"/>
        <v>0</v>
      </c>
      <c r="H18" s="6"/>
      <c r="I18" s="7"/>
      <c r="J18" s="8">
        <f t="shared" si="2"/>
        <v>0</v>
      </c>
      <c r="K18" s="6">
        <v>6</v>
      </c>
      <c r="L18" s="7">
        <v>0</v>
      </c>
      <c r="M18" s="8">
        <f t="shared" si="3"/>
        <v>0</v>
      </c>
      <c r="N18" s="6"/>
      <c r="O18" s="7"/>
      <c r="P18" s="8">
        <f t="shared" si="4"/>
        <v>0</v>
      </c>
      <c r="Q18" s="1"/>
      <c r="R18" s="6">
        <f t="shared" si="5"/>
        <v>6</v>
      </c>
      <c r="S18" s="9">
        <f t="shared" si="6"/>
        <v>0</v>
      </c>
      <c r="T18" s="9">
        <f t="shared" si="7"/>
        <v>5.4545454545454543E-2</v>
      </c>
      <c r="U18" s="9">
        <f>R18 / _xlfn.XLOOKUP(A18, Bottom!A:A, Bottom!AA:AA)</f>
        <v>1.3100436681222707E-2</v>
      </c>
      <c r="V18" s="1"/>
      <c r="W18" s="1"/>
    </row>
    <row r="19" spans="1:23" x14ac:dyDescent="0.25">
      <c r="A19" s="1" t="s">
        <v>142</v>
      </c>
      <c r="B19" s="6"/>
      <c r="C19" s="7"/>
      <c r="D19" s="8">
        <f t="shared" si="0"/>
        <v>0</v>
      </c>
      <c r="E19" s="6"/>
      <c r="F19" s="7"/>
      <c r="G19" s="8">
        <f t="shared" si="1"/>
        <v>0</v>
      </c>
      <c r="H19" s="6"/>
      <c r="I19" s="7"/>
      <c r="J19" s="8">
        <f t="shared" si="2"/>
        <v>0</v>
      </c>
      <c r="K19" s="6">
        <v>2</v>
      </c>
      <c r="L19" s="7">
        <v>0</v>
      </c>
      <c r="M19" s="8">
        <f t="shared" si="3"/>
        <v>0</v>
      </c>
      <c r="N19" s="6"/>
      <c r="O19" s="7"/>
      <c r="P19" s="8">
        <f t="shared" si="4"/>
        <v>0</v>
      </c>
      <c r="Q19" s="1"/>
      <c r="R19" s="6">
        <f t="shared" si="5"/>
        <v>2</v>
      </c>
      <c r="S19" s="9">
        <f t="shared" si="6"/>
        <v>0</v>
      </c>
      <c r="T19" s="9">
        <f t="shared" si="7"/>
        <v>1.8181818181818181E-2</v>
      </c>
      <c r="U19" s="9">
        <f>R19 / _xlfn.XLOOKUP(A19, Bottom!A:A, Bottom!AA:AA)</f>
        <v>6.5146579804560263E-3</v>
      </c>
      <c r="V19" s="1"/>
      <c r="W19" s="1"/>
    </row>
    <row r="20" spans="1:23" x14ac:dyDescent="0.25">
      <c r="A20" s="1" t="s">
        <v>148</v>
      </c>
      <c r="B20" s="6">
        <v>1</v>
      </c>
      <c r="C20" s="7">
        <v>0</v>
      </c>
      <c r="D20" s="8">
        <f t="shared" si="0"/>
        <v>0</v>
      </c>
      <c r="E20" s="6"/>
      <c r="F20" s="7"/>
      <c r="G20" s="8">
        <f t="shared" si="1"/>
        <v>0</v>
      </c>
      <c r="H20" s="6"/>
      <c r="I20" s="7"/>
      <c r="J20" s="8">
        <f t="shared" si="2"/>
        <v>0</v>
      </c>
      <c r="K20" s="6">
        <v>7</v>
      </c>
      <c r="L20" s="7">
        <v>0</v>
      </c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8</v>
      </c>
      <c r="S20" s="9">
        <f t="shared" si="6"/>
        <v>0</v>
      </c>
      <c r="T20" s="9">
        <f t="shared" si="7"/>
        <v>7.2727272727272724E-2</v>
      </c>
      <c r="U20" s="9">
        <f>R20 / _xlfn.XLOOKUP(A20, Bottom!A:A, Bottom!AA:AA)</f>
        <v>3.9408866995073892E-2</v>
      </c>
      <c r="V20" s="1"/>
      <c r="W20" s="1"/>
    </row>
    <row r="21" spans="1:23" x14ac:dyDescent="0.25">
      <c r="A21" s="1" t="s">
        <v>143</v>
      </c>
      <c r="B21" s="6"/>
      <c r="C21" s="7"/>
      <c r="D21" s="8">
        <f t="shared" si="0"/>
        <v>0</v>
      </c>
      <c r="E21" s="6"/>
      <c r="F21" s="7"/>
      <c r="G21" s="8">
        <f t="shared" si="1"/>
        <v>0</v>
      </c>
      <c r="H21" s="6"/>
      <c r="I21" s="7"/>
      <c r="J21" s="8">
        <f t="shared" si="2"/>
        <v>0</v>
      </c>
      <c r="K21" s="6">
        <v>3</v>
      </c>
      <c r="L21" s="7">
        <v>0</v>
      </c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3</v>
      </c>
      <c r="S21" s="9">
        <f t="shared" si="6"/>
        <v>0</v>
      </c>
      <c r="T21" s="9">
        <f t="shared" si="7"/>
        <v>2.7272727272727271E-2</v>
      </c>
      <c r="U21" s="9">
        <f>R21 / _xlfn.XLOOKUP(A21, Bottom!A:A, Bottom!AA:AA)</f>
        <v>2.0689655172413793E-2</v>
      </c>
      <c r="V21" s="1"/>
      <c r="W21" s="1"/>
    </row>
    <row r="22" spans="1:23" x14ac:dyDescent="0.25">
      <c r="A22" s="1" t="s">
        <v>139</v>
      </c>
      <c r="B22" s="6"/>
      <c r="C22" s="7"/>
      <c r="D22" s="8">
        <f t="shared" si="0"/>
        <v>0</v>
      </c>
      <c r="E22" s="6">
        <v>1</v>
      </c>
      <c r="F22" s="7">
        <v>0</v>
      </c>
      <c r="G22" s="8">
        <f t="shared" si="1"/>
        <v>0</v>
      </c>
      <c r="H22" s="6"/>
      <c r="I22" s="7"/>
      <c r="J22" s="8">
        <f t="shared" si="2"/>
        <v>0</v>
      </c>
      <c r="K22" s="6">
        <v>6</v>
      </c>
      <c r="L22" s="7">
        <v>0</v>
      </c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7</v>
      </c>
      <c r="S22" s="9">
        <f t="shared" si="6"/>
        <v>0</v>
      </c>
      <c r="T22" s="9">
        <f t="shared" si="7"/>
        <v>6.363636363636363E-2</v>
      </c>
      <c r="U22" s="9">
        <f>R22 / _xlfn.XLOOKUP(A22, Bottom!A:A, Bottom!AA:AA)</f>
        <v>1.3157894736842105E-2</v>
      </c>
      <c r="V22" s="1"/>
      <c r="W22" s="1"/>
    </row>
    <row r="23" spans="1:23" x14ac:dyDescent="0.25">
      <c r="A23" s="1" t="s">
        <v>154</v>
      </c>
      <c r="B23" s="6"/>
      <c r="C23" s="7"/>
      <c r="D23" s="8">
        <f t="shared" si="0"/>
        <v>0</v>
      </c>
      <c r="E23" s="6"/>
      <c r="F23" s="7"/>
      <c r="G23" s="8">
        <f t="shared" si="1"/>
        <v>0</v>
      </c>
      <c r="H23" s="6"/>
      <c r="I23" s="7"/>
      <c r="J23" s="8">
        <f t="shared" si="2"/>
        <v>0</v>
      </c>
      <c r="K23" s="6">
        <v>1</v>
      </c>
      <c r="L23" s="7">
        <v>0</v>
      </c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1</v>
      </c>
      <c r="S23" s="9">
        <f t="shared" si="6"/>
        <v>0</v>
      </c>
      <c r="T23" s="9">
        <f t="shared" si="7"/>
        <v>9.0909090909090905E-3</v>
      </c>
      <c r="U23" s="9">
        <f>R23 / _xlfn.XLOOKUP(A23, Bottom!A:A, Bottom!AA:AA)</f>
        <v>8.4033613445378148E-3</v>
      </c>
      <c r="V23" s="1"/>
      <c r="W23" s="1"/>
    </row>
    <row r="24" spans="1:23" x14ac:dyDescent="0.25">
      <c r="A24" s="1"/>
      <c r="B24" s="6"/>
      <c r="C24" s="7"/>
      <c r="D24" s="8">
        <f t="shared" ref="D24:D28" si="8">B24*C24</f>
        <v>0</v>
      </c>
      <c r="E24" s="6"/>
      <c r="F24" s="7"/>
      <c r="G24" s="8">
        <f t="shared" ref="G24:G28" si="9">E24*F24</f>
        <v>0</v>
      </c>
      <c r="H24" s="6"/>
      <c r="I24" s="7"/>
      <c r="J24" s="8">
        <f t="shared" ref="J24:J28" si="10">H24*I24</f>
        <v>0</v>
      </c>
      <c r="K24" s="6"/>
      <c r="L24" s="7"/>
      <c r="M24" s="8">
        <f t="shared" ref="M24:M28" si="11">K24*L24</f>
        <v>0</v>
      </c>
      <c r="N24" s="6"/>
      <c r="O24" s="7"/>
      <c r="P24" s="8">
        <f t="shared" ref="P24:P25" si="12">N24*O24</f>
        <v>0</v>
      </c>
      <c r="Q24" s="1"/>
      <c r="R24" s="6">
        <f t="shared" ref="R24:R25" si="13">B24+E24+H24+K24+N24</f>
        <v>0</v>
      </c>
      <c r="S24" s="9" t="e">
        <f t="shared" ref="S24:S25" si="14">(D24+G24+J24+M24+P24)/R24</f>
        <v>#DIV/0!</v>
      </c>
      <c r="T24" s="9">
        <f t="shared" ref="T24:T25" si="15">R24/$V$3</f>
        <v>0</v>
      </c>
      <c r="U24" s="9" t="e">
        <f>R24 / _xlfn.XLOOKUP(A24, Bottom!A:A, Bottom!AA:AA)</f>
        <v>#DIV/0!</v>
      </c>
      <c r="V24" s="1"/>
      <c r="W24" s="1"/>
    </row>
    <row r="25" spans="1:23" x14ac:dyDescent="0.25">
      <c r="A25" s="1"/>
      <c r="B25" s="6"/>
      <c r="C25" s="7"/>
      <c r="D25" s="8">
        <f t="shared" si="8"/>
        <v>0</v>
      </c>
      <c r="E25" s="6"/>
      <c r="F25" s="7"/>
      <c r="G25" s="8">
        <f t="shared" si="9"/>
        <v>0</v>
      </c>
      <c r="H25" s="6"/>
      <c r="I25" s="7"/>
      <c r="J25" s="8">
        <f t="shared" si="10"/>
        <v>0</v>
      </c>
      <c r="K25" s="6"/>
      <c r="L25" s="7"/>
      <c r="M25" s="8">
        <f t="shared" si="11"/>
        <v>0</v>
      </c>
      <c r="N25" s="6"/>
      <c r="O25" s="7"/>
      <c r="P25" s="8">
        <f t="shared" si="12"/>
        <v>0</v>
      </c>
      <c r="Q25" s="1"/>
      <c r="R25" s="6">
        <f t="shared" si="13"/>
        <v>0</v>
      </c>
      <c r="S25" s="9" t="e">
        <f t="shared" si="14"/>
        <v>#DIV/0!</v>
      </c>
      <c r="T25" s="9">
        <f t="shared" si="15"/>
        <v>0</v>
      </c>
      <c r="U25" s="9" t="e">
        <f>R25 / _xlfn.XLOOKUP(A25, Bottom!A:A, Bottom!AA:AA)</f>
        <v>#DIV/0!</v>
      </c>
      <c r="V25" s="1"/>
      <c r="W25" s="1"/>
    </row>
    <row r="26" spans="1:23" x14ac:dyDescent="0.25">
      <c r="A26" s="1"/>
      <c r="B26" s="6"/>
      <c r="C26" s="7"/>
      <c r="D26" s="8">
        <f t="shared" si="8"/>
        <v>0</v>
      </c>
      <c r="E26" s="6"/>
      <c r="F26" s="7"/>
      <c r="G26" s="8">
        <f t="shared" si="9"/>
        <v>0</v>
      </c>
      <c r="H26" s="6"/>
      <c r="I26" s="7"/>
      <c r="J26" s="8">
        <f t="shared" si="10"/>
        <v>0</v>
      </c>
      <c r="K26" s="6"/>
      <c r="L26" s="7"/>
      <c r="M26" s="8">
        <f t="shared" si="11"/>
        <v>0</v>
      </c>
      <c r="N26" s="6"/>
      <c r="O26" s="7"/>
      <c r="P26" s="8">
        <f t="shared" ref="P26:P47" si="16">N26*O26</f>
        <v>0</v>
      </c>
      <c r="Q26" s="1"/>
      <c r="R26" s="6">
        <f t="shared" ref="R26:R47" si="17">B26+E26+H26+K26+N26</f>
        <v>0</v>
      </c>
      <c r="S26" s="9" t="e">
        <f t="shared" ref="S26:S47" si="18">(D26+G26+J26+M26+P26)/R26</f>
        <v>#DIV/0!</v>
      </c>
      <c r="T26" s="9">
        <f t="shared" ref="T26:T47" si="19">R26/$V$3</f>
        <v>0</v>
      </c>
      <c r="U26" s="9" t="e">
        <f>R26 / _xlfn.XLOOKUP(A26, Bottom!A:A, Bottom!AA:AA)</f>
        <v>#DIV/0!</v>
      </c>
      <c r="V26" s="1"/>
      <c r="W26" s="1"/>
    </row>
    <row r="27" spans="1:23" x14ac:dyDescent="0.25">
      <c r="A27" s="1"/>
      <c r="B27" s="6"/>
      <c r="C27" s="7"/>
      <c r="D27" s="8">
        <f t="shared" si="8"/>
        <v>0</v>
      </c>
      <c r="E27" s="6"/>
      <c r="F27" s="7"/>
      <c r="G27" s="8">
        <f t="shared" si="9"/>
        <v>0</v>
      </c>
      <c r="H27" s="6"/>
      <c r="I27" s="7"/>
      <c r="J27" s="8">
        <f t="shared" si="10"/>
        <v>0</v>
      </c>
      <c r="K27" s="6"/>
      <c r="L27" s="7"/>
      <c r="M27" s="8">
        <f t="shared" si="11"/>
        <v>0</v>
      </c>
      <c r="N27" s="6"/>
      <c r="O27" s="7"/>
      <c r="P27" s="8">
        <f t="shared" si="16"/>
        <v>0</v>
      </c>
      <c r="Q27" s="1"/>
      <c r="R27" s="6">
        <f t="shared" si="17"/>
        <v>0</v>
      </c>
      <c r="S27" s="9" t="e">
        <f t="shared" si="18"/>
        <v>#DIV/0!</v>
      </c>
      <c r="T27" s="9">
        <f t="shared" si="19"/>
        <v>0</v>
      </c>
      <c r="U27" s="9" t="e">
        <f>R27 / _xlfn.XLOOKUP(A27, Bottom!A:A, Bottom!AA:AA)</f>
        <v>#DIV/0!</v>
      </c>
      <c r="V27" s="1"/>
      <c r="W27" s="1"/>
    </row>
    <row r="28" spans="1:23" x14ac:dyDescent="0.25">
      <c r="A28" s="1"/>
      <c r="B28" s="6"/>
      <c r="C28" s="7"/>
      <c r="D28" s="8">
        <f t="shared" si="8"/>
        <v>0</v>
      </c>
      <c r="E28" s="6"/>
      <c r="F28" s="7"/>
      <c r="G28" s="8">
        <f t="shared" si="9"/>
        <v>0</v>
      </c>
      <c r="H28" s="6"/>
      <c r="I28" s="7"/>
      <c r="J28" s="8">
        <f t="shared" si="10"/>
        <v>0</v>
      </c>
      <c r="K28" s="6"/>
      <c r="L28" s="7"/>
      <c r="M28" s="8">
        <f t="shared" si="11"/>
        <v>0</v>
      </c>
      <c r="N28" s="6"/>
      <c r="O28" s="7"/>
      <c r="P28" s="8">
        <f t="shared" si="16"/>
        <v>0</v>
      </c>
      <c r="Q28" s="1"/>
      <c r="R28" s="6">
        <f t="shared" si="17"/>
        <v>0</v>
      </c>
      <c r="S28" s="9" t="e">
        <f t="shared" si="18"/>
        <v>#DIV/0!</v>
      </c>
      <c r="T28" s="9">
        <f t="shared" si="19"/>
        <v>0</v>
      </c>
      <c r="U28" s="9" t="e">
        <f>R28 / _xlfn.XLOOKUP(A28, Bottom!A:A, Bottom!AA:AA)</f>
        <v>#DIV/0!</v>
      </c>
      <c r="V28" s="1"/>
      <c r="W28" s="1"/>
    </row>
    <row r="29" spans="1:23" x14ac:dyDescent="0.25">
      <c r="N29" s="6"/>
      <c r="O29" s="7"/>
      <c r="P29" s="8">
        <f t="shared" si="16"/>
        <v>0</v>
      </c>
      <c r="Q29" s="1"/>
      <c r="R29" s="6">
        <f t="shared" si="17"/>
        <v>0</v>
      </c>
      <c r="S29" s="9" t="e">
        <f t="shared" si="18"/>
        <v>#DIV/0!</v>
      </c>
      <c r="T29" s="9">
        <f t="shared" si="19"/>
        <v>0</v>
      </c>
      <c r="U29" s="9" t="e">
        <f>R29 / _xlfn.XLOOKUP(A29, Bottom!A:A, Bottom!AA:AA)</f>
        <v>#DIV/0!</v>
      </c>
      <c r="V29" s="1"/>
      <c r="W29" s="1"/>
    </row>
    <row r="30" spans="1:23" x14ac:dyDescent="0.25">
      <c r="N30" s="6"/>
      <c r="O30" s="7"/>
      <c r="P30" s="8">
        <f t="shared" si="16"/>
        <v>0</v>
      </c>
      <c r="Q30" s="1"/>
      <c r="R30" s="6">
        <f t="shared" si="17"/>
        <v>0</v>
      </c>
      <c r="S30" s="9" t="e">
        <f t="shared" si="18"/>
        <v>#DIV/0!</v>
      </c>
      <c r="T30" s="9">
        <f t="shared" si="19"/>
        <v>0</v>
      </c>
      <c r="U30" s="9" t="e">
        <f>R30 / _xlfn.XLOOKUP(A30, Bottom!A:A, Bottom!AA:AA)</f>
        <v>#DIV/0!</v>
      </c>
      <c r="V30" s="1"/>
      <c r="W30" s="1"/>
    </row>
    <row r="31" spans="1:23" x14ac:dyDescent="0.25">
      <c r="N31" s="6"/>
      <c r="O31" s="7"/>
      <c r="P31" s="8">
        <f t="shared" si="16"/>
        <v>0</v>
      </c>
      <c r="Q31" s="1"/>
      <c r="R31" s="6">
        <f t="shared" si="17"/>
        <v>0</v>
      </c>
      <c r="S31" s="9" t="e">
        <f t="shared" si="18"/>
        <v>#DIV/0!</v>
      </c>
      <c r="T31" s="9">
        <f t="shared" si="19"/>
        <v>0</v>
      </c>
      <c r="U31" s="9" t="e">
        <f>R31 / _xlfn.XLOOKUP(A31, Bottom!A:A, Bottom!AA:AA)</f>
        <v>#DIV/0!</v>
      </c>
    </row>
    <row r="32" spans="1:23" x14ac:dyDescent="0.25">
      <c r="N32" s="6"/>
      <c r="O32" s="7"/>
      <c r="P32" s="8">
        <f t="shared" si="16"/>
        <v>0</v>
      </c>
      <c r="Q32" s="1"/>
      <c r="R32" s="6">
        <f t="shared" si="17"/>
        <v>0</v>
      </c>
      <c r="S32" s="9" t="e">
        <f t="shared" si="18"/>
        <v>#DIV/0!</v>
      </c>
      <c r="T32" s="9">
        <f t="shared" si="19"/>
        <v>0</v>
      </c>
      <c r="U32" s="9" t="e">
        <f>R32 / _xlfn.XLOOKUP(A32, Bottom!A:A, Bottom!AA:AA)</f>
        <v>#DIV/0!</v>
      </c>
    </row>
    <row r="33" spans="14:21" x14ac:dyDescent="0.25">
      <c r="N33" s="6"/>
      <c r="O33" s="7"/>
      <c r="P33" s="8">
        <f t="shared" si="16"/>
        <v>0</v>
      </c>
      <c r="Q33" s="1"/>
      <c r="R33" s="6">
        <f t="shared" si="17"/>
        <v>0</v>
      </c>
      <c r="S33" s="9" t="e">
        <f t="shared" si="18"/>
        <v>#DIV/0!</v>
      </c>
      <c r="T33" s="9">
        <f t="shared" si="19"/>
        <v>0</v>
      </c>
      <c r="U33" s="9" t="e">
        <f>R33 / _xlfn.XLOOKUP(A33, Bottom!A:A, Bottom!AA:AA)</f>
        <v>#DIV/0!</v>
      </c>
    </row>
    <row r="34" spans="14:21" x14ac:dyDescent="0.25">
      <c r="N34" s="6"/>
      <c r="O34" s="7"/>
      <c r="P34" s="8">
        <f t="shared" si="16"/>
        <v>0</v>
      </c>
      <c r="Q34" s="1"/>
      <c r="R34" s="6">
        <f t="shared" si="17"/>
        <v>0</v>
      </c>
      <c r="S34" s="9" t="e">
        <f t="shared" si="18"/>
        <v>#DIV/0!</v>
      </c>
      <c r="T34" s="9">
        <f t="shared" si="19"/>
        <v>0</v>
      </c>
      <c r="U34" s="9" t="e">
        <f>R34 / _xlfn.XLOOKUP(A34, Bottom!A:A, Bottom!AA:AA)</f>
        <v>#DIV/0!</v>
      </c>
    </row>
    <row r="35" spans="14:21" x14ac:dyDescent="0.25">
      <c r="N35" s="6"/>
      <c r="O35" s="7"/>
      <c r="P35" s="8">
        <f t="shared" si="16"/>
        <v>0</v>
      </c>
      <c r="Q35" s="1"/>
      <c r="R35" s="6">
        <f t="shared" si="17"/>
        <v>0</v>
      </c>
      <c r="S35" s="9" t="e">
        <f t="shared" si="18"/>
        <v>#DIV/0!</v>
      </c>
      <c r="T35" s="9">
        <f t="shared" si="19"/>
        <v>0</v>
      </c>
      <c r="U35" s="9" t="e">
        <f>R35 / _xlfn.XLOOKUP(A35, Bottom!A:A, Bottom!AA:AA)</f>
        <v>#DIV/0!</v>
      </c>
    </row>
    <row r="36" spans="14:21" x14ac:dyDescent="0.25">
      <c r="N36" s="6"/>
      <c r="O36" s="7"/>
      <c r="P36" s="8">
        <f t="shared" si="16"/>
        <v>0</v>
      </c>
      <c r="Q36" s="1"/>
      <c r="R36" s="6">
        <f t="shared" si="17"/>
        <v>0</v>
      </c>
      <c r="S36" s="9" t="e">
        <f t="shared" si="18"/>
        <v>#DIV/0!</v>
      </c>
      <c r="T36" s="9">
        <f t="shared" si="19"/>
        <v>0</v>
      </c>
      <c r="U36" s="9" t="e">
        <f>R36 / _xlfn.XLOOKUP(A36, Bottom!A:A, Bottom!AA:AA)</f>
        <v>#DIV/0!</v>
      </c>
    </row>
    <row r="37" spans="14:21" x14ac:dyDescent="0.25">
      <c r="N37" s="6"/>
      <c r="O37" s="7"/>
      <c r="P37" s="8">
        <f t="shared" si="16"/>
        <v>0</v>
      </c>
      <c r="Q37" s="1"/>
      <c r="R37" s="6">
        <f t="shared" si="17"/>
        <v>0</v>
      </c>
      <c r="S37" s="9" t="e">
        <f t="shared" si="18"/>
        <v>#DIV/0!</v>
      </c>
      <c r="T37" s="9">
        <f t="shared" si="19"/>
        <v>0</v>
      </c>
      <c r="U37" s="9" t="e">
        <f>R37 / _xlfn.XLOOKUP(A37, Bottom!A:A, Bottom!AA:AA)</f>
        <v>#DIV/0!</v>
      </c>
    </row>
    <row r="38" spans="14:21" x14ac:dyDescent="0.25">
      <c r="N38" s="6"/>
      <c r="O38" s="7"/>
      <c r="P38" s="8">
        <f t="shared" si="16"/>
        <v>0</v>
      </c>
      <c r="Q38" s="1"/>
      <c r="R38" s="6">
        <f t="shared" si="17"/>
        <v>0</v>
      </c>
      <c r="S38" s="9" t="e">
        <f t="shared" si="18"/>
        <v>#DIV/0!</v>
      </c>
      <c r="T38" s="9">
        <f t="shared" si="19"/>
        <v>0</v>
      </c>
      <c r="U38" s="9" t="e">
        <f>R38 / _xlfn.XLOOKUP(A38, Bottom!A:A, Bottom!AA:AA)</f>
        <v>#DIV/0!</v>
      </c>
    </row>
    <row r="39" spans="14:21" x14ac:dyDescent="0.25">
      <c r="N39" s="6"/>
      <c r="O39" s="7"/>
      <c r="P39" s="8">
        <f t="shared" si="16"/>
        <v>0</v>
      </c>
      <c r="Q39" s="1"/>
      <c r="R39" s="6">
        <f t="shared" si="17"/>
        <v>0</v>
      </c>
      <c r="S39" s="9" t="e">
        <f t="shared" si="18"/>
        <v>#DIV/0!</v>
      </c>
      <c r="T39" s="9">
        <f t="shared" si="19"/>
        <v>0</v>
      </c>
      <c r="U39" s="9" t="e">
        <f>R39 / _xlfn.XLOOKUP(A39, Bottom!A:A, Bottom!AA:AA)</f>
        <v>#DIV/0!</v>
      </c>
    </row>
    <row r="40" spans="14:21" x14ac:dyDescent="0.25">
      <c r="N40" s="6"/>
      <c r="O40" s="7"/>
      <c r="P40" s="8">
        <f t="shared" si="16"/>
        <v>0</v>
      </c>
      <c r="Q40" s="1"/>
      <c r="R40" s="6">
        <f t="shared" si="17"/>
        <v>0</v>
      </c>
      <c r="S40" s="9" t="e">
        <f t="shared" si="18"/>
        <v>#DIV/0!</v>
      </c>
      <c r="T40" s="9">
        <f t="shared" si="19"/>
        <v>0</v>
      </c>
      <c r="U40" s="9" t="e">
        <f>R40 / _xlfn.XLOOKUP(A40, Bottom!A:A, Bottom!AA:AA)</f>
        <v>#DIV/0!</v>
      </c>
    </row>
    <row r="41" spans="14:21" x14ac:dyDescent="0.25">
      <c r="N41" s="6"/>
      <c r="O41" s="7"/>
      <c r="P41" s="8">
        <f t="shared" si="16"/>
        <v>0</v>
      </c>
      <c r="Q41" s="1"/>
      <c r="R41" s="6">
        <f t="shared" si="17"/>
        <v>0</v>
      </c>
      <c r="S41" s="9" t="e">
        <f t="shared" si="18"/>
        <v>#DIV/0!</v>
      </c>
      <c r="T41" s="9">
        <f t="shared" si="19"/>
        <v>0</v>
      </c>
      <c r="U41" s="9" t="e">
        <f>R41 / _xlfn.XLOOKUP(A41, Bottom!A:A, Bottom!AA:AA)</f>
        <v>#DIV/0!</v>
      </c>
    </row>
    <row r="42" spans="14:21" x14ac:dyDescent="0.25">
      <c r="N42" s="6"/>
      <c r="O42" s="7"/>
      <c r="P42" s="8">
        <f t="shared" si="16"/>
        <v>0</v>
      </c>
      <c r="Q42" s="1"/>
      <c r="R42" s="6">
        <f t="shared" si="17"/>
        <v>0</v>
      </c>
      <c r="S42" s="9" t="e">
        <f t="shared" si="18"/>
        <v>#DIV/0!</v>
      </c>
      <c r="T42" s="9">
        <f t="shared" si="19"/>
        <v>0</v>
      </c>
      <c r="U42" s="9" t="e">
        <f>R42 / _xlfn.XLOOKUP(A42, Bottom!A:A, Bottom!AA:AA)</f>
        <v>#DIV/0!</v>
      </c>
    </row>
    <row r="43" spans="14:21" x14ac:dyDescent="0.25">
      <c r="N43" s="6"/>
      <c r="O43" s="7"/>
      <c r="P43" s="8">
        <f t="shared" si="16"/>
        <v>0</v>
      </c>
      <c r="Q43" s="1"/>
      <c r="R43" s="6">
        <f t="shared" si="17"/>
        <v>0</v>
      </c>
      <c r="S43" s="9" t="e">
        <f t="shared" si="18"/>
        <v>#DIV/0!</v>
      </c>
      <c r="T43" s="9">
        <f t="shared" si="19"/>
        <v>0</v>
      </c>
      <c r="U43" s="9" t="e">
        <f>R43 / _xlfn.XLOOKUP(A43, Bottom!A:A, Bottom!AA:AA)</f>
        <v>#DIV/0!</v>
      </c>
    </row>
    <row r="44" spans="14:21" x14ac:dyDescent="0.25">
      <c r="N44" s="6"/>
      <c r="O44" s="7"/>
      <c r="P44" s="8">
        <f t="shared" si="16"/>
        <v>0</v>
      </c>
      <c r="Q44" s="1"/>
      <c r="R44" s="6">
        <f t="shared" si="17"/>
        <v>0</v>
      </c>
      <c r="S44" s="9" t="e">
        <f t="shared" si="18"/>
        <v>#DIV/0!</v>
      </c>
      <c r="T44" s="9">
        <f t="shared" si="19"/>
        <v>0</v>
      </c>
      <c r="U44" s="9" t="e">
        <f>R44 / _xlfn.XLOOKUP(A44, Bottom!A:A, Bottom!AA:AA)</f>
        <v>#DIV/0!</v>
      </c>
    </row>
    <row r="45" spans="14:21" x14ac:dyDescent="0.25">
      <c r="N45" s="6"/>
      <c r="O45" s="7"/>
      <c r="P45" s="8">
        <f t="shared" si="16"/>
        <v>0</v>
      </c>
      <c r="Q45" s="1"/>
      <c r="R45" s="6">
        <f t="shared" si="17"/>
        <v>0</v>
      </c>
      <c r="S45" s="9" t="e">
        <f t="shared" si="18"/>
        <v>#DIV/0!</v>
      </c>
      <c r="T45" s="9">
        <f t="shared" si="19"/>
        <v>0</v>
      </c>
      <c r="U45" s="9" t="e">
        <f>R45 / _xlfn.XLOOKUP(A45, Bottom!A:A, Bottom!AA:AA)</f>
        <v>#DIV/0!</v>
      </c>
    </row>
    <row r="46" spans="14:21" x14ac:dyDescent="0.25">
      <c r="N46" s="6"/>
      <c r="O46" s="7"/>
      <c r="P46" s="8">
        <f t="shared" si="16"/>
        <v>0</v>
      </c>
      <c r="Q46" s="1"/>
      <c r="R46" s="6">
        <f t="shared" si="17"/>
        <v>0</v>
      </c>
      <c r="S46" s="9" t="e">
        <f t="shared" si="18"/>
        <v>#DIV/0!</v>
      </c>
      <c r="T46" s="9">
        <f t="shared" si="19"/>
        <v>0</v>
      </c>
      <c r="U46" s="9" t="e">
        <f>R46 / _xlfn.XLOOKUP(A46, Bottom!A:A, Bottom!AA:AA)</f>
        <v>#DIV/0!</v>
      </c>
    </row>
    <row r="47" spans="14:21" x14ac:dyDescent="0.25">
      <c r="N47" s="6"/>
      <c r="O47" s="7"/>
      <c r="P47" s="8">
        <f t="shared" si="16"/>
        <v>0</v>
      </c>
      <c r="Q47" s="1"/>
      <c r="R47" s="6">
        <f t="shared" si="17"/>
        <v>0</v>
      </c>
      <c r="S47" s="9" t="e">
        <f t="shared" si="18"/>
        <v>#DIV/0!</v>
      </c>
      <c r="T47" s="9">
        <f t="shared" si="19"/>
        <v>0</v>
      </c>
      <c r="U47" s="9" t="e">
        <f>R47 / _xlfn.XLOOKUP(A47, Bottom!A:A, Bottom!AA:AA)</f>
        <v>#DIV/0!</v>
      </c>
    </row>
  </sheetData>
  <sortState xmlns:xlrd2="http://schemas.microsoft.com/office/spreadsheetml/2017/richdata2" ref="A3:U23">
    <sortCondition descending="1" ref="S3:S23"/>
  </sortState>
  <pageMargins left="0.7" right="0.7" top="0.78740157499999996" bottom="0.78740157499999996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B32BD-3C62-4C5C-8D84-E4C2F76A1846}">
  <sheetPr>
    <tabColor theme="5" tint="0.59999389629810485"/>
  </sheetPr>
  <dimension ref="A1:W56"/>
  <sheetViews>
    <sheetView workbookViewId="0">
      <selection activeCell="U3" sqref="U3:U28"/>
    </sheetView>
  </sheetViews>
  <sheetFormatPr baseColWidth="10" defaultRowHeight="15" x14ac:dyDescent="0.25"/>
  <sheetData>
    <row r="1" spans="1:23" ht="15.75" x14ac:dyDescent="0.25">
      <c r="A1" s="2" t="s">
        <v>158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152</v>
      </c>
      <c r="B3" s="6"/>
      <c r="C3" s="7"/>
      <c r="D3" s="8">
        <f t="shared" ref="D3:D28" si="0">B3*C3</f>
        <v>0</v>
      </c>
      <c r="E3" s="6"/>
      <c r="F3" s="7"/>
      <c r="G3" s="8">
        <f t="shared" ref="G3:G28" si="1">E3*F3</f>
        <v>0</v>
      </c>
      <c r="H3" s="6"/>
      <c r="I3" s="7"/>
      <c r="J3" s="8">
        <f t="shared" ref="J3:J28" si="2">H3*I3</f>
        <v>0</v>
      </c>
      <c r="K3" s="6"/>
      <c r="L3" s="7"/>
      <c r="M3" s="8">
        <f t="shared" ref="M3:M28" si="3">K3*L3</f>
        <v>0</v>
      </c>
      <c r="N3" s="6"/>
      <c r="O3" s="7"/>
      <c r="P3" s="8">
        <f t="shared" ref="P3:P28" si="4">N3*O3</f>
        <v>0</v>
      </c>
      <c r="Q3" s="1"/>
      <c r="R3" s="6">
        <f t="shared" ref="R3:R28" si="5">B3+E3+H3+K3+N3</f>
        <v>0</v>
      </c>
      <c r="S3" s="9" t="e">
        <f t="shared" ref="S3:S28" si="6">(D3+G3+J3+M3+P3)/R3</f>
        <v>#DIV/0!</v>
      </c>
      <c r="T3" s="9">
        <f t="shared" ref="T3:T28" si="7">R3/$V$3</f>
        <v>0</v>
      </c>
      <c r="U3" s="9">
        <f>R3 / _xlfn.XLOOKUP(A3, Bottom!A:A, Bottom!AA:AA)</f>
        <v>0</v>
      </c>
      <c r="V3" s="11">
        <f>SUM(R3:R70)</f>
        <v>335</v>
      </c>
      <c r="W3" s="12">
        <f>(SUM(D3:D100)+SUM(G3:G100)+SUM(J3:J100)+SUM(M3:M100)+SUM(P3:P100)) / V3</f>
        <v>0.56114626865671635</v>
      </c>
    </row>
    <row r="4" spans="1:23" x14ac:dyDescent="0.25">
      <c r="A4" s="1" t="s">
        <v>39</v>
      </c>
      <c r="B4" s="6">
        <v>2</v>
      </c>
      <c r="C4" s="7">
        <v>1</v>
      </c>
      <c r="D4" s="8">
        <f t="shared" si="0"/>
        <v>2</v>
      </c>
      <c r="E4" s="6"/>
      <c r="F4" s="7"/>
      <c r="G4" s="8">
        <f t="shared" si="1"/>
        <v>0</v>
      </c>
      <c r="H4" s="6"/>
      <c r="I4" s="7"/>
      <c r="J4" s="8">
        <f t="shared" si="2"/>
        <v>0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2</v>
      </c>
      <c r="S4" s="9">
        <f t="shared" si="6"/>
        <v>1</v>
      </c>
      <c r="T4" s="9">
        <f t="shared" si="7"/>
        <v>5.9701492537313433E-3</v>
      </c>
      <c r="U4" s="9">
        <f>R4 / _xlfn.XLOOKUP(A4, Bottom!A:A, Bottom!AA:AA)</f>
        <v>3.2786885245901641E-2</v>
      </c>
      <c r="V4" s="6"/>
      <c r="W4" s="9"/>
    </row>
    <row r="5" spans="1:23" x14ac:dyDescent="0.25">
      <c r="A5" s="1" t="s">
        <v>144</v>
      </c>
      <c r="B5" s="6">
        <v>1</v>
      </c>
      <c r="C5" s="7">
        <v>1</v>
      </c>
      <c r="D5" s="8">
        <f t="shared" si="0"/>
        <v>1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4"/>
      <c r="R5" s="6">
        <f t="shared" si="5"/>
        <v>1</v>
      </c>
      <c r="S5" s="9">
        <f t="shared" si="6"/>
        <v>1</v>
      </c>
      <c r="T5" s="9">
        <f t="shared" si="7"/>
        <v>2.9850746268656717E-3</v>
      </c>
      <c r="U5" s="9">
        <f>R5 / _xlfn.XLOOKUP(A5, Bottom!A:A, Bottom!AA:AA)</f>
        <v>7.6923076923076927E-2</v>
      </c>
      <c r="W5" s="1"/>
    </row>
    <row r="6" spans="1:23" x14ac:dyDescent="0.25">
      <c r="A6" s="1" t="s">
        <v>34</v>
      </c>
      <c r="B6" s="6">
        <v>1</v>
      </c>
      <c r="C6" s="7">
        <v>1</v>
      </c>
      <c r="D6" s="8">
        <f t="shared" si="0"/>
        <v>1</v>
      </c>
      <c r="E6" s="6"/>
      <c r="F6" s="7"/>
      <c r="G6" s="8">
        <f t="shared" si="1"/>
        <v>0</v>
      </c>
      <c r="H6" s="6"/>
      <c r="I6" s="7"/>
      <c r="J6" s="8">
        <f t="shared" si="2"/>
        <v>0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1"/>
      <c r="R6" s="6">
        <f t="shared" si="5"/>
        <v>1</v>
      </c>
      <c r="S6" s="9">
        <f t="shared" si="6"/>
        <v>1</v>
      </c>
      <c r="T6" s="9">
        <f t="shared" si="7"/>
        <v>2.9850746268656717E-3</v>
      </c>
      <c r="U6" s="9">
        <f>R6 / _xlfn.XLOOKUP(A6, Bottom!A:A, Bottom!AA:AA)</f>
        <v>0.16666666666666666</v>
      </c>
      <c r="W6" s="1"/>
    </row>
    <row r="7" spans="1:23" x14ac:dyDescent="0.25">
      <c r="A7" s="17" t="s">
        <v>122</v>
      </c>
      <c r="B7" s="6"/>
      <c r="C7" s="7"/>
      <c r="D7" s="8">
        <f t="shared" si="0"/>
        <v>0</v>
      </c>
      <c r="E7" s="6"/>
      <c r="F7" s="7"/>
      <c r="G7" s="8">
        <f t="shared" si="1"/>
        <v>0</v>
      </c>
      <c r="H7" s="6">
        <v>1</v>
      </c>
      <c r="I7" s="7">
        <v>1</v>
      </c>
      <c r="J7" s="8">
        <f t="shared" si="2"/>
        <v>1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1</v>
      </c>
      <c r="S7" s="9">
        <f t="shared" si="6"/>
        <v>1</v>
      </c>
      <c r="T7" s="9">
        <f t="shared" si="7"/>
        <v>2.9850746268656717E-3</v>
      </c>
      <c r="U7" s="9">
        <f>R7 / _xlfn.XLOOKUP(A7, Bottom!A:A, Bottom!AA:AA)</f>
        <v>3.7037037037037035E-2</v>
      </c>
      <c r="V7" s="1"/>
      <c r="W7" s="1"/>
    </row>
    <row r="8" spans="1:23" x14ac:dyDescent="0.25">
      <c r="A8" s="1" t="s">
        <v>150</v>
      </c>
      <c r="B8" s="6">
        <v>4</v>
      </c>
      <c r="C8" s="7">
        <v>1</v>
      </c>
      <c r="D8" s="8">
        <f t="shared" si="0"/>
        <v>4</v>
      </c>
      <c r="E8" s="6">
        <v>11</v>
      </c>
      <c r="F8" s="7">
        <v>0.72699999999999998</v>
      </c>
      <c r="G8" s="8">
        <f t="shared" si="1"/>
        <v>7.9969999999999999</v>
      </c>
      <c r="H8" s="6">
        <v>3</v>
      </c>
      <c r="I8" s="7">
        <v>0.33300000000000002</v>
      </c>
      <c r="J8" s="8">
        <f t="shared" si="2"/>
        <v>0.99900000000000011</v>
      </c>
      <c r="K8" s="6"/>
      <c r="L8" s="7"/>
      <c r="M8" s="8">
        <f t="shared" si="3"/>
        <v>0</v>
      </c>
      <c r="N8" s="6"/>
      <c r="O8" s="7"/>
      <c r="P8" s="8">
        <f t="shared" si="4"/>
        <v>0</v>
      </c>
      <c r="Q8" s="1"/>
      <c r="R8" s="6">
        <f t="shared" si="5"/>
        <v>18</v>
      </c>
      <c r="S8" s="9">
        <f t="shared" si="6"/>
        <v>0.72199999999999998</v>
      </c>
      <c r="T8" s="9">
        <f t="shared" si="7"/>
        <v>5.3731343283582089E-2</v>
      </c>
      <c r="U8" s="9">
        <f>R8 / _xlfn.XLOOKUP(A8, Bottom!A:A, Bottom!AA:AA)</f>
        <v>3.7578288100208766E-2</v>
      </c>
      <c r="V8" s="1"/>
      <c r="W8" s="1"/>
    </row>
    <row r="9" spans="1:23" x14ac:dyDescent="0.25">
      <c r="A9" s="1" t="s">
        <v>151</v>
      </c>
      <c r="B9" s="6">
        <v>6</v>
      </c>
      <c r="C9" s="7">
        <v>0.66700000000000004</v>
      </c>
      <c r="D9" s="8">
        <f t="shared" si="0"/>
        <v>4.0020000000000007</v>
      </c>
      <c r="E9" s="6">
        <v>5</v>
      </c>
      <c r="F9" s="7">
        <v>0.8</v>
      </c>
      <c r="G9" s="8">
        <f t="shared" si="1"/>
        <v>4</v>
      </c>
      <c r="H9" s="6">
        <v>3</v>
      </c>
      <c r="I9" s="7">
        <v>0.66700000000000004</v>
      </c>
      <c r="J9" s="8">
        <f t="shared" si="2"/>
        <v>2.0010000000000003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4"/>
      <c r="R9" s="6">
        <f t="shared" si="5"/>
        <v>14</v>
      </c>
      <c r="S9" s="9">
        <f t="shared" si="6"/>
        <v>0.71450000000000002</v>
      </c>
      <c r="T9" s="9">
        <f t="shared" si="7"/>
        <v>4.1791044776119404E-2</v>
      </c>
      <c r="U9" s="9">
        <f>R9 / _xlfn.XLOOKUP(A9, Bottom!A:A, Bottom!AA:AA)</f>
        <v>8.8050314465408799E-2</v>
      </c>
      <c r="V9" s="1"/>
      <c r="W9" s="1"/>
    </row>
    <row r="10" spans="1:23" x14ac:dyDescent="0.25">
      <c r="A10" s="1" t="s">
        <v>142</v>
      </c>
      <c r="B10" s="6">
        <v>3</v>
      </c>
      <c r="C10" s="7">
        <v>0.66700000000000004</v>
      </c>
      <c r="D10" s="8">
        <f t="shared" si="0"/>
        <v>2.0010000000000003</v>
      </c>
      <c r="E10" s="6"/>
      <c r="F10" s="7"/>
      <c r="G10" s="8">
        <f t="shared" si="1"/>
        <v>0</v>
      </c>
      <c r="H10" s="6">
        <v>4</v>
      </c>
      <c r="I10" s="7">
        <v>0.75</v>
      </c>
      <c r="J10" s="8">
        <f t="shared" si="2"/>
        <v>3</v>
      </c>
      <c r="K10" s="6"/>
      <c r="L10" s="7"/>
      <c r="M10" s="8">
        <f t="shared" si="3"/>
        <v>0</v>
      </c>
      <c r="N10" s="6"/>
      <c r="O10" s="7"/>
      <c r="P10" s="8">
        <f t="shared" si="4"/>
        <v>0</v>
      </c>
      <c r="Q10" s="1"/>
      <c r="R10" s="6">
        <f t="shared" si="5"/>
        <v>7</v>
      </c>
      <c r="S10" s="9">
        <f t="shared" si="6"/>
        <v>0.71442857142857152</v>
      </c>
      <c r="T10" s="9">
        <f t="shared" si="7"/>
        <v>2.0895522388059702E-2</v>
      </c>
      <c r="U10" s="9">
        <f>R10 / _xlfn.XLOOKUP(A10, Bottom!A:A, Bottom!AA:AA)</f>
        <v>2.2801302931596091E-2</v>
      </c>
      <c r="V10" s="1"/>
      <c r="W10" s="1"/>
    </row>
    <row r="11" spans="1:23" x14ac:dyDescent="0.25">
      <c r="A11" s="1" t="s">
        <v>149</v>
      </c>
      <c r="B11" s="6">
        <v>9</v>
      </c>
      <c r="C11" s="7">
        <v>0.66700000000000004</v>
      </c>
      <c r="D11" s="8">
        <f t="shared" si="0"/>
        <v>6.0030000000000001</v>
      </c>
      <c r="E11" s="6"/>
      <c r="F11" s="7"/>
      <c r="G11" s="8">
        <f t="shared" si="1"/>
        <v>0</v>
      </c>
      <c r="H11" s="6">
        <v>15</v>
      </c>
      <c r="I11" s="7">
        <v>0.73299999999999998</v>
      </c>
      <c r="J11" s="8">
        <f t="shared" si="2"/>
        <v>10.994999999999999</v>
      </c>
      <c r="K11" s="6"/>
      <c r="L11" s="7"/>
      <c r="M11" s="8">
        <f t="shared" si="3"/>
        <v>0</v>
      </c>
      <c r="N11" s="6"/>
      <c r="O11" s="7"/>
      <c r="P11" s="8">
        <f t="shared" si="4"/>
        <v>0</v>
      </c>
      <c r="Q11" s="4"/>
      <c r="R11" s="6">
        <f t="shared" si="5"/>
        <v>24</v>
      </c>
      <c r="S11" s="9">
        <f t="shared" si="6"/>
        <v>0.70824999999999994</v>
      </c>
      <c r="T11" s="9">
        <f t="shared" si="7"/>
        <v>7.1641791044776124E-2</v>
      </c>
      <c r="U11" s="9">
        <f>R11 / _xlfn.XLOOKUP(A11, Bottom!A:A, Bottom!AA:AA)</f>
        <v>7.1641791044776124E-2</v>
      </c>
      <c r="V11" s="1"/>
      <c r="W11" s="1"/>
    </row>
    <row r="12" spans="1:23" x14ac:dyDescent="0.25">
      <c r="A12" s="1" t="s">
        <v>35</v>
      </c>
      <c r="B12" s="6">
        <v>5</v>
      </c>
      <c r="C12" s="7">
        <v>0.2</v>
      </c>
      <c r="D12" s="8">
        <f t="shared" si="0"/>
        <v>1</v>
      </c>
      <c r="E12" s="6">
        <v>15</v>
      </c>
      <c r="F12" s="7">
        <v>0.8</v>
      </c>
      <c r="G12" s="8">
        <f t="shared" si="1"/>
        <v>12</v>
      </c>
      <c r="H12" s="6">
        <v>4</v>
      </c>
      <c r="I12" s="7">
        <v>0.75</v>
      </c>
      <c r="J12" s="8">
        <f t="shared" si="2"/>
        <v>3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1"/>
      <c r="R12" s="6">
        <f t="shared" si="5"/>
        <v>24</v>
      </c>
      <c r="S12" s="9">
        <f t="shared" si="6"/>
        <v>0.66666666666666663</v>
      </c>
      <c r="T12" s="9">
        <f t="shared" si="7"/>
        <v>7.1641791044776124E-2</v>
      </c>
      <c r="U12" s="9">
        <f>R12 / _xlfn.XLOOKUP(A12, Bottom!A:A, Bottom!AA:AA)</f>
        <v>6.2015503875968991E-2</v>
      </c>
      <c r="V12" s="1"/>
      <c r="W12" s="1"/>
    </row>
    <row r="13" spans="1:23" x14ac:dyDescent="0.25">
      <c r="A13" s="1" t="s">
        <v>153</v>
      </c>
      <c r="B13" s="6">
        <v>1</v>
      </c>
      <c r="C13" s="7">
        <v>1</v>
      </c>
      <c r="D13" s="8">
        <f t="shared" si="0"/>
        <v>1</v>
      </c>
      <c r="E13" s="6">
        <v>1</v>
      </c>
      <c r="F13" s="7">
        <v>1</v>
      </c>
      <c r="G13" s="8">
        <f t="shared" si="1"/>
        <v>1</v>
      </c>
      <c r="H13" s="6">
        <v>1</v>
      </c>
      <c r="I13" s="7">
        <v>0</v>
      </c>
      <c r="J13" s="8">
        <f t="shared" si="2"/>
        <v>0</v>
      </c>
      <c r="K13" s="6"/>
      <c r="L13" s="7"/>
      <c r="M13" s="8">
        <f t="shared" si="3"/>
        <v>0</v>
      </c>
      <c r="N13" s="6"/>
      <c r="O13" s="7"/>
      <c r="P13" s="8">
        <f t="shared" si="4"/>
        <v>0</v>
      </c>
      <c r="Q13" s="1"/>
      <c r="R13" s="6">
        <f t="shared" si="5"/>
        <v>3</v>
      </c>
      <c r="S13" s="9">
        <f t="shared" si="6"/>
        <v>0.66666666666666663</v>
      </c>
      <c r="T13" s="9">
        <f t="shared" si="7"/>
        <v>8.9552238805970154E-3</v>
      </c>
      <c r="U13" s="9">
        <f>R13 / _xlfn.XLOOKUP(A13, Bottom!A:A, Bottom!AA:AA)</f>
        <v>0.1</v>
      </c>
      <c r="V13" s="1"/>
      <c r="W13" s="1"/>
    </row>
    <row r="14" spans="1:23" x14ac:dyDescent="0.25">
      <c r="A14" s="1" t="s">
        <v>138</v>
      </c>
      <c r="B14" s="6">
        <v>16</v>
      </c>
      <c r="C14" s="7">
        <v>0.625</v>
      </c>
      <c r="D14" s="8">
        <f t="shared" si="0"/>
        <v>10</v>
      </c>
      <c r="E14" s="6">
        <v>5</v>
      </c>
      <c r="F14" s="7">
        <v>0.6</v>
      </c>
      <c r="G14" s="8">
        <f t="shared" si="1"/>
        <v>3</v>
      </c>
      <c r="H14" s="6">
        <v>4</v>
      </c>
      <c r="I14" s="7">
        <v>0.5</v>
      </c>
      <c r="J14" s="8">
        <f t="shared" si="2"/>
        <v>2</v>
      </c>
      <c r="K14" s="6"/>
      <c r="L14" s="7"/>
      <c r="M14" s="8">
        <f t="shared" si="3"/>
        <v>0</v>
      </c>
      <c r="N14" s="6"/>
      <c r="O14" s="7"/>
      <c r="P14" s="8">
        <f t="shared" si="4"/>
        <v>0</v>
      </c>
      <c r="Q14" s="1"/>
      <c r="R14" s="6">
        <f t="shared" si="5"/>
        <v>25</v>
      </c>
      <c r="S14" s="9">
        <f t="shared" si="6"/>
        <v>0.6</v>
      </c>
      <c r="T14" s="9">
        <f t="shared" si="7"/>
        <v>7.4626865671641784E-2</v>
      </c>
      <c r="U14" s="9">
        <f>R14 / _xlfn.XLOOKUP(A14, Bottom!A:A, Bottom!AA:AA)</f>
        <v>8.4745762711864403E-2</v>
      </c>
      <c r="V14" s="1"/>
      <c r="W14" s="1"/>
    </row>
    <row r="15" spans="1:23" x14ac:dyDescent="0.25">
      <c r="A15" s="1" t="s">
        <v>156</v>
      </c>
      <c r="B15" s="6">
        <v>1</v>
      </c>
      <c r="C15" s="7">
        <v>1</v>
      </c>
      <c r="D15" s="8">
        <f t="shared" si="0"/>
        <v>1</v>
      </c>
      <c r="E15" s="6">
        <v>6</v>
      </c>
      <c r="F15" s="7">
        <v>0.83299999999999996</v>
      </c>
      <c r="G15" s="8">
        <f t="shared" si="1"/>
        <v>4.9979999999999993</v>
      </c>
      <c r="H15" s="6">
        <v>3</v>
      </c>
      <c r="I15" s="7">
        <v>0</v>
      </c>
      <c r="J15" s="8">
        <f t="shared" si="2"/>
        <v>0</v>
      </c>
      <c r="K15" s="6"/>
      <c r="L15" s="7"/>
      <c r="M15" s="8">
        <f t="shared" si="3"/>
        <v>0</v>
      </c>
      <c r="N15" s="6"/>
      <c r="O15" s="7"/>
      <c r="P15" s="8">
        <f t="shared" si="4"/>
        <v>0</v>
      </c>
      <c r="Q15" s="13"/>
      <c r="R15" s="6">
        <f t="shared" si="5"/>
        <v>10</v>
      </c>
      <c r="S15" s="9">
        <f t="shared" si="6"/>
        <v>0.59979999999999989</v>
      </c>
      <c r="T15" s="9">
        <f t="shared" si="7"/>
        <v>2.9850746268656716E-2</v>
      </c>
      <c r="U15" s="9">
        <f>R15 / _xlfn.XLOOKUP(A15, Bottom!A:A, Bottom!AA:AA)</f>
        <v>8.771929824561403E-2</v>
      </c>
      <c r="V15" s="1"/>
      <c r="W15" s="1"/>
    </row>
    <row r="16" spans="1:23" x14ac:dyDescent="0.25">
      <c r="A16" s="1" t="s">
        <v>147</v>
      </c>
      <c r="B16" s="6">
        <v>4</v>
      </c>
      <c r="C16" s="7">
        <v>0.75</v>
      </c>
      <c r="D16" s="8">
        <f t="shared" si="0"/>
        <v>3</v>
      </c>
      <c r="E16" s="6">
        <v>5</v>
      </c>
      <c r="F16" s="7">
        <v>0.8</v>
      </c>
      <c r="G16" s="8">
        <f t="shared" si="1"/>
        <v>4</v>
      </c>
      <c r="H16" s="6">
        <v>8</v>
      </c>
      <c r="I16" s="7">
        <v>0.375</v>
      </c>
      <c r="J16" s="8">
        <f t="shared" si="2"/>
        <v>3</v>
      </c>
      <c r="K16" s="6"/>
      <c r="L16" s="7"/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17</v>
      </c>
      <c r="S16" s="9">
        <f t="shared" si="6"/>
        <v>0.58823529411764708</v>
      </c>
      <c r="T16" s="9">
        <f t="shared" si="7"/>
        <v>5.0746268656716415E-2</v>
      </c>
      <c r="U16" s="9">
        <f>R16 / _xlfn.XLOOKUP(A16, Bottom!A:A, Bottom!AA:AA)</f>
        <v>8.0952380952380956E-2</v>
      </c>
      <c r="V16" s="1"/>
      <c r="W16" s="1"/>
    </row>
    <row r="17" spans="1:23" x14ac:dyDescent="0.25">
      <c r="A17" s="1" t="s">
        <v>143</v>
      </c>
      <c r="B17" s="6">
        <v>9</v>
      </c>
      <c r="C17" s="7">
        <v>0.33300000000000002</v>
      </c>
      <c r="D17" s="8">
        <f t="shared" si="0"/>
        <v>2.9970000000000003</v>
      </c>
      <c r="E17" s="6"/>
      <c r="F17" s="7"/>
      <c r="G17" s="8">
        <f t="shared" si="1"/>
        <v>0</v>
      </c>
      <c r="H17" s="6">
        <v>10</v>
      </c>
      <c r="I17" s="7">
        <v>0.8</v>
      </c>
      <c r="J17" s="8">
        <f t="shared" si="2"/>
        <v>8</v>
      </c>
      <c r="K17" s="6"/>
      <c r="L17" s="7"/>
      <c r="M17" s="8">
        <f t="shared" si="3"/>
        <v>0</v>
      </c>
      <c r="N17" s="6"/>
      <c r="O17" s="7"/>
      <c r="P17" s="8">
        <f t="shared" si="4"/>
        <v>0</v>
      </c>
      <c r="Q17" s="1"/>
      <c r="R17" s="6">
        <f t="shared" si="5"/>
        <v>19</v>
      </c>
      <c r="S17" s="9">
        <f t="shared" si="6"/>
        <v>0.57878947368421052</v>
      </c>
      <c r="T17" s="9">
        <f t="shared" si="7"/>
        <v>5.6716417910447764E-2</v>
      </c>
      <c r="U17" s="9">
        <f>R17 / _xlfn.XLOOKUP(A17, Bottom!A:A, Bottom!AA:AA)</f>
        <v>0.1310344827586207</v>
      </c>
      <c r="V17" s="1"/>
      <c r="W17" s="1"/>
    </row>
    <row r="18" spans="1:23" x14ac:dyDescent="0.25">
      <c r="A18" s="1" t="s">
        <v>154</v>
      </c>
      <c r="B18" s="6">
        <v>1</v>
      </c>
      <c r="C18" s="7">
        <v>0</v>
      </c>
      <c r="D18" s="8">
        <f t="shared" si="0"/>
        <v>0</v>
      </c>
      <c r="E18" s="6">
        <v>3</v>
      </c>
      <c r="F18" s="7">
        <v>0.33300000000000002</v>
      </c>
      <c r="G18" s="8">
        <f t="shared" si="1"/>
        <v>0.99900000000000011</v>
      </c>
      <c r="H18" s="6">
        <v>3</v>
      </c>
      <c r="I18" s="7">
        <v>1</v>
      </c>
      <c r="J18" s="8">
        <f t="shared" si="2"/>
        <v>3</v>
      </c>
      <c r="K18" s="6"/>
      <c r="L18" s="7"/>
      <c r="M18" s="8">
        <f t="shared" si="3"/>
        <v>0</v>
      </c>
      <c r="N18" s="6"/>
      <c r="O18" s="7"/>
      <c r="P18" s="8">
        <f t="shared" si="4"/>
        <v>0</v>
      </c>
      <c r="Q18" s="1"/>
      <c r="R18" s="6">
        <f t="shared" si="5"/>
        <v>7</v>
      </c>
      <c r="S18" s="9">
        <f t="shared" si="6"/>
        <v>0.57128571428571429</v>
      </c>
      <c r="T18" s="9">
        <f t="shared" si="7"/>
        <v>2.0895522388059702E-2</v>
      </c>
      <c r="U18" s="9">
        <f>R18 / _xlfn.XLOOKUP(A18, Bottom!A:A, Bottom!AA:AA)</f>
        <v>5.8823529411764705E-2</v>
      </c>
      <c r="V18" s="1"/>
      <c r="W18" s="1"/>
    </row>
    <row r="19" spans="1:23" x14ac:dyDescent="0.25">
      <c r="A19" s="1" t="s">
        <v>134</v>
      </c>
      <c r="B19" s="6">
        <v>7</v>
      </c>
      <c r="C19" s="7">
        <v>0.57099999999999995</v>
      </c>
      <c r="D19" s="8">
        <f t="shared" si="0"/>
        <v>3.9969999999999999</v>
      </c>
      <c r="E19" s="6">
        <v>4</v>
      </c>
      <c r="F19" s="7">
        <v>0.5</v>
      </c>
      <c r="G19" s="8">
        <f t="shared" si="1"/>
        <v>2</v>
      </c>
      <c r="H19" s="6">
        <v>14</v>
      </c>
      <c r="I19" s="7">
        <v>0.57099999999999995</v>
      </c>
      <c r="J19" s="8">
        <f t="shared" si="2"/>
        <v>7.9939999999999998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4"/>
      <c r="R19" s="6">
        <f t="shared" si="5"/>
        <v>25</v>
      </c>
      <c r="S19" s="9">
        <f t="shared" si="6"/>
        <v>0.55964000000000003</v>
      </c>
      <c r="T19" s="9">
        <f t="shared" si="7"/>
        <v>7.4626865671641784E-2</v>
      </c>
      <c r="U19" s="9">
        <f>R19 / _xlfn.XLOOKUP(A19, Bottom!A:A, Bottom!AA:AA)</f>
        <v>5.458515283842795E-2</v>
      </c>
      <c r="V19" s="1"/>
      <c r="W19" s="1"/>
    </row>
    <row r="20" spans="1:23" x14ac:dyDescent="0.25">
      <c r="A20" s="1" t="s">
        <v>145</v>
      </c>
      <c r="B20" s="6">
        <v>5</v>
      </c>
      <c r="C20" s="7">
        <v>0.8</v>
      </c>
      <c r="D20" s="8">
        <f t="shared" si="0"/>
        <v>4</v>
      </c>
      <c r="E20" s="6">
        <v>13</v>
      </c>
      <c r="F20" s="7">
        <v>0.38500000000000001</v>
      </c>
      <c r="G20" s="8">
        <f t="shared" si="1"/>
        <v>5.0049999999999999</v>
      </c>
      <c r="H20" s="6">
        <v>8</v>
      </c>
      <c r="I20" s="7">
        <v>0.5</v>
      </c>
      <c r="J20" s="8">
        <f t="shared" si="2"/>
        <v>4</v>
      </c>
      <c r="K20" s="6"/>
      <c r="L20" s="7"/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26</v>
      </c>
      <c r="S20" s="9">
        <f t="shared" si="6"/>
        <v>0.5001923076923076</v>
      </c>
      <c r="T20" s="9">
        <f t="shared" si="7"/>
        <v>7.7611940298507459E-2</v>
      </c>
      <c r="U20" s="9">
        <f>R20 / _xlfn.XLOOKUP(A20, Bottom!A:A, Bottom!AA:AA)</f>
        <v>5.6399132321041212E-2</v>
      </c>
      <c r="V20" s="1"/>
      <c r="W20" s="1"/>
    </row>
    <row r="21" spans="1:23" x14ac:dyDescent="0.25">
      <c r="A21" s="1" t="s">
        <v>25</v>
      </c>
      <c r="B21" s="6">
        <v>2</v>
      </c>
      <c r="C21" s="7">
        <v>0.5</v>
      </c>
      <c r="D21" s="8">
        <f t="shared" si="0"/>
        <v>1</v>
      </c>
      <c r="E21" s="6"/>
      <c r="F21" s="7"/>
      <c r="G21" s="8">
        <f t="shared" si="1"/>
        <v>0</v>
      </c>
      <c r="H21" s="6"/>
      <c r="I21" s="7"/>
      <c r="J21" s="8">
        <f t="shared" si="2"/>
        <v>0</v>
      </c>
      <c r="K21" s="6"/>
      <c r="L21" s="7"/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2</v>
      </c>
      <c r="S21" s="9">
        <f t="shared" si="6"/>
        <v>0.5</v>
      </c>
      <c r="T21" s="9">
        <f t="shared" si="7"/>
        <v>5.9701492537313433E-3</v>
      </c>
      <c r="U21" s="9">
        <f>R21 / _xlfn.XLOOKUP(A21, Bottom!A:A, Bottom!AA:AA)</f>
        <v>0.18181818181818182</v>
      </c>
      <c r="V21" s="1"/>
      <c r="W21" s="1"/>
    </row>
    <row r="22" spans="1:23" x14ac:dyDescent="0.25">
      <c r="A22" s="1" t="s">
        <v>139</v>
      </c>
      <c r="B22" s="6">
        <v>13</v>
      </c>
      <c r="C22" s="7">
        <v>0.53800000000000003</v>
      </c>
      <c r="D22" s="8">
        <f t="shared" si="0"/>
        <v>6.9940000000000007</v>
      </c>
      <c r="E22" s="6">
        <v>7</v>
      </c>
      <c r="F22" s="7">
        <v>0.42899999999999999</v>
      </c>
      <c r="G22" s="8">
        <f t="shared" si="1"/>
        <v>3.0030000000000001</v>
      </c>
      <c r="H22" s="6">
        <v>6</v>
      </c>
      <c r="I22" s="7">
        <v>0.5</v>
      </c>
      <c r="J22" s="8">
        <f t="shared" si="2"/>
        <v>3</v>
      </c>
      <c r="K22" s="6"/>
      <c r="L22" s="7"/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26</v>
      </c>
      <c r="S22" s="9">
        <f t="shared" si="6"/>
        <v>0.49988461538461537</v>
      </c>
      <c r="T22" s="9">
        <f t="shared" si="7"/>
        <v>7.7611940298507459E-2</v>
      </c>
      <c r="U22" s="9">
        <f>R22 / _xlfn.XLOOKUP(A22, Bottom!A:A, Bottom!AA:AA)</f>
        <v>4.8872180451127817E-2</v>
      </c>
      <c r="V22" s="1"/>
      <c r="W22" s="1"/>
    </row>
    <row r="23" spans="1:23" x14ac:dyDescent="0.25">
      <c r="A23" s="1" t="s">
        <v>140</v>
      </c>
      <c r="B23" s="6">
        <v>20</v>
      </c>
      <c r="C23" s="7">
        <v>0.35</v>
      </c>
      <c r="D23" s="8">
        <f t="shared" si="0"/>
        <v>7</v>
      </c>
      <c r="E23" s="6">
        <v>17</v>
      </c>
      <c r="F23" s="7">
        <v>0.58799999999999997</v>
      </c>
      <c r="G23" s="8">
        <f t="shared" si="1"/>
        <v>9.9959999999999987</v>
      </c>
      <c r="H23" s="6">
        <v>2</v>
      </c>
      <c r="I23" s="7">
        <v>0.5</v>
      </c>
      <c r="J23" s="8">
        <f t="shared" si="2"/>
        <v>1</v>
      </c>
      <c r="K23" s="6"/>
      <c r="L23" s="7"/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39</v>
      </c>
      <c r="S23" s="9">
        <f t="shared" si="6"/>
        <v>0.46143589743589741</v>
      </c>
      <c r="T23" s="9">
        <f t="shared" si="7"/>
        <v>0.11641791044776119</v>
      </c>
      <c r="U23" s="9">
        <f>R23 / _xlfn.XLOOKUP(A23, Bottom!A:A, Bottom!AA:AA)</f>
        <v>7.5289575289575292E-2</v>
      </c>
      <c r="V23" s="1"/>
      <c r="W23" s="1"/>
    </row>
    <row r="24" spans="1:23" x14ac:dyDescent="0.25">
      <c r="A24" s="1" t="s">
        <v>141</v>
      </c>
      <c r="B24" s="6">
        <v>9</v>
      </c>
      <c r="C24" s="7">
        <v>0.55600000000000005</v>
      </c>
      <c r="D24" s="8">
        <f t="shared" si="0"/>
        <v>5.0040000000000004</v>
      </c>
      <c r="E24" s="6">
        <v>2</v>
      </c>
      <c r="F24" s="7">
        <v>0.5</v>
      </c>
      <c r="G24" s="8">
        <f t="shared" si="1"/>
        <v>1</v>
      </c>
      <c r="H24" s="6">
        <v>3</v>
      </c>
      <c r="I24" s="7">
        <v>0</v>
      </c>
      <c r="J24" s="8">
        <f t="shared" si="2"/>
        <v>0</v>
      </c>
      <c r="K24" s="6"/>
      <c r="L24" s="7"/>
      <c r="M24" s="8">
        <f t="shared" si="3"/>
        <v>0</v>
      </c>
      <c r="N24" s="6"/>
      <c r="O24" s="7"/>
      <c r="P24" s="8">
        <f t="shared" si="4"/>
        <v>0</v>
      </c>
      <c r="Q24" s="1"/>
      <c r="R24" s="6">
        <f t="shared" si="5"/>
        <v>14</v>
      </c>
      <c r="S24" s="9">
        <f t="shared" si="6"/>
        <v>0.42885714285714288</v>
      </c>
      <c r="T24" s="9">
        <f t="shared" si="7"/>
        <v>4.1791044776119404E-2</v>
      </c>
      <c r="U24" s="9">
        <f>R24 / _xlfn.XLOOKUP(A24, Bottom!A:A, Bottom!AA:AA)</f>
        <v>3.1890660592255128E-2</v>
      </c>
      <c r="V24" s="1"/>
      <c r="W24" s="1"/>
    </row>
    <row r="25" spans="1:23" x14ac:dyDescent="0.25">
      <c r="A25" s="1" t="s">
        <v>146</v>
      </c>
      <c r="B25" s="6">
        <v>5</v>
      </c>
      <c r="C25" s="7">
        <v>0.6</v>
      </c>
      <c r="D25" s="8">
        <f t="shared" si="0"/>
        <v>3</v>
      </c>
      <c r="E25" s="6">
        <v>6</v>
      </c>
      <c r="F25" s="7">
        <v>0.33300000000000002</v>
      </c>
      <c r="G25" s="8">
        <f t="shared" si="1"/>
        <v>1.9980000000000002</v>
      </c>
      <c r="H25" s="6">
        <v>2</v>
      </c>
      <c r="I25" s="7">
        <v>0</v>
      </c>
      <c r="J25" s="8">
        <f t="shared" si="2"/>
        <v>0</v>
      </c>
      <c r="K25" s="6"/>
      <c r="L25" s="7"/>
      <c r="M25" s="8">
        <f t="shared" si="3"/>
        <v>0</v>
      </c>
      <c r="N25" s="6"/>
      <c r="O25" s="7"/>
      <c r="P25" s="8">
        <f t="shared" si="4"/>
        <v>0</v>
      </c>
      <c r="Q25" s="1"/>
      <c r="R25" s="6">
        <f t="shared" si="5"/>
        <v>13</v>
      </c>
      <c r="S25" s="9">
        <f t="shared" si="6"/>
        <v>0.38446153846153847</v>
      </c>
      <c r="T25" s="9">
        <f t="shared" si="7"/>
        <v>3.880597014925373E-2</v>
      </c>
      <c r="U25" s="9">
        <f>R25 / _xlfn.XLOOKUP(A25, Bottom!A:A, Bottom!AA:AA)</f>
        <v>7.0270270270270274E-2</v>
      </c>
      <c r="V25" s="1"/>
      <c r="W25" s="1"/>
    </row>
    <row r="26" spans="1:23" x14ac:dyDescent="0.25">
      <c r="A26" s="1" t="s">
        <v>148</v>
      </c>
      <c r="B26" s="6">
        <v>5</v>
      </c>
      <c r="C26" s="7">
        <v>0.4</v>
      </c>
      <c r="D26" s="8">
        <f t="shared" si="0"/>
        <v>2</v>
      </c>
      <c r="E26" s="6"/>
      <c r="F26" s="7"/>
      <c r="G26" s="8">
        <f t="shared" si="1"/>
        <v>0</v>
      </c>
      <c r="H26" s="6">
        <v>7</v>
      </c>
      <c r="I26" s="7">
        <v>0.14299999999999999</v>
      </c>
      <c r="J26" s="8">
        <f t="shared" si="2"/>
        <v>1.0009999999999999</v>
      </c>
      <c r="K26" s="6"/>
      <c r="L26" s="7"/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12</v>
      </c>
      <c r="S26" s="9">
        <f t="shared" si="6"/>
        <v>0.25008333333333332</v>
      </c>
      <c r="T26" s="9">
        <f t="shared" si="7"/>
        <v>3.5820895522388062E-2</v>
      </c>
      <c r="U26" s="9">
        <f>R26 / _xlfn.XLOOKUP(A26, Bottom!A:A, Bottom!AA:AA)</f>
        <v>5.9113300492610835E-2</v>
      </c>
      <c r="V26" s="1"/>
      <c r="W26" s="1"/>
    </row>
    <row r="27" spans="1:23" x14ac:dyDescent="0.25">
      <c r="A27" s="1" t="s">
        <v>59</v>
      </c>
      <c r="B27" s="6"/>
      <c r="C27" s="7"/>
      <c r="D27" s="8">
        <f t="shared" si="0"/>
        <v>0</v>
      </c>
      <c r="E27" s="6"/>
      <c r="F27" s="7"/>
      <c r="G27" s="8">
        <f t="shared" si="1"/>
        <v>0</v>
      </c>
      <c r="H27" s="6">
        <v>4</v>
      </c>
      <c r="I27" s="7">
        <v>0.25</v>
      </c>
      <c r="J27" s="8">
        <f t="shared" si="2"/>
        <v>1</v>
      </c>
      <c r="K27" s="6"/>
      <c r="L27" s="7"/>
      <c r="M27" s="8">
        <f t="shared" si="3"/>
        <v>0</v>
      </c>
      <c r="N27" s="6"/>
      <c r="O27" s="7"/>
      <c r="P27" s="8">
        <f t="shared" si="4"/>
        <v>0</v>
      </c>
      <c r="Q27" s="1"/>
      <c r="R27" s="6">
        <f t="shared" si="5"/>
        <v>4</v>
      </c>
      <c r="S27" s="9">
        <f t="shared" si="6"/>
        <v>0.25</v>
      </c>
      <c r="T27" s="9">
        <f t="shared" si="7"/>
        <v>1.1940298507462687E-2</v>
      </c>
      <c r="U27" s="9">
        <f>R27 / _xlfn.XLOOKUP(A27, Bottom!A:A, Bottom!AA:AA)</f>
        <v>7.8431372549019607E-2</v>
      </c>
      <c r="V27" s="1"/>
      <c r="W27" s="1"/>
    </row>
    <row r="28" spans="1:23" x14ac:dyDescent="0.25">
      <c r="A28" s="1" t="s">
        <v>159</v>
      </c>
      <c r="B28" s="6">
        <v>1</v>
      </c>
      <c r="C28" s="7">
        <v>0</v>
      </c>
      <c r="D28" s="8">
        <f t="shared" si="0"/>
        <v>0</v>
      </c>
      <c r="E28" s="6"/>
      <c r="F28" s="7"/>
      <c r="G28" s="8">
        <f t="shared" si="1"/>
        <v>0</v>
      </c>
      <c r="H28" s="6"/>
      <c r="I28" s="7"/>
      <c r="J28" s="8">
        <f t="shared" si="2"/>
        <v>0</v>
      </c>
      <c r="K28" s="6"/>
      <c r="L28" s="7"/>
      <c r="M28" s="8">
        <f t="shared" si="3"/>
        <v>0</v>
      </c>
      <c r="N28" s="6"/>
      <c r="O28" s="7"/>
      <c r="P28" s="8">
        <f t="shared" si="4"/>
        <v>0</v>
      </c>
      <c r="Q28" s="1"/>
      <c r="R28" s="6">
        <f t="shared" si="5"/>
        <v>1</v>
      </c>
      <c r="S28" s="9">
        <f t="shared" si="6"/>
        <v>0</v>
      </c>
      <c r="T28" s="9">
        <f t="shared" si="7"/>
        <v>2.9850746268656717E-3</v>
      </c>
      <c r="U28" s="9">
        <f>R28 / _xlfn.XLOOKUP(A28, Bottom!A:A, Bottom!AA:AA)</f>
        <v>9.0909090909090912E-2</v>
      </c>
      <c r="V28" s="1"/>
      <c r="W28" s="1"/>
    </row>
    <row r="29" spans="1:23" x14ac:dyDescent="0.25">
      <c r="A29" s="1"/>
      <c r="B29" s="6"/>
      <c r="C29" s="7"/>
      <c r="D29" s="8">
        <f t="shared" ref="D29:D37" si="8">B29*C29</f>
        <v>0</v>
      </c>
      <c r="E29" s="6"/>
      <c r="F29" s="7"/>
      <c r="G29" s="8">
        <f t="shared" ref="G29:G37" si="9">E29*F29</f>
        <v>0</v>
      </c>
      <c r="H29" s="6"/>
      <c r="I29" s="7"/>
      <c r="J29" s="8">
        <f t="shared" ref="J29:J37" si="10">H29*I29</f>
        <v>0</v>
      </c>
      <c r="K29" s="6"/>
      <c r="L29" s="7"/>
      <c r="M29" s="8">
        <f t="shared" ref="M29:M37" si="11">K29*L29</f>
        <v>0</v>
      </c>
      <c r="N29" s="6"/>
      <c r="O29" s="7"/>
      <c r="P29" s="8">
        <f t="shared" ref="P29:P34" si="12">N29*O29</f>
        <v>0</v>
      </c>
      <c r="Q29" s="1"/>
      <c r="R29" s="6">
        <f t="shared" ref="R29:R34" si="13">B29+E29+H29+K29+N29</f>
        <v>0</v>
      </c>
      <c r="S29" s="9" t="e">
        <f t="shared" ref="S29:S34" si="14">(D29+G29+J29+M29+P29)/R29</f>
        <v>#DIV/0!</v>
      </c>
      <c r="T29" s="9">
        <f t="shared" ref="T29:T34" si="15">R29/$V$3</f>
        <v>0</v>
      </c>
      <c r="U29" s="9" t="e">
        <f>R29 / _xlfn.XLOOKUP(A29, Bottom!A:A, Bottom!AA:AA)</f>
        <v>#DIV/0!</v>
      </c>
      <c r="V29" s="1"/>
      <c r="W29" s="1"/>
    </row>
    <row r="30" spans="1:23" x14ac:dyDescent="0.25">
      <c r="A30" s="1"/>
      <c r="B30" s="6"/>
      <c r="C30" s="7"/>
      <c r="D30" s="8">
        <f t="shared" si="8"/>
        <v>0</v>
      </c>
      <c r="E30" s="6"/>
      <c r="F30" s="7"/>
      <c r="G30" s="8">
        <f t="shared" si="9"/>
        <v>0</v>
      </c>
      <c r="H30" s="6"/>
      <c r="I30" s="7"/>
      <c r="J30" s="8">
        <f t="shared" si="10"/>
        <v>0</v>
      </c>
      <c r="K30" s="6"/>
      <c r="L30" s="7"/>
      <c r="M30" s="8">
        <f t="shared" si="11"/>
        <v>0</v>
      </c>
      <c r="N30" s="6"/>
      <c r="O30" s="7"/>
      <c r="P30" s="8">
        <f t="shared" si="12"/>
        <v>0</v>
      </c>
      <c r="Q30" s="1"/>
      <c r="R30" s="6">
        <f t="shared" si="13"/>
        <v>0</v>
      </c>
      <c r="S30" s="9" t="e">
        <f t="shared" si="14"/>
        <v>#DIV/0!</v>
      </c>
      <c r="T30" s="9">
        <f t="shared" si="15"/>
        <v>0</v>
      </c>
      <c r="U30" s="9" t="e">
        <f>R30 / _xlfn.XLOOKUP(A30, Bottom!A:A, Bottom!AA:AA)</f>
        <v>#DIV/0!</v>
      </c>
      <c r="V30" s="1"/>
      <c r="W30" s="1"/>
    </row>
    <row r="31" spans="1:23" x14ac:dyDescent="0.25">
      <c r="A31" s="1"/>
      <c r="B31" s="6"/>
      <c r="C31" s="7"/>
      <c r="D31" s="8">
        <f t="shared" si="8"/>
        <v>0</v>
      </c>
      <c r="E31" s="6"/>
      <c r="F31" s="7"/>
      <c r="G31" s="8">
        <f t="shared" si="9"/>
        <v>0</v>
      </c>
      <c r="H31" s="6"/>
      <c r="I31" s="7"/>
      <c r="J31" s="8">
        <f t="shared" si="10"/>
        <v>0</v>
      </c>
      <c r="K31" s="6"/>
      <c r="L31" s="7"/>
      <c r="M31" s="8">
        <f t="shared" si="11"/>
        <v>0</v>
      </c>
      <c r="N31" s="6"/>
      <c r="O31" s="7"/>
      <c r="P31" s="8">
        <f t="shared" si="12"/>
        <v>0</v>
      </c>
      <c r="Q31" s="1"/>
      <c r="R31" s="6">
        <f t="shared" si="13"/>
        <v>0</v>
      </c>
      <c r="S31" s="9" t="e">
        <f t="shared" si="14"/>
        <v>#DIV/0!</v>
      </c>
      <c r="T31" s="9">
        <f t="shared" si="15"/>
        <v>0</v>
      </c>
      <c r="U31" s="9" t="e">
        <f>R31 / _xlfn.XLOOKUP(A31, Bottom!A:A, Bottom!AA:AA)</f>
        <v>#DIV/0!</v>
      </c>
      <c r="V31" s="1"/>
      <c r="W31" s="1"/>
    </row>
    <row r="32" spans="1:23" x14ac:dyDescent="0.25">
      <c r="A32" s="1"/>
      <c r="B32" s="6"/>
      <c r="C32" s="7"/>
      <c r="D32" s="8">
        <f t="shared" si="8"/>
        <v>0</v>
      </c>
      <c r="E32" s="6"/>
      <c r="F32" s="7"/>
      <c r="G32" s="8">
        <f t="shared" si="9"/>
        <v>0</v>
      </c>
      <c r="H32" s="6"/>
      <c r="I32" s="7"/>
      <c r="J32" s="8">
        <f t="shared" si="10"/>
        <v>0</v>
      </c>
      <c r="K32" s="6"/>
      <c r="L32" s="7"/>
      <c r="M32" s="8">
        <f t="shared" si="11"/>
        <v>0</v>
      </c>
      <c r="N32" s="6"/>
      <c r="O32" s="7"/>
      <c r="P32" s="8">
        <f t="shared" si="12"/>
        <v>0</v>
      </c>
      <c r="Q32" s="1"/>
      <c r="R32" s="6">
        <f t="shared" si="13"/>
        <v>0</v>
      </c>
      <c r="S32" s="9" t="e">
        <f t="shared" si="14"/>
        <v>#DIV/0!</v>
      </c>
      <c r="T32" s="9">
        <f t="shared" si="15"/>
        <v>0</v>
      </c>
      <c r="U32" s="9" t="e">
        <f>R32 / _xlfn.XLOOKUP(A32, Bottom!A:A, Bottom!AA:AA)</f>
        <v>#DIV/0!</v>
      </c>
      <c r="V32" s="1"/>
      <c r="W32" s="1"/>
    </row>
    <row r="33" spans="1:23" x14ac:dyDescent="0.25">
      <c r="A33" s="1"/>
      <c r="B33" s="6"/>
      <c r="C33" s="7"/>
      <c r="D33" s="8">
        <f t="shared" si="8"/>
        <v>0</v>
      </c>
      <c r="E33" s="6"/>
      <c r="F33" s="7"/>
      <c r="G33" s="8">
        <f t="shared" si="9"/>
        <v>0</v>
      </c>
      <c r="H33" s="6"/>
      <c r="I33" s="7"/>
      <c r="J33" s="8">
        <f t="shared" si="10"/>
        <v>0</v>
      </c>
      <c r="K33" s="6"/>
      <c r="L33" s="7"/>
      <c r="M33" s="8">
        <f t="shared" si="11"/>
        <v>0</v>
      </c>
      <c r="N33" s="6"/>
      <c r="O33" s="7"/>
      <c r="P33" s="8">
        <f t="shared" si="12"/>
        <v>0</v>
      </c>
      <c r="Q33" s="1"/>
      <c r="R33" s="6">
        <f t="shared" si="13"/>
        <v>0</v>
      </c>
      <c r="S33" s="9" t="e">
        <f t="shared" si="14"/>
        <v>#DIV/0!</v>
      </c>
      <c r="T33" s="9">
        <f t="shared" si="15"/>
        <v>0</v>
      </c>
      <c r="U33" s="9" t="e">
        <f>R33 / _xlfn.XLOOKUP(A33, Bottom!A:A, Bottom!AA:AA)</f>
        <v>#DIV/0!</v>
      </c>
      <c r="V33" s="1"/>
      <c r="W33" s="1"/>
    </row>
    <row r="34" spans="1:23" x14ac:dyDescent="0.25">
      <c r="A34" s="1"/>
      <c r="B34" s="6"/>
      <c r="C34" s="7"/>
      <c r="D34" s="8">
        <f t="shared" si="8"/>
        <v>0</v>
      </c>
      <c r="E34" s="6"/>
      <c r="F34" s="7"/>
      <c r="G34" s="8">
        <f t="shared" si="9"/>
        <v>0</v>
      </c>
      <c r="H34" s="6"/>
      <c r="I34" s="7"/>
      <c r="J34" s="8">
        <f t="shared" si="10"/>
        <v>0</v>
      </c>
      <c r="K34" s="6"/>
      <c r="L34" s="7"/>
      <c r="M34" s="8">
        <f t="shared" si="11"/>
        <v>0</v>
      </c>
      <c r="N34" s="6"/>
      <c r="O34" s="7"/>
      <c r="P34" s="8">
        <f t="shared" si="12"/>
        <v>0</v>
      </c>
      <c r="Q34" s="1"/>
      <c r="R34" s="6">
        <f t="shared" si="13"/>
        <v>0</v>
      </c>
      <c r="S34" s="9" t="e">
        <f t="shared" si="14"/>
        <v>#DIV/0!</v>
      </c>
      <c r="T34" s="9">
        <f t="shared" si="15"/>
        <v>0</v>
      </c>
      <c r="U34" s="9" t="e">
        <f>R34 / _xlfn.XLOOKUP(A34, Bottom!A:A, Bottom!AA:AA)</f>
        <v>#DIV/0!</v>
      </c>
      <c r="V34" s="1"/>
      <c r="W34" s="1"/>
    </row>
    <row r="35" spans="1:23" x14ac:dyDescent="0.25">
      <c r="A35" s="1"/>
      <c r="B35" s="6"/>
      <c r="C35" s="7"/>
      <c r="D35" s="8">
        <f t="shared" si="8"/>
        <v>0</v>
      </c>
      <c r="E35" s="6"/>
      <c r="F35" s="7"/>
      <c r="G35" s="8">
        <f t="shared" si="9"/>
        <v>0</v>
      </c>
      <c r="H35" s="6"/>
      <c r="I35" s="7"/>
      <c r="J35" s="8">
        <f t="shared" si="10"/>
        <v>0</v>
      </c>
      <c r="K35" s="6"/>
      <c r="L35" s="7"/>
      <c r="M35" s="8">
        <f t="shared" si="11"/>
        <v>0</v>
      </c>
      <c r="N35" s="6"/>
      <c r="O35" s="7"/>
      <c r="P35" s="8">
        <f t="shared" ref="P35:P56" si="16">N35*O35</f>
        <v>0</v>
      </c>
      <c r="Q35" s="1"/>
      <c r="R35" s="6">
        <f t="shared" ref="R35:R56" si="17">B35+E35+H35+K35+N35</f>
        <v>0</v>
      </c>
      <c r="S35" s="9" t="e">
        <f t="shared" ref="S35:S56" si="18">(D35+G35+J35+M35+P35)/R35</f>
        <v>#DIV/0!</v>
      </c>
      <c r="T35" s="9">
        <f t="shared" ref="T35:T56" si="19">R35/$V$3</f>
        <v>0</v>
      </c>
      <c r="U35" s="9" t="e">
        <f>R35 / _xlfn.XLOOKUP(A35, Bottom!A:A, Bottom!AA:AA)</f>
        <v>#DIV/0!</v>
      </c>
      <c r="V35" s="1"/>
      <c r="W35" s="1"/>
    </row>
    <row r="36" spans="1:23" x14ac:dyDescent="0.25">
      <c r="A36" s="1"/>
      <c r="B36" s="6"/>
      <c r="C36" s="7"/>
      <c r="D36" s="8">
        <f t="shared" si="8"/>
        <v>0</v>
      </c>
      <c r="E36" s="6"/>
      <c r="F36" s="7"/>
      <c r="G36" s="8">
        <f t="shared" si="9"/>
        <v>0</v>
      </c>
      <c r="H36" s="6"/>
      <c r="I36" s="7"/>
      <c r="J36" s="8">
        <f t="shared" si="10"/>
        <v>0</v>
      </c>
      <c r="K36" s="6"/>
      <c r="L36" s="7"/>
      <c r="M36" s="8">
        <f t="shared" si="11"/>
        <v>0</v>
      </c>
      <c r="N36" s="6"/>
      <c r="O36" s="7"/>
      <c r="P36" s="8">
        <f t="shared" si="16"/>
        <v>0</v>
      </c>
      <c r="Q36" s="1"/>
      <c r="R36" s="6">
        <f t="shared" si="17"/>
        <v>0</v>
      </c>
      <c r="S36" s="9" t="e">
        <f t="shared" si="18"/>
        <v>#DIV/0!</v>
      </c>
      <c r="T36" s="9">
        <f t="shared" si="19"/>
        <v>0</v>
      </c>
      <c r="U36" s="9" t="e">
        <f>R36 / _xlfn.XLOOKUP(A36, Bottom!A:A, Bottom!AA:AA)</f>
        <v>#DIV/0!</v>
      </c>
      <c r="V36" s="1"/>
      <c r="W36" s="1"/>
    </row>
    <row r="37" spans="1:23" x14ac:dyDescent="0.25">
      <c r="A37" s="1"/>
      <c r="B37" s="6"/>
      <c r="C37" s="7"/>
      <c r="D37" s="8">
        <f t="shared" si="8"/>
        <v>0</v>
      </c>
      <c r="E37" s="6"/>
      <c r="F37" s="7"/>
      <c r="G37" s="8">
        <f t="shared" si="9"/>
        <v>0</v>
      </c>
      <c r="H37" s="6"/>
      <c r="I37" s="7"/>
      <c r="J37" s="8">
        <f t="shared" si="10"/>
        <v>0</v>
      </c>
      <c r="K37" s="6"/>
      <c r="L37" s="7"/>
      <c r="M37" s="8">
        <f t="shared" si="11"/>
        <v>0</v>
      </c>
      <c r="N37" s="6"/>
      <c r="O37" s="7"/>
      <c r="P37" s="8">
        <f t="shared" si="16"/>
        <v>0</v>
      </c>
      <c r="Q37" s="1"/>
      <c r="R37" s="6">
        <f t="shared" si="17"/>
        <v>0</v>
      </c>
      <c r="S37" s="9" t="e">
        <f t="shared" si="18"/>
        <v>#DIV/0!</v>
      </c>
      <c r="T37" s="9">
        <f t="shared" si="19"/>
        <v>0</v>
      </c>
      <c r="U37" s="9" t="e">
        <f>R37 / _xlfn.XLOOKUP(A37, Bottom!A:A, Bottom!AA:AA)</f>
        <v>#DIV/0!</v>
      </c>
      <c r="V37" s="1"/>
      <c r="W37" s="1"/>
    </row>
    <row r="38" spans="1:23" x14ac:dyDescent="0.25">
      <c r="N38" s="6"/>
      <c r="O38" s="7"/>
      <c r="P38" s="8">
        <f t="shared" si="16"/>
        <v>0</v>
      </c>
      <c r="Q38" s="1"/>
      <c r="R38" s="6">
        <f t="shared" si="17"/>
        <v>0</v>
      </c>
      <c r="S38" s="9" t="e">
        <f t="shared" si="18"/>
        <v>#DIV/0!</v>
      </c>
      <c r="T38" s="9">
        <f t="shared" si="19"/>
        <v>0</v>
      </c>
      <c r="U38" s="9" t="e">
        <f>R38 / _xlfn.XLOOKUP(A38, Bottom!A:A, Bottom!AA:AA)</f>
        <v>#DIV/0!</v>
      </c>
      <c r="V38" s="1"/>
      <c r="W38" s="1"/>
    </row>
    <row r="39" spans="1:23" x14ac:dyDescent="0.25">
      <c r="N39" s="6"/>
      <c r="O39" s="7"/>
      <c r="P39" s="8">
        <f t="shared" si="16"/>
        <v>0</v>
      </c>
      <c r="Q39" s="1"/>
      <c r="R39" s="6">
        <f t="shared" si="17"/>
        <v>0</v>
      </c>
      <c r="S39" s="9" t="e">
        <f t="shared" si="18"/>
        <v>#DIV/0!</v>
      </c>
      <c r="T39" s="9">
        <f t="shared" si="19"/>
        <v>0</v>
      </c>
      <c r="U39" s="9" t="e">
        <f>R39 / _xlfn.XLOOKUP(A39, Bottom!A:A, Bottom!AA:AA)</f>
        <v>#DIV/0!</v>
      </c>
      <c r="V39" s="1"/>
      <c r="W39" s="1"/>
    </row>
    <row r="40" spans="1:23" x14ac:dyDescent="0.25">
      <c r="N40" s="6"/>
      <c r="O40" s="7"/>
      <c r="P40" s="8">
        <f t="shared" si="16"/>
        <v>0</v>
      </c>
      <c r="Q40" s="1"/>
      <c r="R40" s="6">
        <f t="shared" si="17"/>
        <v>0</v>
      </c>
      <c r="S40" s="9" t="e">
        <f t="shared" si="18"/>
        <v>#DIV/0!</v>
      </c>
      <c r="T40" s="9">
        <f t="shared" si="19"/>
        <v>0</v>
      </c>
      <c r="U40" s="9" t="e">
        <f>R40 / _xlfn.XLOOKUP(A40, Bottom!A:A, Bottom!AA:AA)</f>
        <v>#DIV/0!</v>
      </c>
    </row>
    <row r="41" spans="1:23" x14ac:dyDescent="0.25">
      <c r="N41" s="6"/>
      <c r="O41" s="7"/>
      <c r="P41" s="8">
        <f t="shared" si="16"/>
        <v>0</v>
      </c>
      <c r="Q41" s="1"/>
      <c r="R41" s="6">
        <f t="shared" si="17"/>
        <v>0</v>
      </c>
      <c r="S41" s="9" t="e">
        <f t="shared" si="18"/>
        <v>#DIV/0!</v>
      </c>
      <c r="T41" s="9">
        <f t="shared" si="19"/>
        <v>0</v>
      </c>
      <c r="U41" s="9" t="e">
        <f>R41 / _xlfn.XLOOKUP(A41, Bottom!A:A, Bottom!AA:AA)</f>
        <v>#DIV/0!</v>
      </c>
    </row>
    <row r="42" spans="1:23" x14ac:dyDescent="0.25">
      <c r="N42" s="6"/>
      <c r="O42" s="7"/>
      <c r="P42" s="8">
        <f t="shared" si="16"/>
        <v>0</v>
      </c>
      <c r="Q42" s="1"/>
      <c r="R42" s="6">
        <f t="shared" si="17"/>
        <v>0</v>
      </c>
      <c r="S42" s="9" t="e">
        <f t="shared" si="18"/>
        <v>#DIV/0!</v>
      </c>
      <c r="T42" s="9">
        <f t="shared" si="19"/>
        <v>0</v>
      </c>
      <c r="U42" s="9" t="e">
        <f>R42 / _xlfn.XLOOKUP(A42, Bottom!A:A, Bottom!AA:AA)</f>
        <v>#DIV/0!</v>
      </c>
    </row>
    <row r="43" spans="1:23" x14ac:dyDescent="0.25">
      <c r="N43" s="6"/>
      <c r="O43" s="7"/>
      <c r="P43" s="8">
        <f t="shared" si="16"/>
        <v>0</v>
      </c>
      <c r="Q43" s="1"/>
      <c r="R43" s="6">
        <f t="shared" si="17"/>
        <v>0</v>
      </c>
      <c r="S43" s="9" t="e">
        <f t="shared" si="18"/>
        <v>#DIV/0!</v>
      </c>
      <c r="T43" s="9">
        <f t="shared" si="19"/>
        <v>0</v>
      </c>
      <c r="U43" s="9" t="e">
        <f>R43 / _xlfn.XLOOKUP(A43, Bottom!A:A, Bottom!AA:AA)</f>
        <v>#DIV/0!</v>
      </c>
    </row>
    <row r="44" spans="1:23" x14ac:dyDescent="0.25">
      <c r="N44" s="6"/>
      <c r="O44" s="7"/>
      <c r="P44" s="8">
        <f t="shared" si="16"/>
        <v>0</v>
      </c>
      <c r="Q44" s="1"/>
      <c r="R44" s="6">
        <f t="shared" si="17"/>
        <v>0</v>
      </c>
      <c r="S44" s="9" t="e">
        <f t="shared" si="18"/>
        <v>#DIV/0!</v>
      </c>
      <c r="T44" s="9">
        <f t="shared" si="19"/>
        <v>0</v>
      </c>
      <c r="U44" s="9" t="e">
        <f>R44 / _xlfn.XLOOKUP(A44, Bottom!A:A, Bottom!AA:AA)</f>
        <v>#DIV/0!</v>
      </c>
    </row>
    <row r="45" spans="1:23" x14ac:dyDescent="0.25">
      <c r="N45" s="6"/>
      <c r="O45" s="7"/>
      <c r="P45" s="8">
        <f t="shared" si="16"/>
        <v>0</v>
      </c>
      <c r="Q45" s="1"/>
      <c r="R45" s="6">
        <f t="shared" si="17"/>
        <v>0</v>
      </c>
      <c r="S45" s="9" t="e">
        <f t="shared" si="18"/>
        <v>#DIV/0!</v>
      </c>
      <c r="T45" s="9">
        <f t="shared" si="19"/>
        <v>0</v>
      </c>
      <c r="U45" s="9" t="e">
        <f>R45 / _xlfn.XLOOKUP(A45, Bottom!A:A, Bottom!AA:AA)</f>
        <v>#DIV/0!</v>
      </c>
    </row>
    <row r="46" spans="1:23" x14ac:dyDescent="0.25">
      <c r="N46" s="6"/>
      <c r="O46" s="7"/>
      <c r="P46" s="8">
        <f t="shared" si="16"/>
        <v>0</v>
      </c>
      <c r="Q46" s="1"/>
      <c r="R46" s="6">
        <f t="shared" si="17"/>
        <v>0</v>
      </c>
      <c r="S46" s="9" t="e">
        <f t="shared" si="18"/>
        <v>#DIV/0!</v>
      </c>
      <c r="T46" s="9">
        <f t="shared" si="19"/>
        <v>0</v>
      </c>
      <c r="U46" s="9" t="e">
        <f>R46 / _xlfn.XLOOKUP(A46, Bottom!A:A, Bottom!AA:AA)</f>
        <v>#DIV/0!</v>
      </c>
    </row>
    <row r="47" spans="1:23" x14ac:dyDescent="0.25">
      <c r="N47" s="6"/>
      <c r="O47" s="7"/>
      <c r="P47" s="8">
        <f t="shared" si="16"/>
        <v>0</v>
      </c>
      <c r="Q47" s="1"/>
      <c r="R47" s="6">
        <f t="shared" si="17"/>
        <v>0</v>
      </c>
      <c r="S47" s="9" t="e">
        <f t="shared" si="18"/>
        <v>#DIV/0!</v>
      </c>
      <c r="T47" s="9">
        <f t="shared" si="19"/>
        <v>0</v>
      </c>
      <c r="U47" s="9" t="e">
        <f>R47 / _xlfn.XLOOKUP(A47, Bottom!A:A, Bottom!AA:AA)</f>
        <v>#DIV/0!</v>
      </c>
    </row>
    <row r="48" spans="1:23" x14ac:dyDescent="0.25">
      <c r="N48" s="6"/>
      <c r="O48" s="7"/>
      <c r="P48" s="8">
        <f t="shared" si="16"/>
        <v>0</v>
      </c>
      <c r="Q48" s="1"/>
      <c r="R48" s="6">
        <f t="shared" si="17"/>
        <v>0</v>
      </c>
      <c r="S48" s="9" t="e">
        <f t="shared" si="18"/>
        <v>#DIV/0!</v>
      </c>
      <c r="T48" s="9">
        <f t="shared" si="19"/>
        <v>0</v>
      </c>
      <c r="U48" s="9" t="e">
        <f>R48 / _xlfn.XLOOKUP(A48, Bottom!A:A, Bottom!AA:AA)</f>
        <v>#DIV/0!</v>
      </c>
    </row>
    <row r="49" spans="14:21" x14ac:dyDescent="0.25">
      <c r="N49" s="6"/>
      <c r="O49" s="7"/>
      <c r="P49" s="8">
        <f t="shared" si="16"/>
        <v>0</v>
      </c>
      <c r="Q49" s="1"/>
      <c r="R49" s="6">
        <f t="shared" si="17"/>
        <v>0</v>
      </c>
      <c r="S49" s="9" t="e">
        <f t="shared" si="18"/>
        <v>#DIV/0!</v>
      </c>
      <c r="T49" s="9">
        <f t="shared" si="19"/>
        <v>0</v>
      </c>
      <c r="U49" s="9" t="e">
        <f>R49 / _xlfn.XLOOKUP(A49, Bottom!A:A, Bottom!AA:AA)</f>
        <v>#DIV/0!</v>
      </c>
    </row>
    <row r="50" spans="14:21" x14ac:dyDescent="0.25">
      <c r="N50" s="6"/>
      <c r="O50" s="7"/>
      <c r="P50" s="8">
        <f t="shared" si="16"/>
        <v>0</v>
      </c>
      <c r="Q50" s="1"/>
      <c r="R50" s="6">
        <f t="shared" si="17"/>
        <v>0</v>
      </c>
      <c r="S50" s="9" t="e">
        <f t="shared" si="18"/>
        <v>#DIV/0!</v>
      </c>
      <c r="T50" s="9">
        <f t="shared" si="19"/>
        <v>0</v>
      </c>
      <c r="U50" s="9" t="e">
        <f>R50 / _xlfn.XLOOKUP(A50, Bottom!A:A, Bottom!AA:AA)</f>
        <v>#DIV/0!</v>
      </c>
    </row>
    <row r="51" spans="14:21" x14ac:dyDescent="0.25">
      <c r="N51" s="6"/>
      <c r="O51" s="7"/>
      <c r="P51" s="8">
        <f t="shared" si="16"/>
        <v>0</v>
      </c>
      <c r="Q51" s="1"/>
      <c r="R51" s="6">
        <f t="shared" si="17"/>
        <v>0</v>
      </c>
      <c r="S51" s="9" t="e">
        <f t="shared" si="18"/>
        <v>#DIV/0!</v>
      </c>
      <c r="T51" s="9">
        <f t="shared" si="19"/>
        <v>0</v>
      </c>
      <c r="U51" s="9" t="e">
        <f>R51 / _xlfn.XLOOKUP(A51, Bottom!A:A, Bottom!AA:AA)</f>
        <v>#DIV/0!</v>
      </c>
    </row>
    <row r="52" spans="14:21" x14ac:dyDescent="0.25">
      <c r="N52" s="6"/>
      <c r="O52" s="7"/>
      <c r="P52" s="8">
        <f t="shared" si="16"/>
        <v>0</v>
      </c>
      <c r="Q52" s="1"/>
      <c r="R52" s="6">
        <f t="shared" si="17"/>
        <v>0</v>
      </c>
      <c r="S52" s="9" t="e">
        <f t="shared" si="18"/>
        <v>#DIV/0!</v>
      </c>
      <c r="T52" s="9">
        <f t="shared" si="19"/>
        <v>0</v>
      </c>
      <c r="U52" s="9" t="e">
        <f>R52 / _xlfn.XLOOKUP(A52, Bottom!A:A, Bottom!AA:AA)</f>
        <v>#DIV/0!</v>
      </c>
    </row>
    <row r="53" spans="14:21" x14ac:dyDescent="0.25">
      <c r="N53" s="6"/>
      <c r="O53" s="7"/>
      <c r="P53" s="8">
        <f t="shared" si="16"/>
        <v>0</v>
      </c>
      <c r="Q53" s="1"/>
      <c r="R53" s="6">
        <f t="shared" si="17"/>
        <v>0</v>
      </c>
      <c r="S53" s="9" t="e">
        <f t="shared" si="18"/>
        <v>#DIV/0!</v>
      </c>
      <c r="T53" s="9">
        <f t="shared" si="19"/>
        <v>0</v>
      </c>
      <c r="U53" s="9" t="e">
        <f>R53 / _xlfn.XLOOKUP(A53, Bottom!A:A, Bottom!AA:AA)</f>
        <v>#DIV/0!</v>
      </c>
    </row>
    <row r="54" spans="14:21" x14ac:dyDescent="0.25">
      <c r="N54" s="6"/>
      <c r="O54" s="7"/>
      <c r="P54" s="8">
        <f t="shared" si="16"/>
        <v>0</v>
      </c>
      <c r="Q54" s="1"/>
      <c r="R54" s="6">
        <f t="shared" si="17"/>
        <v>0</v>
      </c>
      <c r="S54" s="9" t="e">
        <f t="shared" si="18"/>
        <v>#DIV/0!</v>
      </c>
      <c r="T54" s="9">
        <f t="shared" si="19"/>
        <v>0</v>
      </c>
      <c r="U54" s="9" t="e">
        <f>R54 / _xlfn.XLOOKUP(A54, Bottom!A:A, Bottom!AA:AA)</f>
        <v>#DIV/0!</v>
      </c>
    </row>
    <row r="55" spans="14:21" x14ac:dyDescent="0.25">
      <c r="N55" s="6"/>
      <c r="O55" s="7"/>
      <c r="P55" s="8">
        <f t="shared" si="16"/>
        <v>0</v>
      </c>
      <c r="Q55" s="1"/>
      <c r="R55" s="6">
        <f t="shared" si="17"/>
        <v>0</v>
      </c>
      <c r="S55" s="9" t="e">
        <f t="shared" si="18"/>
        <v>#DIV/0!</v>
      </c>
      <c r="T55" s="9">
        <f t="shared" si="19"/>
        <v>0</v>
      </c>
      <c r="U55" s="9" t="e">
        <f>R55 / _xlfn.XLOOKUP(A55, Bottom!A:A, Bottom!AA:AA)</f>
        <v>#DIV/0!</v>
      </c>
    </row>
    <row r="56" spans="14:21" x14ac:dyDescent="0.25">
      <c r="N56" s="6"/>
      <c r="O56" s="7"/>
      <c r="P56" s="8">
        <f t="shared" si="16"/>
        <v>0</v>
      </c>
      <c r="Q56" s="1"/>
      <c r="R56" s="6">
        <f t="shared" si="17"/>
        <v>0</v>
      </c>
      <c r="S56" s="9" t="e">
        <f t="shared" si="18"/>
        <v>#DIV/0!</v>
      </c>
      <c r="T56" s="9">
        <f t="shared" si="19"/>
        <v>0</v>
      </c>
      <c r="U56" s="9" t="e">
        <f>R56 / _xlfn.XLOOKUP(A56, Bottom!A:A, Bottom!AA:AA)</f>
        <v>#DIV/0!</v>
      </c>
    </row>
  </sheetData>
  <sortState xmlns:xlrd2="http://schemas.microsoft.com/office/spreadsheetml/2017/richdata2" ref="A3:U28">
    <sortCondition descending="1" ref="S3:S28"/>
  </sortState>
  <pageMargins left="0.7" right="0.7" top="0.78740157499999996" bottom="0.78740157499999996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9B05A-FCFB-43DE-A301-6CBE2F549F88}">
  <sheetPr>
    <tabColor theme="5" tint="0.59999389629810485"/>
  </sheetPr>
  <dimension ref="A1:W54"/>
  <sheetViews>
    <sheetView workbookViewId="0">
      <selection activeCell="U3" sqref="U3:U29"/>
    </sheetView>
  </sheetViews>
  <sheetFormatPr baseColWidth="10" defaultRowHeight="15" x14ac:dyDescent="0.25"/>
  <sheetData>
    <row r="1" spans="1:23" ht="15.75" x14ac:dyDescent="0.25">
      <c r="A1" s="2" t="s">
        <v>240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159</v>
      </c>
      <c r="B3" s="6"/>
      <c r="C3" s="7"/>
      <c r="D3" s="8">
        <f t="shared" ref="D3:D29" si="0">B3*C3</f>
        <v>0</v>
      </c>
      <c r="E3" s="6"/>
      <c r="F3" s="7"/>
      <c r="G3" s="8">
        <f t="shared" ref="G3:G29" si="1">E3*F3</f>
        <v>0</v>
      </c>
      <c r="H3" s="6"/>
      <c r="I3" s="7"/>
      <c r="J3" s="8">
        <f t="shared" ref="J3:J29" si="2">H3*I3</f>
        <v>0</v>
      </c>
      <c r="K3" s="6"/>
      <c r="L3" s="7"/>
      <c r="M3" s="8">
        <f t="shared" ref="M3:M29" si="3">K3*L3</f>
        <v>0</v>
      </c>
      <c r="N3" s="6"/>
      <c r="O3" s="7"/>
      <c r="P3" s="8">
        <f t="shared" ref="P3:P29" si="4">N3*O3</f>
        <v>0</v>
      </c>
      <c r="Q3" s="1"/>
      <c r="R3" s="6">
        <f t="shared" ref="R3:R29" si="5">B3+E3+H3+K3+N3</f>
        <v>0</v>
      </c>
      <c r="S3" s="9" t="e">
        <f t="shared" ref="S3:S29" si="6">(D3+G3+J3+M3+P3)/R3</f>
        <v>#DIV/0!</v>
      </c>
      <c r="T3" s="9">
        <f t="shared" ref="T3:T29" si="7">R3/$V$3</f>
        <v>0</v>
      </c>
      <c r="U3" s="9">
        <f>R3 / _xlfn.XLOOKUP(A3, Bottom!A:A, Bottom!AA:AA)</f>
        <v>0</v>
      </c>
      <c r="V3" s="11">
        <f>SUM(R3:R68)</f>
        <v>277</v>
      </c>
      <c r="W3" s="12">
        <f>(SUM(D3:D98)+SUM(G3:G98)+SUM(J3:J98)+SUM(M3:M98)+SUM(P3:P98)) / V3</f>
        <v>0.52343321299638979</v>
      </c>
    </row>
    <row r="4" spans="1:23" x14ac:dyDescent="0.25">
      <c r="A4" s="1" t="s">
        <v>143</v>
      </c>
      <c r="B4" s="6">
        <v>1</v>
      </c>
      <c r="C4" s="7">
        <v>1</v>
      </c>
      <c r="D4" s="8">
        <f t="shared" si="0"/>
        <v>1</v>
      </c>
      <c r="E4" s="6"/>
      <c r="F4" s="7"/>
      <c r="G4" s="8">
        <f t="shared" si="1"/>
        <v>0</v>
      </c>
      <c r="H4" s="6"/>
      <c r="I4" s="7"/>
      <c r="J4" s="8">
        <f t="shared" si="2"/>
        <v>0</v>
      </c>
      <c r="K4" s="6">
        <v>3</v>
      </c>
      <c r="L4" s="7">
        <v>1</v>
      </c>
      <c r="M4" s="8">
        <f t="shared" si="3"/>
        <v>3</v>
      </c>
      <c r="N4" s="6"/>
      <c r="O4" s="7"/>
      <c r="P4" s="8">
        <f t="shared" si="4"/>
        <v>0</v>
      </c>
      <c r="Q4" s="1"/>
      <c r="R4" s="6">
        <f t="shared" si="5"/>
        <v>4</v>
      </c>
      <c r="S4" s="9">
        <f t="shared" si="6"/>
        <v>1</v>
      </c>
      <c r="T4" s="9">
        <f t="shared" si="7"/>
        <v>1.444043321299639E-2</v>
      </c>
      <c r="U4" s="9">
        <f>R4 / _xlfn.XLOOKUP(A4, Bottom!A:A, Bottom!AA:AA)</f>
        <v>2.7586206896551724E-2</v>
      </c>
      <c r="W4" s="1"/>
    </row>
    <row r="5" spans="1:23" x14ac:dyDescent="0.25">
      <c r="A5" s="1" t="s">
        <v>147</v>
      </c>
      <c r="B5" s="6">
        <v>2</v>
      </c>
      <c r="C5" s="7">
        <v>1</v>
      </c>
      <c r="D5" s="8">
        <f t="shared" si="0"/>
        <v>2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>
        <v>8</v>
      </c>
      <c r="L5" s="7">
        <v>0.75</v>
      </c>
      <c r="M5" s="8">
        <f t="shared" si="3"/>
        <v>6</v>
      </c>
      <c r="N5" s="6"/>
      <c r="O5" s="7"/>
      <c r="P5" s="8">
        <f t="shared" si="4"/>
        <v>0</v>
      </c>
      <c r="Q5" s="1"/>
      <c r="R5" s="6">
        <f t="shared" si="5"/>
        <v>10</v>
      </c>
      <c r="S5" s="9">
        <f t="shared" si="6"/>
        <v>0.8</v>
      </c>
      <c r="T5" s="9">
        <f t="shared" si="7"/>
        <v>3.6101083032490974E-2</v>
      </c>
      <c r="U5" s="9">
        <f>R5 / _xlfn.XLOOKUP(A5, Bottom!A:A, Bottom!AA:AA)</f>
        <v>4.7619047619047616E-2</v>
      </c>
      <c r="V5" s="1"/>
      <c r="W5" s="1"/>
    </row>
    <row r="6" spans="1:23" x14ac:dyDescent="0.25">
      <c r="A6" s="1" t="s">
        <v>149</v>
      </c>
      <c r="B6" s="6">
        <v>1</v>
      </c>
      <c r="C6" s="7">
        <v>1</v>
      </c>
      <c r="D6" s="8">
        <f t="shared" si="0"/>
        <v>1</v>
      </c>
      <c r="E6" s="6"/>
      <c r="F6" s="7"/>
      <c r="G6" s="8">
        <f t="shared" si="1"/>
        <v>0</v>
      </c>
      <c r="H6" s="6"/>
      <c r="I6" s="7"/>
      <c r="J6" s="8">
        <f t="shared" si="2"/>
        <v>0</v>
      </c>
      <c r="K6" s="6">
        <v>7</v>
      </c>
      <c r="L6" s="7">
        <v>0.71399999999999997</v>
      </c>
      <c r="M6" s="8">
        <f t="shared" si="3"/>
        <v>4.9979999999999993</v>
      </c>
      <c r="N6" s="6"/>
      <c r="O6" s="7"/>
      <c r="P6" s="8">
        <f t="shared" si="4"/>
        <v>0</v>
      </c>
      <c r="Q6" s="4"/>
      <c r="R6" s="6">
        <f t="shared" si="5"/>
        <v>8</v>
      </c>
      <c r="S6" s="9">
        <f t="shared" si="6"/>
        <v>0.74974999999999992</v>
      </c>
      <c r="T6" s="9">
        <f t="shared" si="7"/>
        <v>2.8880866425992781E-2</v>
      </c>
      <c r="U6" s="9">
        <f>R6 / _xlfn.XLOOKUP(A6, Bottom!A:A, Bottom!AA:AA)</f>
        <v>2.3880597014925373E-2</v>
      </c>
      <c r="V6" s="1"/>
      <c r="W6" s="1"/>
    </row>
    <row r="7" spans="1:23" x14ac:dyDescent="0.25">
      <c r="A7" s="1" t="s">
        <v>151</v>
      </c>
      <c r="B7" s="6">
        <v>5</v>
      </c>
      <c r="C7" s="7">
        <v>0.8</v>
      </c>
      <c r="D7" s="8">
        <f t="shared" si="0"/>
        <v>4</v>
      </c>
      <c r="E7" s="6">
        <v>1</v>
      </c>
      <c r="F7" s="7">
        <v>0</v>
      </c>
      <c r="G7" s="8">
        <f t="shared" si="1"/>
        <v>0</v>
      </c>
      <c r="H7" s="6"/>
      <c r="I7" s="7"/>
      <c r="J7" s="8">
        <f t="shared" si="2"/>
        <v>0</v>
      </c>
      <c r="K7" s="6">
        <v>8</v>
      </c>
      <c r="L7" s="7">
        <v>0.75</v>
      </c>
      <c r="M7" s="8">
        <f t="shared" si="3"/>
        <v>6</v>
      </c>
      <c r="N7" s="6"/>
      <c r="O7" s="7"/>
      <c r="P7" s="8">
        <f t="shared" si="4"/>
        <v>0</v>
      </c>
      <c r="Q7" s="4"/>
      <c r="R7" s="6">
        <f t="shared" si="5"/>
        <v>14</v>
      </c>
      <c r="S7" s="9">
        <f t="shared" si="6"/>
        <v>0.7142857142857143</v>
      </c>
      <c r="T7" s="9">
        <f t="shared" si="7"/>
        <v>5.0541516245487361E-2</v>
      </c>
      <c r="U7" s="9">
        <f>R7 / _xlfn.XLOOKUP(A7, Bottom!A:A, Bottom!AA:AA)</f>
        <v>8.8050314465408799E-2</v>
      </c>
      <c r="V7" s="1"/>
      <c r="W7" s="1"/>
    </row>
    <row r="8" spans="1:23" x14ac:dyDescent="0.25">
      <c r="A8" s="1" t="s">
        <v>138</v>
      </c>
      <c r="B8" s="6">
        <v>16</v>
      </c>
      <c r="C8" s="7">
        <v>0.68799999999999994</v>
      </c>
      <c r="D8" s="8">
        <f t="shared" si="0"/>
        <v>11.007999999999999</v>
      </c>
      <c r="E8" s="6">
        <v>1</v>
      </c>
      <c r="F8" s="7">
        <v>0</v>
      </c>
      <c r="G8" s="8">
        <f t="shared" si="1"/>
        <v>0</v>
      </c>
      <c r="H8" s="6"/>
      <c r="I8" s="7"/>
      <c r="J8" s="8">
        <f t="shared" si="2"/>
        <v>0</v>
      </c>
      <c r="K8" s="6">
        <v>4</v>
      </c>
      <c r="L8" s="7">
        <v>0.75</v>
      </c>
      <c r="M8" s="8">
        <f t="shared" si="3"/>
        <v>3</v>
      </c>
      <c r="N8" s="6"/>
      <c r="O8" s="7"/>
      <c r="P8" s="8">
        <f t="shared" si="4"/>
        <v>0</v>
      </c>
      <c r="Q8" s="1"/>
      <c r="R8" s="6">
        <f t="shared" si="5"/>
        <v>21</v>
      </c>
      <c r="S8" s="9">
        <f t="shared" si="6"/>
        <v>0.667047619047619</v>
      </c>
      <c r="T8" s="9">
        <f t="shared" si="7"/>
        <v>7.5812274368231042E-2</v>
      </c>
      <c r="U8" s="9">
        <f>R8 / _xlfn.XLOOKUP(A8, Bottom!A:A, Bottom!AA:AA)</f>
        <v>7.1186440677966104E-2</v>
      </c>
      <c r="V8" s="1"/>
      <c r="W8" s="1"/>
    </row>
    <row r="9" spans="1:23" x14ac:dyDescent="0.25">
      <c r="A9" s="1" t="s">
        <v>156</v>
      </c>
      <c r="B9" s="6">
        <v>5</v>
      </c>
      <c r="C9" s="7">
        <v>0.8</v>
      </c>
      <c r="D9" s="8">
        <f t="shared" si="0"/>
        <v>4</v>
      </c>
      <c r="E9" s="6">
        <v>1</v>
      </c>
      <c r="F9" s="7">
        <v>0</v>
      </c>
      <c r="G9" s="8">
        <f t="shared" si="1"/>
        <v>0</v>
      </c>
      <c r="H9" s="6"/>
      <c r="I9" s="7"/>
      <c r="J9" s="8">
        <f t="shared" si="2"/>
        <v>0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13"/>
      <c r="R9" s="6">
        <f t="shared" si="5"/>
        <v>6</v>
      </c>
      <c r="S9" s="9">
        <f t="shared" si="6"/>
        <v>0.66666666666666663</v>
      </c>
      <c r="T9" s="9">
        <f t="shared" si="7"/>
        <v>2.1660649819494584E-2</v>
      </c>
      <c r="U9" s="9">
        <f>R9 / _xlfn.XLOOKUP(A9, Bottom!A:A, Bottom!AA:AA)</f>
        <v>5.2631578947368418E-2</v>
      </c>
      <c r="V9" s="1"/>
      <c r="W9" s="1"/>
    </row>
    <row r="10" spans="1:23" x14ac:dyDescent="0.25">
      <c r="A10" s="1" t="s">
        <v>140</v>
      </c>
      <c r="B10" s="6">
        <v>24</v>
      </c>
      <c r="C10" s="7">
        <v>0.70799999999999996</v>
      </c>
      <c r="D10" s="8">
        <f t="shared" si="0"/>
        <v>16.991999999999997</v>
      </c>
      <c r="E10" s="6"/>
      <c r="F10" s="7"/>
      <c r="G10" s="8">
        <f t="shared" si="1"/>
        <v>0</v>
      </c>
      <c r="H10" s="6"/>
      <c r="I10" s="7"/>
      <c r="J10" s="8">
        <f t="shared" si="2"/>
        <v>0</v>
      </c>
      <c r="K10" s="6">
        <v>2</v>
      </c>
      <c r="L10" s="7">
        <v>0</v>
      </c>
      <c r="M10" s="8">
        <f t="shared" si="3"/>
        <v>0</v>
      </c>
      <c r="N10" s="6"/>
      <c r="O10" s="7"/>
      <c r="P10" s="8">
        <f t="shared" si="4"/>
        <v>0</v>
      </c>
      <c r="Q10" s="1"/>
      <c r="R10" s="6">
        <f t="shared" si="5"/>
        <v>26</v>
      </c>
      <c r="S10" s="9">
        <f t="shared" si="6"/>
        <v>0.6535384615384614</v>
      </c>
      <c r="T10" s="9">
        <f t="shared" si="7"/>
        <v>9.3862815884476536E-2</v>
      </c>
      <c r="U10" s="9">
        <f>R10 / _xlfn.XLOOKUP(A10, Bottom!A:A, Bottom!AA:AA)</f>
        <v>5.019305019305019E-2</v>
      </c>
      <c r="V10" s="1"/>
      <c r="W10" s="1"/>
    </row>
    <row r="11" spans="1:23" x14ac:dyDescent="0.25">
      <c r="A11" s="25" t="s">
        <v>108</v>
      </c>
      <c r="B11" s="6"/>
      <c r="C11" s="7"/>
      <c r="D11" s="8">
        <f t="shared" si="0"/>
        <v>0</v>
      </c>
      <c r="E11" s="6"/>
      <c r="F11" s="7"/>
      <c r="G11" s="8">
        <f t="shared" si="1"/>
        <v>0</v>
      </c>
      <c r="H11" s="6"/>
      <c r="I11" s="7"/>
      <c r="J11" s="8">
        <f t="shared" si="2"/>
        <v>0</v>
      </c>
      <c r="K11" s="6">
        <v>8</v>
      </c>
      <c r="L11" s="7">
        <v>0.625</v>
      </c>
      <c r="M11" s="8">
        <f t="shared" si="3"/>
        <v>5</v>
      </c>
      <c r="N11" s="6"/>
      <c r="O11" s="7"/>
      <c r="P11" s="8">
        <f t="shared" si="4"/>
        <v>0</v>
      </c>
      <c r="Q11" s="1"/>
      <c r="R11" s="6">
        <f t="shared" si="5"/>
        <v>8</v>
      </c>
      <c r="S11" s="9">
        <f t="shared" si="6"/>
        <v>0.625</v>
      </c>
      <c r="T11" s="9">
        <f t="shared" si="7"/>
        <v>2.8880866425992781E-2</v>
      </c>
      <c r="U11" s="9">
        <f>R11 / _xlfn.XLOOKUP(A11, Bottom!A:A, Bottom!AA:AA)</f>
        <v>5.4054054054054057E-2</v>
      </c>
      <c r="V11" s="1"/>
      <c r="W11" s="1"/>
    </row>
    <row r="12" spans="1:23" x14ac:dyDescent="0.25">
      <c r="A12" s="1" t="s">
        <v>134</v>
      </c>
      <c r="B12" s="6">
        <v>14</v>
      </c>
      <c r="C12" s="7">
        <v>0.57099999999999995</v>
      </c>
      <c r="D12" s="8">
        <f t="shared" si="0"/>
        <v>7.9939999999999998</v>
      </c>
      <c r="E12" s="6">
        <v>4</v>
      </c>
      <c r="F12" s="7">
        <v>0.25</v>
      </c>
      <c r="G12" s="8">
        <f t="shared" si="1"/>
        <v>1</v>
      </c>
      <c r="H12" s="6"/>
      <c r="I12" s="7"/>
      <c r="J12" s="8">
        <f t="shared" si="2"/>
        <v>0</v>
      </c>
      <c r="K12" s="6">
        <v>16</v>
      </c>
      <c r="L12" s="7">
        <v>0.68700000000000006</v>
      </c>
      <c r="M12" s="8">
        <f t="shared" si="3"/>
        <v>10.992000000000001</v>
      </c>
      <c r="N12" s="6"/>
      <c r="O12" s="7"/>
      <c r="P12" s="8">
        <f t="shared" si="4"/>
        <v>0</v>
      </c>
      <c r="Q12" s="4"/>
      <c r="R12" s="6">
        <f t="shared" si="5"/>
        <v>34</v>
      </c>
      <c r="S12" s="9">
        <f t="shared" si="6"/>
        <v>0.58782352941176474</v>
      </c>
      <c r="T12" s="9">
        <f t="shared" si="7"/>
        <v>0.12274368231046931</v>
      </c>
      <c r="U12" s="9">
        <f>R12 / _xlfn.XLOOKUP(A12, Bottom!A:A, Bottom!AA:AA)</f>
        <v>7.4235807860262015E-2</v>
      </c>
      <c r="V12" s="1"/>
      <c r="W12" s="1"/>
    </row>
    <row r="13" spans="1:23" x14ac:dyDescent="0.25">
      <c r="A13" s="1" t="s">
        <v>146</v>
      </c>
      <c r="B13" s="6">
        <v>2</v>
      </c>
      <c r="C13" s="7">
        <v>1</v>
      </c>
      <c r="D13" s="8">
        <f t="shared" si="0"/>
        <v>2</v>
      </c>
      <c r="E13" s="6">
        <v>1</v>
      </c>
      <c r="F13" s="7">
        <v>1</v>
      </c>
      <c r="G13" s="8">
        <f t="shared" si="1"/>
        <v>1</v>
      </c>
      <c r="H13" s="6"/>
      <c r="I13" s="7"/>
      <c r="J13" s="8">
        <f t="shared" si="2"/>
        <v>0</v>
      </c>
      <c r="K13" s="6">
        <v>6</v>
      </c>
      <c r="L13" s="7">
        <v>0.33300000000000002</v>
      </c>
      <c r="M13" s="8">
        <f t="shared" si="3"/>
        <v>1.9980000000000002</v>
      </c>
      <c r="N13" s="6"/>
      <c r="O13" s="7"/>
      <c r="P13" s="8">
        <f t="shared" si="4"/>
        <v>0</v>
      </c>
      <c r="Q13" s="1"/>
      <c r="R13" s="6">
        <f t="shared" si="5"/>
        <v>9</v>
      </c>
      <c r="S13" s="9">
        <f t="shared" si="6"/>
        <v>0.55533333333333335</v>
      </c>
      <c r="T13" s="9">
        <f t="shared" si="7"/>
        <v>3.2490974729241874E-2</v>
      </c>
      <c r="U13" s="9">
        <f>R13 / _xlfn.XLOOKUP(A13, Bottom!A:A, Bottom!AA:AA)</f>
        <v>4.8648648648648651E-2</v>
      </c>
      <c r="V13" s="1"/>
      <c r="W13" s="1"/>
    </row>
    <row r="14" spans="1:23" x14ac:dyDescent="0.25">
      <c r="A14" s="1" t="s">
        <v>152</v>
      </c>
      <c r="B14" s="6">
        <v>2</v>
      </c>
      <c r="C14" s="7">
        <v>0.5</v>
      </c>
      <c r="D14" s="8">
        <f t="shared" si="0"/>
        <v>1</v>
      </c>
      <c r="E14" s="6"/>
      <c r="F14" s="7"/>
      <c r="G14" s="8">
        <f t="shared" si="1"/>
        <v>0</v>
      </c>
      <c r="H14" s="6"/>
      <c r="I14" s="7"/>
      <c r="J14" s="8">
        <f t="shared" si="2"/>
        <v>0</v>
      </c>
      <c r="K14" s="6"/>
      <c r="L14" s="7"/>
      <c r="M14" s="8">
        <f t="shared" si="3"/>
        <v>0</v>
      </c>
      <c r="N14" s="6"/>
      <c r="O14" s="7"/>
      <c r="P14" s="8">
        <f t="shared" si="4"/>
        <v>0</v>
      </c>
      <c r="Q14" s="1"/>
      <c r="R14" s="6">
        <f t="shared" si="5"/>
        <v>2</v>
      </c>
      <c r="S14" s="9">
        <f t="shared" si="6"/>
        <v>0.5</v>
      </c>
      <c r="T14" s="9">
        <f t="shared" si="7"/>
        <v>7.2202166064981952E-3</v>
      </c>
      <c r="U14" s="9">
        <f>R14 / _xlfn.XLOOKUP(A14, Bottom!A:A, Bottom!AA:AA)</f>
        <v>7.6923076923076927E-2</v>
      </c>
      <c r="V14" s="1"/>
      <c r="W14" s="1"/>
    </row>
    <row r="15" spans="1:23" x14ac:dyDescent="0.25">
      <c r="A15" s="1" t="s">
        <v>154</v>
      </c>
      <c r="B15" s="6">
        <v>4</v>
      </c>
      <c r="C15" s="7">
        <v>0.5</v>
      </c>
      <c r="D15" s="8">
        <f t="shared" si="0"/>
        <v>2</v>
      </c>
      <c r="E15" s="6"/>
      <c r="F15" s="7"/>
      <c r="G15" s="8">
        <f t="shared" si="1"/>
        <v>0</v>
      </c>
      <c r="H15" s="6"/>
      <c r="I15" s="7"/>
      <c r="J15" s="8">
        <f t="shared" si="2"/>
        <v>0</v>
      </c>
      <c r="K15" s="6">
        <v>9</v>
      </c>
      <c r="L15" s="7">
        <v>0.44400000000000001</v>
      </c>
      <c r="M15" s="8">
        <f t="shared" si="3"/>
        <v>3.996</v>
      </c>
      <c r="N15" s="6"/>
      <c r="O15" s="7"/>
      <c r="P15" s="8">
        <f t="shared" si="4"/>
        <v>0</v>
      </c>
      <c r="Q15" s="1"/>
      <c r="R15" s="6">
        <f t="shared" si="5"/>
        <v>13</v>
      </c>
      <c r="S15" s="9">
        <f t="shared" si="6"/>
        <v>0.46123076923076928</v>
      </c>
      <c r="T15" s="9">
        <f t="shared" si="7"/>
        <v>4.6931407942238268E-2</v>
      </c>
      <c r="U15" s="9">
        <f>R15 / _xlfn.XLOOKUP(A15, Bottom!A:A, Bottom!AA:AA)</f>
        <v>0.1092436974789916</v>
      </c>
      <c r="V15" s="1"/>
      <c r="W15" s="1"/>
    </row>
    <row r="16" spans="1:23" x14ac:dyDescent="0.25">
      <c r="A16" s="1" t="s">
        <v>145</v>
      </c>
      <c r="B16" s="6">
        <v>1</v>
      </c>
      <c r="C16" s="7">
        <v>0</v>
      </c>
      <c r="D16" s="8">
        <f t="shared" si="0"/>
        <v>0</v>
      </c>
      <c r="E16" s="6">
        <v>8</v>
      </c>
      <c r="F16" s="7">
        <v>0.5</v>
      </c>
      <c r="G16" s="8">
        <f t="shared" si="1"/>
        <v>4</v>
      </c>
      <c r="H16" s="6"/>
      <c r="I16" s="7"/>
      <c r="J16" s="8">
        <f t="shared" si="2"/>
        <v>0</v>
      </c>
      <c r="K16" s="6">
        <v>12</v>
      </c>
      <c r="L16" s="7">
        <v>0.41699999999999998</v>
      </c>
      <c r="M16" s="8">
        <f t="shared" si="3"/>
        <v>5.0039999999999996</v>
      </c>
      <c r="N16" s="6"/>
      <c r="O16" s="7"/>
      <c r="P16" s="8">
        <f t="shared" si="4"/>
        <v>0</v>
      </c>
      <c r="Q16" s="1"/>
      <c r="R16" s="6">
        <f t="shared" si="5"/>
        <v>21</v>
      </c>
      <c r="S16" s="9">
        <f t="shared" si="6"/>
        <v>0.42876190476190473</v>
      </c>
      <c r="T16" s="9">
        <f t="shared" si="7"/>
        <v>7.5812274368231042E-2</v>
      </c>
      <c r="U16" s="9">
        <f>R16 / _xlfn.XLOOKUP(A16, Bottom!A:A, Bottom!AA:AA)</f>
        <v>4.5553145336225599E-2</v>
      </c>
      <c r="V16" s="1"/>
      <c r="W16" s="1"/>
    </row>
    <row r="17" spans="1:23" x14ac:dyDescent="0.25">
      <c r="A17" s="1" t="s">
        <v>150</v>
      </c>
      <c r="B17" s="6">
        <v>2</v>
      </c>
      <c r="C17" s="7">
        <v>0.5</v>
      </c>
      <c r="D17" s="8">
        <f t="shared" si="0"/>
        <v>1</v>
      </c>
      <c r="E17" s="6">
        <v>1</v>
      </c>
      <c r="F17" s="7">
        <v>1</v>
      </c>
      <c r="G17" s="8">
        <f t="shared" si="1"/>
        <v>1</v>
      </c>
      <c r="H17" s="6"/>
      <c r="I17" s="7"/>
      <c r="J17" s="8">
        <f t="shared" si="2"/>
        <v>0</v>
      </c>
      <c r="K17" s="6">
        <v>4</v>
      </c>
      <c r="L17" s="7">
        <v>0.25</v>
      </c>
      <c r="M17" s="8">
        <f t="shared" si="3"/>
        <v>1</v>
      </c>
      <c r="N17" s="6"/>
      <c r="O17" s="7"/>
      <c r="P17" s="8">
        <f t="shared" si="4"/>
        <v>0</v>
      </c>
      <c r="Q17" s="1"/>
      <c r="R17" s="6">
        <f t="shared" si="5"/>
        <v>7</v>
      </c>
      <c r="S17" s="9">
        <f t="shared" si="6"/>
        <v>0.42857142857142855</v>
      </c>
      <c r="T17" s="9">
        <f t="shared" si="7"/>
        <v>2.5270758122743681E-2</v>
      </c>
      <c r="U17" s="9">
        <f>R17 / _xlfn.XLOOKUP(A17, Bottom!A:A, Bottom!AA:AA)</f>
        <v>1.4613778705636743E-2</v>
      </c>
      <c r="V17" s="1"/>
      <c r="W17" s="1"/>
    </row>
    <row r="18" spans="1:23" x14ac:dyDescent="0.25">
      <c r="A18" s="1" t="s">
        <v>141</v>
      </c>
      <c r="B18" s="6">
        <v>7</v>
      </c>
      <c r="C18" s="7">
        <v>0.42899999999999999</v>
      </c>
      <c r="D18" s="8">
        <f t="shared" si="0"/>
        <v>3.0030000000000001</v>
      </c>
      <c r="E18" s="6">
        <v>2</v>
      </c>
      <c r="F18" s="7">
        <v>0</v>
      </c>
      <c r="G18" s="8">
        <f t="shared" si="1"/>
        <v>0</v>
      </c>
      <c r="H18" s="6"/>
      <c r="I18" s="7"/>
      <c r="J18" s="8">
        <f t="shared" si="2"/>
        <v>0</v>
      </c>
      <c r="K18" s="6">
        <v>8</v>
      </c>
      <c r="L18" s="7">
        <v>0.5</v>
      </c>
      <c r="M18" s="8">
        <f t="shared" si="3"/>
        <v>4</v>
      </c>
      <c r="N18" s="6"/>
      <c r="O18" s="7"/>
      <c r="P18" s="8">
        <f t="shared" si="4"/>
        <v>0</v>
      </c>
      <c r="Q18" s="1"/>
      <c r="R18" s="6">
        <f t="shared" si="5"/>
        <v>17</v>
      </c>
      <c r="S18" s="9">
        <f t="shared" si="6"/>
        <v>0.41194117647058826</v>
      </c>
      <c r="T18" s="9">
        <f t="shared" si="7"/>
        <v>6.1371841155234655E-2</v>
      </c>
      <c r="U18" s="9">
        <f>R18 / _xlfn.XLOOKUP(A18, Bottom!A:A, Bottom!AA:AA)</f>
        <v>3.8724373576309798E-2</v>
      </c>
      <c r="V18" s="1"/>
      <c r="W18" s="1"/>
    </row>
    <row r="19" spans="1:23" x14ac:dyDescent="0.25">
      <c r="A19" s="1" t="s">
        <v>139</v>
      </c>
      <c r="B19" s="6">
        <v>12</v>
      </c>
      <c r="C19" s="7">
        <v>0.66700000000000004</v>
      </c>
      <c r="D19" s="8">
        <f t="shared" si="0"/>
        <v>8.0040000000000013</v>
      </c>
      <c r="E19" s="6">
        <v>15</v>
      </c>
      <c r="F19" s="7">
        <v>0.2</v>
      </c>
      <c r="G19" s="8">
        <f t="shared" si="1"/>
        <v>3</v>
      </c>
      <c r="H19" s="6"/>
      <c r="I19" s="7"/>
      <c r="J19" s="8">
        <f t="shared" si="2"/>
        <v>0</v>
      </c>
      <c r="K19" s="6">
        <v>1</v>
      </c>
      <c r="L19" s="7">
        <v>0</v>
      </c>
      <c r="M19" s="8">
        <f t="shared" si="3"/>
        <v>0</v>
      </c>
      <c r="N19" s="6"/>
      <c r="O19" s="7"/>
      <c r="P19" s="8">
        <f t="shared" si="4"/>
        <v>0</v>
      </c>
      <c r="Q19" s="1"/>
      <c r="R19" s="6">
        <f t="shared" si="5"/>
        <v>28</v>
      </c>
      <c r="S19" s="9">
        <f t="shared" si="6"/>
        <v>0.39300000000000007</v>
      </c>
      <c r="T19" s="9">
        <f t="shared" si="7"/>
        <v>0.10108303249097472</v>
      </c>
      <c r="U19" s="9">
        <f>R19 / _xlfn.XLOOKUP(A19, Bottom!A:A, Bottom!AA:AA)</f>
        <v>5.2631578947368418E-2</v>
      </c>
      <c r="V19" s="1"/>
      <c r="W19" s="1"/>
    </row>
    <row r="20" spans="1:23" x14ac:dyDescent="0.25">
      <c r="A20" s="1" t="s">
        <v>35</v>
      </c>
      <c r="B20" s="6">
        <v>12</v>
      </c>
      <c r="C20" s="7">
        <v>0.41699999999999998</v>
      </c>
      <c r="D20" s="8">
        <f t="shared" si="0"/>
        <v>5.0039999999999996</v>
      </c>
      <c r="E20" s="6">
        <v>2</v>
      </c>
      <c r="F20" s="7">
        <v>0</v>
      </c>
      <c r="G20" s="8">
        <f t="shared" si="1"/>
        <v>0</v>
      </c>
      <c r="H20" s="6"/>
      <c r="I20" s="7"/>
      <c r="J20" s="8">
        <f t="shared" si="2"/>
        <v>0</v>
      </c>
      <c r="K20" s="6"/>
      <c r="L20" s="7"/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14</v>
      </c>
      <c r="S20" s="9">
        <f t="shared" si="6"/>
        <v>0.35742857142857137</v>
      </c>
      <c r="T20" s="9">
        <f t="shared" si="7"/>
        <v>5.0541516245487361E-2</v>
      </c>
      <c r="U20" s="9">
        <f>R20 / _xlfn.XLOOKUP(A20, Bottom!A:A, Bottom!AA:AA)</f>
        <v>3.6175710594315243E-2</v>
      </c>
      <c r="V20" s="1"/>
      <c r="W20" s="1"/>
    </row>
    <row r="21" spans="1:23" x14ac:dyDescent="0.25">
      <c r="A21" s="1" t="s">
        <v>142</v>
      </c>
      <c r="B21" s="6">
        <v>3</v>
      </c>
      <c r="C21" s="7">
        <v>0.33300000000000002</v>
      </c>
      <c r="D21" s="8">
        <f t="shared" si="0"/>
        <v>0.99900000000000011</v>
      </c>
      <c r="E21" s="6">
        <v>1</v>
      </c>
      <c r="F21" s="7">
        <v>0</v>
      </c>
      <c r="G21" s="8">
        <f t="shared" si="1"/>
        <v>0</v>
      </c>
      <c r="H21" s="6"/>
      <c r="I21" s="7"/>
      <c r="J21" s="8">
        <f t="shared" si="2"/>
        <v>0</v>
      </c>
      <c r="K21" s="6">
        <v>17</v>
      </c>
      <c r="L21" s="7">
        <v>0.35299999999999998</v>
      </c>
      <c r="M21" s="8">
        <f t="shared" si="3"/>
        <v>6.0009999999999994</v>
      </c>
      <c r="N21" s="6"/>
      <c r="O21" s="7"/>
      <c r="P21" s="8">
        <f t="shared" si="4"/>
        <v>0</v>
      </c>
      <c r="Q21" s="1"/>
      <c r="R21" s="6">
        <f t="shared" si="5"/>
        <v>21</v>
      </c>
      <c r="S21" s="9">
        <f t="shared" si="6"/>
        <v>0.33333333333333331</v>
      </c>
      <c r="T21" s="9">
        <f t="shared" si="7"/>
        <v>7.5812274368231042E-2</v>
      </c>
      <c r="U21" s="9">
        <f>R21 / _xlfn.XLOOKUP(A21, Bottom!A:A, Bottom!AA:AA)</f>
        <v>6.8403908794788276E-2</v>
      </c>
      <c r="V21" s="1"/>
      <c r="W21" s="1"/>
    </row>
    <row r="22" spans="1:23" x14ac:dyDescent="0.25">
      <c r="A22" s="1" t="s">
        <v>39</v>
      </c>
      <c r="B22" s="6"/>
      <c r="C22" s="7"/>
      <c r="D22" s="8">
        <f t="shared" si="0"/>
        <v>0</v>
      </c>
      <c r="E22" s="6">
        <v>1</v>
      </c>
      <c r="F22" s="7">
        <v>1</v>
      </c>
      <c r="G22" s="8">
        <f t="shared" si="1"/>
        <v>1</v>
      </c>
      <c r="H22" s="6"/>
      <c r="I22" s="7"/>
      <c r="J22" s="8">
        <f t="shared" si="2"/>
        <v>0</v>
      </c>
      <c r="K22" s="6">
        <v>2</v>
      </c>
      <c r="L22" s="7">
        <v>0</v>
      </c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3</v>
      </c>
      <c r="S22" s="9">
        <f t="shared" si="6"/>
        <v>0.33333333333333331</v>
      </c>
      <c r="T22" s="9">
        <f t="shared" si="7"/>
        <v>1.0830324909747292E-2</v>
      </c>
      <c r="U22" s="9">
        <f>R22 / _xlfn.XLOOKUP(A22, Bottom!A:A, Bottom!AA:AA)</f>
        <v>4.9180327868852458E-2</v>
      </c>
      <c r="V22" s="1"/>
      <c r="W22" s="1"/>
    </row>
    <row r="23" spans="1:23" x14ac:dyDescent="0.25">
      <c r="A23" s="1" t="s">
        <v>148</v>
      </c>
      <c r="B23" s="6"/>
      <c r="C23" s="7"/>
      <c r="D23" s="8">
        <f t="shared" si="0"/>
        <v>0</v>
      </c>
      <c r="E23" s="6"/>
      <c r="F23" s="7"/>
      <c r="G23" s="8">
        <f t="shared" si="1"/>
        <v>0</v>
      </c>
      <c r="H23" s="6"/>
      <c r="I23" s="7"/>
      <c r="J23" s="8">
        <f t="shared" si="2"/>
        <v>0</v>
      </c>
      <c r="K23" s="6">
        <v>3</v>
      </c>
      <c r="L23" s="7">
        <v>0.33300000000000002</v>
      </c>
      <c r="M23" s="8">
        <f t="shared" si="3"/>
        <v>0.99900000000000011</v>
      </c>
      <c r="N23" s="6"/>
      <c r="O23" s="7"/>
      <c r="P23" s="8">
        <f t="shared" si="4"/>
        <v>0</v>
      </c>
      <c r="Q23" s="1"/>
      <c r="R23" s="6">
        <f t="shared" si="5"/>
        <v>3</v>
      </c>
      <c r="S23" s="9">
        <f t="shared" si="6"/>
        <v>0.33300000000000002</v>
      </c>
      <c r="T23" s="9">
        <f t="shared" si="7"/>
        <v>1.0830324909747292E-2</v>
      </c>
      <c r="U23" s="9">
        <f>R23 / _xlfn.XLOOKUP(A23, Bottom!A:A, Bottom!AA:AA)</f>
        <v>1.4778325123152709E-2</v>
      </c>
      <c r="V23" s="1"/>
      <c r="W23" s="1"/>
    </row>
    <row r="24" spans="1:23" x14ac:dyDescent="0.25">
      <c r="A24" s="25" t="s">
        <v>213</v>
      </c>
      <c r="B24" s="6"/>
      <c r="C24" s="7"/>
      <c r="D24" s="8">
        <f t="shared" si="0"/>
        <v>0</v>
      </c>
      <c r="E24" s="6"/>
      <c r="F24" s="7"/>
      <c r="G24" s="8">
        <f t="shared" si="1"/>
        <v>0</v>
      </c>
      <c r="H24" s="6"/>
      <c r="I24" s="7"/>
      <c r="J24" s="8">
        <f t="shared" si="2"/>
        <v>0</v>
      </c>
      <c r="K24" s="6">
        <v>3</v>
      </c>
      <c r="L24" s="7">
        <v>0.33300000000000002</v>
      </c>
      <c r="M24" s="8">
        <f t="shared" si="3"/>
        <v>0.99900000000000011</v>
      </c>
      <c r="N24" s="6"/>
      <c r="O24" s="7"/>
      <c r="P24" s="8">
        <f t="shared" si="4"/>
        <v>0</v>
      </c>
      <c r="Q24" s="1"/>
      <c r="R24" s="6">
        <f t="shared" si="5"/>
        <v>3</v>
      </c>
      <c r="S24" s="9">
        <f t="shared" si="6"/>
        <v>0.33300000000000002</v>
      </c>
      <c r="T24" s="9">
        <f t="shared" si="7"/>
        <v>1.0830324909747292E-2</v>
      </c>
      <c r="U24" s="9">
        <f>R24 / _xlfn.XLOOKUP(A24, Bottom!A:A, Bottom!AA:AA)</f>
        <v>3.9473684210526314E-2</v>
      </c>
      <c r="V24" s="1"/>
      <c r="W24" s="1"/>
    </row>
    <row r="25" spans="1:23" x14ac:dyDescent="0.25">
      <c r="A25" s="1" t="s">
        <v>153</v>
      </c>
      <c r="B25" s="6">
        <v>1</v>
      </c>
      <c r="C25" s="7">
        <v>0</v>
      </c>
      <c r="D25" s="8">
        <f t="shared" si="0"/>
        <v>0</v>
      </c>
      <c r="E25" s="6"/>
      <c r="F25" s="7"/>
      <c r="G25" s="8">
        <f t="shared" si="1"/>
        <v>0</v>
      </c>
      <c r="H25" s="6"/>
      <c r="I25" s="7"/>
      <c r="J25" s="8">
        <f t="shared" si="2"/>
        <v>0</v>
      </c>
      <c r="K25" s="6"/>
      <c r="L25" s="7"/>
      <c r="M25" s="8">
        <f t="shared" si="3"/>
        <v>0</v>
      </c>
      <c r="N25" s="6"/>
      <c r="O25" s="7"/>
      <c r="P25" s="8">
        <f t="shared" si="4"/>
        <v>0</v>
      </c>
      <c r="Q25" s="1"/>
      <c r="R25" s="6">
        <f t="shared" si="5"/>
        <v>1</v>
      </c>
      <c r="S25" s="9">
        <f t="shared" si="6"/>
        <v>0</v>
      </c>
      <c r="T25" s="9">
        <f t="shared" si="7"/>
        <v>3.6101083032490976E-3</v>
      </c>
      <c r="U25" s="9">
        <f>R25 / _xlfn.XLOOKUP(A25, Bottom!A:A, Bottom!AA:AA)</f>
        <v>3.3333333333333333E-2</v>
      </c>
      <c r="V25" s="1"/>
      <c r="W25" s="1"/>
    </row>
    <row r="26" spans="1:23" x14ac:dyDescent="0.25">
      <c r="A26" s="1" t="s">
        <v>59</v>
      </c>
      <c r="B26" s="6"/>
      <c r="C26" s="7"/>
      <c r="D26" s="8">
        <f t="shared" si="0"/>
        <v>0</v>
      </c>
      <c r="E26" s="6"/>
      <c r="F26" s="7"/>
      <c r="G26" s="8">
        <f t="shared" si="1"/>
        <v>0</v>
      </c>
      <c r="H26" s="6"/>
      <c r="I26" s="7"/>
      <c r="J26" s="8">
        <f t="shared" si="2"/>
        <v>0</v>
      </c>
      <c r="K26" s="6">
        <v>1</v>
      </c>
      <c r="L26" s="7">
        <v>0</v>
      </c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1</v>
      </c>
      <c r="S26" s="9">
        <f t="shared" si="6"/>
        <v>0</v>
      </c>
      <c r="T26" s="9">
        <f t="shared" si="7"/>
        <v>3.6101083032490976E-3</v>
      </c>
      <c r="U26" s="9">
        <f>R26 / _xlfn.XLOOKUP(A26, Bottom!A:A, Bottom!AA:AA)</f>
        <v>1.9607843137254902E-2</v>
      </c>
      <c r="V26" s="1"/>
      <c r="W26" s="1"/>
    </row>
    <row r="27" spans="1:23" x14ac:dyDescent="0.25">
      <c r="A27" s="1" t="s">
        <v>144</v>
      </c>
      <c r="B27" s="6">
        <v>1</v>
      </c>
      <c r="C27" s="7">
        <v>0</v>
      </c>
      <c r="D27" s="8">
        <f t="shared" si="0"/>
        <v>0</v>
      </c>
      <c r="E27" s="6"/>
      <c r="F27" s="7"/>
      <c r="G27" s="8">
        <f t="shared" si="1"/>
        <v>0</v>
      </c>
      <c r="H27" s="6"/>
      <c r="I27" s="7"/>
      <c r="J27" s="8">
        <f t="shared" si="2"/>
        <v>0</v>
      </c>
      <c r="K27" s="6"/>
      <c r="L27" s="7"/>
      <c r="M27" s="8">
        <f t="shared" si="3"/>
        <v>0</v>
      </c>
      <c r="N27" s="6"/>
      <c r="O27" s="7"/>
      <c r="P27" s="8">
        <f t="shared" si="4"/>
        <v>0</v>
      </c>
      <c r="Q27" s="4"/>
      <c r="R27" s="6">
        <f t="shared" si="5"/>
        <v>1</v>
      </c>
      <c r="S27" s="9">
        <f t="shared" si="6"/>
        <v>0</v>
      </c>
      <c r="T27" s="9">
        <f t="shared" si="7"/>
        <v>3.6101083032490976E-3</v>
      </c>
      <c r="U27" s="9">
        <f>R27 / _xlfn.XLOOKUP(A27, Bottom!A:A, Bottom!AA:AA)</f>
        <v>7.6923076923076927E-2</v>
      </c>
      <c r="V27" s="1"/>
      <c r="W27" s="1"/>
    </row>
    <row r="28" spans="1:23" x14ac:dyDescent="0.25">
      <c r="A28" s="1" t="s">
        <v>34</v>
      </c>
      <c r="B28" s="6">
        <v>1</v>
      </c>
      <c r="C28" s="7">
        <v>0</v>
      </c>
      <c r="D28" s="8">
        <f t="shared" si="0"/>
        <v>0</v>
      </c>
      <c r="E28" s="6"/>
      <c r="F28" s="7"/>
      <c r="G28" s="8">
        <f t="shared" si="1"/>
        <v>0</v>
      </c>
      <c r="H28" s="6"/>
      <c r="I28" s="7"/>
      <c r="J28" s="8">
        <f t="shared" si="2"/>
        <v>0</v>
      </c>
      <c r="K28" s="6"/>
      <c r="L28" s="7"/>
      <c r="M28" s="8">
        <f t="shared" si="3"/>
        <v>0</v>
      </c>
      <c r="N28" s="6"/>
      <c r="O28" s="7"/>
      <c r="P28" s="8">
        <f t="shared" si="4"/>
        <v>0</v>
      </c>
      <c r="Q28" s="1"/>
      <c r="R28" s="6">
        <f t="shared" si="5"/>
        <v>1</v>
      </c>
      <c r="S28" s="9">
        <f t="shared" si="6"/>
        <v>0</v>
      </c>
      <c r="T28" s="9">
        <f t="shared" si="7"/>
        <v>3.6101083032490976E-3</v>
      </c>
      <c r="U28" s="9">
        <f>R28 / _xlfn.XLOOKUP(A28, Bottom!A:A, Bottom!AA:AA)</f>
        <v>0.16666666666666666</v>
      </c>
      <c r="V28" s="1"/>
      <c r="W28" s="1"/>
    </row>
    <row r="29" spans="1:23" x14ac:dyDescent="0.25">
      <c r="A29" s="25" t="s">
        <v>184</v>
      </c>
      <c r="B29" s="6">
        <v>1</v>
      </c>
      <c r="C29" s="7">
        <v>0</v>
      </c>
      <c r="D29" s="8">
        <f t="shared" si="0"/>
        <v>0</v>
      </c>
      <c r="E29" s="6"/>
      <c r="F29" s="7"/>
      <c r="G29" s="8">
        <f t="shared" si="1"/>
        <v>0</v>
      </c>
      <c r="H29" s="6"/>
      <c r="I29" s="7"/>
      <c r="J29" s="8">
        <f t="shared" si="2"/>
        <v>0</v>
      </c>
      <c r="K29" s="6"/>
      <c r="L29" s="7"/>
      <c r="M29" s="8">
        <f t="shared" si="3"/>
        <v>0</v>
      </c>
      <c r="N29" s="6"/>
      <c r="O29" s="7"/>
      <c r="P29" s="8">
        <f t="shared" si="4"/>
        <v>0</v>
      </c>
      <c r="Q29" s="1"/>
      <c r="R29" s="6">
        <f t="shared" si="5"/>
        <v>1</v>
      </c>
      <c r="S29" s="9">
        <f t="shared" si="6"/>
        <v>0</v>
      </c>
      <c r="T29" s="9">
        <f t="shared" si="7"/>
        <v>3.6101083032490976E-3</v>
      </c>
      <c r="U29" s="9">
        <f>R29 / _xlfn.XLOOKUP(A29, Bottom!A:A, Bottom!AA:AA)</f>
        <v>1</v>
      </c>
      <c r="V29" s="1"/>
      <c r="W29" s="1"/>
    </row>
    <row r="30" spans="1:23" x14ac:dyDescent="0.25">
      <c r="A30" s="1"/>
      <c r="B30" s="6"/>
      <c r="C30" s="7"/>
      <c r="D30" s="8">
        <f t="shared" ref="D30:D35" si="8">B30*C30</f>
        <v>0</v>
      </c>
      <c r="E30" s="6"/>
      <c r="F30" s="7"/>
      <c r="G30" s="8">
        <f t="shared" ref="G30:G35" si="9">E30*F30</f>
        <v>0</v>
      </c>
      <c r="H30" s="6"/>
      <c r="I30" s="7"/>
      <c r="J30" s="8">
        <f t="shared" ref="J30:J35" si="10">H30*I30</f>
        <v>0</v>
      </c>
      <c r="K30" s="6"/>
      <c r="L30" s="7"/>
      <c r="M30" s="8">
        <f t="shared" ref="M30:M35" si="11">K30*L30</f>
        <v>0</v>
      </c>
      <c r="N30" s="6"/>
      <c r="O30" s="7"/>
      <c r="P30" s="8">
        <f t="shared" ref="P30:P54" si="12">N30*O30</f>
        <v>0</v>
      </c>
      <c r="Q30" s="1"/>
      <c r="R30" s="6">
        <f t="shared" ref="R30:R54" si="13">B30+E30+H30+K30+N30</f>
        <v>0</v>
      </c>
      <c r="S30" s="9" t="e">
        <f t="shared" ref="S30:S54" si="14">(D30+G30+J30+M30+P30)/R30</f>
        <v>#DIV/0!</v>
      </c>
      <c r="T30" s="9">
        <f t="shared" ref="T30:T54" si="15">R30/$V$3</f>
        <v>0</v>
      </c>
      <c r="U30" s="9" t="e">
        <f>R30 / _xlfn.XLOOKUP(A30, Bottom!A:A, Bottom!AA:AA)</f>
        <v>#DIV/0!</v>
      </c>
      <c r="V30" s="1"/>
      <c r="W30" s="1"/>
    </row>
    <row r="31" spans="1:23" x14ac:dyDescent="0.25">
      <c r="A31" s="1"/>
      <c r="B31" s="6"/>
      <c r="C31" s="7"/>
      <c r="D31" s="8">
        <f t="shared" si="8"/>
        <v>0</v>
      </c>
      <c r="E31" s="6"/>
      <c r="F31" s="7"/>
      <c r="G31" s="8">
        <f t="shared" si="9"/>
        <v>0</v>
      </c>
      <c r="H31" s="6"/>
      <c r="I31" s="7"/>
      <c r="J31" s="8">
        <f t="shared" si="10"/>
        <v>0</v>
      </c>
      <c r="K31" s="6"/>
      <c r="L31" s="7"/>
      <c r="M31" s="8">
        <f t="shared" si="11"/>
        <v>0</v>
      </c>
      <c r="N31" s="6"/>
      <c r="O31" s="7"/>
      <c r="P31" s="8">
        <f t="shared" si="12"/>
        <v>0</v>
      </c>
      <c r="Q31" s="1"/>
      <c r="R31" s="6">
        <f t="shared" si="13"/>
        <v>0</v>
      </c>
      <c r="S31" s="9" t="e">
        <f t="shared" si="14"/>
        <v>#DIV/0!</v>
      </c>
      <c r="T31" s="9">
        <f t="shared" si="15"/>
        <v>0</v>
      </c>
      <c r="U31" s="9" t="e">
        <f>R31 / _xlfn.XLOOKUP(A31, Bottom!A:A, Bottom!AA:AA)</f>
        <v>#DIV/0!</v>
      </c>
      <c r="V31" s="1"/>
      <c r="W31" s="1"/>
    </row>
    <row r="32" spans="1:23" x14ac:dyDescent="0.25">
      <c r="A32" s="1"/>
      <c r="B32" s="6"/>
      <c r="C32" s="7"/>
      <c r="D32" s="8">
        <f t="shared" si="8"/>
        <v>0</v>
      </c>
      <c r="E32" s="6"/>
      <c r="F32" s="7"/>
      <c r="G32" s="8">
        <f t="shared" si="9"/>
        <v>0</v>
      </c>
      <c r="H32" s="6"/>
      <c r="I32" s="7"/>
      <c r="J32" s="8">
        <f t="shared" si="10"/>
        <v>0</v>
      </c>
      <c r="K32" s="6"/>
      <c r="L32" s="7"/>
      <c r="M32" s="8">
        <f t="shared" si="11"/>
        <v>0</v>
      </c>
      <c r="N32" s="6"/>
      <c r="O32" s="7"/>
      <c r="P32" s="8">
        <f t="shared" si="12"/>
        <v>0</v>
      </c>
      <c r="Q32" s="1"/>
      <c r="R32" s="6">
        <f t="shared" si="13"/>
        <v>0</v>
      </c>
      <c r="S32" s="9" t="e">
        <f t="shared" si="14"/>
        <v>#DIV/0!</v>
      </c>
      <c r="T32" s="9">
        <f t="shared" si="15"/>
        <v>0</v>
      </c>
      <c r="U32" s="9" t="e">
        <f>R32 / _xlfn.XLOOKUP(A32, Bottom!A:A, Bottom!AA:AA)</f>
        <v>#DIV/0!</v>
      </c>
      <c r="V32" s="1"/>
      <c r="W32" s="1"/>
    </row>
    <row r="33" spans="1:23" x14ac:dyDescent="0.25">
      <c r="A33" s="1"/>
      <c r="B33" s="6"/>
      <c r="C33" s="7"/>
      <c r="D33" s="8">
        <f t="shared" si="8"/>
        <v>0</v>
      </c>
      <c r="E33" s="6"/>
      <c r="F33" s="7"/>
      <c r="G33" s="8">
        <f t="shared" si="9"/>
        <v>0</v>
      </c>
      <c r="H33" s="6"/>
      <c r="I33" s="7"/>
      <c r="J33" s="8">
        <f t="shared" si="10"/>
        <v>0</v>
      </c>
      <c r="K33" s="6"/>
      <c r="L33" s="7"/>
      <c r="M33" s="8">
        <f t="shared" si="11"/>
        <v>0</v>
      </c>
      <c r="N33" s="6"/>
      <c r="O33" s="7"/>
      <c r="P33" s="8">
        <f t="shared" si="12"/>
        <v>0</v>
      </c>
      <c r="Q33" s="1"/>
      <c r="R33" s="6">
        <f t="shared" si="13"/>
        <v>0</v>
      </c>
      <c r="S33" s="9" t="e">
        <f t="shared" si="14"/>
        <v>#DIV/0!</v>
      </c>
      <c r="T33" s="9">
        <f t="shared" si="15"/>
        <v>0</v>
      </c>
      <c r="U33" s="9" t="e">
        <f>R33 / _xlfn.XLOOKUP(A33, Bottom!A:A, Bottom!AA:AA)</f>
        <v>#DIV/0!</v>
      </c>
      <c r="V33" s="1"/>
      <c r="W33" s="1"/>
    </row>
    <row r="34" spans="1:23" x14ac:dyDescent="0.25">
      <c r="A34" s="1"/>
      <c r="B34" s="6"/>
      <c r="C34" s="7"/>
      <c r="D34" s="8">
        <f t="shared" si="8"/>
        <v>0</v>
      </c>
      <c r="E34" s="6"/>
      <c r="F34" s="7"/>
      <c r="G34" s="8">
        <f t="shared" si="9"/>
        <v>0</v>
      </c>
      <c r="H34" s="6"/>
      <c r="I34" s="7"/>
      <c r="J34" s="8">
        <f t="shared" si="10"/>
        <v>0</v>
      </c>
      <c r="K34" s="6"/>
      <c r="L34" s="7"/>
      <c r="M34" s="8">
        <f t="shared" si="11"/>
        <v>0</v>
      </c>
      <c r="N34" s="6"/>
      <c r="O34" s="7"/>
      <c r="P34" s="8">
        <f t="shared" si="12"/>
        <v>0</v>
      </c>
      <c r="Q34" s="1"/>
      <c r="R34" s="6">
        <f t="shared" si="13"/>
        <v>0</v>
      </c>
      <c r="S34" s="9" t="e">
        <f t="shared" si="14"/>
        <v>#DIV/0!</v>
      </c>
      <c r="T34" s="9">
        <f t="shared" si="15"/>
        <v>0</v>
      </c>
      <c r="U34" s="9" t="e">
        <f>R34 / _xlfn.XLOOKUP(A34, Bottom!A:A, Bottom!AA:AA)</f>
        <v>#DIV/0!</v>
      </c>
      <c r="V34" s="1"/>
      <c r="W34" s="1"/>
    </row>
    <row r="35" spans="1:23" x14ac:dyDescent="0.25">
      <c r="A35" s="1"/>
      <c r="B35" s="6"/>
      <c r="C35" s="7"/>
      <c r="D35" s="8">
        <f t="shared" si="8"/>
        <v>0</v>
      </c>
      <c r="E35" s="6"/>
      <c r="F35" s="7"/>
      <c r="G35" s="8">
        <f t="shared" si="9"/>
        <v>0</v>
      </c>
      <c r="H35" s="6"/>
      <c r="I35" s="7"/>
      <c r="J35" s="8">
        <f t="shared" si="10"/>
        <v>0</v>
      </c>
      <c r="K35" s="6"/>
      <c r="L35" s="7"/>
      <c r="M35" s="8">
        <f t="shared" si="11"/>
        <v>0</v>
      </c>
      <c r="N35" s="6"/>
      <c r="O35" s="7"/>
      <c r="P35" s="8">
        <f t="shared" si="12"/>
        <v>0</v>
      </c>
      <c r="Q35" s="1"/>
      <c r="R35" s="6">
        <f t="shared" si="13"/>
        <v>0</v>
      </c>
      <c r="S35" s="9" t="e">
        <f t="shared" si="14"/>
        <v>#DIV/0!</v>
      </c>
      <c r="T35" s="9">
        <f t="shared" si="15"/>
        <v>0</v>
      </c>
      <c r="U35" s="9" t="e">
        <f>R35 / _xlfn.XLOOKUP(A35, Bottom!A:A, Bottom!AA:AA)</f>
        <v>#DIV/0!</v>
      </c>
      <c r="V35" s="1"/>
      <c r="W35" s="1"/>
    </row>
    <row r="36" spans="1:23" x14ac:dyDescent="0.25">
      <c r="N36" s="6"/>
      <c r="O36" s="7"/>
      <c r="P36" s="8">
        <f t="shared" si="12"/>
        <v>0</v>
      </c>
      <c r="Q36" s="1"/>
      <c r="R36" s="6">
        <f t="shared" si="13"/>
        <v>0</v>
      </c>
      <c r="S36" s="9" t="e">
        <f t="shared" si="14"/>
        <v>#DIV/0!</v>
      </c>
      <c r="T36" s="9">
        <f t="shared" si="15"/>
        <v>0</v>
      </c>
      <c r="U36" s="9" t="e">
        <f>R36 / _xlfn.XLOOKUP(A36, Bottom!A:A, Bottom!AA:AA)</f>
        <v>#DIV/0!</v>
      </c>
      <c r="V36" s="1"/>
      <c r="W36" s="1"/>
    </row>
    <row r="37" spans="1:23" x14ac:dyDescent="0.25">
      <c r="N37" s="6"/>
      <c r="O37" s="7"/>
      <c r="P37" s="8">
        <f t="shared" si="12"/>
        <v>0</v>
      </c>
      <c r="Q37" s="1"/>
      <c r="R37" s="6">
        <f t="shared" si="13"/>
        <v>0</v>
      </c>
      <c r="S37" s="9" t="e">
        <f t="shared" si="14"/>
        <v>#DIV/0!</v>
      </c>
      <c r="T37" s="9">
        <f t="shared" si="15"/>
        <v>0</v>
      </c>
      <c r="U37" s="9" t="e">
        <f>R37 / _xlfn.XLOOKUP(A37, Bottom!A:A, Bottom!AA:AA)</f>
        <v>#DIV/0!</v>
      </c>
      <c r="V37" s="1"/>
      <c r="W37" s="1"/>
    </row>
    <row r="38" spans="1:23" x14ac:dyDescent="0.25">
      <c r="N38" s="6"/>
      <c r="O38" s="7"/>
      <c r="P38" s="8">
        <f t="shared" si="12"/>
        <v>0</v>
      </c>
      <c r="Q38" s="1"/>
      <c r="R38" s="6">
        <f t="shared" si="13"/>
        <v>0</v>
      </c>
      <c r="S38" s="9" t="e">
        <f t="shared" si="14"/>
        <v>#DIV/0!</v>
      </c>
      <c r="T38" s="9">
        <f t="shared" si="15"/>
        <v>0</v>
      </c>
      <c r="U38" s="9" t="e">
        <f>R38 / _xlfn.XLOOKUP(A38, Bottom!A:A, Bottom!AA:AA)</f>
        <v>#DIV/0!</v>
      </c>
    </row>
    <row r="39" spans="1:23" x14ac:dyDescent="0.25">
      <c r="N39" s="6"/>
      <c r="O39" s="7"/>
      <c r="P39" s="8">
        <f t="shared" si="12"/>
        <v>0</v>
      </c>
      <c r="Q39" s="1"/>
      <c r="R39" s="6">
        <f t="shared" si="13"/>
        <v>0</v>
      </c>
      <c r="S39" s="9" t="e">
        <f t="shared" si="14"/>
        <v>#DIV/0!</v>
      </c>
      <c r="T39" s="9">
        <f t="shared" si="15"/>
        <v>0</v>
      </c>
      <c r="U39" s="9" t="e">
        <f>R39 / _xlfn.XLOOKUP(A39, Bottom!A:A, Bottom!AA:AA)</f>
        <v>#DIV/0!</v>
      </c>
    </row>
    <row r="40" spans="1:23" x14ac:dyDescent="0.25">
      <c r="N40" s="6"/>
      <c r="O40" s="7"/>
      <c r="P40" s="8">
        <f t="shared" si="12"/>
        <v>0</v>
      </c>
      <c r="Q40" s="1"/>
      <c r="R40" s="6">
        <f t="shared" si="13"/>
        <v>0</v>
      </c>
      <c r="S40" s="9" t="e">
        <f t="shared" si="14"/>
        <v>#DIV/0!</v>
      </c>
      <c r="T40" s="9">
        <f t="shared" si="15"/>
        <v>0</v>
      </c>
      <c r="U40" s="9" t="e">
        <f>R40 / _xlfn.XLOOKUP(A40, Bottom!A:A, Bottom!AA:AA)</f>
        <v>#DIV/0!</v>
      </c>
    </row>
    <row r="41" spans="1:23" x14ac:dyDescent="0.25">
      <c r="N41" s="6"/>
      <c r="O41" s="7"/>
      <c r="P41" s="8">
        <f t="shared" si="12"/>
        <v>0</v>
      </c>
      <c r="Q41" s="1"/>
      <c r="R41" s="6">
        <f t="shared" si="13"/>
        <v>0</v>
      </c>
      <c r="S41" s="9" t="e">
        <f t="shared" si="14"/>
        <v>#DIV/0!</v>
      </c>
      <c r="T41" s="9">
        <f t="shared" si="15"/>
        <v>0</v>
      </c>
      <c r="U41" s="9" t="e">
        <f>R41 / _xlfn.XLOOKUP(A41, Bottom!A:A, Bottom!AA:AA)</f>
        <v>#DIV/0!</v>
      </c>
    </row>
    <row r="42" spans="1:23" x14ac:dyDescent="0.25">
      <c r="N42" s="6"/>
      <c r="O42" s="7"/>
      <c r="P42" s="8">
        <f t="shared" si="12"/>
        <v>0</v>
      </c>
      <c r="Q42" s="1"/>
      <c r="R42" s="6">
        <f t="shared" si="13"/>
        <v>0</v>
      </c>
      <c r="S42" s="9" t="e">
        <f t="shared" si="14"/>
        <v>#DIV/0!</v>
      </c>
      <c r="T42" s="9">
        <f t="shared" si="15"/>
        <v>0</v>
      </c>
      <c r="U42" s="9" t="e">
        <f>R42 / _xlfn.XLOOKUP(A42, Bottom!A:A, Bottom!AA:AA)</f>
        <v>#DIV/0!</v>
      </c>
    </row>
    <row r="43" spans="1:23" x14ac:dyDescent="0.25">
      <c r="N43" s="6"/>
      <c r="O43" s="7"/>
      <c r="P43" s="8">
        <f t="shared" si="12"/>
        <v>0</v>
      </c>
      <c r="Q43" s="1"/>
      <c r="R43" s="6">
        <f t="shared" si="13"/>
        <v>0</v>
      </c>
      <c r="S43" s="9" t="e">
        <f t="shared" si="14"/>
        <v>#DIV/0!</v>
      </c>
      <c r="T43" s="9">
        <f t="shared" si="15"/>
        <v>0</v>
      </c>
      <c r="U43" s="9" t="e">
        <f>R43 / _xlfn.XLOOKUP(A43, Bottom!A:A, Bottom!AA:AA)</f>
        <v>#DIV/0!</v>
      </c>
    </row>
    <row r="44" spans="1:23" x14ac:dyDescent="0.25">
      <c r="N44" s="6"/>
      <c r="O44" s="7"/>
      <c r="P44" s="8">
        <f t="shared" si="12"/>
        <v>0</v>
      </c>
      <c r="Q44" s="1"/>
      <c r="R44" s="6">
        <f t="shared" si="13"/>
        <v>0</v>
      </c>
      <c r="S44" s="9" t="e">
        <f t="shared" si="14"/>
        <v>#DIV/0!</v>
      </c>
      <c r="T44" s="9">
        <f t="shared" si="15"/>
        <v>0</v>
      </c>
      <c r="U44" s="9" t="e">
        <f>R44 / _xlfn.XLOOKUP(A44, Bottom!A:A, Bottom!AA:AA)</f>
        <v>#DIV/0!</v>
      </c>
    </row>
    <row r="45" spans="1:23" x14ac:dyDescent="0.25">
      <c r="N45" s="6"/>
      <c r="O45" s="7"/>
      <c r="P45" s="8">
        <f t="shared" si="12"/>
        <v>0</v>
      </c>
      <c r="Q45" s="1"/>
      <c r="R45" s="6">
        <f t="shared" si="13"/>
        <v>0</v>
      </c>
      <c r="S45" s="9" t="e">
        <f t="shared" si="14"/>
        <v>#DIV/0!</v>
      </c>
      <c r="T45" s="9">
        <f t="shared" si="15"/>
        <v>0</v>
      </c>
      <c r="U45" s="9" t="e">
        <f>R45 / _xlfn.XLOOKUP(A45, Bottom!A:A, Bottom!AA:AA)</f>
        <v>#DIV/0!</v>
      </c>
    </row>
    <row r="46" spans="1:23" x14ac:dyDescent="0.25">
      <c r="N46" s="6"/>
      <c r="O46" s="7"/>
      <c r="P46" s="8">
        <f t="shared" si="12"/>
        <v>0</v>
      </c>
      <c r="Q46" s="1"/>
      <c r="R46" s="6">
        <f t="shared" si="13"/>
        <v>0</v>
      </c>
      <c r="S46" s="9" t="e">
        <f t="shared" si="14"/>
        <v>#DIV/0!</v>
      </c>
      <c r="T46" s="9">
        <f t="shared" si="15"/>
        <v>0</v>
      </c>
      <c r="U46" s="9" t="e">
        <f>R46 / _xlfn.XLOOKUP(A46, Bottom!A:A, Bottom!AA:AA)</f>
        <v>#DIV/0!</v>
      </c>
    </row>
    <row r="47" spans="1:23" x14ac:dyDescent="0.25">
      <c r="N47" s="6"/>
      <c r="O47" s="7"/>
      <c r="P47" s="8">
        <f t="shared" si="12"/>
        <v>0</v>
      </c>
      <c r="Q47" s="1"/>
      <c r="R47" s="6">
        <f t="shared" si="13"/>
        <v>0</v>
      </c>
      <c r="S47" s="9" t="e">
        <f t="shared" si="14"/>
        <v>#DIV/0!</v>
      </c>
      <c r="T47" s="9">
        <f t="shared" si="15"/>
        <v>0</v>
      </c>
      <c r="U47" s="9" t="e">
        <f>R47 / _xlfn.XLOOKUP(A47, Bottom!A:A, Bottom!AA:AA)</f>
        <v>#DIV/0!</v>
      </c>
    </row>
    <row r="48" spans="1:23" x14ac:dyDescent="0.25">
      <c r="N48" s="6"/>
      <c r="O48" s="7"/>
      <c r="P48" s="8">
        <f t="shared" si="12"/>
        <v>0</v>
      </c>
      <c r="Q48" s="1"/>
      <c r="R48" s="6">
        <f t="shared" si="13"/>
        <v>0</v>
      </c>
      <c r="S48" s="9" t="e">
        <f t="shared" si="14"/>
        <v>#DIV/0!</v>
      </c>
      <c r="T48" s="9">
        <f t="shared" si="15"/>
        <v>0</v>
      </c>
      <c r="U48" s="9" t="e">
        <f>R48 / _xlfn.XLOOKUP(A48, Bottom!A:A, Bottom!AA:AA)</f>
        <v>#DIV/0!</v>
      </c>
    </row>
    <row r="49" spans="14:21" x14ac:dyDescent="0.25">
      <c r="N49" s="6"/>
      <c r="O49" s="7"/>
      <c r="P49" s="8">
        <f t="shared" si="12"/>
        <v>0</v>
      </c>
      <c r="Q49" s="1"/>
      <c r="R49" s="6">
        <f t="shared" si="13"/>
        <v>0</v>
      </c>
      <c r="S49" s="9" t="e">
        <f t="shared" si="14"/>
        <v>#DIV/0!</v>
      </c>
      <c r="T49" s="9">
        <f t="shared" si="15"/>
        <v>0</v>
      </c>
      <c r="U49" s="9" t="e">
        <f>R49 / _xlfn.XLOOKUP(A49, Bottom!A:A, Bottom!AA:AA)</f>
        <v>#DIV/0!</v>
      </c>
    </row>
    <row r="50" spans="14:21" x14ac:dyDescent="0.25">
      <c r="N50" s="6"/>
      <c r="O50" s="7"/>
      <c r="P50" s="8">
        <f t="shared" si="12"/>
        <v>0</v>
      </c>
      <c r="Q50" s="1"/>
      <c r="R50" s="6">
        <f t="shared" si="13"/>
        <v>0</v>
      </c>
      <c r="S50" s="9" t="e">
        <f t="shared" si="14"/>
        <v>#DIV/0!</v>
      </c>
      <c r="T50" s="9">
        <f t="shared" si="15"/>
        <v>0</v>
      </c>
      <c r="U50" s="9" t="e">
        <f>R50 / _xlfn.XLOOKUP(A50, Bottom!A:A, Bottom!AA:AA)</f>
        <v>#DIV/0!</v>
      </c>
    </row>
    <row r="51" spans="14:21" x14ac:dyDescent="0.25">
      <c r="N51" s="6"/>
      <c r="O51" s="7"/>
      <c r="P51" s="8">
        <f t="shared" si="12"/>
        <v>0</v>
      </c>
      <c r="Q51" s="1"/>
      <c r="R51" s="6">
        <f t="shared" si="13"/>
        <v>0</v>
      </c>
      <c r="S51" s="9" t="e">
        <f t="shared" si="14"/>
        <v>#DIV/0!</v>
      </c>
      <c r="T51" s="9">
        <f t="shared" si="15"/>
        <v>0</v>
      </c>
      <c r="U51" s="9" t="e">
        <f>R51 / _xlfn.XLOOKUP(A51, Bottom!A:A, Bottom!AA:AA)</f>
        <v>#DIV/0!</v>
      </c>
    </row>
    <row r="52" spans="14:21" x14ac:dyDescent="0.25">
      <c r="N52" s="6"/>
      <c r="O52" s="7"/>
      <c r="P52" s="8">
        <f t="shared" si="12"/>
        <v>0</v>
      </c>
      <c r="Q52" s="1"/>
      <c r="R52" s="6">
        <f t="shared" si="13"/>
        <v>0</v>
      </c>
      <c r="S52" s="9" t="e">
        <f t="shared" si="14"/>
        <v>#DIV/0!</v>
      </c>
      <c r="T52" s="9">
        <f t="shared" si="15"/>
        <v>0</v>
      </c>
      <c r="U52" s="9" t="e">
        <f>R52 / _xlfn.XLOOKUP(A52, Bottom!A:A, Bottom!AA:AA)</f>
        <v>#DIV/0!</v>
      </c>
    </row>
    <row r="53" spans="14:21" x14ac:dyDescent="0.25">
      <c r="N53" s="6"/>
      <c r="O53" s="7"/>
      <c r="P53" s="8">
        <f t="shared" si="12"/>
        <v>0</v>
      </c>
      <c r="Q53" s="1"/>
      <c r="R53" s="6">
        <f t="shared" si="13"/>
        <v>0</v>
      </c>
      <c r="S53" s="9" t="e">
        <f t="shared" si="14"/>
        <v>#DIV/0!</v>
      </c>
      <c r="T53" s="9">
        <f t="shared" si="15"/>
        <v>0</v>
      </c>
      <c r="U53" s="9" t="e">
        <f>R53 / _xlfn.XLOOKUP(A53, Bottom!A:A, Bottom!AA:AA)</f>
        <v>#DIV/0!</v>
      </c>
    </row>
    <row r="54" spans="14:21" x14ac:dyDescent="0.25">
      <c r="N54" s="6"/>
      <c r="O54" s="7"/>
      <c r="P54" s="8">
        <f t="shared" si="12"/>
        <v>0</v>
      </c>
      <c r="Q54" s="1"/>
      <c r="R54" s="6">
        <f t="shared" si="13"/>
        <v>0</v>
      </c>
      <c r="S54" s="9" t="e">
        <f t="shared" si="14"/>
        <v>#DIV/0!</v>
      </c>
      <c r="T54" s="9">
        <f t="shared" si="15"/>
        <v>0</v>
      </c>
      <c r="U54" s="9" t="e">
        <f>R54 / _xlfn.XLOOKUP(A54, Bottom!A:A, Bottom!AA:AA)</f>
        <v>#DIV/0!</v>
      </c>
    </row>
  </sheetData>
  <sortState xmlns:xlrd2="http://schemas.microsoft.com/office/spreadsheetml/2017/richdata2" ref="A3:U29">
    <sortCondition descending="1" ref="S3:S29"/>
  </sortState>
  <pageMargins left="0.7" right="0.7" top="0.78740157499999996" bottom="0.78740157499999996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5C0A9-07CC-4B6A-90E8-C93E55A6709A}">
  <sheetPr>
    <tabColor theme="5" tint="0.59999389629810485"/>
  </sheetPr>
  <dimension ref="A1:W44"/>
  <sheetViews>
    <sheetView workbookViewId="0">
      <selection activeCell="L24" sqref="L24"/>
    </sheetView>
  </sheetViews>
  <sheetFormatPr baseColWidth="10" defaultRowHeight="15" x14ac:dyDescent="0.25"/>
  <sheetData>
    <row r="1" spans="1:23" ht="15.75" x14ac:dyDescent="0.25">
      <c r="A1" s="2" t="s">
        <v>165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161</v>
      </c>
      <c r="B3" s="6"/>
      <c r="C3" s="7"/>
      <c r="D3" s="8">
        <f t="shared" ref="D3:D20" si="0">B3*C3</f>
        <v>0</v>
      </c>
      <c r="E3" s="6"/>
      <c r="F3" s="7"/>
      <c r="G3" s="8">
        <f t="shared" ref="G3:G20" si="1">E3*F3</f>
        <v>0</v>
      </c>
      <c r="H3" s="6"/>
      <c r="I3" s="7"/>
      <c r="J3" s="8">
        <f t="shared" ref="J3:J20" si="2">H3*I3</f>
        <v>0</v>
      </c>
      <c r="K3" s="6"/>
      <c r="L3" s="7"/>
      <c r="M3" s="8">
        <f t="shared" ref="M3:M20" si="3">K3*L3</f>
        <v>0</v>
      </c>
      <c r="N3" s="6"/>
      <c r="O3" s="7"/>
      <c r="P3" s="8">
        <f t="shared" ref="P3:P20" si="4">N3*O3</f>
        <v>0</v>
      </c>
      <c r="Q3" s="1"/>
      <c r="R3" s="6">
        <f t="shared" ref="R3:R20" si="5">B3+E3+H3+K3+N3</f>
        <v>0</v>
      </c>
      <c r="S3" s="9" t="e">
        <f t="shared" ref="S3:S20" si="6">(D3+G3+J3+M3+P3)/R3</f>
        <v>#DIV/0!</v>
      </c>
      <c r="T3" s="9">
        <f t="shared" ref="T3:T20" si="7">R3/$V$3</f>
        <v>0</v>
      </c>
      <c r="U3" s="9">
        <f>R3 / _xlfn.XLOOKUP(A3, Bottom!A:A, Bottom!AA:AA)</f>
        <v>0</v>
      </c>
      <c r="V3" s="11">
        <f>SUM(R3:R58)</f>
        <v>145</v>
      </c>
      <c r="W3" s="12">
        <f>(SUM(D3:D88)+SUM(G3:G88)+SUM(J3:J88)+SUM(M3:M88)+SUM(P3:P88)) / V3</f>
        <v>0.31716551724137931</v>
      </c>
    </row>
    <row r="4" spans="1:23" x14ac:dyDescent="0.25">
      <c r="A4" s="1" t="s">
        <v>142</v>
      </c>
      <c r="B4" s="6">
        <v>1</v>
      </c>
      <c r="C4" s="7">
        <v>1</v>
      </c>
      <c r="D4" s="8">
        <f t="shared" si="0"/>
        <v>1</v>
      </c>
      <c r="E4" s="6">
        <v>1</v>
      </c>
      <c r="F4" s="7">
        <v>1</v>
      </c>
      <c r="G4" s="8">
        <f t="shared" si="1"/>
        <v>1</v>
      </c>
      <c r="H4" s="6">
        <v>1</v>
      </c>
      <c r="I4" s="7">
        <v>0</v>
      </c>
      <c r="J4" s="8">
        <f t="shared" si="2"/>
        <v>0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4"/>
      <c r="R4" s="6">
        <f t="shared" si="5"/>
        <v>3</v>
      </c>
      <c r="S4" s="9">
        <f t="shared" si="6"/>
        <v>0.66666666666666663</v>
      </c>
      <c r="T4" s="9">
        <f t="shared" si="7"/>
        <v>2.0689655172413793E-2</v>
      </c>
      <c r="U4" s="9">
        <f>R4 / _xlfn.XLOOKUP(A4, Bottom!A:A, Bottom!AA:AA)</f>
        <v>9.7719869706840382E-3</v>
      </c>
      <c r="V4" s="1"/>
      <c r="W4" s="1"/>
    </row>
    <row r="5" spans="1:23" x14ac:dyDescent="0.25">
      <c r="A5" s="1" t="s">
        <v>35</v>
      </c>
      <c r="B5" s="6"/>
      <c r="C5" s="7"/>
      <c r="D5" s="8">
        <f t="shared" si="0"/>
        <v>0</v>
      </c>
      <c r="E5" s="6">
        <v>8</v>
      </c>
      <c r="F5" s="7">
        <v>0.75</v>
      </c>
      <c r="G5" s="8">
        <f t="shared" si="1"/>
        <v>6</v>
      </c>
      <c r="H5" s="6">
        <v>2</v>
      </c>
      <c r="I5" s="7">
        <v>0</v>
      </c>
      <c r="J5" s="8">
        <f t="shared" si="2"/>
        <v>0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4"/>
      <c r="R5" s="6">
        <f t="shared" si="5"/>
        <v>10</v>
      </c>
      <c r="S5" s="9">
        <f t="shared" si="6"/>
        <v>0.6</v>
      </c>
      <c r="T5" s="9">
        <f t="shared" si="7"/>
        <v>6.8965517241379309E-2</v>
      </c>
      <c r="U5" s="9">
        <f>R5 / _xlfn.XLOOKUP(A5, Bottom!A:A, Bottom!AA:AA)</f>
        <v>2.5839793281653745E-2</v>
      </c>
      <c r="V5" s="1"/>
      <c r="W5" s="1"/>
    </row>
    <row r="6" spans="1:23" x14ac:dyDescent="0.25">
      <c r="A6" s="1" t="s">
        <v>145</v>
      </c>
      <c r="B6" s="6"/>
      <c r="C6" s="7"/>
      <c r="D6" s="8">
        <f t="shared" si="0"/>
        <v>0</v>
      </c>
      <c r="E6" s="6">
        <v>15</v>
      </c>
      <c r="F6" s="7">
        <v>0.6</v>
      </c>
      <c r="G6" s="8">
        <f t="shared" si="1"/>
        <v>9</v>
      </c>
      <c r="H6" s="6">
        <v>2</v>
      </c>
      <c r="I6" s="7">
        <v>0</v>
      </c>
      <c r="J6" s="8">
        <f t="shared" si="2"/>
        <v>0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1"/>
      <c r="R6" s="6">
        <f t="shared" si="5"/>
        <v>17</v>
      </c>
      <c r="S6" s="9">
        <f t="shared" si="6"/>
        <v>0.52941176470588236</v>
      </c>
      <c r="T6" s="9">
        <f t="shared" si="7"/>
        <v>0.11724137931034483</v>
      </c>
      <c r="U6" s="9">
        <f>R6 / _xlfn.XLOOKUP(A6, Bottom!A:A, Bottom!AA:AA)</f>
        <v>3.6876355748373099E-2</v>
      </c>
      <c r="V6" s="1"/>
      <c r="W6" s="1"/>
    </row>
    <row r="7" spans="1:23" x14ac:dyDescent="0.25">
      <c r="A7" s="1" t="s">
        <v>147</v>
      </c>
      <c r="B7" s="6"/>
      <c r="C7" s="7"/>
      <c r="D7" s="8">
        <f t="shared" si="0"/>
        <v>0</v>
      </c>
      <c r="E7" s="6">
        <v>3</v>
      </c>
      <c r="F7" s="7">
        <v>0.66700000000000004</v>
      </c>
      <c r="G7" s="8">
        <f t="shared" si="1"/>
        <v>2.0010000000000003</v>
      </c>
      <c r="H7" s="6">
        <v>5</v>
      </c>
      <c r="I7" s="7">
        <v>0.4</v>
      </c>
      <c r="J7" s="8">
        <f t="shared" si="2"/>
        <v>2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8</v>
      </c>
      <c r="S7" s="9">
        <f t="shared" si="6"/>
        <v>0.50012500000000004</v>
      </c>
      <c r="T7" s="9">
        <f t="shared" si="7"/>
        <v>5.5172413793103448E-2</v>
      </c>
      <c r="U7" s="9">
        <f>R7 / _xlfn.XLOOKUP(A7, Bottom!A:A, Bottom!AA:AA)</f>
        <v>3.8095238095238099E-2</v>
      </c>
      <c r="V7" s="1"/>
      <c r="W7" s="1"/>
    </row>
    <row r="8" spans="1:23" x14ac:dyDescent="0.25">
      <c r="A8" s="1" t="s">
        <v>151</v>
      </c>
      <c r="B8" s="6"/>
      <c r="C8" s="7"/>
      <c r="D8" s="8">
        <f t="shared" si="0"/>
        <v>0</v>
      </c>
      <c r="E8" s="6">
        <v>4</v>
      </c>
      <c r="F8" s="7">
        <v>0.5</v>
      </c>
      <c r="G8" s="8">
        <f t="shared" si="1"/>
        <v>2</v>
      </c>
      <c r="H8" s="6"/>
      <c r="I8" s="7"/>
      <c r="J8" s="8">
        <f t="shared" si="2"/>
        <v>0</v>
      </c>
      <c r="K8" s="6"/>
      <c r="L8" s="7"/>
      <c r="M8" s="8">
        <f t="shared" si="3"/>
        <v>0</v>
      </c>
      <c r="N8" s="6"/>
      <c r="O8" s="7"/>
      <c r="P8" s="8">
        <f t="shared" si="4"/>
        <v>0</v>
      </c>
      <c r="Q8" s="1"/>
      <c r="R8" s="6">
        <f t="shared" si="5"/>
        <v>4</v>
      </c>
      <c r="S8" s="9">
        <f t="shared" si="6"/>
        <v>0.5</v>
      </c>
      <c r="T8" s="9">
        <f t="shared" si="7"/>
        <v>2.7586206896551724E-2</v>
      </c>
      <c r="U8" s="9">
        <f>R8 / _xlfn.XLOOKUP(A8, Bottom!A:A, Bottom!AA:AA)</f>
        <v>2.5157232704402517E-2</v>
      </c>
      <c r="V8" s="1"/>
      <c r="W8" s="1"/>
    </row>
    <row r="9" spans="1:23" x14ac:dyDescent="0.25">
      <c r="A9" s="1" t="s">
        <v>138</v>
      </c>
      <c r="B9" s="6">
        <v>1</v>
      </c>
      <c r="C9" s="7">
        <v>0</v>
      </c>
      <c r="D9" s="8">
        <f t="shared" si="0"/>
        <v>0</v>
      </c>
      <c r="E9" s="6">
        <v>4</v>
      </c>
      <c r="F9" s="7">
        <v>0.5</v>
      </c>
      <c r="G9" s="8">
        <f t="shared" si="1"/>
        <v>2</v>
      </c>
      <c r="H9" s="6"/>
      <c r="I9" s="7"/>
      <c r="J9" s="8">
        <f t="shared" si="2"/>
        <v>0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1"/>
      <c r="R9" s="6">
        <f t="shared" si="5"/>
        <v>5</v>
      </c>
      <c r="S9" s="9">
        <f t="shared" si="6"/>
        <v>0.4</v>
      </c>
      <c r="T9" s="9">
        <f t="shared" si="7"/>
        <v>3.4482758620689655E-2</v>
      </c>
      <c r="U9" s="9">
        <f>R9 / _xlfn.XLOOKUP(A9, Bottom!A:A, Bottom!AA:AA)</f>
        <v>1.6949152542372881E-2</v>
      </c>
      <c r="V9" s="1"/>
      <c r="W9" s="1"/>
    </row>
    <row r="10" spans="1:23" x14ac:dyDescent="0.25">
      <c r="A10" s="1" t="s">
        <v>140</v>
      </c>
      <c r="B10" s="6">
        <v>1</v>
      </c>
      <c r="C10" s="7">
        <v>0</v>
      </c>
      <c r="D10" s="8">
        <f t="shared" si="0"/>
        <v>0</v>
      </c>
      <c r="E10" s="6">
        <v>14</v>
      </c>
      <c r="F10" s="7">
        <v>0.35699999999999998</v>
      </c>
      <c r="G10" s="8">
        <f t="shared" si="1"/>
        <v>4.9979999999999993</v>
      </c>
      <c r="H10" s="6">
        <v>3</v>
      </c>
      <c r="I10" s="7">
        <v>0.33300000000000002</v>
      </c>
      <c r="J10" s="8">
        <f t="shared" si="2"/>
        <v>0.99900000000000011</v>
      </c>
      <c r="K10" s="6"/>
      <c r="L10" s="7"/>
      <c r="M10" s="8">
        <f t="shared" si="3"/>
        <v>0</v>
      </c>
      <c r="N10" s="6"/>
      <c r="O10" s="7"/>
      <c r="P10" s="8">
        <f t="shared" si="4"/>
        <v>0</v>
      </c>
      <c r="Q10" s="1"/>
      <c r="R10" s="6">
        <f t="shared" si="5"/>
        <v>18</v>
      </c>
      <c r="S10" s="9">
        <f t="shared" si="6"/>
        <v>0.33316666666666667</v>
      </c>
      <c r="T10" s="9">
        <f t="shared" si="7"/>
        <v>0.12413793103448276</v>
      </c>
      <c r="U10" s="9">
        <f>R10 / _xlfn.XLOOKUP(A10, Bottom!A:A, Bottom!AA:AA)</f>
        <v>3.4749034749034749E-2</v>
      </c>
      <c r="V10" s="1"/>
      <c r="W10" s="1"/>
    </row>
    <row r="11" spans="1:23" x14ac:dyDescent="0.25">
      <c r="A11" s="1" t="s">
        <v>59</v>
      </c>
      <c r="B11" s="6"/>
      <c r="C11" s="7"/>
      <c r="D11" s="8">
        <f t="shared" si="0"/>
        <v>0</v>
      </c>
      <c r="E11" s="6"/>
      <c r="F11" s="7"/>
      <c r="G11" s="8">
        <f t="shared" si="1"/>
        <v>0</v>
      </c>
      <c r="H11" s="6">
        <v>7</v>
      </c>
      <c r="I11" s="7">
        <v>0.28599999999999998</v>
      </c>
      <c r="J11" s="8">
        <f t="shared" si="2"/>
        <v>2.0019999999999998</v>
      </c>
      <c r="K11" s="6"/>
      <c r="L11" s="7"/>
      <c r="M11" s="8">
        <f t="shared" si="3"/>
        <v>0</v>
      </c>
      <c r="N11" s="6"/>
      <c r="O11" s="7"/>
      <c r="P11" s="8">
        <f t="shared" si="4"/>
        <v>0</v>
      </c>
      <c r="Q11" s="1"/>
      <c r="R11" s="6">
        <f t="shared" si="5"/>
        <v>7</v>
      </c>
      <c r="S11" s="9">
        <f t="shared" si="6"/>
        <v>0.28599999999999998</v>
      </c>
      <c r="T11" s="9">
        <f t="shared" si="7"/>
        <v>4.8275862068965517E-2</v>
      </c>
      <c r="U11" s="9">
        <f>R11 / _xlfn.XLOOKUP(A11, Bottom!A:A, Bottom!AA:AA)</f>
        <v>0.13725490196078433</v>
      </c>
      <c r="V11" s="1"/>
      <c r="W11" s="1"/>
    </row>
    <row r="12" spans="1:23" x14ac:dyDescent="0.25">
      <c r="A12" s="1" t="s">
        <v>149</v>
      </c>
      <c r="B12" s="6"/>
      <c r="C12" s="7"/>
      <c r="D12" s="8">
        <f t="shared" si="0"/>
        <v>0</v>
      </c>
      <c r="E12" s="6"/>
      <c r="F12" s="7"/>
      <c r="G12" s="8">
        <f t="shared" si="1"/>
        <v>0</v>
      </c>
      <c r="H12" s="6">
        <v>4</v>
      </c>
      <c r="I12" s="7">
        <v>0.25</v>
      </c>
      <c r="J12" s="8">
        <f t="shared" si="2"/>
        <v>1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13"/>
      <c r="R12" s="6">
        <f t="shared" si="5"/>
        <v>4</v>
      </c>
      <c r="S12" s="9">
        <f t="shared" si="6"/>
        <v>0.25</v>
      </c>
      <c r="T12" s="9">
        <f t="shared" si="7"/>
        <v>2.7586206896551724E-2</v>
      </c>
      <c r="U12" s="9">
        <f>R12 / _xlfn.XLOOKUP(A12, Bottom!A:A, Bottom!AA:AA)</f>
        <v>1.1940298507462687E-2</v>
      </c>
      <c r="V12" s="1"/>
      <c r="W12" s="1"/>
    </row>
    <row r="13" spans="1:23" x14ac:dyDescent="0.25">
      <c r="A13" s="1" t="s">
        <v>139</v>
      </c>
      <c r="B13" s="6"/>
      <c r="C13" s="7"/>
      <c r="D13" s="8">
        <f t="shared" si="0"/>
        <v>0</v>
      </c>
      <c r="E13" s="6">
        <v>8</v>
      </c>
      <c r="F13" s="7">
        <v>0.125</v>
      </c>
      <c r="G13" s="8">
        <f t="shared" si="1"/>
        <v>1</v>
      </c>
      <c r="H13" s="6">
        <v>9</v>
      </c>
      <c r="I13" s="7">
        <v>0.33300000000000002</v>
      </c>
      <c r="J13" s="8">
        <f t="shared" si="2"/>
        <v>2.9970000000000003</v>
      </c>
      <c r="K13" s="6"/>
      <c r="L13" s="7"/>
      <c r="M13" s="8">
        <f t="shared" si="3"/>
        <v>0</v>
      </c>
      <c r="N13" s="6"/>
      <c r="O13" s="7"/>
      <c r="P13" s="8">
        <f t="shared" si="4"/>
        <v>0</v>
      </c>
      <c r="Q13" s="4"/>
      <c r="R13" s="6">
        <f t="shared" si="5"/>
        <v>17</v>
      </c>
      <c r="S13" s="9">
        <f t="shared" si="6"/>
        <v>0.23511764705882354</v>
      </c>
      <c r="T13" s="9">
        <f t="shared" si="7"/>
        <v>0.11724137931034483</v>
      </c>
      <c r="U13" s="9">
        <f>R13 / _xlfn.XLOOKUP(A13, Bottom!A:A, Bottom!AA:AA)</f>
        <v>3.1954887218045111E-2</v>
      </c>
      <c r="V13" s="1"/>
      <c r="W13" s="1"/>
    </row>
    <row r="14" spans="1:23" x14ac:dyDescent="0.25">
      <c r="A14" s="1" t="s">
        <v>141</v>
      </c>
      <c r="B14" s="6">
        <v>1</v>
      </c>
      <c r="C14" s="7">
        <v>0</v>
      </c>
      <c r="D14" s="8">
        <f t="shared" si="0"/>
        <v>0</v>
      </c>
      <c r="E14" s="6">
        <v>7</v>
      </c>
      <c r="F14" s="7">
        <v>0.14299999999999999</v>
      </c>
      <c r="G14" s="8">
        <f t="shared" si="1"/>
        <v>1.0009999999999999</v>
      </c>
      <c r="H14" s="6">
        <v>6</v>
      </c>
      <c r="I14" s="7">
        <v>0.33300000000000002</v>
      </c>
      <c r="J14" s="8">
        <f t="shared" si="2"/>
        <v>1.9980000000000002</v>
      </c>
      <c r="K14" s="6"/>
      <c r="L14" s="7"/>
      <c r="M14" s="8">
        <f t="shared" si="3"/>
        <v>0</v>
      </c>
      <c r="N14" s="6"/>
      <c r="O14" s="7"/>
      <c r="P14" s="8">
        <f t="shared" si="4"/>
        <v>0</v>
      </c>
      <c r="Q14" s="1"/>
      <c r="R14" s="6">
        <f t="shared" si="5"/>
        <v>14</v>
      </c>
      <c r="S14" s="9">
        <f t="shared" si="6"/>
        <v>0.21421428571428572</v>
      </c>
      <c r="T14" s="9">
        <f t="shared" si="7"/>
        <v>9.6551724137931033E-2</v>
      </c>
      <c r="U14" s="9">
        <f>R14 / _xlfn.XLOOKUP(A14, Bottom!A:A, Bottom!AA:AA)</f>
        <v>3.1890660592255128E-2</v>
      </c>
      <c r="V14" s="1"/>
      <c r="W14" s="1"/>
    </row>
    <row r="15" spans="1:23" x14ac:dyDescent="0.25">
      <c r="A15" s="1" t="s">
        <v>150</v>
      </c>
      <c r="B15" s="6">
        <v>1</v>
      </c>
      <c r="C15" s="7">
        <v>0</v>
      </c>
      <c r="D15" s="8">
        <f t="shared" si="0"/>
        <v>0</v>
      </c>
      <c r="E15" s="6">
        <v>1</v>
      </c>
      <c r="F15" s="7">
        <v>0</v>
      </c>
      <c r="G15" s="8">
        <f t="shared" si="1"/>
        <v>0</v>
      </c>
      <c r="H15" s="6">
        <v>9</v>
      </c>
      <c r="I15" s="7">
        <v>0.222</v>
      </c>
      <c r="J15" s="8">
        <f t="shared" si="2"/>
        <v>1.998</v>
      </c>
      <c r="K15" s="6"/>
      <c r="L15" s="7"/>
      <c r="M15" s="8">
        <f t="shared" si="3"/>
        <v>0</v>
      </c>
      <c r="N15" s="6"/>
      <c r="O15" s="7"/>
      <c r="P15" s="8">
        <f t="shared" si="4"/>
        <v>0</v>
      </c>
      <c r="Q15" s="1"/>
      <c r="R15" s="6">
        <f t="shared" si="5"/>
        <v>11</v>
      </c>
      <c r="S15" s="9">
        <f t="shared" si="6"/>
        <v>0.18163636363636362</v>
      </c>
      <c r="T15" s="9">
        <f t="shared" si="7"/>
        <v>7.586206896551724E-2</v>
      </c>
      <c r="U15" s="9">
        <f>R15 / _xlfn.XLOOKUP(A15, Bottom!A:A, Bottom!AA:AA)</f>
        <v>2.2964509394572025E-2</v>
      </c>
      <c r="V15" s="1"/>
      <c r="W15" s="1"/>
    </row>
    <row r="16" spans="1:23" x14ac:dyDescent="0.25">
      <c r="A16" s="1" t="s">
        <v>134</v>
      </c>
      <c r="B16" s="6">
        <v>3</v>
      </c>
      <c r="C16" s="7">
        <v>0.33300000000000002</v>
      </c>
      <c r="D16" s="8">
        <f t="shared" si="0"/>
        <v>0.99900000000000011</v>
      </c>
      <c r="E16" s="6">
        <v>4</v>
      </c>
      <c r="F16" s="7">
        <v>0.25</v>
      </c>
      <c r="G16" s="8">
        <f t="shared" si="1"/>
        <v>1</v>
      </c>
      <c r="H16" s="6">
        <v>12</v>
      </c>
      <c r="I16" s="7">
        <v>8.3000000000000004E-2</v>
      </c>
      <c r="J16" s="8">
        <f t="shared" si="2"/>
        <v>0.996</v>
      </c>
      <c r="K16" s="6"/>
      <c r="L16" s="7"/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19</v>
      </c>
      <c r="S16" s="9">
        <f t="shared" si="6"/>
        <v>0.15763157894736843</v>
      </c>
      <c r="T16" s="9">
        <f t="shared" si="7"/>
        <v>0.1310344827586207</v>
      </c>
      <c r="U16" s="9">
        <f>R16 / _xlfn.XLOOKUP(A16, Bottom!A:A, Bottom!AA:AA)</f>
        <v>4.148471615720524E-2</v>
      </c>
      <c r="V16" s="1"/>
      <c r="W16" s="1"/>
    </row>
    <row r="17" spans="1:23" x14ac:dyDescent="0.25">
      <c r="A17" s="1" t="s">
        <v>152</v>
      </c>
      <c r="B17" s="6">
        <v>1</v>
      </c>
      <c r="C17" s="7">
        <v>0</v>
      </c>
      <c r="D17" s="8">
        <f t="shared" si="0"/>
        <v>0</v>
      </c>
      <c r="E17" s="6">
        <v>1</v>
      </c>
      <c r="F17" s="7">
        <v>0</v>
      </c>
      <c r="G17" s="8">
        <f t="shared" si="1"/>
        <v>0</v>
      </c>
      <c r="H17" s="6"/>
      <c r="I17" s="7"/>
      <c r="J17" s="8">
        <f t="shared" si="2"/>
        <v>0</v>
      </c>
      <c r="K17" s="6"/>
      <c r="L17" s="7"/>
      <c r="M17" s="8">
        <f t="shared" si="3"/>
        <v>0</v>
      </c>
      <c r="N17" s="6"/>
      <c r="O17" s="7"/>
      <c r="P17" s="8">
        <f t="shared" si="4"/>
        <v>0</v>
      </c>
      <c r="Q17" s="1"/>
      <c r="R17" s="6">
        <f t="shared" si="5"/>
        <v>2</v>
      </c>
      <c r="S17" s="9">
        <f t="shared" si="6"/>
        <v>0</v>
      </c>
      <c r="T17" s="9">
        <f t="shared" si="7"/>
        <v>1.3793103448275862E-2</v>
      </c>
      <c r="U17" s="9">
        <f>R17 / _xlfn.XLOOKUP(A17, Bottom!A:A, Bottom!AA:AA)</f>
        <v>7.6923076923076927E-2</v>
      </c>
      <c r="V17" s="1"/>
      <c r="W17" s="1"/>
    </row>
    <row r="18" spans="1:23" x14ac:dyDescent="0.25">
      <c r="A18" s="1" t="s">
        <v>143</v>
      </c>
      <c r="B18" s="6"/>
      <c r="C18" s="7"/>
      <c r="D18" s="8">
        <f t="shared" si="0"/>
        <v>0</v>
      </c>
      <c r="E18" s="6"/>
      <c r="F18" s="7"/>
      <c r="G18" s="8">
        <f t="shared" si="1"/>
        <v>0</v>
      </c>
      <c r="H18" s="6">
        <v>1</v>
      </c>
      <c r="I18" s="7">
        <v>0</v>
      </c>
      <c r="J18" s="8">
        <f t="shared" si="2"/>
        <v>0</v>
      </c>
      <c r="K18" s="6"/>
      <c r="L18" s="7"/>
      <c r="M18" s="8">
        <f t="shared" si="3"/>
        <v>0</v>
      </c>
      <c r="N18" s="6"/>
      <c r="O18" s="7"/>
      <c r="P18" s="8">
        <f t="shared" si="4"/>
        <v>0</v>
      </c>
      <c r="Q18" s="4"/>
      <c r="R18" s="6">
        <f t="shared" si="5"/>
        <v>1</v>
      </c>
      <c r="S18" s="9">
        <f t="shared" si="6"/>
        <v>0</v>
      </c>
      <c r="T18" s="9">
        <f t="shared" si="7"/>
        <v>6.8965517241379309E-3</v>
      </c>
      <c r="U18" s="9">
        <f>R18 / _xlfn.XLOOKUP(A18, Bottom!A:A, Bottom!AA:AA)</f>
        <v>6.8965517241379309E-3</v>
      </c>
      <c r="V18" s="1"/>
      <c r="W18" s="1"/>
    </row>
    <row r="19" spans="1:23" x14ac:dyDescent="0.25">
      <c r="A19" s="1" t="s">
        <v>122</v>
      </c>
      <c r="B19" s="6"/>
      <c r="C19" s="7"/>
      <c r="D19" s="8">
        <f t="shared" si="0"/>
        <v>0</v>
      </c>
      <c r="E19" s="6"/>
      <c r="F19" s="7"/>
      <c r="G19" s="8">
        <f t="shared" si="1"/>
        <v>0</v>
      </c>
      <c r="H19" s="6">
        <v>1</v>
      </c>
      <c r="I19" s="7">
        <v>0</v>
      </c>
      <c r="J19" s="8">
        <f t="shared" si="2"/>
        <v>0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1"/>
      <c r="R19" s="6">
        <f t="shared" si="5"/>
        <v>1</v>
      </c>
      <c r="S19" s="9">
        <f t="shared" si="6"/>
        <v>0</v>
      </c>
      <c r="T19" s="9">
        <f t="shared" si="7"/>
        <v>6.8965517241379309E-3</v>
      </c>
      <c r="U19" s="9">
        <f>R19 / _xlfn.XLOOKUP(A19, Bottom!A:A, Bottom!AA:AA)</f>
        <v>3.7037037037037035E-2</v>
      </c>
      <c r="V19" s="1"/>
      <c r="W19" s="1"/>
    </row>
    <row r="20" spans="1:23" x14ac:dyDescent="0.25">
      <c r="A20" s="1" t="s">
        <v>146</v>
      </c>
      <c r="B20" s="6"/>
      <c r="C20" s="7"/>
      <c r="D20" s="8">
        <f t="shared" si="0"/>
        <v>0</v>
      </c>
      <c r="E20" s="6">
        <v>2</v>
      </c>
      <c r="F20" s="7">
        <v>0</v>
      </c>
      <c r="G20" s="8">
        <f t="shared" si="1"/>
        <v>0</v>
      </c>
      <c r="H20" s="6">
        <v>2</v>
      </c>
      <c r="I20" s="7">
        <v>0</v>
      </c>
      <c r="J20" s="8">
        <f t="shared" si="2"/>
        <v>0</v>
      </c>
      <c r="K20" s="6"/>
      <c r="L20" s="7"/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4</v>
      </c>
      <c r="S20" s="9">
        <f t="shared" si="6"/>
        <v>0</v>
      </c>
      <c r="T20" s="9">
        <f t="shared" si="7"/>
        <v>2.7586206896551724E-2</v>
      </c>
      <c r="U20" s="9">
        <f>R20 / _xlfn.XLOOKUP(A20, Bottom!A:A, Bottom!AA:AA)</f>
        <v>2.1621621621621623E-2</v>
      </c>
      <c r="V20" s="1"/>
      <c r="W20" s="1"/>
    </row>
    <row r="21" spans="1:23" x14ac:dyDescent="0.25">
      <c r="A21" s="1"/>
      <c r="B21" s="6"/>
      <c r="C21" s="7"/>
      <c r="D21" s="8">
        <f t="shared" ref="D21:D25" si="8">B21*C21</f>
        <v>0</v>
      </c>
      <c r="E21" s="6"/>
      <c r="F21" s="7"/>
      <c r="G21" s="8">
        <f t="shared" ref="G21:G25" si="9">E21*F21</f>
        <v>0</v>
      </c>
      <c r="H21" s="6"/>
      <c r="I21" s="7"/>
      <c r="J21" s="8">
        <f t="shared" ref="J21:J25" si="10">H21*I21</f>
        <v>0</v>
      </c>
      <c r="K21" s="6"/>
      <c r="L21" s="7"/>
      <c r="M21" s="8">
        <f t="shared" ref="M21:M25" si="11">K21*L21</f>
        <v>0</v>
      </c>
      <c r="N21" s="6"/>
      <c r="O21" s="7"/>
      <c r="P21" s="8">
        <f t="shared" ref="P21:P22" si="12">N21*O21</f>
        <v>0</v>
      </c>
      <c r="Q21" s="1"/>
      <c r="R21" s="6">
        <f t="shared" ref="R21:R22" si="13">B21+E21+H21+K21+N21</f>
        <v>0</v>
      </c>
      <c r="S21" s="9" t="e">
        <f t="shared" ref="S21:S22" si="14">(D21+G21+J21+M21+P21)/R21</f>
        <v>#DIV/0!</v>
      </c>
      <c r="T21" s="9">
        <f t="shared" ref="T21:T22" si="15">R21/$V$3</f>
        <v>0</v>
      </c>
      <c r="U21" s="9" t="e">
        <f>R21 / _xlfn.XLOOKUP(A21, Bottom!A:A, Bottom!AA:AA)</f>
        <v>#DIV/0!</v>
      </c>
      <c r="V21" s="1"/>
      <c r="W21" s="1"/>
    </row>
    <row r="22" spans="1:23" x14ac:dyDescent="0.25">
      <c r="A22" s="1"/>
      <c r="B22" s="6"/>
      <c r="C22" s="7"/>
      <c r="D22" s="8">
        <f t="shared" si="8"/>
        <v>0</v>
      </c>
      <c r="E22" s="6"/>
      <c r="F22" s="7"/>
      <c r="G22" s="8">
        <f t="shared" si="9"/>
        <v>0</v>
      </c>
      <c r="H22" s="6"/>
      <c r="I22" s="7"/>
      <c r="J22" s="8">
        <f t="shared" si="10"/>
        <v>0</v>
      </c>
      <c r="K22" s="6"/>
      <c r="L22" s="7"/>
      <c r="M22" s="8">
        <f t="shared" si="11"/>
        <v>0</v>
      </c>
      <c r="N22" s="6"/>
      <c r="O22" s="7"/>
      <c r="P22" s="8">
        <f t="shared" si="12"/>
        <v>0</v>
      </c>
      <c r="Q22" s="1"/>
      <c r="R22" s="6">
        <f t="shared" si="13"/>
        <v>0</v>
      </c>
      <c r="S22" s="9" t="e">
        <f t="shared" si="14"/>
        <v>#DIV/0!</v>
      </c>
      <c r="T22" s="9">
        <f t="shared" si="15"/>
        <v>0</v>
      </c>
      <c r="U22" s="9" t="e">
        <f>R22 / _xlfn.XLOOKUP(A22, Bottom!A:A, Bottom!AA:AA)</f>
        <v>#DIV/0!</v>
      </c>
      <c r="V22" s="1"/>
      <c r="W22" s="1"/>
    </row>
    <row r="23" spans="1:23" x14ac:dyDescent="0.25">
      <c r="A23" s="1"/>
      <c r="B23" s="6"/>
      <c r="C23" s="7"/>
      <c r="D23" s="8">
        <f t="shared" si="8"/>
        <v>0</v>
      </c>
      <c r="E23" s="6"/>
      <c r="F23" s="7"/>
      <c r="G23" s="8">
        <f t="shared" si="9"/>
        <v>0</v>
      </c>
      <c r="H23" s="6"/>
      <c r="I23" s="7"/>
      <c r="J23" s="8">
        <f t="shared" si="10"/>
        <v>0</v>
      </c>
      <c r="K23" s="6"/>
      <c r="L23" s="7"/>
      <c r="M23" s="8">
        <f t="shared" si="11"/>
        <v>0</v>
      </c>
      <c r="N23" s="6"/>
      <c r="O23" s="7"/>
      <c r="P23" s="8">
        <f t="shared" ref="P23:P44" si="16">N23*O23</f>
        <v>0</v>
      </c>
      <c r="Q23" s="1"/>
      <c r="R23" s="6">
        <f t="shared" ref="R23:R44" si="17">B23+E23+H23+K23+N23</f>
        <v>0</v>
      </c>
      <c r="S23" s="9" t="e">
        <f t="shared" ref="S23:S44" si="18">(D23+G23+J23+M23+P23)/R23</f>
        <v>#DIV/0!</v>
      </c>
      <c r="T23" s="9">
        <f t="shared" ref="T23:T44" si="19">R23/$V$3</f>
        <v>0</v>
      </c>
      <c r="U23" s="9" t="e">
        <f>R23 / _xlfn.XLOOKUP(A23, Bottom!A:A, Bottom!AA:AA)</f>
        <v>#DIV/0!</v>
      </c>
      <c r="V23" s="1"/>
      <c r="W23" s="1"/>
    </row>
    <row r="24" spans="1:23" x14ac:dyDescent="0.25">
      <c r="A24" s="1"/>
      <c r="B24" s="6"/>
      <c r="C24" s="7"/>
      <c r="D24" s="8">
        <f t="shared" si="8"/>
        <v>0</v>
      </c>
      <c r="E24" s="6"/>
      <c r="F24" s="7"/>
      <c r="G24" s="8">
        <f t="shared" si="9"/>
        <v>0</v>
      </c>
      <c r="H24" s="6"/>
      <c r="I24" s="7"/>
      <c r="J24" s="8">
        <f t="shared" si="10"/>
        <v>0</v>
      </c>
      <c r="K24" s="6"/>
      <c r="L24" s="7"/>
      <c r="M24" s="8">
        <f t="shared" si="11"/>
        <v>0</v>
      </c>
      <c r="N24" s="6"/>
      <c r="O24" s="7"/>
      <c r="P24" s="8">
        <f t="shared" si="16"/>
        <v>0</v>
      </c>
      <c r="Q24" s="1"/>
      <c r="R24" s="6">
        <f t="shared" si="17"/>
        <v>0</v>
      </c>
      <c r="S24" s="9" t="e">
        <f t="shared" si="18"/>
        <v>#DIV/0!</v>
      </c>
      <c r="T24" s="9">
        <f t="shared" si="19"/>
        <v>0</v>
      </c>
      <c r="U24" s="9" t="e">
        <f>R24 / _xlfn.XLOOKUP(A24, Bottom!A:A, Bottom!AA:AA)</f>
        <v>#DIV/0!</v>
      </c>
      <c r="V24" s="1"/>
      <c r="W24" s="1"/>
    </row>
    <row r="25" spans="1:23" x14ac:dyDescent="0.25">
      <c r="A25" s="1"/>
      <c r="B25" s="6"/>
      <c r="C25" s="7"/>
      <c r="D25" s="8">
        <f t="shared" si="8"/>
        <v>0</v>
      </c>
      <c r="E25" s="6"/>
      <c r="F25" s="7"/>
      <c r="G25" s="8">
        <f t="shared" si="9"/>
        <v>0</v>
      </c>
      <c r="H25" s="6"/>
      <c r="I25" s="7"/>
      <c r="J25" s="8">
        <f t="shared" si="10"/>
        <v>0</v>
      </c>
      <c r="K25" s="6"/>
      <c r="L25" s="7"/>
      <c r="M25" s="8">
        <f t="shared" si="11"/>
        <v>0</v>
      </c>
      <c r="N25" s="6"/>
      <c r="O25" s="7"/>
      <c r="P25" s="8">
        <f t="shared" si="16"/>
        <v>0</v>
      </c>
      <c r="Q25" s="1"/>
      <c r="R25" s="6">
        <f t="shared" si="17"/>
        <v>0</v>
      </c>
      <c r="S25" s="9" t="e">
        <f t="shared" si="18"/>
        <v>#DIV/0!</v>
      </c>
      <c r="T25" s="9">
        <f t="shared" si="19"/>
        <v>0</v>
      </c>
      <c r="U25" s="9" t="e">
        <f>R25 / _xlfn.XLOOKUP(A25, Bottom!A:A, Bottom!AA:AA)</f>
        <v>#DIV/0!</v>
      </c>
      <c r="V25" s="1"/>
      <c r="W25" s="1"/>
    </row>
    <row r="26" spans="1:23" x14ac:dyDescent="0.25">
      <c r="N26" s="6"/>
      <c r="O26" s="7"/>
      <c r="P26" s="8">
        <f t="shared" si="16"/>
        <v>0</v>
      </c>
      <c r="Q26" s="1"/>
      <c r="R26" s="6">
        <f t="shared" si="17"/>
        <v>0</v>
      </c>
      <c r="S26" s="9" t="e">
        <f t="shared" si="18"/>
        <v>#DIV/0!</v>
      </c>
      <c r="T26" s="9">
        <f t="shared" si="19"/>
        <v>0</v>
      </c>
      <c r="U26" s="9" t="e">
        <f>R26 / _xlfn.XLOOKUP(A26, Bottom!A:A, Bottom!AA:AA)</f>
        <v>#DIV/0!</v>
      </c>
      <c r="V26" s="1"/>
      <c r="W26" s="1"/>
    </row>
    <row r="27" spans="1:23" x14ac:dyDescent="0.25">
      <c r="N27" s="6"/>
      <c r="O27" s="7"/>
      <c r="P27" s="8">
        <f t="shared" si="16"/>
        <v>0</v>
      </c>
      <c r="Q27" s="1"/>
      <c r="R27" s="6">
        <f t="shared" si="17"/>
        <v>0</v>
      </c>
      <c r="S27" s="9" t="e">
        <f t="shared" si="18"/>
        <v>#DIV/0!</v>
      </c>
      <c r="T27" s="9">
        <f t="shared" si="19"/>
        <v>0</v>
      </c>
      <c r="U27" s="9" t="e">
        <f>R27 / _xlfn.XLOOKUP(A27, Bottom!A:A, Bottom!AA:AA)</f>
        <v>#DIV/0!</v>
      </c>
      <c r="V27" s="1"/>
      <c r="W27" s="1"/>
    </row>
    <row r="28" spans="1:23" x14ac:dyDescent="0.25">
      <c r="N28" s="6"/>
      <c r="O28" s="7"/>
      <c r="P28" s="8">
        <f t="shared" si="16"/>
        <v>0</v>
      </c>
      <c r="Q28" s="1"/>
      <c r="R28" s="6">
        <f t="shared" si="17"/>
        <v>0</v>
      </c>
      <c r="S28" s="9" t="e">
        <f t="shared" si="18"/>
        <v>#DIV/0!</v>
      </c>
      <c r="T28" s="9">
        <f t="shared" si="19"/>
        <v>0</v>
      </c>
      <c r="U28" s="9" t="e">
        <f>R28 / _xlfn.XLOOKUP(A28, Bottom!A:A, Bottom!AA:AA)</f>
        <v>#DIV/0!</v>
      </c>
    </row>
    <row r="29" spans="1:23" x14ac:dyDescent="0.25">
      <c r="N29" s="6"/>
      <c r="O29" s="7"/>
      <c r="P29" s="8">
        <f t="shared" si="16"/>
        <v>0</v>
      </c>
      <c r="Q29" s="1"/>
      <c r="R29" s="6">
        <f t="shared" si="17"/>
        <v>0</v>
      </c>
      <c r="S29" s="9" t="e">
        <f t="shared" si="18"/>
        <v>#DIV/0!</v>
      </c>
      <c r="T29" s="9">
        <f t="shared" si="19"/>
        <v>0</v>
      </c>
      <c r="U29" s="9" t="e">
        <f>R29 / _xlfn.XLOOKUP(A29, Bottom!A:A, Bottom!AA:AA)</f>
        <v>#DIV/0!</v>
      </c>
    </row>
    <row r="30" spans="1:23" x14ac:dyDescent="0.25">
      <c r="N30" s="6"/>
      <c r="O30" s="7"/>
      <c r="P30" s="8">
        <f t="shared" si="16"/>
        <v>0</v>
      </c>
      <c r="Q30" s="1"/>
      <c r="R30" s="6">
        <f t="shared" si="17"/>
        <v>0</v>
      </c>
      <c r="S30" s="9" t="e">
        <f t="shared" si="18"/>
        <v>#DIV/0!</v>
      </c>
      <c r="T30" s="9">
        <f t="shared" si="19"/>
        <v>0</v>
      </c>
      <c r="U30" s="9" t="e">
        <f>R30 / _xlfn.XLOOKUP(A30, Bottom!A:A, Bottom!AA:AA)</f>
        <v>#DIV/0!</v>
      </c>
    </row>
    <row r="31" spans="1:23" x14ac:dyDescent="0.25">
      <c r="N31" s="6"/>
      <c r="O31" s="7"/>
      <c r="P31" s="8">
        <f t="shared" si="16"/>
        <v>0</v>
      </c>
      <c r="Q31" s="1"/>
      <c r="R31" s="6">
        <f t="shared" si="17"/>
        <v>0</v>
      </c>
      <c r="S31" s="9" t="e">
        <f t="shared" si="18"/>
        <v>#DIV/0!</v>
      </c>
      <c r="T31" s="9">
        <f t="shared" si="19"/>
        <v>0</v>
      </c>
      <c r="U31" s="9" t="e">
        <f>R31 / _xlfn.XLOOKUP(A31, Bottom!A:A, Bottom!AA:AA)</f>
        <v>#DIV/0!</v>
      </c>
    </row>
    <row r="32" spans="1:23" x14ac:dyDescent="0.25">
      <c r="N32" s="6"/>
      <c r="O32" s="7"/>
      <c r="P32" s="8">
        <f t="shared" si="16"/>
        <v>0</v>
      </c>
      <c r="Q32" s="1"/>
      <c r="R32" s="6">
        <f t="shared" si="17"/>
        <v>0</v>
      </c>
      <c r="S32" s="9" t="e">
        <f t="shared" si="18"/>
        <v>#DIV/0!</v>
      </c>
      <c r="T32" s="9">
        <f t="shared" si="19"/>
        <v>0</v>
      </c>
      <c r="U32" s="9" t="e">
        <f>R32 / _xlfn.XLOOKUP(A32, Bottom!A:A, Bottom!AA:AA)</f>
        <v>#DIV/0!</v>
      </c>
    </row>
    <row r="33" spans="14:21" x14ac:dyDescent="0.25">
      <c r="N33" s="6"/>
      <c r="O33" s="7"/>
      <c r="P33" s="8">
        <f t="shared" si="16"/>
        <v>0</v>
      </c>
      <c r="Q33" s="1"/>
      <c r="R33" s="6">
        <f t="shared" si="17"/>
        <v>0</v>
      </c>
      <c r="S33" s="9" t="e">
        <f t="shared" si="18"/>
        <v>#DIV/0!</v>
      </c>
      <c r="T33" s="9">
        <f t="shared" si="19"/>
        <v>0</v>
      </c>
      <c r="U33" s="9" t="e">
        <f>R33 / _xlfn.XLOOKUP(A33, Bottom!A:A, Bottom!AA:AA)</f>
        <v>#DIV/0!</v>
      </c>
    </row>
    <row r="34" spans="14:21" x14ac:dyDescent="0.25">
      <c r="N34" s="6"/>
      <c r="O34" s="7"/>
      <c r="P34" s="8">
        <f t="shared" si="16"/>
        <v>0</v>
      </c>
      <c r="Q34" s="1"/>
      <c r="R34" s="6">
        <f t="shared" si="17"/>
        <v>0</v>
      </c>
      <c r="S34" s="9" t="e">
        <f t="shared" si="18"/>
        <v>#DIV/0!</v>
      </c>
      <c r="T34" s="9">
        <f t="shared" si="19"/>
        <v>0</v>
      </c>
      <c r="U34" s="9" t="e">
        <f>R34 / _xlfn.XLOOKUP(A34, Bottom!A:A, Bottom!AA:AA)</f>
        <v>#DIV/0!</v>
      </c>
    </row>
    <row r="35" spans="14:21" x14ac:dyDescent="0.25">
      <c r="N35" s="6"/>
      <c r="O35" s="7"/>
      <c r="P35" s="8">
        <f t="shared" si="16"/>
        <v>0</v>
      </c>
      <c r="Q35" s="1"/>
      <c r="R35" s="6">
        <f t="shared" si="17"/>
        <v>0</v>
      </c>
      <c r="S35" s="9" t="e">
        <f t="shared" si="18"/>
        <v>#DIV/0!</v>
      </c>
      <c r="T35" s="9">
        <f t="shared" si="19"/>
        <v>0</v>
      </c>
      <c r="U35" s="9" t="e">
        <f>R35 / _xlfn.XLOOKUP(A35, Bottom!A:A, Bottom!AA:AA)</f>
        <v>#DIV/0!</v>
      </c>
    </row>
    <row r="36" spans="14:21" x14ac:dyDescent="0.25">
      <c r="N36" s="6"/>
      <c r="O36" s="7"/>
      <c r="P36" s="8">
        <f t="shared" si="16"/>
        <v>0</v>
      </c>
      <c r="Q36" s="1"/>
      <c r="R36" s="6">
        <f t="shared" si="17"/>
        <v>0</v>
      </c>
      <c r="S36" s="9" t="e">
        <f t="shared" si="18"/>
        <v>#DIV/0!</v>
      </c>
      <c r="T36" s="9">
        <f t="shared" si="19"/>
        <v>0</v>
      </c>
      <c r="U36" s="9" t="e">
        <f>R36 / _xlfn.XLOOKUP(A36, Bottom!A:A, Bottom!AA:AA)</f>
        <v>#DIV/0!</v>
      </c>
    </row>
    <row r="37" spans="14:21" x14ac:dyDescent="0.25">
      <c r="N37" s="6"/>
      <c r="O37" s="7"/>
      <c r="P37" s="8">
        <f t="shared" si="16"/>
        <v>0</v>
      </c>
      <c r="Q37" s="1"/>
      <c r="R37" s="6">
        <f t="shared" si="17"/>
        <v>0</v>
      </c>
      <c r="S37" s="9" t="e">
        <f t="shared" si="18"/>
        <v>#DIV/0!</v>
      </c>
      <c r="T37" s="9">
        <f t="shared" si="19"/>
        <v>0</v>
      </c>
      <c r="U37" s="9" t="e">
        <f>R37 / _xlfn.XLOOKUP(A37, Bottom!A:A, Bottom!AA:AA)</f>
        <v>#DIV/0!</v>
      </c>
    </row>
    <row r="38" spans="14:21" x14ac:dyDescent="0.25">
      <c r="N38" s="6"/>
      <c r="O38" s="7"/>
      <c r="P38" s="8">
        <f t="shared" si="16"/>
        <v>0</v>
      </c>
      <c r="Q38" s="1"/>
      <c r="R38" s="6">
        <f t="shared" si="17"/>
        <v>0</v>
      </c>
      <c r="S38" s="9" t="e">
        <f t="shared" si="18"/>
        <v>#DIV/0!</v>
      </c>
      <c r="T38" s="9">
        <f t="shared" si="19"/>
        <v>0</v>
      </c>
      <c r="U38" s="9" t="e">
        <f>R38 / _xlfn.XLOOKUP(A38, Bottom!A:A, Bottom!AA:AA)</f>
        <v>#DIV/0!</v>
      </c>
    </row>
    <row r="39" spans="14:21" x14ac:dyDescent="0.25">
      <c r="N39" s="6"/>
      <c r="O39" s="7"/>
      <c r="P39" s="8">
        <f t="shared" si="16"/>
        <v>0</v>
      </c>
      <c r="Q39" s="1"/>
      <c r="R39" s="6">
        <f t="shared" si="17"/>
        <v>0</v>
      </c>
      <c r="S39" s="9" t="e">
        <f t="shared" si="18"/>
        <v>#DIV/0!</v>
      </c>
      <c r="T39" s="9">
        <f t="shared" si="19"/>
        <v>0</v>
      </c>
      <c r="U39" s="9" t="e">
        <f>R39 / _xlfn.XLOOKUP(A39, Bottom!A:A, Bottom!AA:AA)</f>
        <v>#DIV/0!</v>
      </c>
    </row>
    <row r="40" spans="14:21" x14ac:dyDescent="0.25">
      <c r="N40" s="6"/>
      <c r="O40" s="7"/>
      <c r="P40" s="8">
        <f t="shared" si="16"/>
        <v>0</v>
      </c>
      <c r="Q40" s="1"/>
      <c r="R40" s="6">
        <f t="shared" si="17"/>
        <v>0</v>
      </c>
      <c r="S40" s="9" t="e">
        <f t="shared" si="18"/>
        <v>#DIV/0!</v>
      </c>
      <c r="T40" s="9">
        <f t="shared" si="19"/>
        <v>0</v>
      </c>
      <c r="U40" s="9" t="e">
        <f>R40 / _xlfn.XLOOKUP(A40, Bottom!A:A, Bottom!AA:AA)</f>
        <v>#DIV/0!</v>
      </c>
    </row>
    <row r="41" spans="14:21" x14ac:dyDescent="0.25">
      <c r="N41" s="6"/>
      <c r="O41" s="7"/>
      <c r="P41" s="8">
        <f t="shared" si="16"/>
        <v>0</v>
      </c>
      <c r="Q41" s="1"/>
      <c r="R41" s="6">
        <f t="shared" si="17"/>
        <v>0</v>
      </c>
      <c r="S41" s="9" t="e">
        <f t="shared" si="18"/>
        <v>#DIV/0!</v>
      </c>
      <c r="T41" s="9">
        <f t="shared" si="19"/>
        <v>0</v>
      </c>
      <c r="U41" s="9" t="e">
        <f>R41 / _xlfn.XLOOKUP(A41, Bottom!A:A, Bottom!AA:AA)</f>
        <v>#DIV/0!</v>
      </c>
    </row>
    <row r="42" spans="14:21" x14ac:dyDescent="0.25">
      <c r="N42" s="6"/>
      <c r="O42" s="7"/>
      <c r="P42" s="8">
        <f t="shared" si="16"/>
        <v>0</v>
      </c>
      <c r="Q42" s="1"/>
      <c r="R42" s="6">
        <f t="shared" si="17"/>
        <v>0</v>
      </c>
      <c r="S42" s="9" t="e">
        <f t="shared" si="18"/>
        <v>#DIV/0!</v>
      </c>
      <c r="T42" s="9">
        <f t="shared" si="19"/>
        <v>0</v>
      </c>
      <c r="U42" s="9" t="e">
        <f>R42 / _xlfn.XLOOKUP(A42, Bottom!A:A, Bottom!AA:AA)</f>
        <v>#DIV/0!</v>
      </c>
    </row>
    <row r="43" spans="14:21" x14ac:dyDescent="0.25">
      <c r="N43" s="6"/>
      <c r="O43" s="7"/>
      <c r="P43" s="8">
        <f t="shared" si="16"/>
        <v>0</v>
      </c>
      <c r="Q43" s="1"/>
      <c r="R43" s="6">
        <f t="shared" si="17"/>
        <v>0</v>
      </c>
      <c r="S43" s="9" t="e">
        <f t="shared" si="18"/>
        <v>#DIV/0!</v>
      </c>
      <c r="T43" s="9">
        <f t="shared" si="19"/>
        <v>0</v>
      </c>
      <c r="U43" s="9" t="e">
        <f>R43 / _xlfn.XLOOKUP(A43, Bottom!A:A, Bottom!AA:AA)</f>
        <v>#DIV/0!</v>
      </c>
    </row>
    <row r="44" spans="14:21" x14ac:dyDescent="0.25">
      <c r="N44" s="6"/>
      <c r="O44" s="7"/>
      <c r="P44" s="8">
        <f t="shared" si="16"/>
        <v>0</v>
      </c>
      <c r="Q44" s="1"/>
      <c r="R44" s="6">
        <f t="shared" si="17"/>
        <v>0</v>
      </c>
      <c r="S44" s="9" t="e">
        <f t="shared" si="18"/>
        <v>#DIV/0!</v>
      </c>
      <c r="T44" s="9">
        <f t="shared" si="19"/>
        <v>0</v>
      </c>
      <c r="U44" s="9" t="e">
        <f>R44 / _xlfn.XLOOKUP(A44, Bottom!A:A, Bottom!AA:AA)</f>
        <v>#DIV/0!</v>
      </c>
    </row>
  </sheetData>
  <sortState xmlns:xlrd2="http://schemas.microsoft.com/office/spreadsheetml/2017/richdata2" ref="A3:U20">
    <sortCondition descending="1" ref="S3:S20"/>
  </sortState>
  <pageMargins left="0.7" right="0.7" top="0.78740157499999996" bottom="0.78740157499999996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DFDE3-352C-4A43-A6E4-D79866EBB5BB}">
  <sheetPr>
    <tabColor theme="5" tint="0.59999389629810485"/>
  </sheetPr>
  <dimension ref="A1:W55"/>
  <sheetViews>
    <sheetView workbookViewId="0">
      <selection activeCell="U3" sqref="U3:U31"/>
    </sheetView>
  </sheetViews>
  <sheetFormatPr baseColWidth="10" defaultRowHeight="15" x14ac:dyDescent="0.25"/>
  <sheetData>
    <row r="1" spans="1:23" ht="15.75" x14ac:dyDescent="0.25">
      <c r="A1" s="2" t="s">
        <v>160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159</v>
      </c>
      <c r="B3" s="6"/>
      <c r="C3" s="7"/>
      <c r="D3" s="8">
        <f t="shared" ref="D3:D31" si="0">B3*C3</f>
        <v>0</v>
      </c>
      <c r="E3" s="6"/>
      <c r="F3" s="7"/>
      <c r="G3" s="8">
        <f t="shared" ref="G3:G31" si="1">E3*F3</f>
        <v>0</v>
      </c>
      <c r="H3" s="6"/>
      <c r="I3" s="7"/>
      <c r="J3" s="8">
        <f t="shared" ref="J3:J31" si="2">H3*I3</f>
        <v>0</v>
      </c>
      <c r="K3" s="6"/>
      <c r="L3" s="7"/>
      <c r="M3" s="8">
        <f t="shared" ref="M3:M31" si="3">K3*L3</f>
        <v>0</v>
      </c>
      <c r="N3" s="6"/>
      <c r="O3" s="7"/>
      <c r="P3" s="8">
        <f t="shared" ref="P3:P31" si="4">N3*O3</f>
        <v>0</v>
      </c>
      <c r="Q3" s="1"/>
      <c r="R3" s="6">
        <f t="shared" ref="R3:R31" si="5">B3+E3+H3+K3+N3</f>
        <v>0</v>
      </c>
      <c r="S3" s="9" t="e">
        <f t="shared" ref="S3:S31" si="6">(D3+G3+J3+M3+P3)/R3</f>
        <v>#DIV/0!</v>
      </c>
      <c r="T3" s="9">
        <f t="shared" ref="T3:T31" si="7">R3/$V$3</f>
        <v>0</v>
      </c>
      <c r="U3" s="9">
        <f>R3 / _xlfn.XLOOKUP(A3, Bottom!A:A, Bottom!AA:AA)</f>
        <v>0</v>
      </c>
      <c r="V3" s="11">
        <f>SUM(R3:R69)</f>
        <v>600</v>
      </c>
      <c r="W3" s="12">
        <f>(SUM(D3:D99)+SUM(G3:G99)+SUM(J3:J99)+SUM(M3:M99)+SUM(P3:P99)) / V3</f>
        <v>0.65998499999999993</v>
      </c>
    </row>
    <row r="4" spans="1:23" x14ac:dyDescent="0.25">
      <c r="A4" s="1" t="s">
        <v>161</v>
      </c>
      <c r="B4" s="6"/>
      <c r="C4" s="7"/>
      <c r="D4" s="8">
        <f t="shared" si="0"/>
        <v>0</v>
      </c>
      <c r="E4" s="6">
        <v>1</v>
      </c>
      <c r="F4" s="7">
        <v>1</v>
      </c>
      <c r="G4" s="8">
        <f t="shared" si="1"/>
        <v>1</v>
      </c>
      <c r="H4" s="6"/>
      <c r="I4" s="7"/>
      <c r="J4" s="8">
        <f t="shared" si="2"/>
        <v>0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1</v>
      </c>
      <c r="S4" s="9">
        <f t="shared" si="6"/>
        <v>1</v>
      </c>
      <c r="T4" s="9">
        <f t="shared" si="7"/>
        <v>1.6666666666666668E-3</v>
      </c>
      <c r="U4" s="9">
        <f>R4 / _xlfn.XLOOKUP(A4, Bottom!A:A, Bottom!AA:AA)</f>
        <v>1</v>
      </c>
      <c r="W4" s="1"/>
    </row>
    <row r="5" spans="1:23" x14ac:dyDescent="0.25">
      <c r="A5" s="1" t="s">
        <v>59</v>
      </c>
      <c r="B5" s="6"/>
      <c r="C5" s="7"/>
      <c r="D5" s="8">
        <f t="shared" si="0"/>
        <v>0</v>
      </c>
      <c r="E5" s="6"/>
      <c r="F5" s="7"/>
      <c r="G5" s="8">
        <f t="shared" si="1"/>
        <v>0</v>
      </c>
      <c r="H5" s="6">
        <v>1</v>
      </c>
      <c r="I5" s="7">
        <v>1</v>
      </c>
      <c r="J5" s="8">
        <f t="shared" si="2"/>
        <v>1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4"/>
      <c r="R5" s="6">
        <f t="shared" si="5"/>
        <v>1</v>
      </c>
      <c r="S5" s="9">
        <f t="shared" si="6"/>
        <v>1</v>
      </c>
      <c r="T5" s="9">
        <f t="shared" si="7"/>
        <v>1.6666666666666668E-3</v>
      </c>
      <c r="U5" s="9">
        <f>R5 / _xlfn.XLOOKUP(A5, Bottom!A:A, Bottom!AA:AA)</f>
        <v>1.9607843137254902E-2</v>
      </c>
      <c r="W5" s="1"/>
    </row>
    <row r="6" spans="1:23" x14ac:dyDescent="0.25">
      <c r="A6" s="1" t="s">
        <v>152</v>
      </c>
      <c r="B6" s="6">
        <v>3</v>
      </c>
      <c r="C6" s="7">
        <v>1</v>
      </c>
      <c r="D6" s="8">
        <f t="shared" si="0"/>
        <v>3</v>
      </c>
      <c r="E6" s="6">
        <v>2</v>
      </c>
      <c r="F6" s="7">
        <v>0.5</v>
      </c>
      <c r="G6" s="8">
        <f t="shared" si="1"/>
        <v>1</v>
      </c>
      <c r="H6" s="6"/>
      <c r="I6" s="7"/>
      <c r="J6" s="8">
        <f t="shared" si="2"/>
        <v>0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1"/>
      <c r="R6" s="6">
        <f t="shared" si="5"/>
        <v>5</v>
      </c>
      <c r="S6" s="9">
        <f t="shared" si="6"/>
        <v>0.8</v>
      </c>
      <c r="T6" s="9">
        <f t="shared" si="7"/>
        <v>8.3333333333333332E-3</v>
      </c>
      <c r="U6" s="9">
        <f>R6 / _xlfn.XLOOKUP(A6, Bottom!A:A, Bottom!AA:AA)</f>
        <v>0.19230769230769232</v>
      </c>
      <c r="V6" s="1"/>
      <c r="W6" s="1"/>
    </row>
    <row r="7" spans="1:23" x14ac:dyDescent="0.25">
      <c r="A7" s="1" t="s">
        <v>143</v>
      </c>
      <c r="B7" s="6">
        <v>7</v>
      </c>
      <c r="C7" s="7">
        <v>1</v>
      </c>
      <c r="D7" s="8">
        <f t="shared" si="0"/>
        <v>7</v>
      </c>
      <c r="E7" s="6">
        <v>1</v>
      </c>
      <c r="F7" s="7">
        <v>1</v>
      </c>
      <c r="G7" s="8">
        <f t="shared" si="1"/>
        <v>1</v>
      </c>
      <c r="H7" s="6">
        <v>27</v>
      </c>
      <c r="I7" s="7">
        <v>0.77800000000000002</v>
      </c>
      <c r="J7" s="8">
        <f t="shared" si="2"/>
        <v>21.006</v>
      </c>
      <c r="K7" s="6">
        <v>3</v>
      </c>
      <c r="L7" s="7">
        <v>0.33300000000000002</v>
      </c>
      <c r="M7" s="8">
        <f t="shared" si="3"/>
        <v>0.99900000000000011</v>
      </c>
      <c r="N7" s="6"/>
      <c r="O7" s="7"/>
      <c r="P7" s="8">
        <f t="shared" si="4"/>
        <v>0</v>
      </c>
      <c r="Q7" s="1"/>
      <c r="R7" s="6">
        <f t="shared" si="5"/>
        <v>38</v>
      </c>
      <c r="S7" s="9">
        <f t="shared" si="6"/>
        <v>0.7896052631578947</v>
      </c>
      <c r="T7" s="9">
        <f t="shared" si="7"/>
        <v>6.3333333333333339E-2</v>
      </c>
      <c r="U7" s="9">
        <f>R7 / _xlfn.XLOOKUP(A7, Bottom!A:A, Bottom!AA:AA)</f>
        <v>0.2620689655172414</v>
      </c>
      <c r="V7" s="1"/>
      <c r="W7" s="1"/>
    </row>
    <row r="8" spans="1:23" x14ac:dyDescent="0.25">
      <c r="A8" s="1" t="s">
        <v>145</v>
      </c>
      <c r="B8" s="6">
        <v>6</v>
      </c>
      <c r="C8" s="7">
        <v>0.83299999999999996</v>
      </c>
      <c r="D8" s="8">
        <f t="shared" si="0"/>
        <v>4.9979999999999993</v>
      </c>
      <c r="E8" s="6">
        <v>16</v>
      </c>
      <c r="F8" s="7">
        <v>0.81299999999999994</v>
      </c>
      <c r="G8" s="8">
        <f t="shared" si="1"/>
        <v>13.007999999999999</v>
      </c>
      <c r="H8" s="6">
        <v>19</v>
      </c>
      <c r="I8" s="7">
        <v>0.78900000000000003</v>
      </c>
      <c r="J8" s="8">
        <f t="shared" si="2"/>
        <v>14.991000000000001</v>
      </c>
      <c r="K8" s="6">
        <v>14</v>
      </c>
      <c r="L8" s="7">
        <v>0.71399999999999997</v>
      </c>
      <c r="M8" s="8">
        <f t="shared" si="3"/>
        <v>9.9959999999999987</v>
      </c>
      <c r="N8" s="6"/>
      <c r="O8" s="7"/>
      <c r="P8" s="8">
        <f t="shared" si="4"/>
        <v>0</v>
      </c>
      <c r="Q8" s="4"/>
      <c r="R8" s="6">
        <f t="shared" si="5"/>
        <v>55</v>
      </c>
      <c r="S8" s="9">
        <f t="shared" si="6"/>
        <v>0.78169090909090899</v>
      </c>
      <c r="T8" s="9">
        <f t="shared" si="7"/>
        <v>9.166666666666666E-2</v>
      </c>
      <c r="U8" s="9">
        <f>R8 / _xlfn.XLOOKUP(A8, Bottom!A:A, Bottom!AA:AA)</f>
        <v>0.1193058568329718</v>
      </c>
      <c r="V8" s="1"/>
      <c r="W8" s="1"/>
    </row>
    <row r="9" spans="1:23" x14ac:dyDescent="0.25">
      <c r="A9" s="1" t="s">
        <v>141</v>
      </c>
      <c r="B9" s="6">
        <v>11</v>
      </c>
      <c r="C9" s="7">
        <v>1</v>
      </c>
      <c r="D9" s="8">
        <f t="shared" si="0"/>
        <v>11</v>
      </c>
      <c r="E9" s="6">
        <v>27</v>
      </c>
      <c r="F9" s="7">
        <v>0.70399999999999996</v>
      </c>
      <c r="G9" s="8">
        <f t="shared" si="1"/>
        <v>19.007999999999999</v>
      </c>
      <c r="H9" s="6">
        <v>7</v>
      </c>
      <c r="I9" s="7">
        <v>0.57099999999999995</v>
      </c>
      <c r="J9" s="8">
        <f t="shared" si="2"/>
        <v>3.9969999999999999</v>
      </c>
      <c r="K9" s="6">
        <v>18</v>
      </c>
      <c r="L9" s="7">
        <v>0.77800000000000002</v>
      </c>
      <c r="M9" s="8">
        <f t="shared" si="3"/>
        <v>14.004000000000001</v>
      </c>
      <c r="N9" s="6"/>
      <c r="O9" s="7"/>
      <c r="P9" s="8">
        <f t="shared" si="4"/>
        <v>0</v>
      </c>
      <c r="Q9" s="1"/>
      <c r="R9" s="6">
        <f t="shared" si="5"/>
        <v>63</v>
      </c>
      <c r="S9" s="9">
        <f t="shared" si="6"/>
        <v>0.76204761904761908</v>
      </c>
      <c r="T9" s="9">
        <f t="shared" si="7"/>
        <v>0.105</v>
      </c>
      <c r="U9" s="9">
        <f>R9 / _xlfn.XLOOKUP(A9, Bottom!A:A, Bottom!AA:AA)</f>
        <v>0.14350797266514806</v>
      </c>
      <c r="V9" s="1"/>
      <c r="W9" s="1"/>
    </row>
    <row r="10" spans="1:23" x14ac:dyDescent="0.25">
      <c r="A10" s="1" t="s">
        <v>35</v>
      </c>
      <c r="B10" s="6">
        <v>8</v>
      </c>
      <c r="C10" s="7">
        <v>0.75</v>
      </c>
      <c r="D10" s="8">
        <f t="shared" si="0"/>
        <v>6</v>
      </c>
      <c r="E10" s="6">
        <v>15</v>
      </c>
      <c r="F10" s="7">
        <v>0.8</v>
      </c>
      <c r="G10" s="8">
        <f t="shared" si="1"/>
        <v>12</v>
      </c>
      <c r="H10" s="6">
        <v>12</v>
      </c>
      <c r="I10" s="7">
        <v>0.75</v>
      </c>
      <c r="J10" s="8">
        <f t="shared" si="2"/>
        <v>9</v>
      </c>
      <c r="K10" s="6">
        <v>13</v>
      </c>
      <c r="L10" s="7">
        <v>0.69199999999999995</v>
      </c>
      <c r="M10" s="8">
        <f t="shared" si="3"/>
        <v>8.9959999999999987</v>
      </c>
      <c r="N10" s="6"/>
      <c r="O10" s="7"/>
      <c r="P10" s="8">
        <f t="shared" si="4"/>
        <v>0</v>
      </c>
      <c r="Q10" s="1"/>
      <c r="R10" s="6">
        <f t="shared" si="5"/>
        <v>48</v>
      </c>
      <c r="S10" s="9">
        <f t="shared" si="6"/>
        <v>0.74991666666666656</v>
      </c>
      <c r="T10" s="9">
        <f t="shared" si="7"/>
        <v>0.08</v>
      </c>
      <c r="U10" s="9">
        <f>R10 / _xlfn.XLOOKUP(A10, Bottom!A:A, Bottom!AA:AA)</f>
        <v>0.12403100775193798</v>
      </c>
      <c r="V10" s="1"/>
      <c r="W10" s="1"/>
    </row>
    <row r="11" spans="1:23" x14ac:dyDescent="0.25">
      <c r="A11" s="1" t="s">
        <v>151</v>
      </c>
      <c r="B11" s="6">
        <v>7</v>
      </c>
      <c r="C11" s="7">
        <v>0.85699999999999998</v>
      </c>
      <c r="D11" s="8">
        <f t="shared" si="0"/>
        <v>5.9989999999999997</v>
      </c>
      <c r="E11" s="6">
        <v>7</v>
      </c>
      <c r="F11" s="7">
        <v>0.71399999999999997</v>
      </c>
      <c r="G11" s="8">
        <f t="shared" si="1"/>
        <v>4.9979999999999993</v>
      </c>
      <c r="H11" s="6">
        <v>10</v>
      </c>
      <c r="I11" s="7">
        <v>0.8</v>
      </c>
      <c r="J11" s="8">
        <f t="shared" si="2"/>
        <v>8</v>
      </c>
      <c r="K11" s="6">
        <v>5</v>
      </c>
      <c r="L11" s="7">
        <v>0.4</v>
      </c>
      <c r="M11" s="8">
        <f t="shared" si="3"/>
        <v>2</v>
      </c>
      <c r="N11" s="6"/>
      <c r="O11" s="7"/>
      <c r="P11" s="8">
        <f t="shared" si="4"/>
        <v>0</v>
      </c>
      <c r="Q11" s="1"/>
      <c r="R11" s="6">
        <f t="shared" si="5"/>
        <v>29</v>
      </c>
      <c r="S11" s="9">
        <f t="shared" si="6"/>
        <v>0.7240344827586207</v>
      </c>
      <c r="T11" s="9">
        <f t="shared" si="7"/>
        <v>4.8333333333333332E-2</v>
      </c>
      <c r="U11" s="9">
        <f>R11 / _xlfn.XLOOKUP(A11, Bottom!A:A, Bottom!AA:AA)</f>
        <v>0.18238993710691823</v>
      </c>
      <c r="V11" s="1"/>
      <c r="W11" s="1"/>
    </row>
    <row r="12" spans="1:23" x14ac:dyDescent="0.25">
      <c r="A12" s="1" t="s">
        <v>146</v>
      </c>
      <c r="B12" s="6">
        <v>7</v>
      </c>
      <c r="C12" s="7">
        <v>0.71399999999999997</v>
      </c>
      <c r="D12" s="8">
        <f t="shared" si="0"/>
        <v>4.9979999999999993</v>
      </c>
      <c r="E12" s="6">
        <v>4</v>
      </c>
      <c r="F12" s="7">
        <v>0.5</v>
      </c>
      <c r="G12" s="8">
        <f t="shared" si="1"/>
        <v>2</v>
      </c>
      <c r="H12" s="6">
        <v>1</v>
      </c>
      <c r="I12" s="7">
        <v>0</v>
      </c>
      <c r="J12" s="8">
        <f t="shared" si="2"/>
        <v>0</v>
      </c>
      <c r="K12" s="6">
        <v>12</v>
      </c>
      <c r="L12" s="7">
        <v>0.83299999999999996</v>
      </c>
      <c r="M12" s="8">
        <f t="shared" si="3"/>
        <v>9.9959999999999987</v>
      </c>
      <c r="N12" s="6"/>
      <c r="O12" s="7"/>
      <c r="P12" s="8">
        <f t="shared" si="4"/>
        <v>0</v>
      </c>
      <c r="Q12" s="1"/>
      <c r="R12" s="6">
        <f t="shared" si="5"/>
        <v>24</v>
      </c>
      <c r="S12" s="9">
        <f t="shared" si="6"/>
        <v>0.70808333333333329</v>
      </c>
      <c r="T12" s="9">
        <f t="shared" si="7"/>
        <v>0.04</v>
      </c>
      <c r="U12" s="9">
        <f>R12 / _xlfn.XLOOKUP(A12, Bottom!A:A, Bottom!AA:AA)</f>
        <v>0.12972972972972974</v>
      </c>
      <c r="V12" s="1"/>
      <c r="W12" s="1"/>
    </row>
    <row r="13" spans="1:23" x14ac:dyDescent="0.25">
      <c r="A13" s="1" t="s">
        <v>149</v>
      </c>
      <c r="B13" s="6">
        <v>12</v>
      </c>
      <c r="C13" s="7">
        <v>0.58299999999999996</v>
      </c>
      <c r="D13" s="8">
        <f t="shared" si="0"/>
        <v>6.9959999999999996</v>
      </c>
      <c r="E13" s="6">
        <v>2</v>
      </c>
      <c r="F13" s="7">
        <v>1</v>
      </c>
      <c r="G13" s="8">
        <f t="shared" si="1"/>
        <v>2</v>
      </c>
      <c r="H13" s="6">
        <v>22</v>
      </c>
      <c r="I13" s="7">
        <v>0.68200000000000005</v>
      </c>
      <c r="J13" s="8">
        <f t="shared" si="2"/>
        <v>15.004000000000001</v>
      </c>
      <c r="K13" s="6">
        <v>4</v>
      </c>
      <c r="L13" s="7">
        <v>0.75</v>
      </c>
      <c r="M13" s="8">
        <f t="shared" si="3"/>
        <v>3</v>
      </c>
      <c r="N13" s="6"/>
      <c r="O13" s="7"/>
      <c r="P13" s="8">
        <f t="shared" si="4"/>
        <v>0</v>
      </c>
      <c r="Q13" s="1"/>
      <c r="R13" s="6">
        <f t="shared" si="5"/>
        <v>40</v>
      </c>
      <c r="S13" s="9">
        <f t="shared" si="6"/>
        <v>0.67500000000000004</v>
      </c>
      <c r="T13" s="9">
        <f t="shared" si="7"/>
        <v>6.6666666666666666E-2</v>
      </c>
      <c r="U13" s="9">
        <f>R13 / _xlfn.XLOOKUP(A13, Bottom!A:A, Bottom!AA:AA)</f>
        <v>0.11940298507462686</v>
      </c>
      <c r="V13" s="1"/>
      <c r="W13" s="1"/>
    </row>
    <row r="14" spans="1:23" x14ac:dyDescent="0.25">
      <c r="A14" s="1" t="s">
        <v>138</v>
      </c>
      <c r="B14" s="6">
        <v>24</v>
      </c>
      <c r="C14" s="7">
        <v>0.70799999999999996</v>
      </c>
      <c r="D14" s="8">
        <f t="shared" si="0"/>
        <v>16.991999999999997</v>
      </c>
      <c r="E14" s="6">
        <v>9</v>
      </c>
      <c r="F14" s="7">
        <v>0.66700000000000004</v>
      </c>
      <c r="G14" s="8">
        <f t="shared" si="1"/>
        <v>6.0030000000000001</v>
      </c>
      <c r="H14" s="6">
        <v>2</v>
      </c>
      <c r="I14" s="7">
        <v>0.5</v>
      </c>
      <c r="J14" s="8">
        <f t="shared" si="2"/>
        <v>1</v>
      </c>
      <c r="K14" s="6">
        <v>4</v>
      </c>
      <c r="L14" s="7">
        <v>0.5</v>
      </c>
      <c r="M14" s="8">
        <f t="shared" si="3"/>
        <v>2</v>
      </c>
      <c r="N14" s="6"/>
      <c r="O14" s="7"/>
      <c r="P14" s="8">
        <f t="shared" si="4"/>
        <v>0</v>
      </c>
      <c r="Q14" s="1"/>
      <c r="R14" s="6">
        <f t="shared" si="5"/>
        <v>39</v>
      </c>
      <c r="S14" s="9">
        <f t="shared" si="6"/>
        <v>0.66653846153846152</v>
      </c>
      <c r="T14" s="9">
        <f t="shared" si="7"/>
        <v>6.5000000000000002E-2</v>
      </c>
      <c r="U14" s="9">
        <f>R14 / _xlfn.XLOOKUP(A14, Bottom!A:A, Bottom!AA:AA)</f>
        <v>0.13220338983050847</v>
      </c>
      <c r="V14" s="1"/>
      <c r="W14" s="1"/>
    </row>
    <row r="15" spans="1:23" x14ac:dyDescent="0.25">
      <c r="A15" s="1" t="s">
        <v>148</v>
      </c>
      <c r="B15" s="6"/>
      <c r="C15" s="7"/>
      <c r="D15" s="8">
        <f t="shared" si="0"/>
        <v>0</v>
      </c>
      <c r="E15" s="6"/>
      <c r="F15" s="7"/>
      <c r="G15" s="8">
        <f t="shared" si="1"/>
        <v>0</v>
      </c>
      <c r="H15" s="6">
        <v>7</v>
      </c>
      <c r="I15" s="7">
        <v>0.71399999999999997</v>
      </c>
      <c r="J15" s="8">
        <f t="shared" si="2"/>
        <v>4.9979999999999993</v>
      </c>
      <c r="K15" s="6">
        <v>11</v>
      </c>
      <c r="L15" s="7">
        <v>0.63600000000000001</v>
      </c>
      <c r="M15" s="8">
        <f t="shared" si="3"/>
        <v>6.9960000000000004</v>
      </c>
      <c r="N15" s="6"/>
      <c r="O15" s="7"/>
      <c r="P15" s="8">
        <f t="shared" si="4"/>
        <v>0</v>
      </c>
      <c r="Q15" s="1"/>
      <c r="R15" s="6">
        <f t="shared" si="5"/>
        <v>18</v>
      </c>
      <c r="S15" s="9">
        <f t="shared" si="6"/>
        <v>0.66633333333333333</v>
      </c>
      <c r="T15" s="9">
        <f t="shared" si="7"/>
        <v>0.03</v>
      </c>
      <c r="U15" s="9">
        <f>R15 / _xlfn.XLOOKUP(A15, Bottom!A:A, Bottom!AA:AA)</f>
        <v>8.8669950738916259E-2</v>
      </c>
      <c r="V15" s="1"/>
      <c r="W15" s="1"/>
    </row>
    <row r="16" spans="1:23" x14ac:dyDescent="0.25">
      <c r="A16" s="1" t="s">
        <v>142</v>
      </c>
      <c r="B16" s="6">
        <v>5</v>
      </c>
      <c r="C16" s="7">
        <v>0.4</v>
      </c>
      <c r="D16" s="8">
        <f t="shared" si="0"/>
        <v>2</v>
      </c>
      <c r="E16" s="6">
        <v>3</v>
      </c>
      <c r="F16" s="7">
        <v>0.66700000000000004</v>
      </c>
      <c r="G16" s="8">
        <f t="shared" si="1"/>
        <v>2.0010000000000003</v>
      </c>
      <c r="H16" s="6">
        <v>9</v>
      </c>
      <c r="I16" s="7">
        <v>0.55500000000000005</v>
      </c>
      <c r="J16" s="8">
        <f t="shared" si="2"/>
        <v>4.9950000000000001</v>
      </c>
      <c r="K16" s="6">
        <v>20</v>
      </c>
      <c r="L16" s="7">
        <v>0.75</v>
      </c>
      <c r="M16" s="8">
        <f t="shared" si="3"/>
        <v>15</v>
      </c>
      <c r="N16" s="6"/>
      <c r="O16" s="7"/>
      <c r="P16" s="8">
        <f t="shared" si="4"/>
        <v>0</v>
      </c>
      <c r="Q16" s="1"/>
      <c r="R16" s="6">
        <f t="shared" si="5"/>
        <v>37</v>
      </c>
      <c r="S16" s="9">
        <f t="shared" si="6"/>
        <v>0.64854054054054056</v>
      </c>
      <c r="T16" s="9">
        <f t="shared" si="7"/>
        <v>6.1666666666666668E-2</v>
      </c>
      <c r="U16" s="9">
        <f>R16 / _xlfn.XLOOKUP(A16, Bottom!A:A, Bottom!AA:AA)</f>
        <v>0.12052117263843648</v>
      </c>
      <c r="V16" s="1"/>
      <c r="W16" s="1"/>
    </row>
    <row r="17" spans="1:23" x14ac:dyDescent="0.25">
      <c r="A17" s="1" t="s">
        <v>156</v>
      </c>
      <c r="B17" s="6">
        <v>8</v>
      </c>
      <c r="C17" s="7">
        <v>0.875</v>
      </c>
      <c r="D17" s="8">
        <f t="shared" si="0"/>
        <v>7</v>
      </c>
      <c r="E17" s="6">
        <v>10</v>
      </c>
      <c r="F17" s="7">
        <v>0.5</v>
      </c>
      <c r="G17" s="8">
        <f t="shared" si="1"/>
        <v>5</v>
      </c>
      <c r="H17" s="6">
        <v>6</v>
      </c>
      <c r="I17" s="7">
        <v>0.66700000000000004</v>
      </c>
      <c r="J17" s="8">
        <f t="shared" si="2"/>
        <v>4.0020000000000007</v>
      </c>
      <c r="K17" s="6">
        <v>2</v>
      </c>
      <c r="L17" s="7">
        <v>0</v>
      </c>
      <c r="M17" s="8">
        <f t="shared" si="3"/>
        <v>0</v>
      </c>
      <c r="N17" s="6"/>
      <c r="O17" s="7"/>
      <c r="P17" s="8">
        <f t="shared" si="4"/>
        <v>0</v>
      </c>
      <c r="Q17" s="4"/>
      <c r="R17" s="6">
        <f t="shared" si="5"/>
        <v>26</v>
      </c>
      <c r="S17" s="9">
        <f t="shared" si="6"/>
        <v>0.6154615384615385</v>
      </c>
      <c r="T17" s="9">
        <f t="shared" si="7"/>
        <v>4.3333333333333335E-2</v>
      </c>
      <c r="U17" s="9">
        <f>R17 / _xlfn.XLOOKUP(A17, Bottom!A:A, Bottom!AA:AA)</f>
        <v>0.22807017543859648</v>
      </c>
      <c r="V17" s="1"/>
      <c r="W17" s="1"/>
    </row>
    <row r="18" spans="1:23" x14ac:dyDescent="0.25">
      <c r="A18" s="1" t="s">
        <v>147</v>
      </c>
      <c r="B18" s="6">
        <v>3</v>
      </c>
      <c r="C18" s="7">
        <v>0.33300000000000002</v>
      </c>
      <c r="D18" s="8">
        <f t="shared" si="0"/>
        <v>0.99900000000000011</v>
      </c>
      <c r="E18" s="6">
        <v>2</v>
      </c>
      <c r="F18" s="7">
        <v>0.5</v>
      </c>
      <c r="G18" s="8">
        <f t="shared" si="1"/>
        <v>1</v>
      </c>
      <c r="H18" s="6">
        <v>11</v>
      </c>
      <c r="I18" s="7">
        <v>0.63700000000000001</v>
      </c>
      <c r="J18" s="8">
        <f t="shared" si="2"/>
        <v>7.0069999999999997</v>
      </c>
      <c r="K18" s="6">
        <v>6</v>
      </c>
      <c r="L18" s="7">
        <v>0.66700000000000004</v>
      </c>
      <c r="M18" s="8">
        <f t="shared" si="3"/>
        <v>4.0020000000000007</v>
      </c>
      <c r="N18" s="6"/>
      <c r="O18" s="7"/>
      <c r="P18" s="8">
        <f t="shared" si="4"/>
        <v>0</v>
      </c>
      <c r="Q18" s="1"/>
      <c r="R18" s="6">
        <f t="shared" si="5"/>
        <v>22</v>
      </c>
      <c r="S18" s="9">
        <f t="shared" si="6"/>
        <v>0.59127272727272728</v>
      </c>
      <c r="T18" s="9">
        <f t="shared" si="7"/>
        <v>3.6666666666666667E-2</v>
      </c>
      <c r="U18" s="9">
        <f>R18 / _xlfn.XLOOKUP(A18, Bottom!A:A, Bottom!AA:AA)</f>
        <v>0.10476190476190476</v>
      </c>
      <c r="V18" s="1"/>
      <c r="W18" s="1"/>
    </row>
    <row r="19" spans="1:23" x14ac:dyDescent="0.25">
      <c r="A19" s="1" t="s">
        <v>140</v>
      </c>
      <c r="B19" s="6">
        <v>20</v>
      </c>
      <c r="C19" s="7">
        <v>0.65</v>
      </c>
      <c r="D19" s="8">
        <f t="shared" si="0"/>
        <v>13</v>
      </c>
      <c r="E19" s="6">
        <v>21</v>
      </c>
      <c r="F19" s="7">
        <v>0.52400000000000002</v>
      </c>
      <c r="G19" s="8">
        <f t="shared" si="1"/>
        <v>11.004000000000001</v>
      </c>
      <c r="H19" s="6">
        <v>2</v>
      </c>
      <c r="I19" s="7">
        <v>0.5</v>
      </c>
      <c r="J19" s="8">
        <f t="shared" si="2"/>
        <v>1</v>
      </c>
      <c r="K19" s="6">
        <v>2</v>
      </c>
      <c r="L19" s="7">
        <v>0.5</v>
      </c>
      <c r="M19" s="8">
        <f t="shared" si="3"/>
        <v>1</v>
      </c>
      <c r="N19" s="6"/>
      <c r="O19" s="7"/>
      <c r="P19" s="8">
        <f t="shared" si="4"/>
        <v>0</v>
      </c>
      <c r="Q19" s="4"/>
      <c r="R19" s="6">
        <f t="shared" si="5"/>
        <v>45</v>
      </c>
      <c r="S19" s="9">
        <f t="shared" si="6"/>
        <v>0.57786666666666675</v>
      </c>
      <c r="T19" s="9">
        <f t="shared" si="7"/>
        <v>7.4999999999999997E-2</v>
      </c>
      <c r="U19" s="9">
        <f>R19 / _xlfn.XLOOKUP(A19, Bottom!A:A, Bottom!AA:AA)</f>
        <v>8.6872586872586879E-2</v>
      </c>
      <c r="V19" s="1"/>
      <c r="W19" s="1"/>
    </row>
    <row r="20" spans="1:23" x14ac:dyDescent="0.25">
      <c r="A20" s="1" t="s">
        <v>139</v>
      </c>
      <c r="B20" s="6">
        <v>10</v>
      </c>
      <c r="C20" s="7">
        <v>0.7</v>
      </c>
      <c r="D20" s="8">
        <f t="shared" si="0"/>
        <v>7</v>
      </c>
      <c r="E20" s="6">
        <v>12</v>
      </c>
      <c r="F20" s="7">
        <v>0.58299999999999996</v>
      </c>
      <c r="G20" s="8">
        <f t="shared" si="1"/>
        <v>6.9959999999999996</v>
      </c>
      <c r="H20" s="6">
        <v>8</v>
      </c>
      <c r="I20" s="7">
        <v>0.375</v>
      </c>
      <c r="J20" s="8">
        <f t="shared" si="2"/>
        <v>3</v>
      </c>
      <c r="K20" s="6"/>
      <c r="L20" s="7"/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30</v>
      </c>
      <c r="S20" s="9">
        <f t="shared" si="6"/>
        <v>0.56653333333333333</v>
      </c>
      <c r="T20" s="9">
        <f t="shared" si="7"/>
        <v>0.05</v>
      </c>
      <c r="U20" s="9">
        <f>R20 / _xlfn.XLOOKUP(A20, Bottom!A:A, Bottom!AA:AA)</f>
        <v>5.6390977443609019E-2</v>
      </c>
      <c r="V20" s="1"/>
      <c r="W20" s="1"/>
    </row>
    <row r="21" spans="1:23" x14ac:dyDescent="0.25">
      <c r="A21" s="1" t="s">
        <v>134</v>
      </c>
      <c r="B21" s="6">
        <v>8</v>
      </c>
      <c r="C21" s="7">
        <v>0.875</v>
      </c>
      <c r="D21" s="8">
        <f t="shared" si="0"/>
        <v>7</v>
      </c>
      <c r="E21" s="6">
        <v>2</v>
      </c>
      <c r="F21" s="7">
        <v>0</v>
      </c>
      <c r="G21" s="8">
        <f t="shared" si="1"/>
        <v>0</v>
      </c>
      <c r="H21" s="6">
        <v>4</v>
      </c>
      <c r="I21" s="7">
        <v>0.25</v>
      </c>
      <c r="J21" s="8">
        <f t="shared" si="2"/>
        <v>1</v>
      </c>
      <c r="K21" s="6">
        <v>1</v>
      </c>
      <c r="L21" s="7">
        <v>0</v>
      </c>
      <c r="M21" s="8">
        <f t="shared" si="3"/>
        <v>0</v>
      </c>
      <c r="N21" s="6"/>
      <c r="O21" s="7"/>
      <c r="P21" s="8">
        <f t="shared" si="4"/>
        <v>0</v>
      </c>
      <c r="Q21" s="13"/>
      <c r="R21" s="6">
        <f t="shared" si="5"/>
        <v>15</v>
      </c>
      <c r="S21" s="9">
        <f t="shared" si="6"/>
        <v>0.53333333333333333</v>
      </c>
      <c r="T21" s="9">
        <f t="shared" si="7"/>
        <v>2.5000000000000001E-2</v>
      </c>
      <c r="U21" s="9">
        <f>R21 / _xlfn.XLOOKUP(A21, Bottom!A:A, Bottom!AA:AA)</f>
        <v>3.2751091703056769E-2</v>
      </c>
      <c r="V21" s="1"/>
      <c r="W21" s="1"/>
    </row>
    <row r="22" spans="1:23" x14ac:dyDescent="0.25">
      <c r="A22" s="1" t="s">
        <v>25</v>
      </c>
      <c r="B22" s="6">
        <v>1</v>
      </c>
      <c r="C22" s="7">
        <v>1</v>
      </c>
      <c r="D22" s="8">
        <f t="shared" si="0"/>
        <v>1</v>
      </c>
      <c r="E22" s="6">
        <v>1</v>
      </c>
      <c r="F22" s="7">
        <v>0</v>
      </c>
      <c r="G22" s="8">
        <f t="shared" si="1"/>
        <v>0</v>
      </c>
      <c r="H22" s="6"/>
      <c r="I22" s="7"/>
      <c r="J22" s="8">
        <f t="shared" si="2"/>
        <v>0</v>
      </c>
      <c r="K22" s="6"/>
      <c r="L22" s="7"/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2</v>
      </c>
      <c r="S22" s="9">
        <f t="shared" si="6"/>
        <v>0.5</v>
      </c>
      <c r="T22" s="9">
        <f t="shared" si="7"/>
        <v>3.3333333333333335E-3</v>
      </c>
      <c r="U22" s="9">
        <f>R22 / _xlfn.XLOOKUP(A22, Bottom!A:A, Bottom!AA:AA)</f>
        <v>0.18181818181818182</v>
      </c>
      <c r="V22" s="1"/>
      <c r="W22" s="1"/>
    </row>
    <row r="23" spans="1:23" x14ac:dyDescent="0.25">
      <c r="A23" s="1" t="s">
        <v>153</v>
      </c>
      <c r="B23" s="6">
        <v>1</v>
      </c>
      <c r="C23" s="7">
        <v>0</v>
      </c>
      <c r="D23" s="8">
        <f t="shared" si="0"/>
        <v>0</v>
      </c>
      <c r="E23" s="6">
        <v>2</v>
      </c>
      <c r="F23" s="7">
        <v>1</v>
      </c>
      <c r="G23" s="8">
        <f t="shared" si="1"/>
        <v>2</v>
      </c>
      <c r="H23" s="6">
        <v>3</v>
      </c>
      <c r="I23" s="7">
        <v>0.33300000000000002</v>
      </c>
      <c r="J23" s="8">
        <f t="shared" si="2"/>
        <v>0.99900000000000011</v>
      </c>
      <c r="K23" s="6"/>
      <c r="L23" s="7"/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6</v>
      </c>
      <c r="S23" s="9">
        <f t="shared" si="6"/>
        <v>0.49983333333333335</v>
      </c>
      <c r="T23" s="9">
        <f t="shared" si="7"/>
        <v>0.01</v>
      </c>
      <c r="U23" s="9">
        <f>R23 / _xlfn.XLOOKUP(A23, Bottom!A:A, Bottom!AA:AA)</f>
        <v>0.2</v>
      </c>
      <c r="V23" s="1"/>
      <c r="W23" s="1"/>
    </row>
    <row r="24" spans="1:23" x14ac:dyDescent="0.25">
      <c r="A24" s="1" t="s">
        <v>154</v>
      </c>
      <c r="B24" s="6"/>
      <c r="C24" s="7"/>
      <c r="D24" s="8">
        <f t="shared" si="0"/>
        <v>0</v>
      </c>
      <c r="E24" s="6">
        <v>1</v>
      </c>
      <c r="F24" s="7">
        <v>1</v>
      </c>
      <c r="G24" s="8">
        <f t="shared" si="1"/>
        <v>1</v>
      </c>
      <c r="H24" s="6">
        <v>10</v>
      </c>
      <c r="I24" s="7">
        <v>0.5</v>
      </c>
      <c r="J24" s="8">
        <f t="shared" si="2"/>
        <v>5</v>
      </c>
      <c r="K24" s="6">
        <v>4</v>
      </c>
      <c r="L24" s="7">
        <v>0.25</v>
      </c>
      <c r="M24" s="8">
        <f t="shared" si="3"/>
        <v>1</v>
      </c>
      <c r="N24" s="6"/>
      <c r="O24" s="7"/>
      <c r="P24" s="8">
        <f t="shared" si="4"/>
        <v>0</v>
      </c>
      <c r="Q24" s="1"/>
      <c r="R24" s="6">
        <f t="shared" si="5"/>
        <v>15</v>
      </c>
      <c r="S24" s="9">
        <f t="shared" si="6"/>
        <v>0.46666666666666667</v>
      </c>
      <c r="T24" s="9">
        <f t="shared" si="7"/>
        <v>2.5000000000000001E-2</v>
      </c>
      <c r="U24" s="9">
        <f>R24 / _xlfn.XLOOKUP(A24, Bottom!A:A, Bottom!AA:AA)</f>
        <v>0.12605042016806722</v>
      </c>
      <c r="V24" s="1"/>
      <c r="W24" s="1"/>
    </row>
    <row r="25" spans="1:23" x14ac:dyDescent="0.25">
      <c r="A25" s="25" t="s">
        <v>108</v>
      </c>
      <c r="B25" s="6"/>
      <c r="C25" s="7"/>
      <c r="D25" s="8">
        <f t="shared" si="0"/>
        <v>0</v>
      </c>
      <c r="E25" s="6"/>
      <c r="F25" s="7"/>
      <c r="G25" s="8">
        <f t="shared" si="1"/>
        <v>0</v>
      </c>
      <c r="H25" s="6"/>
      <c r="I25" s="7"/>
      <c r="J25" s="8">
        <f t="shared" si="2"/>
        <v>0</v>
      </c>
      <c r="K25" s="6">
        <v>11</v>
      </c>
      <c r="L25" s="7">
        <v>0.45500000000000002</v>
      </c>
      <c r="M25" s="8">
        <f t="shared" si="3"/>
        <v>5.0049999999999999</v>
      </c>
      <c r="N25" s="6"/>
      <c r="O25" s="7"/>
      <c r="P25" s="8">
        <f t="shared" si="4"/>
        <v>0</v>
      </c>
      <c r="Q25" s="1"/>
      <c r="R25" s="6">
        <f t="shared" si="5"/>
        <v>11</v>
      </c>
      <c r="S25" s="9">
        <f t="shared" si="6"/>
        <v>0.45500000000000002</v>
      </c>
      <c r="T25" s="9">
        <f t="shared" si="7"/>
        <v>1.8333333333333333E-2</v>
      </c>
      <c r="U25" s="9">
        <f>R25 / _xlfn.XLOOKUP(A25, Bottom!A:A, Bottom!AA:AA)</f>
        <v>7.4324324324324328E-2</v>
      </c>
      <c r="V25" s="1"/>
      <c r="W25" s="1"/>
    </row>
    <row r="26" spans="1:23" x14ac:dyDescent="0.25">
      <c r="A26" s="1" t="s">
        <v>150</v>
      </c>
      <c r="B26" s="6">
        <v>2</v>
      </c>
      <c r="C26" s="7">
        <v>1</v>
      </c>
      <c r="D26" s="8">
        <f t="shared" si="0"/>
        <v>2</v>
      </c>
      <c r="E26" s="6">
        <v>14</v>
      </c>
      <c r="F26" s="7">
        <v>0.35699999999999998</v>
      </c>
      <c r="G26" s="8">
        <f t="shared" si="1"/>
        <v>4.9979999999999993</v>
      </c>
      <c r="H26" s="6">
        <v>2</v>
      </c>
      <c r="I26" s="7">
        <v>0</v>
      </c>
      <c r="J26" s="8">
        <f t="shared" si="2"/>
        <v>0</v>
      </c>
      <c r="K26" s="6">
        <v>4</v>
      </c>
      <c r="L26" s="7">
        <v>0.5</v>
      </c>
      <c r="M26" s="8">
        <f t="shared" si="3"/>
        <v>2</v>
      </c>
      <c r="N26" s="6"/>
      <c r="O26" s="7"/>
      <c r="P26" s="8">
        <f t="shared" si="4"/>
        <v>0</v>
      </c>
      <c r="Q26" s="1"/>
      <c r="R26" s="6">
        <f t="shared" si="5"/>
        <v>22</v>
      </c>
      <c r="S26" s="9">
        <f t="shared" si="6"/>
        <v>0.40899999999999997</v>
      </c>
      <c r="T26" s="9">
        <f t="shared" si="7"/>
        <v>3.6666666666666667E-2</v>
      </c>
      <c r="U26" s="9">
        <f>R26 / _xlfn.XLOOKUP(A26, Bottom!A:A, Bottom!AA:AA)</f>
        <v>4.5929018789144051E-2</v>
      </c>
      <c r="V26" s="1"/>
      <c r="W26" s="1"/>
    </row>
    <row r="27" spans="1:23" x14ac:dyDescent="0.25">
      <c r="A27" s="25" t="s">
        <v>213</v>
      </c>
      <c r="B27" s="6"/>
      <c r="C27" s="7"/>
      <c r="D27" s="8">
        <f t="shared" si="0"/>
        <v>0</v>
      </c>
      <c r="E27" s="6"/>
      <c r="F27" s="7"/>
      <c r="G27" s="8">
        <f t="shared" si="1"/>
        <v>0</v>
      </c>
      <c r="H27" s="6"/>
      <c r="I27" s="7"/>
      <c r="J27" s="8">
        <f t="shared" si="2"/>
        <v>0</v>
      </c>
      <c r="K27" s="6">
        <v>4</v>
      </c>
      <c r="L27" s="7">
        <v>0.25</v>
      </c>
      <c r="M27" s="8">
        <f t="shared" si="3"/>
        <v>1</v>
      </c>
      <c r="N27" s="6"/>
      <c r="O27" s="7"/>
      <c r="P27" s="8">
        <f t="shared" si="4"/>
        <v>0</v>
      </c>
      <c r="Q27" s="1"/>
      <c r="R27" s="6">
        <f t="shared" si="5"/>
        <v>4</v>
      </c>
      <c r="S27" s="9">
        <f t="shared" si="6"/>
        <v>0.25</v>
      </c>
      <c r="T27" s="9">
        <f t="shared" si="7"/>
        <v>6.6666666666666671E-3</v>
      </c>
      <c r="U27" s="9">
        <f>R27 / _xlfn.XLOOKUP(A27, Bottom!A:A, Bottom!AA:AA)</f>
        <v>5.2631578947368418E-2</v>
      </c>
      <c r="V27" s="1"/>
      <c r="W27" s="1"/>
    </row>
    <row r="28" spans="1:23" x14ac:dyDescent="0.25">
      <c r="A28" s="17" t="s">
        <v>122</v>
      </c>
      <c r="B28" s="6"/>
      <c r="C28" s="7"/>
      <c r="D28" s="8">
        <f t="shared" si="0"/>
        <v>0</v>
      </c>
      <c r="E28" s="6"/>
      <c r="F28" s="7"/>
      <c r="G28" s="8">
        <f t="shared" si="1"/>
        <v>0</v>
      </c>
      <c r="H28" s="6">
        <v>1</v>
      </c>
      <c r="I28" s="7">
        <v>0</v>
      </c>
      <c r="J28" s="8">
        <f t="shared" si="2"/>
        <v>0</v>
      </c>
      <c r="K28" s="6"/>
      <c r="L28" s="7"/>
      <c r="M28" s="8">
        <f t="shared" si="3"/>
        <v>0</v>
      </c>
      <c r="N28" s="6"/>
      <c r="O28" s="7"/>
      <c r="P28" s="8">
        <f t="shared" si="4"/>
        <v>0</v>
      </c>
      <c r="Q28" s="1"/>
      <c r="R28" s="6">
        <f t="shared" si="5"/>
        <v>1</v>
      </c>
      <c r="S28" s="9">
        <f t="shared" si="6"/>
        <v>0</v>
      </c>
      <c r="T28" s="9">
        <f t="shared" si="7"/>
        <v>1.6666666666666668E-3</v>
      </c>
      <c r="U28" s="9">
        <f>R28 / _xlfn.XLOOKUP(A28, Bottom!A:A, Bottom!AA:AA)</f>
        <v>3.7037037037037035E-2</v>
      </c>
      <c r="V28" s="1"/>
      <c r="W28" s="1"/>
    </row>
    <row r="29" spans="1:23" x14ac:dyDescent="0.25">
      <c r="A29" s="1" t="s">
        <v>39</v>
      </c>
      <c r="B29" s="6">
        <v>1</v>
      </c>
      <c r="C29" s="7">
        <v>0</v>
      </c>
      <c r="D29" s="8">
        <f t="shared" si="0"/>
        <v>0</v>
      </c>
      <c r="E29" s="6"/>
      <c r="F29" s="7"/>
      <c r="G29" s="8">
        <f t="shared" si="1"/>
        <v>0</v>
      </c>
      <c r="H29" s="6"/>
      <c r="I29" s="7"/>
      <c r="J29" s="8">
        <f t="shared" si="2"/>
        <v>0</v>
      </c>
      <c r="K29" s="6"/>
      <c r="L29" s="7"/>
      <c r="M29" s="8">
        <f t="shared" si="3"/>
        <v>0</v>
      </c>
      <c r="N29" s="6"/>
      <c r="O29" s="7"/>
      <c r="P29" s="8">
        <f t="shared" si="4"/>
        <v>0</v>
      </c>
      <c r="Q29" s="1"/>
      <c r="R29" s="6">
        <f t="shared" si="5"/>
        <v>1</v>
      </c>
      <c r="S29" s="9">
        <f t="shared" si="6"/>
        <v>0</v>
      </c>
      <c r="T29" s="9">
        <f t="shared" si="7"/>
        <v>1.6666666666666668E-3</v>
      </c>
      <c r="U29" s="9">
        <f>R29 / _xlfn.XLOOKUP(A29, Bottom!A:A, Bottom!AA:AA)</f>
        <v>1.6393442622950821E-2</v>
      </c>
      <c r="V29" s="1"/>
      <c r="W29" s="1"/>
    </row>
    <row r="30" spans="1:23" x14ac:dyDescent="0.25">
      <c r="A30" s="1" t="s">
        <v>18</v>
      </c>
      <c r="B30" s="6"/>
      <c r="C30" s="7"/>
      <c r="D30" s="8">
        <f t="shared" si="0"/>
        <v>0</v>
      </c>
      <c r="E30" s="6"/>
      <c r="F30" s="7"/>
      <c r="G30" s="8">
        <f t="shared" si="1"/>
        <v>0</v>
      </c>
      <c r="H30" s="6">
        <v>1</v>
      </c>
      <c r="I30" s="7">
        <v>0</v>
      </c>
      <c r="J30" s="8">
        <f t="shared" si="2"/>
        <v>0</v>
      </c>
      <c r="K30" s="6"/>
      <c r="L30" s="7"/>
      <c r="M30" s="8">
        <f t="shared" si="3"/>
        <v>0</v>
      </c>
      <c r="N30" s="6"/>
      <c r="O30" s="7"/>
      <c r="P30" s="8">
        <f t="shared" si="4"/>
        <v>0</v>
      </c>
      <c r="Q30" s="1"/>
      <c r="R30" s="6">
        <f t="shared" si="5"/>
        <v>1</v>
      </c>
      <c r="S30" s="9">
        <f t="shared" si="6"/>
        <v>0</v>
      </c>
      <c r="T30" s="9">
        <f t="shared" si="7"/>
        <v>1.6666666666666668E-3</v>
      </c>
      <c r="U30" s="9">
        <f>R30 / _xlfn.XLOOKUP(A30, Bottom!A:A, Bottom!AA:AA)</f>
        <v>0.5</v>
      </c>
      <c r="V30" s="1"/>
      <c r="W30" s="1"/>
    </row>
    <row r="31" spans="1:23" x14ac:dyDescent="0.25">
      <c r="A31" s="1" t="s">
        <v>34</v>
      </c>
      <c r="B31" s="6"/>
      <c r="C31" s="7"/>
      <c r="D31" s="8">
        <f t="shared" si="0"/>
        <v>0</v>
      </c>
      <c r="E31" s="6"/>
      <c r="F31" s="7"/>
      <c r="G31" s="8">
        <f t="shared" si="1"/>
        <v>0</v>
      </c>
      <c r="H31" s="6">
        <v>1</v>
      </c>
      <c r="I31" s="7">
        <v>0</v>
      </c>
      <c r="J31" s="8">
        <f t="shared" si="2"/>
        <v>0</v>
      </c>
      <c r="K31" s="6"/>
      <c r="L31" s="7"/>
      <c r="M31" s="8">
        <f t="shared" si="3"/>
        <v>0</v>
      </c>
      <c r="N31" s="6"/>
      <c r="O31" s="7"/>
      <c r="P31" s="8">
        <f t="shared" si="4"/>
        <v>0</v>
      </c>
      <c r="Q31" s="1"/>
      <c r="R31" s="6">
        <f t="shared" si="5"/>
        <v>1</v>
      </c>
      <c r="S31" s="9">
        <f t="shared" si="6"/>
        <v>0</v>
      </c>
      <c r="T31" s="9">
        <f t="shared" si="7"/>
        <v>1.6666666666666668E-3</v>
      </c>
      <c r="U31" s="9">
        <f>R31 / _xlfn.XLOOKUP(A31, Bottom!A:A, Bottom!AA:AA)</f>
        <v>0.16666666666666666</v>
      </c>
      <c r="V31" s="1"/>
      <c r="W31" s="1"/>
    </row>
    <row r="32" spans="1:23" x14ac:dyDescent="0.25">
      <c r="A32" s="1"/>
      <c r="B32" s="6"/>
      <c r="C32" s="7"/>
      <c r="D32" s="8">
        <f t="shared" ref="D32:D36" si="8">B32*C32</f>
        <v>0</v>
      </c>
      <c r="E32" s="6"/>
      <c r="F32" s="7"/>
      <c r="G32" s="8">
        <f t="shared" ref="G32:G36" si="9">E32*F32</f>
        <v>0</v>
      </c>
      <c r="H32" s="6"/>
      <c r="I32" s="7"/>
      <c r="J32" s="8">
        <f t="shared" ref="J32:J36" si="10">H32*I32</f>
        <v>0</v>
      </c>
      <c r="K32" s="6"/>
      <c r="L32" s="7"/>
      <c r="M32" s="8">
        <f t="shared" ref="M32:M36" si="11">K32*L32</f>
        <v>0</v>
      </c>
      <c r="N32" s="6"/>
      <c r="O32" s="7"/>
      <c r="P32" s="8">
        <f t="shared" ref="P32:P33" si="12">N32*O32</f>
        <v>0</v>
      </c>
      <c r="Q32" s="1"/>
      <c r="R32" s="6">
        <f t="shared" ref="R32:R33" si="13">B32+E32+H32+K32+N32</f>
        <v>0</v>
      </c>
      <c r="S32" s="9" t="e">
        <f t="shared" ref="S32:S33" si="14">(D32+G32+J32+M32+P32)/R32</f>
        <v>#DIV/0!</v>
      </c>
      <c r="T32" s="9">
        <f t="shared" ref="T32:T33" si="15">R32/$V$3</f>
        <v>0</v>
      </c>
      <c r="U32" s="9" t="e">
        <f>R32 / _xlfn.XLOOKUP(A32, Bottom!A:A, Bottom!AA:AA)</f>
        <v>#DIV/0!</v>
      </c>
      <c r="V32" s="1"/>
      <c r="W32" s="1"/>
    </row>
    <row r="33" spans="1:23" x14ac:dyDescent="0.25">
      <c r="A33" s="1"/>
      <c r="B33" s="6"/>
      <c r="C33" s="7"/>
      <c r="D33" s="8">
        <f t="shared" si="8"/>
        <v>0</v>
      </c>
      <c r="E33" s="6"/>
      <c r="F33" s="7"/>
      <c r="G33" s="8">
        <f t="shared" si="9"/>
        <v>0</v>
      </c>
      <c r="H33" s="6"/>
      <c r="I33" s="7"/>
      <c r="J33" s="8">
        <f t="shared" si="10"/>
        <v>0</v>
      </c>
      <c r="K33" s="6"/>
      <c r="L33" s="7"/>
      <c r="M33" s="8">
        <f t="shared" si="11"/>
        <v>0</v>
      </c>
      <c r="N33" s="6"/>
      <c r="O33" s="7"/>
      <c r="P33" s="8">
        <f t="shared" si="12"/>
        <v>0</v>
      </c>
      <c r="Q33" s="1"/>
      <c r="R33" s="6">
        <f t="shared" si="13"/>
        <v>0</v>
      </c>
      <c r="S33" s="9" t="e">
        <f t="shared" si="14"/>
        <v>#DIV/0!</v>
      </c>
      <c r="T33" s="9">
        <f t="shared" si="15"/>
        <v>0</v>
      </c>
      <c r="U33" s="9" t="e">
        <f>R33 / _xlfn.XLOOKUP(A33, Bottom!A:A, Bottom!AA:AA)</f>
        <v>#DIV/0!</v>
      </c>
      <c r="V33" s="1"/>
      <c r="W33" s="1"/>
    </row>
    <row r="34" spans="1:23" x14ac:dyDescent="0.25">
      <c r="A34" s="1"/>
      <c r="B34" s="6"/>
      <c r="C34" s="7"/>
      <c r="D34" s="8">
        <f t="shared" si="8"/>
        <v>0</v>
      </c>
      <c r="E34" s="6"/>
      <c r="F34" s="7"/>
      <c r="G34" s="8">
        <f t="shared" si="9"/>
        <v>0</v>
      </c>
      <c r="H34" s="6"/>
      <c r="I34" s="7"/>
      <c r="J34" s="8">
        <f t="shared" si="10"/>
        <v>0</v>
      </c>
      <c r="K34" s="6"/>
      <c r="L34" s="7"/>
      <c r="M34" s="8">
        <f t="shared" si="11"/>
        <v>0</v>
      </c>
      <c r="N34" s="6"/>
      <c r="O34" s="7"/>
      <c r="P34" s="8">
        <f t="shared" ref="P34:P55" si="16">N34*O34</f>
        <v>0</v>
      </c>
      <c r="Q34" s="1"/>
      <c r="R34" s="6">
        <f t="shared" ref="R34:R55" si="17">B34+E34+H34+K34+N34</f>
        <v>0</v>
      </c>
      <c r="S34" s="9" t="e">
        <f t="shared" ref="S34:S55" si="18">(D34+G34+J34+M34+P34)/R34</f>
        <v>#DIV/0!</v>
      </c>
      <c r="T34" s="9">
        <f t="shared" ref="T34:T55" si="19">R34/$V$3</f>
        <v>0</v>
      </c>
      <c r="U34" s="9" t="e">
        <f>R34 / _xlfn.XLOOKUP(A34, Bottom!A:A, Bottom!AA:AA)</f>
        <v>#DIV/0!</v>
      </c>
      <c r="V34" s="1"/>
      <c r="W34" s="1"/>
    </row>
    <row r="35" spans="1:23" x14ac:dyDescent="0.25">
      <c r="A35" s="1"/>
      <c r="B35" s="6"/>
      <c r="C35" s="7"/>
      <c r="D35" s="8">
        <f t="shared" si="8"/>
        <v>0</v>
      </c>
      <c r="E35" s="6"/>
      <c r="F35" s="7"/>
      <c r="G35" s="8">
        <f t="shared" si="9"/>
        <v>0</v>
      </c>
      <c r="H35" s="6"/>
      <c r="I35" s="7"/>
      <c r="J35" s="8">
        <f t="shared" si="10"/>
        <v>0</v>
      </c>
      <c r="K35" s="6"/>
      <c r="L35" s="7"/>
      <c r="M35" s="8">
        <f t="shared" si="11"/>
        <v>0</v>
      </c>
      <c r="N35" s="6"/>
      <c r="O35" s="7"/>
      <c r="P35" s="8">
        <f t="shared" si="16"/>
        <v>0</v>
      </c>
      <c r="Q35" s="1"/>
      <c r="R35" s="6">
        <f t="shared" si="17"/>
        <v>0</v>
      </c>
      <c r="S35" s="9" t="e">
        <f t="shared" si="18"/>
        <v>#DIV/0!</v>
      </c>
      <c r="T35" s="9">
        <f t="shared" si="19"/>
        <v>0</v>
      </c>
      <c r="U35" s="9" t="e">
        <f>R35 / _xlfn.XLOOKUP(A35, Bottom!A:A, Bottom!AA:AA)</f>
        <v>#DIV/0!</v>
      </c>
      <c r="V35" s="1"/>
      <c r="W35" s="1"/>
    </row>
    <row r="36" spans="1:23" x14ac:dyDescent="0.25">
      <c r="A36" s="1"/>
      <c r="B36" s="6"/>
      <c r="C36" s="7"/>
      <c r="D36" s="8">
        <f t="shared" si="8"/>
        <v>0</v>
      </c>
      <c r="E36" s="6"/>
      <c r="F36" s="7"/>
      <c r="G36" s="8">
        <f t="shared" si="9"/>
        <v>0</v>
      </c>
      <c r="H36" s="6"/>
      <c r="I36" s="7"/>
      <c r="J36" s="8">
        <f t="shared" si="10"/>
        <v>0</v>
      </c>
      <c r="K36" s="6"/>
      <c r="L36" s="7"/>
      <c r="M36" s="8">
        <f t="shared" si="11"/>
        <v>0</v>
      </c>
      <c r="N36" s="6"/>
      <c r="O36" s="7"/>
      <c r="P36" s="8">
        <f t="shared" si="16"/>
        <v>0</v>
      </c>
      <c r="Q36" s="1"/>
      <c r="R36" s="6">
        <f t="shared" si="17"/>
        <v>0</v>
      </c>
      <c r="S36" s="9" t="e">
        <f t="shared" si="18"/>
        <v>#DIV/0!</v>
      </c>
      <c r="T36" s="9">
        <f t="shared" si="19"/>
        <v>0</v>
      </c>
      <c r="U36" s="9" t="e">
        <f>R36 / _xlfn.XLOOKUP(A36, Bottom!A:A, Bottom!AA:AA)</f>
        <v>#DIV/0!</v>
      </c>
      <c r="V36" s="1"/>
      <c r="W36" s="1"/>
    </row>
    <row r="37" spans="1:23" x14ac:dyDescent="0.25">
      <c r="N37" s="6"/>
      <c r="O37" s="7"/>
      <c r="P37" s="8">
        <f t="shared" si="16"/>
        <v>0</v>
      </c>
      <c r="Q37" s="1"/>
      <c r="R37" s="6">
        <f t="shared" si="17"/>
        <v>0</v>
      </c>
      <c r="S37" s="9" t="e">
        <f t="shared" si="18"/>
        <v>#DIV/0!</v>
      </c>
      <c r="T37" s="9">
        <f t="shared" si="19"/>
        <v>0</v>
      </c>
      <c r="U37" s="9" t="e">
        <f>R37 / _xlfn.XLOOKUP(A37, Bottom!A:A, Bottom!AA:AA)</f>
        <v>#DIV/0!</v>
      </c>
      <c r="V37" s="1"/>
      <c r="W37" s="1"/>
    </row>
    <row r="38" spans="1:23" x14ac:dyDescent="0.25">
      <c r="N38" s="6"/>
      <c r="O38" s="7"/>
      <c r="P38" s="8">
        <f t="shared" si="16"/>
        <v>0</v>
      </c>
      <c r="Q38" s="1"/>
      <c r="R38" s="6">
        <f t="shared" si="17"/>
        <v>0</v>
      </c>
      <c r="S38" s="9" t="e">
        <f t="shared" si="18"/>
        <v>#DIV/0!</v>
      </c>
      <c r="T38" s="9">
        <f t="shared" si="19"/>
        <v>0</v>
      </c>
      <c r="U38" s="9" t="e">
        <f>R38 / _xlfn.XLOOKUP(A38, Bottom!A:A, Bottom!AA:AA)</f>
        <v>#DIV/0!</v>
      </c>
      <c r="V38" s="1"/>
      <c r="W38" s="1"/>
    </row>
    <row r="39" spans="1:23" x14ac:dyDescent="0.25">
      <c r="N39" s="6"/>
      <c r="O39" s="7"/>
      <c r="P39" s="8">
        <f t="shared" si="16"/>
        <v>0</v>
      </c>
      <c r="Q39" s="1"/>
      <c r="R39" s="6">
        <f t="shared" si="17"/>
        <v>0</v>
      </c>
      <c r="S39" s="9" t="e">
        <f t="shared" si="18"/>
        <v>#DIV/0!</v>
      </c>
      <c r="T39" s="9">
        <f t="shared" si="19"/>
        <v>0</v>
      </c>
      <c r="U39" s="9" t="e">
        <f>R39 / _xlfn.XLOOKUP(A39, Bottom!A:A, Bottom!AA:AA)</f>
        <v>#DIV/0!</v>
      </c>
    </row>
    <row r="40" spans="1:23" x14ac:dyDescent="0.25">
      <c r="N40" s="6"/>
      <c r="O40" s="7"/>
      <c r="P40" s="8">
        <f t="shared" si="16"/>
        <v>0</v>
      </c>
      <c r="Q40" s="1"/>
      <c r="R40" s="6">
        <f t="shared" si="17"/>
        <v>0</v>
      </c>
      <c r="S40" s="9" t="e">
        <f t="shared" si="18"/>
        <v>#DIV/0!</v>
      </c>
      <c r="T40" s="9">
        <f t="shared" si="19"/>
        <v>0</v>
      </c>
      <c r="U40" s="9" t="e">
        <f>R40 / _xlfn.XLOOKUP(A40, Bottom!A:A, Bottom!AA:AA)</f>
        <v>#DIV/0!</v>
      </c>
    </row>
    <row r="41" spans="1:23" x14ac:dyDescent="0.25">
      <c r="N41" s="6"/>
      <c r="O41" s="7"/>
      <c r="P41" s="8">
        <f t="shared" si="16"/>
        <v>0</v>
      </c>
      <c r="Q41" s="1"/>
      <c r="R41" s="6">
        <f t="shared" si="17"/>
        <v>0</v>
      </c>
      <c r="S41" s="9" t="e">
        <f t="shared" si="18"/>
        <v>#DIV/0!</v>
      </c>
      <c r="T41" s="9">
        <f t="shared" si="19"/>
        <v>0</v>
      </c>
      <c r="U41" s="9" t="e">
        <f>R41 / _xlfn.XLOOKUP(A41, Bottom!A:A, Bottom!AA:AA)</f>
        <v>#DIV/0!</v>
      </c>
    </row>
    <row r="42" spans="1:23" x14ac:dyDescent="0.25">
      <c r="N42" s="6"/>
      <c r="O42" s="7"/>
      <c r="P42" s="8">
        <f t="shared" si="16"/>
        <v>0</v>
      </c>
      <c r="Q42" s="1"/>
      <c r="R42" s="6">
        <f t="shared" si="17"/>
        <v>0</v>
      </c>
      <c r="S42" s="9" t="e">
        <f t="shared" si="18"/>
        <v>#DIV/0!</v>
      </c>
      <c r="T42" s="9">
        <f t="shared" si="19"/>
        <v>0</v>
      </c>
      <c r="U42" s="9" t="e">
        <f>R42 / _xlfn.XLOOKUP(A42, Bottom!A:A, Bottom!AA:AA)</f>
        <v>#DIV/0!</v>
      </c>
    </row>
    <row r="43" spans="1:23" x14ac:dyDescent="0.25">
      <c r="N43" s="6"/>
      <c r="O43" s="7"/>
      <c r="P43" s="8">
        <f t="shared" si="16"/>
        <v>0</v>
      </c>
      <c r="Q43" s="1"/>
      <c r="R43" s="6">
        <f t="shared" si="17"/>
        <v>0</v>
      </c>
      <c r="S43" s="9" t="e">
        <f t="shared" si="18"/>
        <v>#DIV/0!</v>
      </c>
      <c r="T43" s="9">
        <f t="shared" si="19"/>
        <v>0</v>
      </c>
      <c r="U43" s="9" t="e">
        <f>R43 / _xlfn.XLOOKUP(A43, Bottom!A:A, Bottom!AA:AA)</f>
        <v>#DIV/0!</v>
      </c>
    </row>
    <row r="44" spans="1:23" x14ac:dyDescent="0.25">
      <c r="N44" s="6"/>
      <c r="O44" s="7"/>
      <c r="P44" s="8">
        <f t="shared" si="16"/>
        <v>0</v>
      </c>
      <c r="Q44" s="1"/>
      <c r="R44" s="6">
        <f t="shared" si="17"/>
        <v>0</v>
      </c>
      <c r="S44" s="9" t="e">
        <f t="shared" si="18"/>
        <v>#DIV/0!</v>
      </c>
      <c r="T44" s="9">
        <f t="shared" si="19"/>
        <v>0</v>
      </c>
      <c r="U44" s="9" t="e">
        <f>R44 / _xlfn.XLOOKUP(A44, Bottom!A:A, Bottom!AA:AA)</f>
        <v>#DIV/0!</v>
      </c>
    </row>
    <row r="45" spans="1:23" x14ac:dyDescent="0.25">
      <c r="N45" s="6"/>
      <c r="O45" s="7"/>
      <c r="P45" s="8">
        <f t="shared" si="16"/>
        <v>0</v>
      </c>
      <c r="Q45" s="1"/>
      <c r="R45" s="6">
        <f t="shared" si="17"/>
        <v>0</v>
      </c>
      <c r="S45" s="9" t="e">
        <f t="shared" si="18"/>
        <v>#DIV/0!</v>
      </c>
      <c r="T45" s="9">
        <f t="shared" si="19"/>
        <v>0</v>
      </c>
      <c r="U45" s="9" t="e">
        <f>R45 / _xlfn.XLOOKUP(A45, Bottom!A:A, Bottom!AA:AA)</f>
        <v>#DIV/0!</v>
      </c>
    </row>
    <row r="46" spans="1:23" x14ac:dyDescent="0.25">
      <c r="N46" s="6"/>
      <c r="O46" s="7"/>
      <c r="P46" s="8">
        <f t="shared" si="16"/>
        <v>0</v>
      </c>
      <c r="Q46" s="1"/>
      <c r="R46" s="6">
        <f t="shared" si="17"/>
        <v>0</v>
      </c>
      <c r="S46" s="9" t="e">
        <f t="shared" si="18"/>
        <v>#DIV/0!</v>
      </c>
      <c r="T46" s="9">
        <f t="shared" si="19"/>
        <v>0</v>
      </c>
      <c r="U46" s="9" t="e">
        <f>R46 / _xlfn.XLOOKUP(A46, Bottom!A:A, Bottom!AA:AA)</f>
        <v>#DIV/0!</v>
      </c>
    </row>
    <row r="47" spans="1:23" x14ac:dyDescent="0.25">
      <c r="N47" s="6"/>
      <c r="O47" s="7"/>
      <c r="P47" s="8">
        <f t="shared" si="16"/>
        <v>0</v>
      </c>
      <c r="Q47" s="1"/>
      <c r="R47" s="6">
        <f t="shared" si="17"/>
        <v>0</v>
      </c>
      <c r="S47" s="9" t="e">
        <f t="shared" si="18"/>
        <v>#DIV/0!</v>
      </c>
      <c r="T47" s="9">
        <f t="shared" si="19"/>
        <v>0</v>
      </c>
      <c r="U47" s="9" t="e">
        <f>R47 / _xlfn.XLOOKUP(A47, Bottom!A:A, Bottom!AA:AA)</f>
        <v>#DIV/0!</v>
      </c>
    </row>
    <row r="48" spans="1:23" x14ac:dyDescent="0.25">
      <c r="N48" s="6"/>
      <c r="O48" s="7"/>
      <c r="P48" s="8">
        <f t="shared" si="16"/>
        <v>0</v>
      </c>
      <c r="Q48" s="1"/>
      <c r="R48" s="6">
        <f t="shared" si="17"/>
        <v>0</v>
      </c>
      <c r="S48" s="9" t="e">
        <f t="shared" si="18"/>
        <v>#DIV/0!</v>
      </c>
      <c r="T48" s="9">
        <f t="shared" si="19"/>
        <v>0</v>
      </c>
      <c r="U48" s="9" t="e">
        <f>R48 / _xlfn.XLOOKUP(A48, Bottom!A:A, Bottom!AA:AA)</f>
        <v>#DIV/0!</v>
      </c>
    </row>
    <row r="49" spans="14:21" x14ac:dyDescent="0.25">
      <c r="N49" s="6"/>
      <c r="O49" s="7"/>
      <c r="P49" s="8">
        <f t="shared" si="16"/>
        <v>0</v>
      </c>
      <c r="Q49" s="1"/>
      <c r="R49" s="6">
        <f t="shared" si="17"/>
        <v>0</v>
      </c>
      <c r="S49" s="9" t="e">
        <f t="shared" si="18"/>
        <v>#DIV/0!</v>
      </c>
      <c r="T49" s="9">
        <f t="shared" si="19"/>
        <v>0</v>
      </c>
      <c r="U49" s="9" t="e">
        <f>R49 / _xlfn.XLOOKUP(A49, Bottom!A:A, Bottom!AA:AA)</f>
        <v>#DIV/0!</v>
      </c>
    </row>
    <row r="50" spans="14:21" x14ac:dyDescent="0.25">
      <c r="N50" s="6"/>
      <c r="O50" s="7"/>
      <c r="P50" s="8">
        <f t="shared" si="16"/>
        <v>0</v>
      </c>
      <c r="Q50" s="1"/>
      <c r="R50" s="6">
        <f t="shared" si="17"/>
        <v>0</v>
      </c>
      <c r="S50" s="9" t="e">
        <f t="shared" si="18"/>
        <v>#DIV/0!</v>
      </c>
      <c r="T50" s="9">
        <f t="shared" si="19"/>
        <v>0</v>
      </c>
      <c r="U50" s="9" t="e">
        <f>R50 / _xlfn.XLOOKUP(A50, Bottom!A:A, Bottom!AA:AA)</f>
        <v>#DIV/0!</v>
      </c>
    </row>
    <row r="51" spans="14:21" x14ac:dyDescent="0.25">
      <c r="N51" s="6"/>
      <c r="O51" s="7"/>
      <c r="P51" s="8">
        <f t="shared" si="16"/>
        <v>0</v>
      </c>
      <c r="Q51" s="1"/>
      <c r="R51" s="6">
        <f t="shared" si="17"/>
        <v>0</v>
      </c>
      <c r="S51" s="9" t="e">
        <f t="shared" si="18"/>
        <v>#DIV/0!</v>
      </c>
      <c r="T51" s="9">
        <f t="shared" si="19"/>
        <v>0</v>
      </c>
      <c r="U51" s="9" t="e">
        <f>R51 / _xlfn.XLOOKUP(A51, Bottom!A:A, Bottom!AA:AA)</f>
        <v>#DIV/0!</v>
      </c>
    </row>
    <row r="52" spans="14:21" x14ac:dyDescent="0.25">
      <c r="N52" s="6"/>
      <c r="O52" s="7"/>
      <c r="P52" s="8">
        <f t="shared" si="16"/>
        <v>0</v>
      </c>
      <c r="Q52" s="1"/>
      <c r="R52" s="6">
        <f t="shared" si="17"/>
        <v>0</v>
      </c>
      <c r="S52" s="9" t="e">
        <f t="shared" si="18"/>
        <v>#DIV/0!</v>
      </c>
      <c r="T52" s="9">
        <f t="shared" si="19"/>
        <v>0</v>
      </c>
      <c r="U52" s="9" t="e">
        <f>R52 / _xlfn.XLOOKUP(A52, Bottom!A:A, Bottom!AA:AA)</f>
        <v>#DIV/0!</v>
      </c>
    </row>
    <row r="53" spans="14:21" x14ac:dyDescent="0.25">
      <c r="N53" s="6"/>
      <c r="O53" s="7"/>
      <c r="P53" s="8">
        <f t="shared" si="16"/>
        <v>0</v>
      </c>
      <c r="Q53" s="1"/>
      <c r="R53" s="6">
        <f t="shared" si="17"/>
        <v>0</v>
      </c>
      <c r="S53" s="9" t="e">
        <f t="shared" si="18"/>
        <v>#DIV/0!</v>
      </c>
      <c r="T53" s="9">
        <f t="shared" si="19"/>
        <v>0</v>
      </c>
      <c r="U53" s="9" t="e">
        <f>R53 / _xlfn.XLOOKUP(A53, Bottom!A:A, Bottom!AA:AA)</f>
        <v>#DIV/0!</v>
      </c>
    </row>
    <row r="54" spans="14:21" x14ac:dyDescent="0.25">
      <c r="N54" s="6"/>
      <c r="O54" s="7"/>
      <c r="P54" s="8">
        <f t="shared" si="16"/>
        <v>0</v>
      </c>
      <c r="Q54" s="1"/>
      <c r="R54" s="6">
        <f t="shared" si="17"/>
        <v>0</v>
      </c>
      <c r="S54" s="9" t="e">
        <f t="shared" si="18"/>
        <v>#DIV/0!</v>
      </c>
      <c r="T54" s="9">
        <f t="shared" si="19"/>
        <v>0</v>
      </c>
      <c r="U54" s="9" t="e">
        <f>R54 / _xlfn.XLOOKUP(A54, Bottom!A:A, Bottom!AA:AA)</f>
        <v>#DIV/0!</v>
      </c>
    </row>
    <row r="55" spans="14:21" x14ac:dyDescent="0.25">
      <c r="N55" s="6"/>
      <c r="O55" s="7"/>
      <c r="P55" s="8">
        <f t="shared" si="16"/>
        <v>0</v>
      </c>
      <c r="Q55" s="1"/>
      <c r="R55" s="6">
        <f t="shared" si="17"/>
        <v>0</v>
      </c>
      <c r="S55" s="9" t="e">
        <f t="shared" si="18"/>
        <v>#DIV/0!</v>
      </c>
      <c r="T55" s="9">
        <f t="shared" si="19"/>
        <v>0</v>
      </c>
      <c r="U55" s="9" t="e">
        <f>R55 / _xlfn.XLOOKUP(A55, Bottom!A:A, Bottom!AA:AA)</f>
        <v>#DIV/0!</v>
      </c>
    </row>
  </sheetData>
  <sortState xmlns:xlrd2="http://schemas.microsoft.com/office/spreadsheetml/2017/richdata2" ref="A3:U31">
    <sortCondition descending="1" ref="S3:S31"/>
  </sortState>
  <pageMargins left="0.7" right="0.7" top="0.78740157499999996" bottom="0.78740157499999996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C4998-3784-4E25-8D63-3C78F56595F4}">
  <sheetPr>
    <tabColor theme="5" tint="0.59999389629810485"/>
  </sheetPr>
  <dimension ref="A1:W49"/>
  <sheetViews>
    <sheetView workbookViewId="0">
      <selection activeCell="U3" sqref="U3:U24"/>
    </sheetView>
  </sheetViews>
  <sheetFormatPr baseColWidth="10" defaultRowHeight="15" x14ac:dyDescent="0.25"/>
  <sheetData>
    <row r="1" spans="1:23" ht="15.75" x14ac:dyDescent="0.25">
      <c r="A1" s="2" t="s">
        <v>166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161</v>
      </c>
      <c r="B3" s="6"/>
      <c r="C3" s="7"/>
      <c r="D3" s="8">
        <f t="shared" ref="D3:D24" si="0">B3*C3</f>
        <v>0</v>
      </c>
      <c r="E3" s="6"/>
      <c r="F3" s="7"/>
      <c r="G3" s="8">
        <f t="shared" ref="G3:G24" si="1">E3*F3</f>
        <v>0</v>
      </c>
      <c r="H3" s="6"/>
      <c r="I3" s="7"/>
      <c r="J3" s="8">
        <f t="shared" ref="J3:J24" si="2">H3*I3</f>
        <v>0</v>
      </c>
      <c r="K3" s="6"/>
      <c r="L3" s="7"/>
      <c r="M3" s="8">
        <f t="shared" ref="M3:M24" si="3">K3*L3</f>
        <v>0</v>
      </c>
      <c r="N3" s="6"/>
      <c r="O3" s="7"/>
      <c r="P3" s="8">
        <f t="shared" ref="P3:P24" si="4">N3*O3</f>
        <v>0</v>
      </c>
      <c r="Q3" s="1"/>
      <c r="R3" s="6">
        <f t="shared" ref="R3:R24" si="5">B3+E3+H3+K3+N3</f>
        <v>0</v>
      </c>
      <c r="S3" s="9" t="e">
        <f t="shared" ref="S3:S24" si="6">(D3+G3+J3+M3+P3)/R3</f>
        <v>#DIV/0!</v>
      </c>
      <c r="T3" s="9">
        <f t="shared" ref="T3:T24" si="7">R3/$V$3</f>
        <v>0</v>
      </c>
      <c r="U3" s="9">
        <f>R3 / _xlfn.XLOOKUP(A3, Bottom!A:A, Bottom!AA:AA)</f>
        <v>0</v>
      </c>
      <c r="V3" s="11">
        <f>SUM(R3:R63)</f>
        <v>264</v>
      </c>
      <c r="W3" s="12">
        <f>(SUM(D3:D93)+SUM(G3:G93)+SUM(J3:J93)+SUM(M3:M93)+SUM(P3:P93)) / V3</f>
        <v>0.35616287878787872</v>
      </c>
    </row>
    <row r="4" spans="1:23" x14ac:dyDescent="0.25">
      <c r="A4" s="1" t="s">
        <v>146</v>
      </c>
      <c r="B4" s="6">
        <v>3</v>
      </c>
      <c r="C4" s="7">
        <v>0.66700000000000004</v>
      </c>
      <c r="D4" s="8">
        <f t="shared" si="0"/>
        <v>2.0010000000000003</v>
      </c>
      <c r="E4" s="6"/>
      <c r="F4" s="7"/>
      <c r="G4" s="8">
        <f t="shared" si="1"/>
        <v>0</v>
      </c>
      <c r="H4" s="6"/>
      <c r="I4" s="7"/>
      <c r="J4" s="8">
        <f t="shared" si="2"/>
        <v>0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3</v>
      </c>
      <c r="S4" s="9">
        <f t="shared" si="6"/>
        <v>0.66700000000000015</v>
      </c>
      <c r="T4" s="9">
        <f t="shared" si="7"/>
        <v>1.1363636363636364E-2</v>
      </c>
      <c r="U4" s="9">
        <f>R4 / _xlfn.XLOOKUP(A4, Bottom!A:A, Bottom!AA:AA)</f>
        <v>1.6216216216216217E-2</v>
      </c>
      <c r="V4" s="1"/>
      <c r="W4" s="1"/>
    </row>
    <row r="5" spans="1:23" x14ac:dyDescent="0.25">
      <c r="A5" s="1" t="s">
        <v>139</v>
      </c>
      <c r="B5" s="6">
        <v>10</v>
      </c>
      <c r="C5" s="7">
        <v>0.8</v>
      </c>
      <c r="D5" s="8">
        <f t="shared" si="0"/>
        <v>8</v>
      </c>
      <c r="E5" s="6">
        <v>15</v>
      </c>
      <c r="F5" s="7">
        <v>0.33300000000000002</v>
      </c>
      <c r="G5" s="8">
        <f t="shared" si="1"/>
        <v>4.9950000000000001</v>
      </c>
      <c r="H5" s="6">
        <v>19</v>
      </c>
      <c r="I5" s="7">
        <v>0.57899999999999996</v>
      </c>
      <c r="J5" s="8">
        <f t="shared" si="2"/>
        <v>11.000999999999999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44</v>
      </c>
      <c r="S5" s="9">
        <f t="shared" si="6"/>
        <v>0.54536363636363638</v>
      </c>
      <c r="T5" s="9">
        <f t="shared" si="7"/>
        <v>0.16666666666666666</v>
      </c>
      <c r="U5" s="9">
        <f>R5 / _xlfn.XLOOKUP(A5, Bottom!A:A, Bottom!AA:AA)</f>
        <v>8.2706766917293228E-2</v>
      </c>
      <c r="V5" s="1"/>
      <c r="W5" s="1"/>
    </row>
    <row r="6" spans="1:23" x14ac:dyDescent="0.25">
      <c r="A6" s="1" t="s">
        <v>143</v>
      </c>
      <c r="B6" s="6"/>
      <c r="C6" s="7"/>
      <c r="D6" s="8">
        <f t="shared" si="0"/>
        <v>0</v>
      </c>
      <c r="E6" s="6"/>
      <c r="F6" s="7"/>
      <c r="G6" s="8">
        <f t="shared" si="1"/>
        <v>0</v>
      </c>
      <c r="H6" s="6">
        <v>6</v>
      </c>
      <c r="I6" s="7">
        <v>0.5</v>
      </c>
      <c r="J6" s="8">
        <f t="shared" si="2"/>
        <v>3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1"/>
      <c r="R6" s="6">
        <f t="shared" si="5"/>
        <v>6</v>
      </c>
      <c r="S6" s="9">
        <f t="shared" si="6"/>
        <v>0.5</v>
      </c>
      <c r="T6" s="9">
        <f t="shared" si="7"/>
        <v>2.2727272727272728E-2</v>
      </c>
      <c r="U6" s="9">
        <f>R6 / _xlfn.XLOOKUP(A6, Bottom!A:A, Bottom!AA:AA)</f>
        <v>4.1379310344827586E-2</v>
      </c>
      <c r="V6" s="1"/>
      <c r="W6" s="1"/>
    </row>
    <row r="7" spans="1:23" x14ac:dyDescent="0.25">
      <c r="A7" s="1" t="s">
        <v>159</v>
      </c>
      <c r="B7" s="6">
        <v>1</v>
      </c>
      <c r="C7" s="7">
        <v>0</v>
      </c>
      <c r="D7" s="8">
        <f t="shared" si="0"/>
        <v>0</v>
      </c>
      <c r="E7" s="6">
        <v>1</v>
      </c>
      <c r="F7" s="7">
        <v>1</v>
      </c>
      <c r="G7" s="8">
        <f t="shared" si="1"/>
        <v>1</v>
      </c>
      <c r="H7" s="6"/>
      <c r="I7" s="7"/>
      <c r="J7" s="8">
        <f t="shared" si="2"/>
        <v>0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2</v>
      </c>
      <c r="S7" s="9">
        <f t="shared" si="6"/>
        <v>0.5</v>
      </c>
      <c r="T7" s="9">
        <f t="shared" si="7"/>
        <v>7.575757575757576E-3</v>
      </c>
      <c r="U7" s="9">
        <f>R7 / _xlfn.XLOOKUP(A7, Bottom!A:A, Bottom!AA:AA)</f>
        <v>0.18181818181818182</v>
      </c>
      <c r="V7" s="1"/>
      <c r="W7" s="1"/>
    </row>
    <row r="8" spans="1:23" x14ac:dyDescent="0.25">
      <c r="A8" s="1" t="s">
        <v>35</v>
      </c>
      <c r="B8" s="6"/>
      <c r="C8" s="7"/>
      <c r="D8" s="8">
        <f t="shared" si="0"/>
        <v>0</v>
      </c>
      <c r="E8" s="6">
        <v>11</v>
      </c>
      <c r="F8" s="7">
        <v>0.45500000000000002</v>
      </c>
      <c r="G8" s="8">
        <f t="shared" si="1"/>
        <v>5.0049999999999999</v>
      </c>
      <c r="H8" s="6">
        <v>3</v>
      </c>
      <c r="I8" s="7">
        <v>0.33300000000000002</v>
      </c>
      <c r="J8" s="8">
        <f t="shared" si="2"/>
        <v>0.99900000000000011</v>
      </c>
      <c r="K8" s="6"/>
      <c r="L8" s="7"/>
      <c r="M8" s="8">
        <f t="shared" si="3"/>
        <v>0</v>
      </c>
      <c r="N8" s="6"/>
      <c r="O8" s="7"/>
      <c r="P8" s="8">
        <f t="shared" si="4"/>
        <v>0</v>
      </c>
      <c r="Q8" s="4"/>
      <c r="R8" s="6">
        <f t="shared" si="5"/>
        <v>14</v>
      </c>
      <c r="S8" s="9">
        <f t="shared" si="6"/>
        <v>0.42885714285714283</v>
      </c>
      <c r="T8" s="9">
        <f t="shared" si="7"/>
        <v>5.3030303030303032E-2</v>
      </c>
      <c r="U8" s="9">
        <f>R8 / _xlfn.XLOOKUP(A8, Bottom!A:A, Bottom!AA:AA)</f>
        <v>3.6175710594315243E-2</v>
      </c>
      <c r="V8" s="1"/>
      <c r="W8" s="1"/>
    </row>
    <row r="9" spans="1:23" x14ac:dyDescent="0.25">
      <c r="A9" s="1" t="s">
        <v>138</v>
      </c>
      <c r="B9" s="6">
        <v>10</v>
      </c>
      <c r="C9" s="7">
        <v>0.5</v>
      </c>
      <c r="D9" s="8">
        <f t="shared" si="0"/>
        <v>5</v>
      </c>
      <c r="E9" s="6">
        <v>2</v>
      </c>
      <c r="F9" s="7">
        <v>0</v>
      </c>
      <c r="G9" s="8">
        <f t="shared" si="1"/>
        <v>0</v>
      </c>
      <c r="H9" s="6">
        <v>1</v>
      </c>
      <c r="I9" s="7">
        <v>0</v>
      </c>
      <c r="J9" s="8">
        <f t="shared" si="2"/>
        <v>0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1"/>
      <c r="R9" s="6">
        <f t="shared" si="5"/>
        <v>13</v>
      </c>
      <c r="S9" s="9">
        <f t="shared" si="6"/>
        <v>0.38461538461538464</v>
      </c>
      <c r="T9" s="9">
        <f t="shared" si="7"/>
        <v>4.924242424242424E-2</v>
      </c>
      <c r="U9" s="9">
        <f>R9 / _xlfn.XLOOKUP(A9, Bottom!A:A, Bottom!AA:AA)</f>
        <v>4.4067796610169491E-2</v>
      </c>
      <c r="V9" s="1"/>
      <c r="W9" s="1"/>
    </row>
    <row r="10" spans="1:23" x14ac:dyDescent="0.25">
      <c r="A10" s="1" t="s">
        <v>147</v>
      </c>
      <c r="B10" s="6"/>
      <c r="C10" s="7"/>
      <c r="D10" s="8">
        <f t="shared" si="0"/>
        <v>0</v>
      </c>
      <c r="E10" s="6">
        <v>1</v>
      </c>
      <c r="F10" s="7">
        <v>0</v>
      </c>
      <c r="G10" s="8">
        <f t="shared" si="1"/>
        <v>0</v>
      </c>
      <c r="H10" s="6">
        <v>7</v>
      </c>
      <c r="I10" s="7">
        <v>0.42899999999999999</v>
      </c>
      <c r="J10" s="8">
        <f t="shared" si="2"/>
        <v>3.0030000000000001</v>
      </c>
      <c r="K10" s="6"/>
      <c r="L10" s="7"/>
      <c r="M10" s="8">
        <f t="shared" si="3"/>
        <v>0</v>
      </c>
      <c r="N10" s="6"/>
      <c r="O10" s="7"/>
      <c r="P10" s="8">
        <f t="shared" si="4"/>
        <v>0</v>
      </c>
      <c r="Q10" s="4"/>
      <c r="R10" s="6">
        <f t="shared" si="5"/>
        <v>8</v>
      </c>
      <c r="S10" s="9">
        <f t="shared" si="6"/>
        <v>0.37537500000000001</v>
      </c>
      <c r="T10" s="9">
        <f t="shared" si="7"/>
        <v>3.0303030303030304E-2</v>
      </c>
      <c r="U10" s="9">
        <f>R10 / _xlfn.XLOOKUP(A10, Bottom!A:A, Bottom!AA:AA)</f>
        <v>3.8095238095238099E-2</v>
      </c>
      <c r="V10" s="1"/>
      <c r="W10" s="1"/>
    </row>
    <row r="11" spans="1:23" x14ac:dyDescent="0.25">
      <c r="A11" s="1" t="s">
        <v>141</v>
      </c>
      <c r="B11" s="6">
        <v>12</v>
      </c>
      <c r="C11" s="7">
        <v>0.33300000000000002</v>
      </c>
      <c r="D11" s="8">
        <f t="shared" si="0"/>
        <v>3.9960000000000004</v>
      </c>
      <c r="E11" s="6">
        <v>12</v>
      </c>
      <c r="F11" s="7">
        <v>0.41699999999999998</v>
      </c>
      <c r="G11" s="8">
        <f t="shared" si="1"/>
        <v>5.0039999999999996</v>
      </c>
      <c r="H11" s="6">
        <v>8</v>
      </c>
      <c r="I11" s="7">
        <v>0.375</v>
      </c>
      <c r="J11" s="8">
        <f t="shared" si="2"/>
        <v>3</v>
      </c>
      <c r="K11" s="6"/>
      <c r="L11" s="7"/>
      <c r="M11" s="8">
        <f t="shared" si="3"/>
        <v>0</v>
      </c>
      <c r="N11" s="6"/>
      <c r="O11" s="7"/>
      <c r="P11" s="8">
        <f t="shared" si="4"/>
        <v>0</v>
      </c>
      <c r="Q11" s="4"/>
      <c r="R11" s="6">
        <f t="shared" si="5"/>
        <v>32</v>
      </c>
      <c r="S11" s="9">
        <f t="shared" si="6"/>
        <v>0.375</v>
      </c>
      <c r="T11" s="9">
        <f t="shared" si="7"/>
        <v>0.12121212121212122</v>
      </c>
      <c r="U11" s="9">
        <f>R11 / _xlfn.XLOOKUP(A11, Bottom!A:A, Bottom!AA:AA)</f>
        <v>7.289293849658314E-2</v>
      </c>
      <c r="V11" s="1"/>
      <c r="W11" s="1"/>
    </row>
    <row r="12" spans="1:23" x14ac:dyDescent="0.25">
      <c r="A12" s="1" t="s">
        <v>142</v>
      </c>
      <c r="B12" s="6">
        <v>7</v>
      </c>
      <c r="C12" s="7">
        <v>0.42899999999999999</v>
      </c>
      <c r="D12" s="8">
        <f t="shared" si="0"/>
        <v>3.0030000000000001</v>
      </c>
      <c r="E12" s="6">
        <v>3</v>
      </c>
      <c r="F12" s="7">
        <v>0</v>
      </c>
      <c r="G12" s="8">
        <f t="shared" si="1"/>
        <v>0</v>
      </c>
      <c r="H12" s="6">
        <v>4</v>
      </c>
      <c r="I12" s="7">
        <v>0.5</v>
      </c>
      <c r="J12" s="8">
        <f t="shared" si="2"/>
        <v>2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1"/>
      <c r="R12" s="6">
        <f t="shared" si="5"/>
        <v>14</v>
      </c>
      <c r="S12" s="9">
        <f t="shared" si="6"/>
        <v>0.35735714285714287</v>
      </c>
      <c r="T12" s="9">
        <f t="shared" si="7"/>
        <v>5.3030303030303032E-2</v>
      </c>
      <c r="U12" s="9">
        <f>R12 / _xlfn.XLOOKUP(A12, Bottom!A:A, Bottom!AA:AA)</f>
        <v>4.5602605863192182E-2</v>
      </c>
      <c r="V12" s="1"/>
      <c r="W12" s="1"/>
    </row>
    <row r="13" spans="1:23" x14ac:dyDescent="0.25">
      <c r="A13" s="1" t="s">
        <v>149</v>
      </c>
      <c r="B13" s="6">
        <v>6</v>
      </c>
      <c r="C13" s="7">
        <v>0.5</v>
      </c>
      <c r="D13" s="8">
        <f t="shared" si="0"/>
        <v>3</v>
      </c>
      <c r="E13" s="6">
        <v>2</v>
      </c>
      <c r="F13" s="7">
        <v>0</v>
      </c>
      <c r="G13" s="8">
        <f t="shared" si="1"/>
        <v>0</v>
      </c>
      <c r="H13" s="6">
        <v>7</v>
      </c>
      <c r="I13" s="7">
        <v>0.28599999999999998</v>
      </c>
      <c r="J13" s="8">
        <f t="shared" si="2"/>
        <v>2.0019999999999998</v>
      </c>
      <c r="K13" s="6"/>
      <c r="L13" s="7"/>
      <c r="M13" s="8">
        <f t="shared" si="3"/>
        <v>0</v>
      </c>
      <c r="N13" s="6"/>
      <c r="O13" s="7"/>
      <c r="P13" s="8">
        <f t="shared" si="4"/>
        <v>0</v>
      </c>
      <c r="Q13" s="1"/>
      <c r="R13" s="6">
        <f t="shared" si="5"/>
        <v>15</v>
      </c>
      <c r="S13" s="9">
        <f t="shared" si="6"/>
        <v>0.33346666666666663</v>
      </c>
      <c r="T13" s="9">
        <f t="shared" si="7"/>
        <v>5.6818181818181816E-2</v>
      </c>
      <c r="U13" s="9">
        <f>R13 / _xlfn.XLOOKUP(A13, Bottom!A:A, Bottom!AA:AA)</f>
        <v>4.4776119402985072E-2</v>
      </c>
      <c r="V13" s="1"/>
      <c r="W13" s="1"/>
    </row>
    <row r="14" spans="1:23" x14ac:dyDescent="0.25">
      <c r="A14" s="1" t="s">
        <v>39</v>
      </c>
      <c r="B14" s="6">
        <v>1</v>
      </c>
      <c r="C14" s="7">
        <v>0</v>
      </c>
      <c r="D14" s="8">
        <f t="shared" si="0"/>
        <v>0</v>
      </c>
      <c r="E14" s="6">
        <v>1</v>
      </c>
      <c r="F14" s="7">
        <v>1</v>
      </c>
      <c r="G14" s="8">
        <f t="shared" si="1"/>
        <v>1</v>
      </c>
      <c r="H14" s="6">
        <v>1</v>
      </c>
      <c r="I14" s="7">
        <v>0</v>
      </c>
      <c r="J14" s="8">
        <f t="shared" si="2"/>
        <v>0</v>
      </c>
      <c r="K14" s="6"/>
      <c r="L14" s="7"/>
      <c r="M14" s="8">
        <f t="shared" si="3"/>
        <v>0</v>
      </c>
      <c r="N14" s="6"/>
      <c r="O14" s="7"/>
      <c r="P14" s="8">
        <f t="shared" si="4"/>
        <v>0</v>
      </c>
      <c r="Q14" s="1"/>
      <c r="R14" s="6">
        <f t="shared" si="5"/>
        <v>3</v>
      </c>
      <c r="S14" s="9">
        <f t="shared" si="6"/>
        <v>0.33333333333333331</v>
      </c>
      <c r="T14" s="9">
        <f t="shared" si="7"/>
        <v>1.1363636363636364E-2</v>
      </c>
      <c r="U14" s="9">
        <f>R14 / _xlfn.XLOOKUP(A14, Bottom!A:A, Bottom!AA:AA)</f>
        <v>4.9180327868852458E-2</v>
      </c>
      <c r="V14" s="1"/>
      <c r="W14" s="1"/>
    </row>
    <row r="15" spans="1:23" x14ac:dyDescent="0.25">
      <c r="A15" s="1" t="s">
        <v>151</v>
      </c>
      <c r="B15" s="6">
        <v>3</v>
      </c>
      <c r="C15" s="7">
        <v>0.33300000000000002</v>
      </c>
      <c r="D15" s="8">
        <f t="shared" si="0"/>
        <v>0.99900000000000011</v>
      </c>
      <c r="E15" s="6"/>
      <c r="F15" s="7"/>
      <c r="G15" s="8">
        <f t="shared" si="1"/>
        <v>0</v>
      </c>
      <c r="H15" s="6"/>
      <c r="I15" s="7"/>
      <c r="J15" s="8">
        <f t="shared" si="2"/>
        <v>0</v>
      </c>
      <c r="K15" s="6"/>
      <c r="L15" s="7"/>
      <c r="M15" s="8">
        <f t="shared" si="3"/>
        <v>0</v>
      </c>
      <c r="N15" s="6"/>
      <c r="O15" s="7"/>
      <c r="P15" s="8">
        <f t="shared" si="4"/>
        <v>0</v>
      </c>
      <c r="Q15" s="1"/>
      <c r="R15" s="6">
        <f t="shared" si="5"/>
        <v>3</v>
      </c>
      <c r="S15" s="9">
        <f t="shared" si="6"/>
        <v>0.33300000000000002</v>
      </c>
      <c r="T15" s="9">
        <f t="shared" si="7"/>
        <v>1.1363636363636364E-2</v>
      </c>
      <c r="U15" s="9">
        <f>R15 / _xlfn.XLOOKUP(A15, Bottom!A:A, Bottom!AA:AA)</f>
        <v>1.8867924528301886E-2</v>
      </c>
      <c r="V15" s="1"/>
      <c r="W15" s="1"/>
    </row>
    <row r="16" spans="1:23" x14ac:dyDescent="0.25">
      <c r="A16" s="1" t="s">
        <v>145</v>
      </c>
      <c r="B16" s="6">
        <v>6</v>
      </c>
      <c r="C16" s="7">
        <v>0.16700000000000001</v>
      </c>
      <c r="D16" s="8">
        <f t="shared" si="0"/>
        <v>1.002</v>
      </c>
      <c r="E16" s="6">
        <v>12</v>
      </c>
      <c r="F16" s="7">
        <v>0.25</v>
      </c>
      <c r="G16" s="8">
        <f t="shared" si="1"/>
        <v>3</v>
      </c>
      <c r="H16" s="6">
        <v>16</v>
      </c>
      <c r="I16" s="7">
        <v>0.438</v>
      </c>
      <c r="J16" s="8">
        <f t="shared" si="2"/>
        <v>7.008</v>
      </c>
      <c r="K16" s="6"/>
      <c r="L16" s="7"/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34</v>
      </c>
      <c r="S16" s="9">
        <f t="shared" si="6"/>
        <v>0.32382352941176468</v>
      </c>
      <c r="T16" s="9">
        <f t="shared" si="7"/>
        <v>0.12878787878787878</v>
      </c>
      <c r="U16" s="9">
        <f>R16 / _xlfn.XLOOKUP(A16, Bottom!A:A, Bottom!AA:AA)</f>
        <v>7.3752711496746198E-2</v>
      </c>
      <c r="V16" s="1"/>
      <c r="W16" s="1"/>
    </row>
    <row r="17" spans="1:23" x14ac:dyDescent="0.25">
      <c r="A17" s="1" t="s">
        <v>150</v>
      </c>
      <c r="B17" s="6">
        <v>3</v>
      </c>
      <c r="C17" s="7">
        <v>0.33300000000000002</v>
      </c>
      <c r="D17" s="8">
        <f t="shared" si="0"/>
        <v>0.99900000000000011</v>
      </c>
      <c r="E17" s="6">
        <v>5</v>
      </c>
      <c r="F17" s="7">
        <v>0.4</v>
      </c>
      <c r="G17" s="8">
        <f t="shared" si="1"/>
        <v>2</v>
      </c>
      <c r="H17" s="6">
        <v>5</v>
      </c>
      <c r="I17" s="7">
        <v>0.2</v>
      </c>
      <c r="J17" s="8">
        <f t="shared" si="2"/>
        <v>1</v>
      </c>
      <c r="K17" s="6"/>
      <c r="L17" s="7"/>
      <c r="M17" s="8">
        <f t="shared" si="3"/>
        <v>0</v>
      </c>
      <c r="N17" s="6"/>
      <c r="O17" s="7"/>
      <c r="P17" s="8">
        <f t="shared" si="4"/>
        <v>0</v>
      </c>
      <c r="Q17" s="1"/>
      <c r="R17" s="6">
        <f t="shared" si="5"/>
        <v>13</v>
      </c>
      <c r="S17" s="9">
        <f t="shared" si="6"/>
        <v>0.30761538461538462</v>
      </c>
      <c r="T17" s="9">
        <f t="shared" si="7"/>
        <v>4.924242424242424E-2</v>
      </c>
      <c r="U17" s="9">
        <f>R17 / _xlfn.XLOOKUP(A17, Bottom!A:A, Bottom!AA:AA)</f>
        <v>2.7139874739039668E-2</v>
      </c>
      <c r="V17" s="1"/>
      <c r="W17" s="1"/>
    </row>
    <row r="18" spans="1:23" x14ac:dyDescent="0.25">
      <c r="A18" s="1" t="s">
        <v>134</v>
      </c>
      <c r="B18" s="6">
        <v>3</v>
      </c>
      <c r="C18" s="7">
        <v>0.33300000000000002</v>
      </c>
      <c r="D18" s="8">
        <f t="shared" si="0"/>
        <v>0.99900000000000011</v>
      </c>
      <c r="E18" s="6">
        <v>1</v>
      </c>
      <c r="F18" s="7">
        <v>0</v>
      </c>
      <c r="G18" s="8">
        <f t="shared" si="1"/>
        <v>0</v>
      </c>
      <c r="H18" s="6"/>
      <c r="I18" s="7"/>
      <c r="J18" s="8">
        <f t="shared" si="2"/>
        <v>0</v>
      </c>
      <c r="K18" s="6"/>
      <c r="L18" s="7"/>
      <c r="M18" s="8">
        <f t="shared" si="3"/>
        <v>0</v>
      </c>
      <c r="N18" s="6"/>
      <c r="O18" s="7"/>
      <c r="P18" s="8">
        <f t="shared" si="4"/>
        <v>0</v>
      </c>
      <c r="Q18" s="1"/>
      <c r="R18" s="6">
        <f t="shared" si="5"/>
        <v>4</v>
      </c>
      <c r="S18" s="9">
        <f t="shared" si="6"/>
        <v>0.24975000000000003</v>
      </c>
      <c r="T18" s="9">
        <f t="shared" si="7"/>
        <v>1.5151515151515152E-2</v>
      </c>
      <c r="U18" s="9">
        <f>R18 / _xlfn.XLOOKUP(A18, Bottom!A:A, Bottom!AA:AA)</f>
        <v>8.7336244541484712E-3</v>
      </c>
      <c r="V18" s="1"/>
      <c r="W18" s="1"/>
    </row>
    <row r="19" spans="1:23" x14ac:dyDescent="0.25">
      <c r="A19" s="1" t="s">
        <v>140</v>
      </c>
      <c r="B19" s="6">
        <v>18</v>
      </c>
      <c r="C19" s="7">
        <v>0.16700000000000001</v>
      </c>
      <c r="D19" s="8">
        <f t="shared" si="0"/>
        <v>3.0060000000000002</v>
      </c>
      <c r="E19" s="6">
        <v>23</v>
      </c>
      <c r="F19" s="7">
        <v>0.26100000000000001</v>
      </c>
      <c r="G19" s="8">
        <f t="shared" si="1"/>
        <v>6.0030000000000001</v>
      </c>
      <c r="H19" s="6">
        <v>1</v>
      </c>
      <c r="I19" s="7">
        <v>0</v>
      </c>
      <c r="J19" s="8">
        <f t="shared" si="2"/>
        <v>0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1"/>
      <c r="R19" s="6">
        <f t="shared" si="5"/>
        <v>42</v>
      </c>
      <c r="S19" s="9">
        <f t="shared" si="6"/>
        <v>0.2145</v>
      </c>
      <c r="T19" s="9">
        <f t="shared" si="7"/>
        <v>0.15909090909090909</v>
      </c>
      <c r="U19" s="9">
        <f>R19 / _xlfn.XLOOKUP(A19, Bottom!A:A, Bottom!AA:AA)</f>
        <v>8.1081081081081086E-2</v>
      </c>
      <c r="V19" s="1"/>
      <c r="W19" s="1"/>
    </row>
    <row r="20" spans="1:23" x14ac:dyDescent="0.25">
      <c r="A20" s="1" t="s">
        <v>154</v>
      </c>
      <c r="B20" s="6"/>
      <c r="C20" s="7"/>
      <c r="D20" s="8">
        <f t="shared" si="0"/>
        <v>0</v>
      </c>
      <c r="E20" s="6"/>
      <c r="F20" s="7"/>
      <c r="G20" s="8">
        <f t="shared" si="1"/>
        <v>0</v>
      </c>
      <c r="H20" s="6">
        <v>6</v>
      </c>
      <c r="I20" s="7">
        <v>0.16700000000000001</v>
      </c>
      <c r="J20" s="8">
        <f t="shared" si="2"/>
        <v>1.002</v>
      </c>
      <c r="K20" s="6"/>
      <c r="L20" s="7"/>
      <c r="M20" s="8">
        <f t="shared" si="3"/>
        <v>0</v>
      </c>
      <c r="N20" s="6"/>
      <c r="O20" s="7"/>
      <c r="P20" s="8">
        <f t="shared" si="4"/>
        <v>0</v>
      </c>
      <c r="Q20" s="13"/>
      <c r="R20" s="6">
        <f t="shared" si="5"/>
        <v>6</v>
      </c>
      <c r="S20" s="9">
        <f t="shared" si="6"/>
        <v>0.16700000000000001</v>
      </c>
      <c r="T20" s="9">
        <f t="shared" si="7"/>
        <v>2.2727272727272728E-2</v>
      </c>
      <c r="U20" s="9">
        <f>R20 / _xlfn.XLOOKUP(A20, Bottom!A:A, Bottom!AA:AA)</f>
        <v>5.0420168067226892E-2</v>
      </c>
      <c r="V20" s="1"/>
      <c r="W20" s="1"/>
    </row>
    <row r="21" spans="1:23" x14ac:dyDescent="0.25">
      <c r="A21" s="1" t="s">
        <v>148</v>
      </c>
      <c r="B21" s="6"/>
      <c r="C21" s="7"/>
      <c r="D21" s="8">
        <f t="shared" si="0"/>
        <v>0</v>
      </c>
      <c r="E21" s="6"/>
      <c r="F21" s="7"/>
      <c r="G21" s="8">
        <f t="shared" si="1"/>
        <v>0</v>
      </c>
      <c r="H21" s="6">
        <v>3</v>
      </c>
      <c r="I21" s="7">
        <v>0</v>
      </c>
      <c r="J21" s="8">
        <f t="shared" si="2"/>
        <v>0</v>
      </c>
      <c r="K21" s="6"/>
      <c r="L21" s="7"/>
      <c r="M21" s="8">
        <f t="shared" si="3"/>
        <v>0</v>
      </c>
      <c r="N21" s="6"/>
      <c r="O21" s="7"/>
      <c r="P21" s="8">
        <f t="shared" si="4"/>
        <v>0</v>
      </c>
      <c r="Q21" s="4"/>
      <c r="R21" s="6">
        <f t="shared" si="5"/>
        <v>3</v>
      </c>
      <c r="S21" s="9">
        <f t="shared" si="6"/>
        <v>0</v>
      </c>
      <c r="T21" s="9">
        <f t="shared" si="7"/>
        <v>1.1363636363636364E-2</v>
      </c>
      <c r="U21" s="9">
        <f>R21 / _xlfn.XLOOKUP(A21, Bottom!A:A, Bottom!AA:AA)</f>
        <v>1.4778325123152709E-2</v>
      </c>
      <c r="V21" s="1"/>
      <c r="W21" s="1"/>
    </row>
    <row r="22" spans="1:23" x14ac:dyDescent="0.25">
      <c r="A22" s="1" t="s">
        <v>156</v>
      </c>
      <c r="B22" s="6">
        <v>1</v>
      </c>
      <c r="C22" s="7">
        <v>0</v>
      </c>
      <c r="D22" s="8">
        <f t="shared" si="0"/>
        <v>0</v>
      </c>
      <c r="E22" s="6"/>
      <c r="F22" s="7"/>
      <c r="G22" s="8">
        <f t="shared" si="1"/>
        <v>0</v>
      </c>
      <c r="H22" s="6">
        <v>1</v>
      </c>
      <c r="I22" s="7">
        <v>0</v>
      </c>
      <c r="J22" s="8">
        <f t="shared" si="2"/>
        <v>0</v>
      </c>
      <c r="K22" s="6"/>
      <c r="L22" s="7"/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2</v>
      </c>
      <c r="S22" s="9">
        <f t="shared" si="6"/>
        <v>0</v>
      </c>
      <c r="T22" s="9">
        <f t="shared" si="7"/>
        <v>7.575757575757576E-3</v>
      </c>
      <c r="U22" s="9">
        <f>R22 / _xlfn.XLOOKUP(A22, Bottom!A:A, Bottom!AA:AA)</f>
        <v>1.7543859649122806E-2</v>
      </c>
      <c r="V22" s="1"/>
      <c r="W22" s="1"/>
    </row>
    <row r="23" spans="1:23" x14ac:dyDescent="0.25">
      <c r="A23" s="1" t="s">
        <v>59</v>
      </c>
      <c r="B23" s="6"/>
      <c r="C23" s="7"/>
      <c r="D23" s="8">
        <f t="shared" si="0"/>
        <v>0</v>
      </c>
      <c r="E23" s="6"/>
      <c r="F23" s="7"/>
      <c r="G23" s="8">
        <f t="shared" si="1"/>
        <v>0</v>
      </c>
      <c r="H23" s="6">
        <v>2</v>
      </c>
      <c r="I23" s="7">
        <v>0</v>
      </c>
      <c r="J23" s="8">
        <f t="shared" si="2"/>
        <v>0</v>
      </c>
      <c r="K23" s="6"/>
      <c r="L23" s="7"/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2</v>
      </c>
      <c r="S23" s="9">
        <f t="shared" si="6"/>
        <v>0</v>
      </c>
      <c r="T23" s="9">
        <f t="shared" si="7"/>
        <v>7.575757575757576E-3</v>
      </c>
      <c r="U23" s="9">
        <f>R23 / _xlfn.XLOOKUP(A23, Bottom!A:A, Bottom!AA:AA)</f>
        <v>3.9215686274509803E-2</v>
      </c>
      <c r="V23" s="1"/>
      <c r="W23" s="1"/>
    </row>
    <row r="24" spans="1:23" x14ac:dyDescent="0.25">
      <c r="A24" s="1" t="s">
        <v>122</v>
      </c>
      <c r="B24" s="6"/>
      <c r="C24" s="7"/>
      <c r="D24" s="8">
        <f t="shared" si="0"/>
        <v>0</v>
      </c>
      <c r="E24" s="6"/>
      <c r="F24" s="7"/>
      <c r="G24" s="8">
        <f t="shared" si="1"/>
        <v>0</v>
      </c>
      <c r="H24" s="6">
        <v>1</v>
      </c>
      <c r="I24" s="7">
        <v>0</v>
      </c>
      <c r="J24" s="8">
        <f t="shared" si="2"/>
        <v>0</v>
      </c>
      <c r="K24" s="6"/>
      <c r="L24" s="7"/>
      <c r="M24" s="8">
        <f t="shared" si="3"/>
        <v>0</v>
      </c>
      <c r="N24" s="6"/>
      <c r="O24" s="7"/>
      <c r="P24" s="8">
        <f t="shared" si="4"/>
        <v>0</v>
      </c>
      <c r="Q24" s="1"/>
      <c r="R24" s="6">
        <f t="shared" si="5"/>
        <v>1</v>
      </c>
      <c r="S24" s="9">
        <f t="shared" si="6"/>
        <v>0</v>
      </c>
      <c r="T24" s="9">
        <f t="shared" si="7"/>
        <v>3.787878787878788E-3</v>
      </c>
      <c r="U24" s="9">
        <f>R24 / _xlfn.XLOOKUP(A24, Bottom!A:A, Bottom!AA:AA)</f>
        <v>3.7037037037037035E-2</v>
      </c>
      <c r="V24" s="1"/>
      <c r="W24" s="1"/>
    </row>
    <row r="25" spans="1:23" x14ac:dyDescent="0.25">
      <c r="A25" s="1"/>
      <c r="B25" s="6"/>
      <c r="C25" s="7"/>
      <c r="D25" s="8">
        <f t="shared" ref="D25:D30" si="8">B25*C25</f>
        <v>0</v>
      </c>
      <c r="E25" s="6"/>
      <c r="F25" s="7"/>
      <c r="G25" s="8">
        <f t="shared" ref="G25:G30" si="9">E25*F25</f>
        <v>0</v>
      </c>
      <c r="H25" s="6"/>
      <c r="I25" s="7"/>
      <c r="J25" s="8">
        <f t="shared" ref="J25:J30" si="10">H25*I25</f>
        <v>0</v>
      </c>
      <c r="K25" s="6"/>
      <c r="L25" s="7"/>
      <c r="M25" s="8">
        <f t="shared" ref="M25:M30" si="11">K25*L25</f>
        <v>0</v>
      </c>
      <c r="N25" s="6"/>
      <c r="O25" s="7"/>
      <c r="P25" s="8">
        <f t="shared" ref="P25:P27" si="12">N25*O25</f>
        <v>0</v>
      </c>
      <c r="Q25" s="1"/>
      <c r="R25" s="6">
        <f t="shared" ref="R25:R27" si="13">B25+E25+H25+K25+N25</f>
        <v>0</v>
      </c>
      <c r="S25" s="9" t="e">
        <f t="shared" ref="S25:S27" si="14">(D25+G25+J25+M25+P25)/R25</f>
        <v>#DIV/0!</v>
      </c>
      <c r="T25" s="9">
        <f t="shared" ref="T25:T27" si="15">R25/$V$3</f>
        <v>0</v>
      </c>
      <c r="U25" s="9" t="e">
        <f>R25 / _xlfn.XLOOKUP(A25, Bottom!A:A, Bottom!AA:AA)</f>
        <v>#DIV/0!</v>
      </c>
      <c r="V25" s="1"/>
      <c r="W25" s="1"/>
    </row>
    <row r="26" spans="1:23" x14ac:dyDescent="0.25">
      <c r="A26" s="1"/>
      <c r="B26" s="6"/>
      <c r="C26" s="7"/>
      <c r="D26" s="8">
        <f t="shared" si="8"/>
        <v>0</v>
      </c>
      <c r="E26" s="6"/>
      <c r="F26" s="7"/>
      <c r="G26" s="8">
        <f t="shared" si="9"/>
        <v>0</v>
      </c>
      <c r="H26" s="6"/>
      <c r="I26" s="7"/>
      <c r="J26" s="8">
        <f t="shared" si="10"/>
        <v>0</v>
      </c>
      <c r="K26" s="6"/>
      <c r="L26" s="7"/>
      <c r="M26" s="8">
        <f t="shared" si="11"/>
        <v>0</v>
      </c>
      <c r="N26" s="6"/>
      <c r="O26" s="7"/>
      <c r="P26" s="8">
        <f t="shared" si="12"/>
        <v>0</v>
      </c>
      <c r="Q26" s="1"/>
      <c r="R26" s="6">
        <f t="shared" si="13"/>
        <v>0</v>
      </c>
      <c r="S26" s="9" t="e">
        <f t="shared" si="14"/>
        <v>#DIV/0!</v>
      </c>
      <c r="T26" s="9">
        <f t="shared" si="15"/>
        <v>0</v>
      </c>
      <c r="U26" s="9" t="e">
        <f>R26 / _xlfn.XLOOKUP(A26, Bottom!A:A, Bottom!AA:AA)</f>
        <v>#DIV/0!</v>
      </c>
      <c r="V26" s="1"/>
      <c r="W26" s="1"/>
    </row>
    <row r="27" spans="1:23" x14ac:dyDescent="0.25">
      <c r="A27" s="1"/>
      <c r="B27" s="6"/>
      <c r="C27" s="7"/>
      <c r="D27" s="8">
        <f t="shared" si="8"/>
        <v>0</v>
      </c>
      <c r="E27" s="6"/>
      <c r="F27" s="7"/>
      <c r="G27" s="8">
        <f t="shared" si="9"/>
        <v>0</v>
      </c>
      <c r="H27" s="6"/>
      <c r="I27" s="7"/>
      <c r="J27" s="8">
        <f t="shared" si="10"/>
        <v>0</v>
      </c>
      <c r="K27" s="6"/>
      <c r="L27" s="7"/>
      <c r="M27" s="8">
        <f t="shared" si="11"/>
        <v>0</v>
      </c>
      <c r="N27" s="6"/>
      <c r="O27" s="7"/>
      <c r="P27" s="8">
        <f t="shared" si="12"/>
        <v>0</v>
      </c>
      <c r="Q27" s="1"/>
      <c r="R27" s="6">
        <f t="shared" si="13"/>
        <v>0</v>
      </c>
      <c r="S27" s="9" t="e">
        <f t="shared" si="14"/>
        <v>#DIV/0!</v>
      </c>
      <c r="T27" s="9">
        <f t="shared" si="15"/>
        <v>0</v>
      </c>
      <c r="U27" s="9" t="e">
        <f>R27 / _xlfn.XLOOKUP(A27, Bottom!A:A, Bottom!AA:AA)</f>
        <v>#DIV/0!</v>
      </c>
      <c r="V27" s="1"/>
      <c r="W27" s="1"/>
    </row>
    <row r="28" spans="1:23" x14ac:dyDescent="0.25">
      <c r="A28" s="1"/>
      <c r="B28" s="6"/>
      <c r="C28" s="7"/>
      <c r="D28" s="8">
        <f t="shared" si="8"/>
        <v>0</v>
      </c>
      <c r="E28" s="6"/>
      <c r="F28" s="7"/>
      <c r="G28" s="8">
        <f t="shared" si="9"/>
        <v>0</v>
      </c>
      <c r="H28" s="6"/>
      <c r="I28" s="7"/>
      <c r="J28" s="8">
        <f t="shared" si="10"/>
        <v>0</v>
      </c>
      <c r="K28" s="6"/>
      <c r="L28" s="7"/>
      <c r="M28" s="8">
        <f t="shared" si="11"/>
        <v>0</v>
      </c>
      <c r="N28" s="6"/>
      <c r="O28" s="7"/>
      <c r="P28" s="8">
        <f t="shared" ref="P28:P49" si="16">N28*O28</f>
        <v>0</v>
      </c>
      <c r="Q28" s="1"/>
      <c r="R28" s="6">
        <f t="shared" ref="R28:R49" si="17">B28+E28+H28+K28+N28</f>
        <v>0</v>
      </c>
      <c r="S28" s="9" t="e">
        <f t="shared" ref="S28:S49" si="18">(D28+G28+J28+M28+P28)/R28</f>
        <v>#DIV/0!</v>
      </c>
      <c r="T28" s="9">
        <f t="shared" ref="T28:T49" si="19">R28/$V$3</f>
        <v>0</v>
      </c>
      <c r="U28" s="9" t="e">
        <f>R28 / _xlfn.XLOOKUP(A28, Bottom!A:A, Bottom!AA:AA)</f>
        <v>#DIV/0!</v>
      </c>
      <c r="V28" s="1"/>
      <c r="W28" s="1"/>
    </row>
    <row r="29" spans="1:23" x14ac:dyDescent="0.25">
      <c r="A29" s="1"/>
      <c r="B29" s="6"/>
      <c r="C29" s="7"/>
      <c r="D29" s="8">
        <f t="shared" si="8"/>
        <v>0</v>
      </c>
      <c r="E29" s="6"/>
      <c r="F29" s="7"/>
      <c r="G29" s="8">
        <f t="shared" si="9"/>
        <v>0</v>
      </c>
      <c r="H29" s="6"/>
      <c r="I29" s="7"/>
      <c r="J29" s="8">
        <f t="shared" si="10"/>
        <v>0</v>
      </c>
      <c r="K29" s="6"/>
      <c r="L29" s="7"/>
      <c r="M29" s="8">
        <f t="shared" si="11"/>
        <v>0</v>
      </c>
      <c r="N29" s="6"/>
      <c r="O29" s="7"/>
      <c r="P29" s="8">
        <f t="shared" si="16"/>
        <v>0</v>
      </c>
      <c r="Q29" s="1"/>
      <c r="R29" s="6">
        <f t="shared" si="17"/>
        <v>0</v>
      </c>
      <c r="S29" s="9" t="e">
        <f t="shared" si="18"/>
        <v>#DIV/0!</v>
      </c>
      <c r="T29" s="9">
        <f t="shared" si="19"/>
        <v>0</v>
      </c>
      <c r="U29" s="9" t="e">
        <f>R29 / _xlfn.XLOOKUP(A29, Bottom!A:A, Bottom!AA:AA)</f>
        <v>#DIV/0!</v>
      </c>
      <c r="V29" s="1"/>
      <c r="W29" s="1"/>
    </row>
    <row r="30" spans="1:23" x14ac:dyDescent="0.25">
      <c r="A30" s="1"/>
      <c r="B30" s="6"/>
      <c r="C30" s="7"/>
      <c r="D30" s="8">
        <f t="shared" si="8"/>
        <v>0</v>
      </c>
      <c r="E30" s="6"/>
      <c r="F30" s="7"/>
      <c r="G30" s="8">
        <f t="shared" si="9"/>
        <v>0</v>
      </c>
      <c r="H30" s="6"/>
      <c r="I30" s="7"/>
      <c r="J30" s="8">
        <f t="shared" si="10"/>
        <v>0</v>
      </c>
      <c r="K30" s="6"/>
      <c r="L30" s="7"/>
      <c r="M30" s="8">
        <f t="shared" si="11"/>
        <v>0</v>
      </c>
      <c r="N30" s="6"/>
      <c r="O30" s="7"/>
      <c r="P30" s="8">
        <f t="shared" si="16"/>
        <v>0</v>
      </c>
      <c r="Q30" s="1"/>
      <c r="R30" s="6">
        <f t="shared" si="17"/>
        <v>0</v>
      </c>
      <c r="S30" s="9" t="e">
        <f t="shared" si="18"/>
        <v>#DIV/0!</v>
      </c>
      <c r="T30" s="9">
        <f t="shared" si="19"/>
        <v>0</v>
      </c>
      <c r="U30" s="9" t="e">
        <f>R30 / _xlfn.XLOOKUP(A30, Bottom!A:A, Bottom!AA:AA)</f>
        <v>#DIV/0!</v>
      </c>
      <c r="V30" s="1"/>
      <c r="W30" s="1"/>
    </row>
    <row r="31" spans="1:23" x14ac:dyDescent="0.25">
      <c r="N31" s="6"/>
      <c r="O31" s="7"/>
      <c r="P31" s="8">
        <f t="shared" si="16"/>
        <v>0</v>
      </c>
      <c r="Q31" s="1"/>
      <c r="R31" s="6">
        <f t="shared" si="17"/>
        <v>0</v>
      </c>
      <c r="S31" s="9" t="e">
        <f t="shared" si="18"/>
        <v>#DIV/0!</v>
      </c>
      <c r="T31" s="9">
        <f t="shared" si="19"/>
        <v>0</v>
      </c>
      <c r="U31" s="9" t="e">
        <f>R31 / _xlfn.XLOOKUP(A31, Bottom!A:A, Bottom!AA:AA)</f>
        <v>#DIV/0!</v>
      </c>
      <c r="V31" s="1"/>
      <c r="W31" s="1"/>
    </row>
    <row r="32" spans="1:23" x14ac:dyDescent="0.25">
      <c r="N32" s="6"/>
      <c r="O32" s="7"/>
      <c r="P32" s="8">
        <f t="shared" si="16"/>
        <v>0</v>
      </c>
      <c r="Q32" s="1"/>
      <c r="R32" s="6">
        <f t="shared" si="17"/>
        <v>0</v>
      </c>
      <c r="S32" s="9" t="e">
        <f t="shared" si="18"/>
        <v>#DIV/0!</v>
      </c>
      <c r="T32" s="9">
        <f t="shared" si="19"/>
        <v>0</v>
      </c>
      <c r="U32" s="9" t="e">
        <f>R32 / _xlfn.XLOOKUP(A32, Bottom!A:A, Bottom!AA:AA)</f>
        <v>#DIV/0!</v>
      </c>
      <c r="V32" s="1"/>
      <c r="W32" s="1"/>
    </row>
    <row r="33" spans="14:21" x14ac:dyDescent="0.25">
      <c r="N33" s="6"/>
      <c r="O33" s="7"/>
      <c r="P33" s="8">
        <f t="shared" si="16"/>
        <v>0</v>
      </c>
      <c r="Q33" s="1"/>
      <c r="R33" s="6">
        <f t="shared" si="17"/>
        <v>0</v>
      </c>
      <c r="S33" s="9" t="e">
        <f t="shared" si="18"/>
        <v>#DIV/0!</v>
      </c>
      <c r="T33" s="9">
        <f t="shared" si="19"/>
        <v>0</v>
      </c>
      <c r="U33" s="9" t="e">
        <f>R33 / _xlfn.XLOOKUP(A33, Bottom!A:A, Bottom!AA:AA)</f>
        <v>#DIV/0!</v>
      </c>
    </row>
    <row r="34" spans="14:21" x14ac:dyDescent="0.25">
      <c r="N34" s="6"/>
      <c r="O34" s="7"/>
      <c r="P34" s="8">
        <f t="shared" si="16"/>
        <v>0</v>
      </c>
      <c r="Q34" s="1"/>
      <c r="R34" s="6">
        <f t="shared" si="17"/>
        <v>0</v>
      </c>
      <c r="S34" s="9" t="e">
        <f t="shared" si="18"/>
        <v>#DIV/0!</v>
      </c>
      <c r="T34" s="9">
        <f t="shared" si="19"/>
        <v>0</v>
      </c>
      <c r="U34" s="9" t="e">
        <f>R34 / _xlfn.XLOOKUP(A34, Bottom!A:A, Bottom!AA:AA)</f>
        <v>#DIV/0!</v>
      </c>
    </row>
    <row r="35" spans="14:21" x14ac:dyDescent="0.25">
      <c r="N35" s="6"/>
      <c r="O35" s="7"/>
      <c r="P35" s="8">
        <f t="shared" si="16"/>
        <v>0</v>
      </c>
      <c r="Q35" s="1"/>
      <c r="R35" s="6">
        <f t="shared" si="17"/>
        <v>0</v>
      </c>
      <c r="S35" s="9" t="e">
        <f t="shared" si="18"/>
        <v>#DIV/0!</v>
      </c>
      <c r="T35" s="9">
        <f t="shared" si="19"/>
        <v>0</v>
      </c>
      <c r="U35" s="9" t="e">
        <f>R35 / _xlfn.XLOOKUP(A35, Bottom!A:A, Bottom!AA:AA)</f>
        <v>#DIV/0!</v>
      </c>
    </row>
    <row r="36" spans="14:21" x14ac:dyDescent="0.25">
      <c r="N36" s="6"/>
      <c r="O36" s="7"/>
      <c r="P36" s="8">
        <f t="shared" si="16"/>
        <v>0</v>
      </c>
      <c r="Q36" s="1"/>
      <c r="R36" s="6">
        <f t="shared" si="17"/>
        <v>0</v>
      </c>
      <c r="S36" s="9" t="e">
        <f t="shared" si="18"/>
        <v>#DIV/0!</v>
      </c>
      <c r="T36" s="9">
        <f t="shared" si="19"/>
        <v>0</v>
      </c>
      <c r="U36" s="9" t="e">
        <f>R36 / _xlfn.XLOOKUP(A36, Bottom!A:A, Bottom!AA:AA)</f>
        <v>#DIV/0!</v>
      </c>
    </row>
    <row r="37" spans="14:21" x14ac:dyDescent="0.25">
      <c r="N37" s="6"/>
      <c r="O37" s="7"/>
      <c r="P37" s="8">
        <f t="shared" si="16"/>
        <v>0</v>
      </c>
      <c r="Q37" s="1"/>
      <c r="R37" s="6">
        <f t="shared" si="17"/>
        <v>0</v>
      </c>
      <c r="S37" s="9" t="e">
        <f t="shared" si="18"/>
        <v>#DIV/0!</v>
      </c>
      <c r="T37" s="9">
        <f t="shared" si="19"/>
        <v>0</v>
      </c>
      <c r="U37" s="9" t="e">
        <f>R37 / _xlfn.XLOOKUP(A37, Bottom!A:A, Bottom!AA:AA)</f>
        <v>#DIV/0!</v>
      </c>
    </row>
    <row r="38" spans="14:21" x14ac:dyDescent="0.25">
      <c r="N38" s="6"/>
      <c r="O38" s="7"/>
      <c r="P38" s="8">
        <f t="shared" si="16"/>
        <v>0</v>
      </c>
      <c r="Q38" s="1"/>
      <c r="R38" s="6">
        <f t="shared" si="17"/>
        <v>0</v>
      </c>
      <c r="S38" s="9" t="e">
        <f t="shared" si="18"/>
        <v>#DIV/0!</v>
      </c>
      <c r="T38" s="9">
        <f t="shared" si="19"/>
        <v>0</v>
      </c>
      <c r="U38" s="9" t="e">
        <f>R38 / _xlfn.XLOOKUP(A38, Bottom!A:A, Bottom!AA:AA)</f>
        <v>#DIV/0!</v>
      </c>
    </row>
    <row r="39" spans="14:21" x14ac:dyDescent="0.25">
      <c r="N39" s="6"/>
      <c r="O39" s="7"/>
      <c r="P39" s="8">
        <f t="shared" si="16"/>
        <v>0</v>
      </c>
      <c r="Q39" s="1"/>
      <c r="R39" s="6">
        <f t="shared" si="17"/>
        <v>0</v>
      </c>
      <c r="S39" s="9" t="e">
        <f t="shared" si="18"/>
        <v>#DIV/0!</v>
      </c>
      <c r="T39" s="9">
        <f t="shared" si="19"/>
        <v>0</v>
      </c>
      <c r="U39" s="9" t="e">
        <f>R39 / _xlfn.XLOOKUP(A39, Bottom!A:A, Bottom!AA:AA)</f>
        <v>#DIV/0!</v>
      </c>
    </row>
    <row r="40" spans="14:21" x14ac:dyDescent="0.25">
      <c r="N40" s="6"/>
      <c r="O40" s="7"/>
      <c r="P40" s="8">
        <f t="shared" si="16"/>
        <v>0</v>
      </c>
      <c r="Q40" s="1"/>
      <c r="R40" s="6">
        <f t="shared" si="17"/>
        <v>0</v>
      </c>
      <c r="S40" s="9" t="e">
        <f t="shared" si="18"/>
        <v>#DIV/0!</v>
      </c>
      <c r="T40" s="9">
        <f t="shared" si="19"/>
        <v>0</v>
      </c>
      <c r="U40" s="9" t="e">
        <f>R40 / _xlfn.XLOOKUP(A40, Bottom!A:A, Bottom!AA:AA)</f>
        <v>#DIV/0!</v>
      </c>
    </row>
    <row r="41" spans="14:21" x14ac:dyDescent="0.25">
      <c r="N41" s="6"/>
      <c r="O41" s="7"/>
      <c r="P41" s="8">
        <f t="shared" si="16"/>
        <v>0</v>
      </c>
      <c r="Q41" s="1"/>
      <c r="R41" s="6">
        <f t="shared" si="17"/>
        <v>0</v>
      </c>
      <c r="S41" s="9" t="e">
        <f t="shared" si="18"/>
        <v>#DIV/0!</v>
      </c>
      <c r="T41" s="9">
        <f t="shared" si="19"/>
        <v>0</v>
      </c>
      <c r="U41" s="9" t="e">
        <f>R41 / _xlfn.XLOOKUP(A41, Bottom!A:A, Bottom!AA:AA)</f>
        <v>#DIV/0!</v>
      </c>
    </row>
    <row r="42" spans="14:21" x14ac:dyDescent="0.25">
      <c r="N42" s="6"/>
      <c r="O42" s="7"/>
      <c r="P42" s="8">
        <f t="shared" si="16"/>
        <v>0</v>
      </c>
      <c r="Q42" s="1"/>
      <c r="R42" s="6">
        <f t="shared" si="17"/>
        <v>0</v>
      </c>
      <c r="S42" s="9" t="e">
        <f t="shared" si="18"/>
        <v>#DIV/0!</v>
      </c>
      <c r="T42" s="9">
        <f t="shared" si="19"/>
        <v>0</v>
      </c>
      <c r="U42" s="9" t="e">
        <f>R42 / _xlfn.XLOOKUP(A42, Bottom!A:A, Bottom!AA:AA)</f>
        <v>#DIV/0!</v>
      </c>
    </row>
    <row r="43" spans="14:21" x14ac:dyDescent="0.25">
      <c r="N43" s="6"/>
      <c r="O43" s="7"/>
      <c r="P43" s="8">
        <f t="shared" si="16"/>
        <v>0</v>
      </c>
      <c r="Q43" s="1"/>
      <c r="R43" s="6">
        <f t="shared" si="17"/>
        <v>0</v>
      </c>
      <c r="S43" s="9" t="e">
        <f t="shared" si="18"/>
        <v>#DIV/0!</v>
      </c>
      <c r="T43" s="9">
        <f t="shared" si="19"/>
        <v>0</v>
      </c>
      <c r="U43" s="9" t="e">
        <f>R43 / _xlfn.XLOOKUP(A43, Bottom!A:A, Bottom!AA:AA)</f>
        <v>#DIV/0!</v>
      </c>
    </row>
    <row r="44" spans="14:21" x14ac:dyDescent="0.25">
      <c r="N44" s="6"/>
      <c r="O44" s="7"/>
      <c r="P44" s="8">
        <f t="shared" si="16"/>
        <v>0</v>
      </c>
      <c r="Q44" s="1"/>
      <c r="R44" s="6">
        <f t="shared" si="17"/>
        <v>0</v>
      </c>
      <c r="S44" s="9" t="e">
        <f t="shared" si="18"/>
        <v>#DIV/0!</v>
      </c>
      <c r="T44" s="9">
        <f t="shared" si="19"/>
        <v>0</v>
      </c>
      <c r="U44" s="9" t="e">
        <f>R44 / _xlfn.XLOOKUP(A44, Bottom!A:A, Bottom!AA:AA)</f>
        <v>#DIV/0!</v>
      </c>
    </row>
    <row r="45" spans="14:21" x14ac:dyDescent="0.25">
      <c r="N45" s="6"/>
      <c r="O45" s="7"/>
      <c r="P45" s="8">
        <f t="shared" si="16"/>
        <v>0</v>
      </c>
      <c r="Q45" s="1"/>
      <c r="R45" s="6">
        <f t="shared" si="17"/>
        <v>0</v>
      </c>
      <c r="S45" s="9" t="e">
        <f t="shared" si="18"/>
        <v>#DIV/0!</v>
      </c>
      <c r="T45" s="9">
        <f t="shared" si="19"/>
        <v>0</v>
      </c>
      <c r="U45" s="9" t="e">
        <f>R45 / _xlfn.XLOOKUP(A45, Bottom!A:A, Bottom!AA:AA)</f>
        <v>#DIV/0!</v>
      </c>
    </row>
    <row r="46" spans="14:21" x14ac:dyDescent="0.25">
      <c r="N46" s="6"/>
      <c r="O46" s="7"/>
      <c r="P46" s="8">
        <f t="shared" si="16"/>
        <v>0</v>
      </c>
      <c r="Q46" s="1"/>
      <c r="R46" s="6">
        <f t="shared" si="17"/>
        <v>0</v>
      </c>
      <c r="S46" s="9" t="e">
        <f t="shared" si="18"/>
        <v>#DIV/0!</v>
      </c>
      <c r="T46" s="9">
        <f t="shared" si="19"/>
        <v>0</v>
      </c>
      <c r="U46" s="9" t="e">
        <f>R46 / _xlfn.XLOOKUP(A46, Bottom!A:A, Bottom!AA:AA)</f>
        <v>#DIV/0!</v>
      </c>
    </row>
    <row r="47" spans="14:21" x14ac:dyDescent="0.25">
      <c r="N47" s="6"/>
      <c r="O47" s="7"/>
      <c r="P47" s="8">
        <f t="shared" si="16"/>
        <v>0</v>
      </c>
      <c r="Q47" s="1"/>
      <c r="R47" s="6">
        <f t="shared" si="17"/>
        <v>0</v>
      </c>
      <c r="S47" s="9" t="e">
        <f t="shared" si="18"/>
        <v>#DIV/0!</v>
      </c>
      <c r="T47" s="9">
        <f t="shared" si="19"/>
        <v>0</v>
      </c>
      <c r="U47" s="9" t="e">
        <f>R47 / _xlfn.XLOOKUP(A47, Bottom!A:A, Bottom!AA:AA)</f>
        <v>#DIV/0!</v>
      </c>
    </row>
    <row r="48" spans="14:21" x14ac:dyDescent="0.25">
      <c r="N48" s="6"/>
      <c r="O48" s="7"/>
      <c r="P48" s="8">
        <f t="shared" si="16"/>
        <v>0</v>
      </c>
      <c r="Q48" s="1"/>
      <c r="R48" s="6">
        <f t="shared" si="17"/>
        <v>0</v>
      </c>
      <c r="S48" s="9" t="e">
        <f t="shared" si="18"/>
        <v>#DIV/0!</v>
      </c>
      <c r="T48" s="9">
        <f t="shared" si="19"/>
        <v>0</v>
      </c>
      <c r="U48" s="9" t="e">
        <f>R48 / _xlfn.XLOOKUP(A48, Bottom!A:A, Bottom!AA:AA)</f>
        <v>#DIV/0!</v>
      </c>
    </row>
    <row r="49" spans="14:21" x14ac:dyDescent="0.25">
      <c r="N49" s="6"/>
      <c r="O49" s="7"/>
      <c r="P49" s="8">
        <f t="shared" si="16"/>
        <v>0</v>
      </c>
      <c r="Q49" s="1"/>
      <c r="R49" s="6">
        <f t="shared" si="17"/>
        <v>0</v>
      </c>
      <c r="S49" s="9" t="e">
        <f t="shared" si="18"/>
        <v>#DIV/0!</v>
      </c>
      <c r="T49" s="9">
        <f t="shared" si="19"/>
        <v>0</v>
      </c>
      <c r="U49" s="9" t="e">
        <f>R49 / _xlfn.XLOOKUP(A49, Bottom!A:A, Bottom!AA:AA)</f>
        <v>#DIV/0!</v>
      </c>
    </row>
  </sheetData>
  <sortState xmlns:xlrd2="http://schemas.microsoft.com/office/spreadsheetml/2017/richdata2" ref="A3:U24">
    <sortCondition descending="1" ref="S3:S24"/>
  </sortState>
  <pageMargins left="0.7" right="0.7" top="0.78740157499999996" bottom="0.78740157499999996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1D7AB-335B-4CB8-AF23-F72BDE80C6BA}">
  <sheetPr>
    <tabColor theme="5" tint="0.59999389629810485"/>
  </sheetPr>
  <dimension ref="A1:W41"/>
  <sheetViews>
    <sheetView workbookViewId="0">
      <selection activeCell="M25" sqref="M25"/>
    </sheetView>
  </sheetViews>
  <sheetFormatPr baseColWidth="10" defaultRowHeight="15" x14ac:dyDescent="0.25"/>
  <sheetData>
    <row r="1" spans="1:23" ht="15.75" x14ac:dyDescent="0.25">
      <c r="A1" s="2" t="s">
        <v>216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140</v>
      </c>
      <c r="B3" s="6"/>
      <c r="C3" s="7"/>
      <c r="D3" s="8">
        <f t="shared" ref="D3:D18" si="0">B3*C3</f>
        <v>0</v>
      </c>
      <c r="E3" s="6"/>
      <c r="F3" s="7"/>
      <c r="G3" s="8">
        <f t="shared" ref="G3:G18" si="1">E3*F3</f>
        <v>0</v>
      </c>
      <c r="H3" s="6"/>
      <c r="I3" s="7"/>
      <c r="J3" s="8">
        <f t="shared" ref="J3:J18" si="2">H3*I3</f>
        <v>0</v>
      </c>
      <c r="K3" s="6"/>
      <c r="L3" s="7"/>
      <c r="M3" s="8">
        <f t="shared" ref="M3:M18" si="3">K3*L3</f>
        <v>0</v>
      </c>
      <c r="N3" s="6"/>
      <c r="O3" s="7"/>
      <c r="P3" s="8">
        <f t="shared" ref="P3:P18" si="4">N3*O3</f>
        <v>0</v>
      </c>
      <c r="Q3" s="1"/>
      <c r="R3" s="6">
        <f t="shared" ref="R3:R18" si="5">B3+E3+H3+K3+N3</f>
        <v>0</v>
      </c>
      <c r="S3" s="9" t="e">
        <f t="shared" ref="S3:S18" si="6">(D3+G3+J3+M3+P3)/R3</f>
        <v>#DIV/0!</v>
      </c>
      <c r="T3" s="9">
        <f t="shared" ref="T3:T18" si="7">R3/$V$3</f>
        <v>0</v>
      </c>
      <c r="U3" s="9">
        <f>R3 / _xlfn.XLOOKUP(A3, Bottom!A:A, Bottom!AA:AA)</f>
        <v>0</v>
      </c>
      <c r="V3" s="11">
        <f>SUM(R3:R55)</f>
        <v>91</v>
      </c>
      <c r="W3" s="12">
        <f>(SUM(D3:D85)+SUM(G3:G85)+SUM(J3:J85)+SUM(M3:M85)+SUM(P3:P85)) / V3</f>
        <v>0.39553846153846145</v>
      </c>
    </row>
    <row r="4" spans="1:23" x14ac:dyDescent="0.25">
      <c r="A4" s="23" t="s">
        <v>213</v>
      </c>
      <c r="B4" s="6"/>
      <c r="C4" s="7"/>
      <c r="D4" s="8">
        <f t="shared" si="0"/>
        <v>0</v>
      </c>
      <c r="E4" s="6"/>
      <c r="F4" s="7"/>
      <c r="G4" s="8">
        <f t="shared" si="1"/>
        <v>0</v>
      </c>
      <c r="H4" s="6"/>
      <c r="I4" s="7"/>
      <c r="J4" s="8">
        <f t="shared" si="2"/>
        <v>0</v>
      </c>
      <c r="K4" s="6">
        <v>1</v>
      </c>
      <c r="L4" s="7">
        <v>1</v>
      </c>
      <c r="M4" s="8">
        <f t="shared" si="3"/>
        <v>1</v>
      </c>
      <c r="N4" s="6"/>
      <c r="O4" s="7"/>
      <c r="P4" s="8">
        <f t="shared" si="4"/>
        <v>0</v>
      </c>
      <c r="Q4" s="13"/>
      <c r="R4" s="6">
        <f t="shared" si="5"/>
        <v>1</v>
      </c>
      <c r="S4" s="9">
        <f t="shared" si="6"/>
        <v>1</v>
      </c>
      <c r="T4" s="9">
        <f t="shared" si="7"/>
        <v>1.098901098901099E-2</v>
      </c>
      <c r="U4" s="9">
        <f>R4 / _xlfn.XLOOKUP(A4, Bottom!A:A, Bottom!AA:AA)</f>
        <v>1.3157894736842105E-2</v>
      </c>
      <c r="V4" s="1"/>
      <c r="W4" s="1"/>
    </row>
    <row r="5" spans="1:23" x14ac:dyDescent="0.25">
      <c r="A5" s="1" t="s">
        <v>147</v>
      </c>
      <c r="B5" s="6"/>
      <c r="C5" s="7"/>
      <c r="D5" s="8">
        <f t="shared" si="0"/>
        <v>0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>
        <v>6</v>
      </c>
      <c r="L5" s="7">
        <v>0.66700000000000004</v>
      </c>
      <c r="M5" s="8">
        <f t="shared" si="3"/>
        <v>4.0020000000000007</v>
      </c>
      <c r="N5" s="6"/>
      <c r="O5" s="7"/>
      <c r="P5" s="8">
        <f t="shared" si="4"/>
        <v>0</v>
      </c>
      <c r="Q5" s="1"/>
      <c r="R5" s="6">
        <f t="shared" si="5"/>
        <v>6</v>
      </c>
      <c r="S5" s="9">
        <f t="shared" si="6"/>
        <v>0.66700000000000015</v>
      </c>
      <c r="T5" s="9">
        <f t="shared" si="7"/>
        <v>6.5934065934065936E-2</v>
      </c>
      <c r="U5" s="9">
        <f>R5 / _xlfn.XLOOKUP(A5, Bottom!A:A, Bottom!AA:AA)</f>
        <v>2.8571428571428571E-2</v>
      </c>
      <c r="V5" s="1"/>
      <c r="W5" s="1"/>
    </row>
    <row r="6" spans="1:23" x14ac:dyDescent="0.25">
      <c r="A6" s="23" t="s">
        <v>108</v>
      </c>
      <c r="B6" s="6"/>
      <c r="C6" s="7"/>
      <c r="D6" s="8">
        <f t="shared" si="0"/>
        <v>0</v>
      </c>
      <c r="E6" s="6"/>
      <c r="F6" s="7"/>
      <c r="G6" s="8">
        <f t="shared" si="1"/>
        <v>0</v>
      </c>
      <c r="H6" s="6"/>
      <c r="I6" s="7"/>
      <c r="J6" s="8">
        <f t="shared" si="2"/>
        <v>0</v>
      </c>
      <c r="K6" s="6">
        <v>12</v>
      </c>
      <c r="L6" s="7">
        <v>0.5</v>
      </c>
      <c r="M6" s="8">
        <f t="shared" si="3"/>
        <v>6</v>
      </c>
      <c r="N6" s="6"/>
      <c r="O6" s="7"/>
      <c r="P6" s="8">
        <f t="shared" si="4"/>
        <v>0</v>
      </c>
      <c r="Q6" s="4"/>
      <c r="R6" s="6">
        <f t="shared" si="5"/>
        <v>12</v>
      </c>
      <c r="S6" s="9">
        <f t="shared" si="6"/>
        <v>0.5</v>
      </c>
      <c r="T6" s="9">
        <f t="shared" si="7"/>
        <v>0.13186813186813187</v>
      </c>
      <c r="U6" s="9">
        <f>R6 / _xlfn.XLOOKUP(A6, Bottom!A:A, Bottom!AA:AA)</f>
        <v>8.1081081081081086E-2</v>
      </c>
      <c r="V6" s="1"/>
      <c r="W6" s="1"/>
    </row>
    <row r="7" spans="1:23" x14ac:dyDescent="0.25">
      <c r="A7" s="1" t="s">
        <v>154</v>
      </c>
      <c r="B7" s="6"/>
      <c r="C7" s="7"/>
      <c r="D7" s="8">
        <f t="shared" si="0"/>
        <v>0</v>
      </c>
      <c r="E7" s="6"/>
      <c r="F7" s="7"/>
      <c r="G7" s="8">
        <f t="shared" si="1"/>
        <v>0</v>
      </c>
      <c r="H7" s="6"/>
      <c r="I7" s="7"/>
      <c r="J7" s="8">
        <f t="shared" si="2"/>
        <v>0</v>
      </c>
      <c r="K7" s="6">
        <v>2</v>
      </c>
      <c r="L7" s="7">
        <v>0.5</v>
      </c>
      <c r="M7" s="8">
        <f t="shared" si="3"/>
        <v>1</v>
      </c>
      <c r="N7" s="6"/>
      <c r="O7" s="7"/>
      <c r="P7" s="8">
        <f t="shared" si="4"/>
        <v>0</v>
      </c>
      <c r="Q7" s="1"/>
      <c r="R7" s="6">
        <f t="shared" si="5"/>
        <v>2</v>
      </c>
      <c r="S7" s="9">
        <f t="shared" si="6"/>
        <v>0.5</v>
      </c>
      <c r="T7" s="9">
        <f t="shared" si="7"/>
        <v>2.197802197802198E-2</v>
      </c>
      <c r="U7" s="9">
        <f>R7 / _xlfn.XLOOKUP(A7, Bottom!A:A, Bottom!AA:AA)</f>
        <v>1.680672268907563E-2</v>
      </c>
      <c r="V7" s="1"/>
      <c r="W7" s="1"/>
    </row>
    <row r="8" spans="1:23" x14ac:dyDescent="0.25">
      <c r="A8" s="1" t="s">
        <v>134</v>
      </c>
      <c r="B8" s="6"/>
      <c r="C8" s="7"/>
      <c r="D8" s="8">
        <f t="shared" si="0"/>
        <v>0</v>
      </c>
      <c r="E8" s="6"/>
      <c r="F8" s="7"/>
      <c r="G8" s="8">
        <f t="shared" si="1"/>
        <v>0</v>
      </c>
      <c r="H8" s="6"/>
      <c r="I8" s="7"/>
      <c r="J8" s="8">
        <f t="shared" si="2"/>
        <v>0</v>
      </c>
      <c r="K8" s="6">
        <v>7</v>
      </c>
      <c r="L8" s="7">
        <v>0.42799999999999999</v>
      </c>
      <c r="M8" s="8">
        <f t="shared" si="3"/>
        <v>2.996</v>
      </c>
      <c r="N8" s="6"/>
      <c r="O8" s="7"/>
      <c r="P8" s="8">
        <f t="shared" si="4"/>
        <v>0</v>
      </c>
      <c r="Q8" s="1"/>
      <c r="R8" s="6">
        <f t="shared" si="5"/>
        <v>7</v>
      </c>
      <c r="S8" s="9">
        <f t="shared" si="6"/>
        <v>0.42799999999999999</v>
      </c>
      <c r="T8" s="9">
        <f t="shared" si="7"/>
        <v>7.6923076923076927E-2</v>
      </c>
      <c r="U8" s="9">
        <f>R8 / _xlfn.XLOOKUP(A8, Bottom!A:A, Bottom!AA:AA)</f>
        <v>1.5283842794759825E-2</v>
      </c>
      <c r="V8" s="1"/>
      <c r="W8" s="1"/>
    </row>
    <row r="9" spans="1:23" x14ac:dyDescent="0.25">
      <c r="A9" s="1" t="s">
        <v>150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/>
      <c r="I9" s="7"/>
      <c r="J9" s="8">
        <f t="shared" si="2"/>
        <v>0</v>
      </c>
      <c r="K9" s="6">
        <v>7</v>
      </c>
      <c r="L9" s="7">
        <v>0.42799999999999999</v>
      </c>
      <c r="M9" s="8">
        <f t="shared" si="3"/>
        <v>2.996</v>
      </c>
      <c r="N9" s="6"/>
      <c r="O9" s="7"/>
      <c r="P9" s="8">
        <f t="shared" si="4"/>
        <v>0</v>
      </c>
      <c r="Q9" s="1"/>
      <c r="R9" s="6">
        <f t="shared" si="5"/>
        <v>7</v>
      </c>
      <c r="S9" s="9">
        <f t="shared" si="6"/>
        <v>0.42799999999999999</v>
      </c>
      <c r="T9" s="9">
        <f t="shared" si="7"/>
        <v>7.6923076923076927E-2</v>
      </c>
      <c r="U9" s="9">
        <f>R9 / _xlfn.XLOOKUP(A9, Bottom!A:A, Bottom!AA:AA)</f>
        <v>1.4613778705636743E-2</v>
      </c>
      <c r="V9" s="1"/>
      <c r="W9" s="1"/>
    </row>
    <row r="10" spans="1:23" x14ac:dyDescent="0.25">
      <c r="A10" s="1" t="s">
        <v>145</v>
      </c>
      <c r="B10" s="6"/>
      <c r="C10" s="7"/>
      <c r="D10" s="8">
        <f t="shared" si="0"/>
        <v>0</v>
      </c>
      <c r="E10" s="6"/>
      <c r="F10" s="7"/>
      <c r="G10" s="8">
        <f t="shared" si="1"/>
        <v>0</v>
      </c>
      <c r="H10" s="6"/>
      <c r="I10" s="7"/>
      <c r="J10" s="8">
        <f t="shared" si="2"/>
        <v>0</v>
      </c>
      <c r="K10" s="6">
        <v>12</v>
      </c>
      <c r="L10" s="7">
        <v>0.41699999999999998</v>
      </c>
      <c r="M10" s="8">
        <f t="shared" si="3"/>
        <v>5.0039999999999996</v>
      </c>
      <c r="N10" s="6"/>
      <c r="O10" s="7"/>
      <c r="P10" s="8">
        <f t="shared" si="4"/>
        <v>0</v>
      </c>
      <c r="Q10" s="1"/>
      <c r="R10" s="6">
        <f t="shared" si="5"/>
        <v>12</v>
      </c>
      <c r="S10" s="9">
        <f t="shared" si="6"/>
        <v>0.41699999999999998</v>
      </c>
      <c r="T10" s="9">
        <f t="shared" si="7"/>
        <v>0.13186813186813187</v>
      </c>
      <c r="U10" s="9">
        <f>R10 / _xlfn.XLOOKUP(A10, Bottom!A:A, Bottom!AA:AA)</f>
        <v>2.6030368763557483E-2</v>
      </c>
      <c r="V10" s="1"/>
      <c r="W10" s="1"/>
    </row>
    <row r="11" spans="1:23" x14ac:dyDescent="0.25">
      <c r="A11" s="1" t="s">
        <v>142</v>
      </c>
      <c r="B11" s="6"/>
      <c r="C11" s="7"/>
      <c r="D11" s="8">
        <f t="shared" si="0"/>
        <v>0</v>
      </c>
      <c r="E11" s="6"/>
      <c r="F11" s="7"/>
      <c r="G11" s="8">
        <f t="shared" si="1"/>
        <v>0</v>
      </c>
      <c r="H11" s="6"/>
      <c r="I11" s="7"/>
      <c r="J11" s="8">
        <f t="shared" si="2"/>
        <v>0</v>
      </c>
      <c r="K11" s="6">
        <v>10</v>
      </c>
      <c r="L11" s="7">
        <v>0.4</v>
      </c>
      <c r="M11" s="8">
        <f t="shared" si="3"/>
        <v>4</v>
      </c>
      <c r="N11" s="6"/>
      <c r="O11" s="7"/>
      <c r="P11" s="8">
        <f t="shared" si="4"/>
        <v>0</v>
      </c>
      <c r="Q11" s="1"/>
      <c r="R11" s="6">
        <f t="shared" si="5"/>
        <v>10</v>
      </c>
      <c r="S11" s="9">
        <f t="shared" si="6"/>
        <v>0.4</v>
      </c>
      <c r="T11" s="9">
        <f t="shared" si="7"/>
        <v>0.10989010989010989</v>
      </c>
      <c r="U11" s="9">
        <f>R11 / _xlfn.XLOOKUP(A11, Bottom!A:A, Bottom!AA:AA)</f>
        <v>3.2573289902280131E-2</v>
      </c>
      <c r="V11" s="1"/>
      <c r="W11" s="1"/>
    </row>
    <row r="12" spans="1:23" x14ac:dyDescent="0.25">
      <c r="A12" s="1" t="s">
        <v>148</v>
      </c>
      <c r="B12" s="6"/>
      <c r="C12" s="7"/>
      <c r="D12" s="8">
        <f t="shared" si="0"/>
        <v>0</v>
      </c>
      <c r="E12" s="6"/>
      <c r="F12" s="7"/>
      <c r="G12" s="8">
        <f t="shared" si="1"/>
        <v>0</v>
      </c>
      <c r="H12" s="6"/>
      <c r="I12" s="7"/>
      <c r="J12" s="8">
        <f t="shared" si="2"/>
        <v>0</v>
      </c>
      <c r="K12" s="6">
        <v>10</v>
      </c>
      <c r="L12" s="7">
        <v>0.4</v>
      </c>
      <c r="M12" s="8">
        <f t="shared" si="3"/>
        <v>4</v>
      </c>
      <c r="N12" s="6"/>
      <c r="O12" s="7"/>
      <c r="P12" s="8">
        <f t="shared" si="4"/>
        <v>0</v>
      </c>
      <c r="Q12" s="4"/>
      <c r="R12" s="6">
        <f t="shared" si="5"/>
        <v>10</v>
      </c>
      <c r="S12" s="9">
        <f t="shared" si="6"/>
        <v>0.4</v>
      </c>
      <c r="T12" s="9">
        <f t="shared" si="7"/>
        <v>0.10989010989010989</v>
      </c>
      <c r="U12" s="9">
        <f>R12 / _xlfn.XLOOKUP(A12, Bottom!A:A, Bottom!AA:AA)</f>
        <v>4.9261083743842367E-2</v>
      </c>
      <c r="V12" s="1"/>
      <c r="W12" s="1"/>
    </row>
    <row r="13" spans="1:23" x14ac:dyDescent="0.25">
      <c r="A13" s="1" t="s">
        <v>146</v>
      </c>
      <c r="B13" s="6"/>
      <c r="C13" s="7"/>
      <c r="D13" s="8">
        <f t="shared" si="0"/>
        <v>0</v>
      </c>
      <c r="E13" s="6"/>
      <c r="F13" s="7"/>
      <c r="G13" s="8">
        <f t="shared" si="1"/>
        <v>0</v>
      </c>
      <c r="H13" s="6"/>
      <c r="I13" s="7"/>
      <c r="J13" s="8">
        <f t="shared" si="2"/>
        <v>0</v>
      </c>
      <c r="K13" s="6">
        <v>6</v>
      </c>
      <c r="L13" s="7">
        <v>0.33300000000000002</v>
      </c>
      <c r="M13" s="8">
        <f t="shared" si="3"/>
        <v>1.9980000000000002</v>
      </c>
      <c r="N13" s="6"/>
      <c r="O13" s="7"/>
      <c r="P13" s="8">
        <f t="shared" si="4"/>
        <v>0</v>
      </c>
      <c r="Q13" s="4"/>
      <c r="R13" s="6">
        <f t="shared" si="5"/>
        <v>6</v>
      </c>
      <c r="S13" s="9">
        <f t="shared" si="6"/>
        <v>0.33300000000000002</v>
      </c>
      <c r="T13" s="9">
        <f t="shared" si="7"/>
        <v>6.5934065934065936E-2</v>
      </c>
      <c r="U13" s="9">
        <f>R13 / _xlfn.XLOOKUP(A13, Bottom!A:A, Bottom!AA:AA)</f>
        <v>3.2432432432432434E-2</v>
      </c>
      <c r="V13" s="1"/>
      <c r="W13" s="1"/>
    </row>
    <row r="14" spans="1:23" x14ac:dyDescent="0.25">
      <c r="A14" s="1" t="s">
        <v>35</v>
      </c>
      <c r="B14" s="6"/>
      <c r="C14" s="7"/>
      <c r="D14" s="8">
        <f t="shared" si="0"/>
        <v>0</v>
      </c>
      <c r="E14" s="6"/>
      <c r="F14" s="7"/>
      <c r="G14" s="8">
        <f t="shared" si="1"/>
        <v>0</v>
      </c>
      <c r="H14" s="6"/>
      <c r="I14" s="7"/>
      <c r="J14" s="8">
        <f t="shared" si="2"/>
        <v>0</v>
      </c>
      <c r="K14" s="6">
        <v>9</v>
      </c>
      <c r="L14" s="7">
        <v>0.222</v>
      </c>
      <c r="M14" s="8">
        <f t="shared" si="3"/>
        <v>1.998</v>
      </c>
      <c r="N14" s="6"/>
      <c r="O14" s="7"/>
      <c r="P14" s="8">
        <f t="shared" si="4"/>
        <v>0</v>
      </c>
      <c r="Q14" s="1"/>
      <c r="R14" s="6">
        <f t="shared" si="5"/>
        <v>9</v>
      </c>
      <c r="S14" s="9">
        <f t="shared" si="6"/>
        <v>0.222</v>
      </c>
      <c r="T14" s="9">
        <f t="shared" si="7"/>
        <v>9.8901098901098897E-2</v>
      </c>
      <c r="U14" s="9">
        <f>R14 / _xlfn.XLOOKUP(A14, Bottom!A:A, Bottom!AA:AA)</f>
        <v>2.3255813953488372E-2</v>
      </c>
      <c r="V14" s="1"/>
      <c r="W14" s="1"/>
    </row>
    <row r="15" spans="1:23" x14ac:dyDescent="0.25">
      <c r="A15" s="1" t="s">
        <v>139</v>
      </c>
      <c r="B15" s="6"/>
      <c r="C15" s="7"/>
      <c r="D15" s="8">
        <f t="shared" si="0"/>
        <v>0</v>
      </c>
      <c r="E15" s="6">
        <v>1</v>
      </c>
      <c r="F15" s="7">
        <v>1</v>
      </c>
      <c r="G15" s="8">
        <f t="shared" si="1"/>
        <v>1</v>
      </c>
      <c r="H15" s="6"/>
      <c r="I15" s="7"/>
      <c r="J15" s="8">
        <f t="shared" si="2"/>
        <v>0</v>
      </c>
      <c r="K15" s="6">
        <v>5</v>
      </c>
      <c r="L15" s="7">
        <v>0</v>
      </c>
      <c r="M15" s="8">
        <f t="shared" si="3"/>
        <v>0</v>
      </c>
      <c r="N15" s="6"/>
      <c r="O15" s="7"/>
      <c r="P15" s="8">
        <f t="shared" si="4"/>
        <v>0</v>
      </c>
      <c r="Q15" s="1"/>
      <c r="R15" s="6">
        <f t="shared" si="5"/>
        <v>6</v>
      </c>
      <c r="S15" s="9">
        <f t="shared" si="6"/>
        <v>0.16666666666666666</v>
      </c>
      <c r="T15" s="9">
        <f t="shared" si="7"/>
        <v>6.5934065934065936E-2</v>
      </c>
      <c r="U15" s="9">
        <f>R15 / _xlfn.XLOOKUP(A15, Bottom!A:A, Bottom!AA:AA)</f>
        <v>1.1278195488721804E-2</v>
      </c>
      <c r="V15" s="1"/>
      <c r="W15" s="1"/>
    </row>
    <row r="16" spans="1:23" x14ac:dyDescent="0.25">
      <c r="A16" s="1" t="s">
        <v>149</v>
      </c>
      <c r="B16" s="6"/>
      <c r="C16" s="7"/>
      <c r="D16" s="8">
        <f t="shared" si="0"/>
        <v>0</v>
      </c>
      <c r="E16" s="6"/>
      <c r="F16" s="7"/>
      <c r="G16" s="8">
        <f t="shared" si="1"/>
        <v>0</v>
      </c>
      <c r="H16" s="6"/>
      <c r="I16" s="7"/>
      <c r="J16" s="8">
        <f t="shared" si="2"/>
        <v>0</v>
      </c>
      <c r="K16" s="6">
        <v>1</v>
      </c>
      <c r="L16" s="7">
        <v>0</v>
      </c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1</v>
      </c>
      <c r="S16" s="9">
        <f t="shared" si="6"/>
        <v>0</v>
      </c>
      <c r="T16" s="9">
        <f t="shared" si="7"/>
        <v>1.098901098901099E-2</v>
      </c>
      <c r="U16" s="9">
        <f>R16 / _xlfn.XLOOKUP(A16, Bottom!A:A, Bottom!AA:AA)</f>
        <v>2.9850746268656717E-3</v>
      </c>
      <c r="V16" s="1"/>
      <c r="W16" s="1"/>
    </row>
    <row r="17" spans="1:23" x14ac:dyDescent="0.25">
      <c r="A17" s="1" t="s">
        <v>138</v>
      </c>
      <c r="B17" s="6"/>
      <c r="C17" s="7"/>
      <c r="D17" s="8">
        <f t="shared" si="0"/>
        <v>0</v>
      </c>
      <c r="E17" s="6"/>
      <c r="F17" s="7"/>
      <c r="G17" s="8">
        <f t="shared" si="1"/>
        <v>0</v>
      </c>
      <c r="H17" s="6"/>
      <c r="I17" s="7"/>
      <c r="J17" s="8">
        <f t="shared" si="2"/>
        <v>0</v>
      </c>
      <c r="K17" s="6">
        <v>1</v>
      </c>
      <c r="L17" s="7">
        <v>0</v>
      </c>
      <c r="M17" s="8">
        <f t="shared" si="3"/>
        <v>0</v>
      </c>
      <c r="N17" s="6"/>
      <c r="O17" s="7"/>
      <c r="P17" s="8">
        <f t="shared" si="4"/>
        <v>0</v>
      </c>
      <c r="Q17" s="1"/>
      <c r="R17" s="6">
        <f t="shared" si="5"/>
        <v>1</v>
      </c>
      <c r="S17" s="9">
        <f t="shared" si="6"/>
        <v>0</v>
      </c>
      <c r="T17" s="9">
        <f t="shared" si="7"/>
        <v>1.098901098901099E-2</v>
      </c>
      <c r="U17" s="9">
        <f>R17 / _xlfn.XLOOKUP(A17, Bottom!A:A, Bottom!AA:AA)</f>
        <v>3.3898305084745762E-3</v>
      </c>
      <c r="V17" s="1"/>
      <c r="W17" s="1"/>
    </row>
    <row r="18" spans="1:23" x14ac:dyDescent="0.25">
      <c r="A18" s="1" t="s">
        <v>141</v>
      </c>
      <c r="B18" s="6"/>
      <c r="C18" s="7"/>
      <c r="D18" s="8">
        <f t="shared" si="0"/>
        <v>0</v>
      </c>
      <c r="E18" s="6"/>
      <c r="F18" s="7"/>
      <c r="G18" s="8">
        <f t="shared" si="1"/>
        <v>0</v>
      </c>
      <c r="H18" s="6"/>
      <c r="I18" s="7"/>
      <c r="J18" s="8">
        <f t="shared" si="2"/>
        <v>0</v>
      </c>
      <c r="K18" s="6">
        <v>1</v>
      </c>
      <c r="L18" s="7">
        <v>0</v>
      </c>
      <c r="M18" s="8">
        <f t="shared" si="3"/>
        <v>0</v>
      </c>
      <c r="N18" s="6"/>
      <c r="O18" s="7"/>
      <c r="P18" s="8">
        <f t="shared" si="4"/>
        <v>0</v>
      </c>
      <c r="Q18" s="1"/>
      <c r="R18" s="6">
        <f t="shared" si="5"/>
        <v>1</v>
      </c>
      <c r="S18" s="9">
        <f t="shared" si="6"/>
        <v>0</v>
      </c>
      <c r="T18" s="9">
        <f t="shared" si="7"/>
        <v>1.098901098901099E-2</v>
      </c>
      <c r="U18" s="9">
        <f>R18 / _xlfn.XLOOKUP(A18, Bottom!A:A, Bottom!AA:AA)</f>
        <v>2.2779043280182231E-3</v>
      </c>
      <c r="V18" s="1"/>
      <c r="W18" s="1"/>
    </row>
    <row r="19" spans="1:23" x14ac:dyDescent="0.25">
      <c r="A19" s="1"/>
      <c r="B19" s="6"/>
      <c r="C19" s="7"/>
      <c r="D19" s="8">
        <f t="shared" ref="D19:D22" si="8">B19*C19</f>
        <v>0</v>
      </c>
      <c r="E19" s="6"/>
      <c r="F19" s="7"/>
      <c r="G19" s="8">
        <f t="shared" ref="G19:G22" si="9">E19*F19</f>
        <v>0</v>
      </c>
      <c r="H19" s="6"/>
      <c r="I19" s="7"/>
      <c r="J19" s="8">
        <f t="shared" ref="J19:J22" si="10">H19*I19</f>
        <v>0</v>
      </c>
      <c r="K19" s="6"/>
      <c r="L19" s="7"/>
      <c r="M19" s="8">
        <f t="shared" ref="M19:M22" si="11">K19*L19</f>
        <v>0</v>
      </c>
      <c r="N19" s="6"/>
      <c r="O19" s="7"/>
      <c r="P19" s="8">
        <f t="shared" ref="P19" si="12">N19*O19</f>
        <v>0</v>
      </c>
      <c r="Q19" s="1"/>
      <c r="R19" s="6">
        <f t="shared" ref="R19" si="13">B19+E19+H19+K19+N19</f>
        <v>0</v>
      </c>
      <c r="S19" s="9" t="e">
        <f t="shared" ref="S19" si="14">(D19+G19+J19+M19+P19)/R19</f>
        <v>#DIV/0!</v>
      </c>
      <c r="T19" s="9">
        <f t="shared" ref="T19" si="15">R19/$V$3</f>
        <v>0</v>
      </c>
      <c r="U19" s="9" t="e">
        <f>R19 / _xlfn.XLOOKUP(A19, Bottom!A:A, Bottom!AA:AA)</f>
        <v>#DIV/0!</v>
      </c>
      <c r="V19" s="1"/>
      <c r="W19" s="1"/>
    </row>
    <row r="20" spans="1:23" x14ac:dyDescent="0.25">
      <c r="A20" s="1"/>
      <c r="B20" s="6"/>
      <c r="C20" s="7"/>
      <c r="D20" s="8">
        <f t="shared" si="8"/>
        <v>0</v>
      </c>
      <c r="E20" s="6"/>
      <c r="F20" s="7"/>
      <c r="G20" s="8">
        <f t="shared" si="9"/>
        <v>0</v>
      </c>
      <c r="H20" s="6"/>
      <c r="I20" s="7"/>
      <c r="J20" s="8">
        <f t="shared" si="10"/>
        <v>0</v>
      </c>
      <c r="K20" s="6"/>
      <c r="L20" s="7"/>
      <c r="M20" s="8">
        <f t="shared" si="11"/>
        <v>0</v>
      </c>
      <c r="N20" s="6"/>
      <c r="O20" s="7"/>
      <c r="P20" s="8">
        <f t="shared" ref="P20:P41" si="16">N20*O20</f>
        <v>0</v>
      </c>
      <c r="Q20" s="1"/>
      <c r="R20" s="6">
        <f t="shared" ref="R20:R41" si="17">B20+E20+H20+K20+N20</f>
        <v>0</v>
      </c>
      <c r="S20" s="9" t="e">
        <f t="shared" ref="S20:S41" si="18">(D20+G20+J20+M20+P20)/R20</f>
        <v>#DIV/0!</v>
      </c>
      <c r="T20" s="9">
        <f t="shared" ref="T20:T41" si="19">R20/$V$3</f>
        <v>0</v>
      </c>
      <c r="U20" s="9" t="e">
        <f>R20 / _xlfn.XLOOKUP(A20, Bottom!A:A, Bottom!AA:AA)</f>
        <v>#DIV/0!</v>
      </c>
      <c r="V20" s="1"/>
      <c r="W20" s="1"/>
    </row>
    <row r="21" spans="1:23" x14ac:dyDescent="0.25">
      <c r="A21" s="1"/>
      <c r="B21" s="6"/>
      <c r="C21" s="7"/>
      <c r="D21" s="8">
        <f t="shared" si="8"/>
        <v>0</v>
      </c>
      <c r="E21" s="6"/>
      <c r="F21" s="7"/>
      <c r="G21" s="8">
        <f t="shared" si="9"/>
        <v>0</v>
      </c>
      <c r="H21" s="6"/>
      <c r="I21" s="7"/>
      <c r="J21" s="8">
        <f t="shared" si="10"/>
        <v>0</v>
      </c>
      <c r="K21" s="6"/>
      <c r="L21" s="7"/>
      <c r="M21" s="8">
        <f t="shared" si="11"/>
        <v>0</v>
      </c>
      <c r="N21" s="6"/>
      <c r="O21" s="7"/>
      <c r="P21" s="8">
        <f t="shared" si="16"/>
        <v>0</v>
      </c>
      <c r="Q21" s="1"/>
      <c r="R21" s="6">
        <f t="shared" si="17"/>
        <v>0</v>
      </c>
      <c r="S21" s="9" t="e">
        <f t="shared" si="18"/>
        <v>#DIV/0!</v>
      </c>
      <c r="T21" s="9">
        <f t="shared" si="19"/>
        <v>0</v>
      </c>
      <c r="U21" s="9" t="e">
        <f>R21 / _xlfn.XLOOKUP(A21, Bottom!A:A, Bottom!AA:AA)</f>
        <v>#DIV/0!</v>
      </c>
      <c r="V21" s="1"/>
      <c r="W21" s="1"/>
    </row>
    <row r="22" spans="1:23" x14ac:dyDescent="0.25">
      <c r="A22" s="1"/>
      <c r="B22" s="6"/>
      <c r="C22" s="7"/>
      <c r="D22" s="8">
        <f t="shared" si="8"/>
        <v>0</v>
      </c>
      <c r="E22" s="6"/>
      <c r="F22" s="7"/>
      <c r="G22" s="8">
        <f t="shared" si="9"/>
        <v>0</v>
      </c>
      <c r="H22" s="6"/>
      <c r="I22" s="7"/>
      <c r="J22" s="8">
        <f t="shared" si="10"/>
        <v>0</v>
      </c>
      <c r="K22" s="6"/>
      <c r="L22" s="7"/>
      <c r="M22" s="8">
        <f t="shared" si="11"/>
        <v>0</v>
      </c>
      <c r="N22" s="6"/>
      <c r="O22" s="7"/>
      <c r="P22" s="8">
        <f t="shared" si="16"/>
        <v>0</v>
      </c>
      <c r="Q22" s="1"/>
      <c r="R22" s="6">
        <f t="shared" si="17"/>
        <v>0</v>
      </c>
      <c r="S22" s="9" t="e">
        <f t="shared" si="18"/>
        <v>#DIV/0!</v>
      </c>
      <c r="T22" s="9">
        <f t="shared" si="19"/>
        <v>0</v>
      </c>
      <c r="U22" s="9" t="e">
        <f>R22 / _xlfn.XLOOKUP(A22, Bottom!A:A, Bottom!AA:AA)</f>
        <v>#DIV/0!</v>
      </c>
      <c r="V22" s="1"/>
      <c r="W22" s="1"/>
    </row>
    <row r="23" spans="1:23" x14ac:dyDescent="0.25">
      <c r="N23" s="6"/>
      <c r="O23" s="7"/>
      <c r="P23" s="8">
        <f t="shared" si="16"/>
        <v>0</v>
      </c>
      <c r="Q23" s="1"/>
      <c r="R23" s="6">
        <f t="shared" si="17"/>
        <v>0</v>
      </c>
      <c r="S23" s="9" t="e">
        <f t="shared" si="18"/>
        <v>#DIV/0!</v>
      </c>
      <c r="T23" s="9">
        <f t="shared" si="19"/>
        <v>0</v>
      </c>
      <c r="U23" s="9" t="e">
        <f>R23 / _xlfn.XLOOKUP(A23, Bottom!A:A, Bottom!AA:AA)</f>
        <v>#DIV/0!</v>
      </c>
      <c r="V23" s="1"/>
      <c r="W23" s="1"/>
    </row>
    <row r="24" spans="1:23" x14ac:dyDescent="0.25">
      <c r="N24" s="6"/>
      <c r="O24" s="7"/>
      <c r="P24" s="8">
        <f t="shared" si="16"/>
        <v>0</v>
      </c>
      <c r="Q24" s="1"/>
      <c r="R24" s="6">
        <f t="shared" si="17"/>
        <v>0</v>
      </c>
      <c r="S24" s="9" t="e">
        <f t="shared" si="18"/>
        <v>#DIV/0!</v>
      </c>
      <c r="T24" s="9">
        <f t="shared" si="19"/>
        <v>0</v>
      </c>
      <c r="U24" s="9" t="e">
        <f>R24 / _xlfn.XLOOKUP(A24, Bottom!A:A, Bottom!AA:AA)</f>
        <v>#DIV/0!</v>
      </c>
      <c r="V24" s="1"/>
      <c r="W24" s="1"/>
    </row>
    <row r="25" spans="1:23" x14ac:dyDescent="0.25">
      <c r="N25" s="6"/>
      <c r="O25" s="7"/>
      <c r="P25" s="8">
        <f t="shared" si="16"/>
        <v>0</v>
      </c>
      <c r="Q25" s="1"/>
      <c r="R25" s="6">
        <f t="shared" si="17"/>
        <v>0</v>
      </c>
      <c r="S25" s="9" t="e">
        <f t="shared" si="18"/>
        <v>#DIV/0!</v>
      </c>
      <c r="T25" s="9">
        <f t="shared" si="19"/>
        <v>0</v>
      </c>
      <c r="U25" s="9" t="e">
        <f>R25 / _xlfn.XLOOKUP(A25, Bottom!A:A, Bottom!AA:AA)</f>
        <v>#DIV/0!</v>
      </c>
    </row>
    <row r="26" spans="1:23" x14ac:dyDescent="0.25">
      <c r="N26" s="6"/>
      <c r="O26" s="7"/>
      <c r="P26" s="8">
        <f t="shared" si="16"/>
        <v>0</v>
      </c>
      <c r="Q26" s="1"/>
      <c r="R26" s="6">
        <f t="shared" si="17"/>
        <v>0</v>
      </c>
      <c r="S26" s="9" t="e">
        <f t="shared" si="18"/>
        <v>#DIV/0!</v>
      </c>
      <c r="T26" s="9">
        <f t="shared" si="19"/>
        <v>0</v>
      </c>
      <c r="U26" s="9" t="e">
        <f>R26 / _xlfn.XLOOKUP(A26, Bottom!A:A, Bottom!AA:AA)</f>
        <v>#DIV/0!</v>
      </c>
    </row>
    <row r="27" spans="1:23" x14ac:dyDescent="0.25">
      <c r="N27" s="6"/>
      <c r="O27" s="7"/>
      <c r="P27" s="8">
        <f t="shared" si="16"/>
        <v>0</v>
      </c>
      <c r="Q27" s="1"/>
      <c r="R27" s="6">
        <f t="shared" si="17"/>
        <v>0</v>
      </c>
      <c r="S27" s="9" t="e">
        <f t="shared" si="18"/>
        <v>#DIV/0!</v>
      </c>
      <c r="T27" s="9">
        <f t="shared" si="19"/>
        <v>0</v>
      </c>
      <c r="U27" s="9" t="e">
        <f>R27 / _xlfn.XLOOKUP(A27, Bottom!A:A, Bottom!AA:AA)</f>
        <v>#DIV/0!</v>
      </c>
    </row>
    <row r="28" spans="1:23" x14ac:dyDescent="0.25">
      <c r="N28" s="6"/>
      <c r="O28" s="7"/>
      <c r="P28" s="8">
        <f t="shared" si="16"/>
        <v>0</v>
      </c>
      <c r="Q28" s="1"/>
      <c r="R28" s="6">
        <f t="shared" si="17"/>
        <v>0</v>
      </c>
      <c r="S28" s="9" t="e">
        <f t="shared" si="18"/>
        <v>#DIV/0!</v>
      </c>
      <c r="T28" s="9">
        <f t="shared" si="19"/>
        <v>0</v>
      </c>
      <c r="U28" s="9" t="e">
        <f>R28 / _xlfn.XLOOKUP(A28, Bottom!A:A, Bottom!AA:AA)</f>
        <v>#DIV/0!</v>
      </c>
    </row>
    <row r="29" spans="1:23" x14ac:dyDescent="0.25">
      <c r="N29" s="6"/>
      <c r="O29" s="7"/>
      <c r="P29" s="8">
        <f t="shared" si="16"/>
        <v>0</v>
      </c>
      <c r="Q29" s="1"/>
      <c r="R29" s="6">
        <f t="shared" si="17"/>
        <v>0</v>
      </c>
      <c r="S29" s="9" t="e">
        <f t="shared" si="18"/>
        <v>#DIV/0!</v>
      </c>
      <c r="T29" s="9">
        <f t="shared" si="19"/>
        <v>0</v>
      </c>
      <c r="U29" s="9" t="e">
        <f>R29 / _xlfn.XLOOKUP(A29, Bottom!A:A, Bottom!AA:AA)</f>
        <v>#DIV/0!</v>
      </c>
    </row>
    <row r="30" spans="1:23" x14ac:dyDescent="0.25">
      <c r="N30" s="6"/>
      <c r="O30" s="7"/>
      <c r="P30" s="8">
        <f t="shared" si="16"/>
        <v>0</v>
      </c>
      <c r="Q30" s="1"/>
      <c r="R30" s="6">
        <f t="shared" si="17"/>
        <v>0</v>
      </c>
      <c r="S30" s="9" t="e">
        <f t="shared" si="18"/>
        <v>#DIV/0!</v>
      </c>
      <c r="T30" s="9">
        <f t="shared" si="19"/>
        <v>0</v>
      </c>
      <c r="U30" s="9" t="e">
        <f>R30 / _xlfn.XLOOKUP(A30, Bottom!A:A, Bottom!AA:AA)</f>
        <v>#DIV/0!</v>
      </c>
    </row>
    <row r="31" spans="1:23" x14ac:dyDescent="0.25">
      <c r="N31" s="6"/>
      <c r="O31" s="7"/>
      <c r="P31" s="8">
        <f t="shared" si="16"/>
        <v>0</v>
      </c>
      <c r="Q31" s="1"/>
      <c r="R31" s="6">
        <f t="shared" si="17"/>
        <v>0</v>
      </c>
      <c r="S31" s="9" t="e">
        <f t="shared" si="18"/>
        <v>#DIV/0!</v>
      </c>
      <c r="T31" s="9">
        <f t="shared" si="19"/>
        <v>0</v>
      </c>
      <c r="U31" s="9" t="e">
        <f>R31 / _xlfn.XLOOKUP(A31, Bottom!A:A, Bottom!AA:AA)</f>
        <v>#DIV/0!</v>
      </c>
    </row>
    <row r="32" spans="1:23" x14ac:dyDescent="0.25">
      <c r="N32" s="6"/>
      <c r="O32" s="7"/>
      <c r="P32" s="8">
        <f t="shared" si="16"/>
        <v>0</v>
      </c>
      <c r="Q32" s="1"/>
      <c r="R32" s="6">
        <f t="shared" si="17"/>
        <v>0</v>
      </c>
      <c r="S32" s="9" t="e">
        <f t="shared" si="18"/>
        <v>#DIV/0!</v>
      </c>
      <c r="T32" s="9">
        <f t="shared" si="19"/>
        <v>0</v>
      </c>
      <c r="U32" s="9" t="e">
        <f>R32 / _xlfn.XLOOKUP(A32, Bottom!A:A, Bottom!AA:AA)</f>
        <v>#DIV/0!</v>
      </c>
    </row>
    <row r="33" spans="14:21" x14ac:dyDescent="0.25">
      <c r="N33" s="6"/>
      <c r="O33" s="7"/>
      <c r="P33" s="8">
        <f t="shared" si="16"/>
        <v>0</v>
      </c>
      <c r="Q33" s="1"/>
      <c r="R33" s="6">
        <f t="shared" si="17"/>
        <v>0</v>
      </c>
      <c r="S33" s="9" t="e">
        <f t="shared" si="18"/>
        <v>#DIV/0!</v>
      </c>
      <c r="T33" s="9">
        <f t="shared" si="19"/>
        <v>0</v>
      </c>
      <c r="U33" s="9" t="e">
        <f>R33 / _xlfn.XLOOKUP(A33, Bottom!A:A, Bottom!AA:AA)</f>
        <v>#DIV/0!</v>
      </c>
    </row>
    <row r="34" spans="14:21" x14ac:dyDescent="0.25">
      <c r="N34" s="6"/>
      <c r="O34" s="7"/>
      <c r="P34" s="8">
        <f t="shared" si="16"/>
        <v>0</v>
      </c>
      <c r="Q34" s="1"/>
      <c r="R34" s="6">
        <f t="shared" si="17"/>
        <v>0</v>
      </c>
      <c r="S34" s="9" t="e">
        <f t="shared" si="18"/>
        <v>#DIV/0!</v>
      </c>
      <c r="T34" s="9">
        <f t="shared" si="19"/>
        <v>0</v>
      </c>
      <c r="U34" s="9" t="e">
        <f>R34 / _xlfn.XLOOKUP(A34, Bottom!A:A, Bottom!AA:AA)</f>
        <v>#DIV/0!</v>
      </c>
    </row>
    <row r="35" spans="14:21" x14ac:dyDescent="0.25">
      <c r="N35" s="6"/>
      <c r="O35" s="7"/>
      <c r="P35" s="8">
        <f t="shared" si="16"/>
        <v>0</v>
      </c>
      <c r="Q35" s="1"/>
      <c r="R35" s="6">
        <f t="shared" si="17"/>
        <v>0</v>
      </c>
      <c r="S35" s="9" t="e">
        <f t="shared" si="18"/>
        <v>#DIV/0!</v>
      </c>
      <c r="T35" s="9">
        <f t="shared" si="19"/>
        <v>0</v>
      </c>
      <c r="U35" s="9" t="e">
        <f>R35 / _xlfn.XLOOKUP(A35, Bottom!A:A, Bottom!AA:AA)</f>
        <v>#DIV/0!</v>
      </c>
    </row>
    <row r="36" spans="14:21" x14ac:dyDescent="0.25">
      <c r="N36" s="6"/>
      <c r="O36" s="7"/>
      <c r="P36" s="8">
        <f t="shared" si="16"/>
        <v>0</v>
      </c>
      <c r="Q36" s="1"/>
      <c r="R36" s="6">
        <f t="shared" si="17"/>
        <v>0</v>
      </c>
      <c r="S36" s="9" t="e">
        <f t="shared" si="18"/>
        <v>#DIV/0!</v>
      </c>
      <c r="T36" s="9">
        <f t="shared" si="19"/>
        <v>0</v>
      </c>
      <c r="U36" s="9" t="e">
        <f>R36 / _xlfn.XLOOKUP(A36, Bottom!A:A, Bottom!AA:AA)</f>
        <v>#DIV/0!</v>
      </c>
    </row>
    <row r="37" spans="14:21" x14ac:dyDescent="0.25">
      <c r="N37" s="6"/>
      <c r="O37" s="7"/>
      <c r="P37" s="8">
        <f t="shared" si="16"/>
        <v>0</v>
      </c>
      <c r="Q37" s="1"/>
      <c r="R37" s="6">
        <f t="shared" si="17"/>
        <v>0</v>
      </c>
      <c r="S37" s="9" t="e">
        <f t="shared" si="18"/>
        <v>#DIV/0!</v>
      </c>
      <c r="T37" s="9">
        <f t="shared" si="19"/>
        <v>0</v>
      </c>
      <c r="U37" s="9" t="e">
        <f>R37 / _xlfn.XLOOKUP(A37, Bottom!A:A, Bottom!AA:AA)</f>
        <v>#DIV/0!</v>
      </c>
    </row>
    <row r="38" spans="14:21" x14ac:dyDescent="0.25">
      <c r="N38" s="6"/>
      <c r="O38" s="7"/>
      <c r="P38" s="8">
        <f t="shared" si="16"/>
        <v>0</v>
      </c>
      <c r="Q38" s="1"/>
      <c r="R38" s="6">
        <f t="shared" si="17"/>
        <v>0</v>
      </c>
      <c r="S38" s="9" t="e">
        <f t="shared" si="18"/>
        <v>#DIV/0!</v>
      </c>
      <c r="T38" s="9">
        <f t="shared" si="19"/>
        <v>0</v>
      </c>
      <c r="U38" s="9" t="e">
        <f>R38 / _xlfn.XLOOKUP(A38, Bottom!A:A, Bottom!AA:AA)</f>
        <v>#DIV/0!</v>
      </c>
    </row>
    <row r="39" spans="14:21" x14ac:dyDescent="0.25">
      <c r="N39" s="6"/>
      <c r="O39" s="7"/>
      <c r="P39" s="8">
        <f t="shared" si="16"/>
        <v>0</v>
      </c>
      <c r="Q39" s="1"/>
      <c r="R39" s="6">
        <f t="shared" si="17"/>
        <v>0</v>
      </c>
      <c r="S39" s="9" t="e">
        <f t="shared" si="18"/>
        <v>#DIV/0!</v>
      </c>
      <c r="T39" s="9">
        <f t="shared" si="19"/>
        <v>0</v>
      </c>
      <c r="U39" s="9" t="e">
        <f>R39 / _xlfn.XLOOKUP(A39, Bottom!A:A, Bottom!AA:AA)</f>
        <v>#DIV/0!</v>
      </c>
    </row>
    <row r="40" spans="14:21" x14ac:dyDescent="0.25">
      <c r="N40" s="6"/>
      <c r="O40" s="7"/>
      <c r="P40" s="8">
        <f t="shared" si="16"/>
        <v>0</v>
      </c>
      <c r="Q40" s="1"/>
      <c r="R40" s="6">
        <f t="shared" si="17"/>
        <v>0</v>
      </c>
      <c r="S40" s="9" t="e">
        <f t="shared" si="18"/>
        <v>#DIV/0!</v>
      </c>
      <c r="T40" s="9">
        <f t="shared" si="19"/>
        <v>0</v>
      </c>
      <c r="U40" s="9" t="e">
        <f>R40 / _xlfn.XLOOKUP(A40, Bottom!A:A, Bottom!AA:AA)</f>
        <v>#DIV/0!</v>
      </c>
    </row>
    <row r="41" spans="14:21" x14ac:dyDescent="0.25">
      <c r="N41" s="6"/>
      <c r="O41" s="7"/>
      <c r="P41" s="8">
        <f t="shared" si="16"/>
        <v>0</v>
      </c>
      <c r="Q41" s="1"/>
      <c r="R41" s="6">
        <f t="shared" si="17"/>
        <v>0</v>
      </c>
      <c r="S41" s="9" t="e">
        <f t="shared" si="18"/>
        <v>#DIV/0!</v>
      </c>
      <c r="T41" s="9">
        <f t="shared" si="19"/>
        <v>0</v>
      </c>
      <c r="U41" s="9" t="e">
        <f>R41 / _xlfn.XLOOKUP(A41, Bottom!A:A, Bottom!AA:AA)</f>
        <v>#DIV/0!</v>
      </c>
    </row>
  </sheetData>
  <sortState xmlns:xlrd2="http://schemas.microsoft.com/office/spreadsheetml/2017/richdata2" ref="A3:U18">
    <sortCondition descending="1" ref="S3:S18"/>
  </sortState>
  <pageMargins left="0.7" right="0.7" top="0.78740157499999996" bottom="0.78740157499999996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195EB-19FE-44E6-8D26-B6665254BD19}">
  <sheetPr>
    <tabColor theme="5" tint="0.59999389629810485"/>
  </sheetPr>
  <dimension ref="A1:W51"/>
  <sheetViews>
    <sheetView workbookViewId="0">
      <selection activeCell="U3" sqref="U3:U27"/>
    </sheetView>
  </sheetViews>
  <sheetFormatPr baseColWidth="10" defaultRowHeight="15" x14ac:dyDescent="0.25"/>
  <sheetData>
    <row r="1" spans="1:23" ht="15.75" x14ac:dyDescent="0.25">
      <c r="A1" s="2" t="s">
        <v>163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161</v>
      </c>
      <c r="B3" s="6"/>
      <c r="C3" s="7"/>
      <c r="D3" s="8">
        <f t="shared" ref="D3:D27" si="0">B3*C3</f>
        <v>0</v>
      </c>
      <c r="E3" s="6"/>
      <c r="F3" s="7"/>
      <c r="G3" s="8">
        <f t="shared" ref="G3:G27" si="1">E3*F3</f>
        <v>0</v>
      </c>
      <c r="H3" s="6"/>
      <c r="I3" s="7"/>
      <c r="J3" s="8">
        <f t="shared" ref="J3:J27" si="2">H3*I3</f>
        <v>0</v>
      </c>
      <c r="K3" s="6"/>
      <c r="L3" s="7"/>
      <c r="M3" s="8">
        <f t="shared" ref="M3:M27" si="3">K3*L3</f>
        <v>0</v>
      </c>
      <c r="N3" s="6"/>
      <c r="O3" s="7"/>
      <c r="P3" s="8">
        <f t="shared" ref="P3:P27" si="4">N3*O3</f>
        <v>0</v>
      </c>
      <c r="Q3" s="1"/>
      <c r="R3" s="6">
        <f t="shared" ref="R3:R27" si="5">B3+E3+H3+K3+N3</f>
        <v>0</v>
      </c>
      <c r="S3" s="9" t="e">
        <f t="shared" ref="S3:S27" si="6">(D3+G3+J3+M3+P3)/R3</f>
        <v>#DIV/0!</v>
      </c>
      <c r="T3" s="9">
        <f t="shared" ref="T3:T27" si="7">R3/$V$3</f>
        <v>0</v>
      </c>
      <c r="U3" s="9">
        <f>R3 / _xlfn.XLOOKUP(A3, Bottom!A:A, Bottom!AA:AA)</f>
        <v>0</v>
      </c>
      <c r="V3" s="11">
        <f>SUM(R3:R65)</f>
        <v>229</v>
      </c>
      <c r="W3" s="12">
        <f>(SUM(D3:D95)+SUM(G3:G95)+SUM(J3:J95)+SUM(M3:M95)+SUM(P3:P95)) / V3</f>
        <v>0.36242358078602621</v>
      </c>
    </row>
    <row r="4" spans="1:23" x14ac:dyDescent="0.25">
      <c r="A4" s="1" t="s">
        <v>156</v>
      </c>
      <c r="B4" s="6"/>
      <c r="C4" s="7"/>
      <c r="D4" s="8">
        <f t="shared" si="0"/>
        <v>0</v>
      </c>
      <c r="E4" s="6"/>
      <c r="F4" s="7"/>
      <c r="G4" s="8">
        <f t="shared" si="1"/>
        <v>0</v>
      </c>
      <c r="H4" s="6"/>
      <c r="I4" s="7"/>
      <c r="J4" s="8">
        <f t="shared" si="2"/>
        <v>0</v>
      </c>
      <c r="K4" s="6">
        <v>1</v>
      </c>
      <c r="L4" s="7">
        <v>1</v>
      </c>
      <c r="M4" s="8">
        <f t="shared" si="3"/>
        <v>1</v>
      </c>
      <c r="N4" s="6"/>
      <c r="O4" s="7"/>
      <c r="P4" s="8">
        <f t="shared" si="4"/>
        <v>0</v>
      </c>
      <c r="Q4" s="1"/>
      <c r="R4" s="6">
        <f t="shared" si="5"/>
        <v>1</v>
      </c>
      <c r="S4" s="9">
        <f t="shared" si="6"/>
        <v>1</v>
      </c>
      <c r="T4" s="9">
        <f t="shared" si="7"/>
        <v>4.3668122270742356E-3</v>
      </c>
      <c r="U4" s="9">
        <f>R4 / _xlfn.XLOOKUP(A4, Bottom!A:A, Bottom!AA:AA)</f>
        <v>8.771929824561403E-3</v>
      </c>
      <c r="V4" s="1"/>
      <c r="W4" s="1"/>
    </row>
    <row r="5" spans="1:23" x14ac:dyDescent="0.25">
      <c r="A5" s="1" t="s">
        <v>18</v>
      </c>
      <c r="B5" s="6"/>
      <c r="C5" s="7"/>
      <c r="D5" s="8">
        <f t="shared" si="0"/>
        <v>0</v>
      </c>
      <c r="E5" s="6"/>
      <c r="F5" s="7"/>
      <c r="G5" s="8">
        <f t="shared" si="1"/>
        <v>0</v>
      </c>
      <c r="H5" s="6">
        <v>1</v>
      </c>
      <c r="I5" s="7">
        <v>1</v>
      </c>
      <c r="J5" s="8">
        <f t="shared" si="2"/>
        <v>1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3"/>
      <c r="R5" s="6">
        <f t="shared" si="5"/>
        <v>1</v>
      </c>
      <c r="S5" s="9">
        <f t="shared" si="6"/>
        <v>1</v>
      </c>
      <c r="T5" s="9">
        <f t="shared" si="7"/>
        <v>4.3668122270742356E-3</v>
      </c>
      <c r="U5" s="9">
        <f>R5 / _xlfn.XLOOKUP(A5, Bottom!A:A, Bottom!AA:AA)</f>
        <v>0.5</v>
      </c>
      <c r="V5" s="1"/>
      <c r="W5" s="1"/>
    </row>
    <row r="6" spans="1:23" x14ac:dyDescent="0.25">
      <c r="A6" s="1" t="s">
        <v>148</v>
      </c>
      <c r="B6" s="6"/>
      <c r="C6" s="7"/>
      <c r="D6" s="8">
        <f t="shared" si="0"/>
        <v>0</v>
      </c>
      <c r="E6" s="6"/>
      <c r="F6" s="7"/>
      <c r="G6" s="8">
        <f t="shared" si="1"/>
        <v>0</v>
      </c>
      <c r="H6" s="6">
        <v>1</v>
      </c>
      <c r="I6" s="7">
        <v>0</v>
      </c>
      <c r="J6" s="8">
        <f t="shared" si="2"/>
        <v>0</v>
      </c>
      <c r="K6" s="6">
        <v>7</v>
      </c>
      <c r="L6" s="7">
        <v>0.85699999999999998</v>
      </c>
      <c r="M6" s="8">
        <f t="shared" si="3"/>
        <v>5.9989999999999997</v>
      </c>
      <c r="N6" s="6"/>
      <c r="O6" s="7"/>
      <c r="P6" s="8">
        <f t="shared" si="4"/>
        <v>0</v>
      </c>
      <c r="Q6" s="4"/>
      <c r="R6" s="6">
        <f t="shared" si="5"/>
        <v>8</v>
      </c>
      <c r="S6" s="9">
        <f t="shared" si="6"/>
        <v>0.74987499999999996</v>
      </c>
      <c r="T6" s="9">
        <f t="shared" si="7"/>
        <v>3.4934497816593885E-2</v>
      </c>
      <c r="U6" s="9">
        <f>R6 / _xlfn.XLOOKUP(A6, Bottom!A:A, Bottom!AA:AA)</f>
        <v>3.9408866995073892E-2</v>
      </c>
      <c r="V6" s="1"/>
      <c r="W6" s="1"/>
    </row>
    <row r="7" spans="1:23" x14ac:dyDescent="0.25">
      <c r="A7" s="1" t="s">
        <v>134</v>
      </c>
      <c r="B7" s="6"/>
      <c r="C7" s="7"/>
      <c r="D7" s="8">
        <f t="shared" si="0"/>
        <v>0</v>
      </c>
      <c r="E7" s="6"/>
      <c r="F7" s="7"/>
      <c r="G7" s="8">
        <f t="shared" si="1"/>
        <v>0</v>
      </c>
      <c r="H7" s="6">
        <v>7</v>
      </c>
      <c r="I7" s="7">
        <v>0.57099999999999995</v>
      </c>
      <c r="J7" s="8">
        <f t="shared" si="2"/>
        <v>3.9969999999999999</v>
      </c>
      <c r="K7" s="6">
        <v>11</v>
      </c>
      <c r="L7" s="7">
        <v>0.54500000000000004</v>
      </c>
      <c r="M7" s="8">
        <f t="shared" si="3"/>
        <v>5.9950000000000001</v>
      </c>
      <c r="N7" s="6"/>
      <c r="O7" s="7"/>
      <c r="P7" s="8">
        <f t="shared" si="4"/>
        <v>0</v>
      </c>
      <c r="Q7" s="1"/>
      <c r="R7" s="6">
        <f t="shared" si="5"/>
        <v>18</v>
      </c>
      <c r="S7" s="9">
        <f t="shared" si="6"/>
        <v>0.55511111111111111</v>
      </c>
      <c r="T7" s="9">
        <f t="shared" si="7"/>
        <v>7.8602620087336247E-2</v>
      </c>
      <c r="U7" s="9">
        <f>R7 / _xlfn.XLOOKUP(A7, Bottom!A:A, Bottom!AA:AA)</f>
        <v>3.9301310043668124E-2</v>
      </c>
      <c r="V7" s="1"/>
      <c r="W7" s="1"/>
    </row>
    <row r="8" spans="1:23" x14ac:dyDescent="0.25">
      <c r="A8" s="1" t="s">
        <v>138</v>
      </c>
      <c r="B8" s="6"/>
      <c r="C8" s="7"/>
      <c r="D8" s="8">
        <f t="shared" si="0"/>
        <v>0</v>
      </c>
      <c r="E8" s="6">
        <v>2</v>
      </c>
      <c r="F8" s="7">
        <v>0</v>
      </c>
      <c r="G8" s="8">
        <f t="shared" si="1"/>
        <v>0</v>
      </c>
      <c r="H8" s="6">
        <v>2</v>
      </c>
      <c r="I8" s="7">
        <v>1</v>
      </c>
      <c r="J8" s="8">
        <f t="shared" si="2"/>
        <v>2</v>
      </c>
      <c r="K8" s="6">
        <v>4</v>
      </c>
      <c r="L8" s="7">
        <v>0.5</v>
      </c>
      <c r="M8" s="8">
        <f t="shared" si="3"/>
        <v>2</v>
      </c>
      <c r="N8" s="6"/>
      <c r="O8" s="7"/>
      <c r="P8" s="8">
        <f t="shared" si="4"/>
        <v>0</v>
      </c>
      <c r="Q8" s="1"/>
      <c r="R8" s="6">
        <f t="shared" si="5"/>
        <v>8</v>
      </c>
      <c r="S8" s="9">
        <f t="shared" si="6"/>
        <v>0.5</v>
      </c>
      <c r="T8" s="9">
        <f t="shared" si="7"/>
        <v>3.4934497816593885E-2</v>
      </c>
      <c r="U8" s="9">
        <f>R8 / _xlfn.XLOOKUP(A8, Bottom!A:A, Bottom!AA:AA)</f>
        <v>2.7118644067796609E-2</v>
      </c>
      <c r="V8" s="1"/>
      <c r="W8" s="1"/>
    </row>
    <row r="9" spans="1:23" x14ac:dyDescent="0.25">
      <c r="A9" s="1" t="s">
        <v>141</v>
      </c>
      <c r="B9" s="6"/>
      <c r="C9" s="7"/>
      <c r="D9" s="8">
        <f t="shared" si="0"/>
        <v>0</v>
      </c>
      <c r="E9" s="6">
        <v>12</v>
      </c>
      <c r="F9" s="7">
        <v>0.5</v>
      </c>
      <c r="G9" s="8">
        <f t="shared" si="1"/>
        <v>6</v>
      </c>
      <c r="H9" s="6">
        <v>5</v>
      </c>
      <c r="I9" s="7">
        <v>0</v>
      </c>
      <c r="J9" s="8">
        <f t="shared" si="2"/>
        <v>0</v>
      </c>
      <c r="K9" s="6">
        <v>6</v>
      </c>
      <c r="L9" s="7">
        <v>0.66700000000000004</v>
      </c>
      <c r="M9" s="8">
        <f t="shared" si="3"/>
        <v>4.0020000000000007</v>
      </c>
      <c r="N9" s="6"/>
      <c r="O9" s="7"/>
      <c r="P9" s="8">
        <f t="shared" si="4"/>
        <v>0</v>
      </c>
      <c r="Q9" s="1"/>
      <c r="R9" s="6">
        <f t="shared" si="5"/>
        <v>23</v>
      </c>
      <c r="S9" s="9">
        <f t="shared" si="6"/>
        <v>0.43486956521739134</v>
      </c>
      <c r="T9" s="9">
        <f t="shared" si="7"/>
        <v>0.10043668122270742</v>
      </c>
      <c r="U9" s="9">
        <f>R9 / _xlfn.XLOOKUP(A9, Bottom!A:A, Bottom!AA:AA)</f>
        <v>5.2391799544419138E-2</v>
      </c>
      <c r="V9" s="1"/>
      <c r="W9" s="1"/>
    </row>
    <row r="10" spans="1:23" x14ac:dyDescent="0.25">
      <c r="A10" s="1" t="s">
        <v>139</v>
      </c>
      <c r="B10" s="6"/>
      <c r="C10" s="7"/>
      <c r="D10" s="8">
        <f t="shared" si="0"/>
        <v>0</v>
      </c>
      <c r="E10" s="6">
        <v>3</v>
      </c>
      <c r="F10" s="7">
        <v>0.33300000000000002</v>
      </c>
      <c r="G10" s="8">
        <f t="shared" si="1"/>
        <v>0.99900000000000011</v>
      </c>
      <c r="H10" s="6">
        <v>14</v>
      </c>
      <c r="I10" s="7">
        <v>0.35699999999999998</v>
      </c>
      <c r="J10" s="8">
        <f t="shared" si="2"/>
        <v>4.9979999999999993</v>
      </c>
      <c r="K10" s="6">
        <v>7</v>
      </c>
      <c r="L10" s="7">
        <v>0.57199999999999995</v>
      </c>
      <c r="M10" s="8">
        <f t="shared" si="3"/>
        <v>4.0039999999999996</v>
      </c>
      <c r="N10" s="6"/>
      <c r="O10" s="7"/>
      <c r="P10" s="8">
        <f t="shared" si="4"/>
        <v>0</v>
      </c>
      <c r="Q10" s="4"/>
      <c r="R10" s="6">
        <f t="shared" si="5"/>
        <v>24</v>
      </c>
      <c r="S10" s="9">
        <f t="shared" si="6"/>
        <v>0.41670833333333329</v>
      </c>
      <c r="T10" s="9">
        <f t="shared" si="7"/>
        <v>0.10480349344978165</v>
      </c>
      <c r="U10" s="9">
        <f>R10 / _xlfn.XLOOKUP(A10, Bottom!A:A, Bottom!AA:AA)</f>
        <v>4.5112781954887216E-2</v>
      </c>
      <c r="V10" s="1"/>
      <c r="W10" s="1"/>
    </row>
    <row r="11" spans="1:23" x14ac:dyDescent="0.25">
      <c r="A11" s="1" t="s">
        <v>147</v>
      </c>
      <c r="B11" s="6"/>
      <c r="C11" s="7"/>
      <c r="D11" s="8">
        <f t="shared" si="0"/>
        <v>0</v>
      </c>
      <c r="E11" s="6">
        <v>1</v>
      </c>
      <c r="F11" s="7">
        <v>0</v>
      </c>
      <c r="G11" s="8">
        <f t="shared" si="1"/>
        <v>0</v>
      </c>
      <c r="H11" s="6">
        <v>1</v>
      </c>
      <c r="I11" s="7">
        <v>0</v>
      </c>
      <c r="J11" s="8">
        <f t="shared" si="2"/>
        <v>0</v>
      </c>
      <c r="K11" s="6">
        <v>8</v>
      </c>
      <c r="L11" s="7">
        <v>0.5</v>
      </c>
      <c r="M11" s="8">
        <f t="shared" si="3"/>
        <v>4</v>
      </c>
      <c r="N11" s="6"/>
      <c r="O11" s="7"/>
      <c r="P11" s="8">
        <f t="shared" si="4"/>
        <v>0</v>
      </c>
      <c r="Q11" s="1"/>
      <c r="R11" s="6">
        <f t="shared" si="5"/>
        <v>10</v>
      </c>
      <c r="S11" s="9">
        <f t="shared" si="6"/>
        <v>0.4</v>
      </c>
      <c r="T11" s="9">
        <f t="shared" si="7"/>
        <v>4.3668122270742356E-2</v>
      </c>
      <c r="U11" s="9">
        <f>R11 / _xlfn.XLOOKUP(A11, Bottom!A:A, Bottom!AA:AA)</f>
        <v>4.7619047619047616E-2</v>
      </c>
      <c r="V11" s="1"/>
      <c r="W11" s="1"/>
    </row>
    <row r="12" spans="1:23" x14ac:dyDescent="0.25">
      <c r="A12" s="1" t="s">
        <v>59</v>
      </c>
      <c r="B12" s="6"/>
      <c r="C12" s="7"/>
      <c r="D12" s="8">
        <f t="shared" si="0"/>
        <v>0</v>
      </c>
      <c r="E12" s="6"/>
      <c r="F12" s="7"/>
      <c r="G12" s="8">
        <f t="shared" si="1"/>
        <v>0</v>
      </c>
      <c r="H12" s="6">
        <v>5</v>
      </c>
      <c r="I12" s="7">
        <v>0.4</v>
      </c>
      <c r="J12" s="8">
        <f t="shared" si="2"/>
        <v>2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1"/>
      <c r="R12" s="6">
        <f t="shared" si="5"/>
        <v>5</v>
      </c>
      <c r="S12" s="9">
        <f t="shared" si="6"/>
        <v>0.4</v>
      </c>
      <c r="T12" s="9">
        <f t="shared" si="7"/>
        <v>2.1834061135371178E-2</v>
      </c>
      <c r="U12" s="9">
        <f>R12 / _xlfn.XLOOKUP(A12, Bottom!A:A, Bottom!AA:AA)</f>
        <v>9.8039215686274508E-2</v>
      </c>
      <c r="V12" s="1"/>
      <c r="W12" s="1"/>
    </row>
    <row r="13" spans="1:23" x14ac:dyDescent="0.25">
      <c r="A13" s="1" t="s">
        <v>145</v>
      </c>
      <c r="B13" s="6"/>
      <c r="C13" s="7"/>
      <c r="D13" s="8">
        <f t="shared" si="0"/>
        <v>0</v>
      </c>
      <c r="E13" s="6">
        <v>4</v>
      </c>
      <c r="F13" s="7">
        <v>0.5</v>
      </c>
      <c r="G13" s="8">
        <f t="shared" si="1"/>
        <v>2</v>
      </c>
      <c r="H13" s="6">
        <v>5</v>
      </c>
      <c r="I13" s="7">
        <v>0.2</v>
      </c>
      <c r="J13" s="8">
        <f t="shared" si="2"/>
        <v>1</v>
      </c>
      <c r="K13" s="6">
        <v>9</v>
      </c>
      <c r="L13" s="7">
        <v>0.44400000000000001</v>
      </c>
      <c r="M13" s="8">
        <f t="shared" si="3"/>
        <v>3.996</v>
      </c>
      <c r="N13" s="6"/>
      <c r="O13" s="7"/>
      <c r="P13" s="8">
        <f t="shared" si="4"/>
        <v>0</v>
      </c>
      <c r="Q13" s="1"/>
      <c r="R13" s="6">
        <f t="shared" si="5"/>
        <v>18</v>
      </c>
      <c r="S13" s="9">
        <f t="shared" si="6"/>
        <v>0.38866666666666672</v>
      </c>
      <c r="T13" s="9">
        <f t="shared" si="7"/>
        <v>7.8602620087336247E-2</v>
      </c>
      <c r="U13" s="9">
        <f>R13 / _xlfn.XLOOKUP(A13, Bottom!A:A, Bottom!AA:AA)</f>
        <v>3.9045553145336226E-2</v>
      </c>
      <c r="V13" s="1"/>
      <c r="W13" s="1"/>
    </row>
    <row r="14" spans="1:23" x14ac:dyDescent="0.25">
      <c r="A14" s="1" t="s">
        <v>150</v>
      </c>
      <c r="B14" s="6"/>
      <c r="C14" s="7"/>
      <c r="D14" s="8">
        <f t="shared" si="0"/>
        <v>0</v>
      </c>
      <c r="E14" s="6">
        <v>4</v>
      </c>
      <c r="F14" s="7">
        <v>0</v>
      </c>
      <c r="G14" s="8">
        <f t="shared" si="1"/>
        <v>0</v>
      </c>
      <c r="H14" s="6">
        <v>11</v>
      </c>
      <c r="I14" s="7">
        <v>0.27300000000000002</v>
      </c>
      <c r="J14" s="8">
        <f t="shared" si="2"/>
        <v>3.0030000000000001</v>
      </c>
      <c r="K14" s="6">
        <v>12</v>
      </c>
      <c r="L14" s="7">
        <v>0.5</v>
      </c>
      <c r="M14" s="8">
        <f t="shared" si="3"/>
        <v>6</v>
      </c>
      <c r="N14" s="6"/>
      <c r="O14" s="7"/>
      <c r="P14" s="8">
        <f t="shared" si="4"/>
        <v>0</v>
      </c>
      <c r="Q14" s="1"/>
      <c r="R14" s="6">
        <f t="shared" si="5"/>
        <v>27</v>
      </c>
      <c r="S14" s="9">
        <f t="shared" si="6"/>
        <v>0.33344444444444443</v>
      </c>
      <c r="T14" s="9">
        <f t="shared" si="7"/>
        <v>0.11790393013100436</v>
      </c>
      <c r="U14" s="9">
        <f>R14 / _xlfn.XLOOKUP(A14, Bottom!A:A, Bottom!AA:AA)</f>
        <v>5.6367432150313153E-2</v>
      </c>
      <c r="V14" s="1"/>
      <c r="W14" s="1"/>
    </row>
    <row r="15" spans="1:23" x14ac:dyDescent="0.25">
      <c r="A15" s="1" t="s">
        <v>153</v>
      </c>
      <c r="B15" s="6"/>
      <c r="C15" s="7"/>
      <c r="D15" s="8">
        <f t="shared" si="0"/>
        <v>0</v>
      </c>
      <c r="E15" s="6">
        <v>3</v>
      </c>
      <c r="F15" s="7">
        <v>0.33300000000000002</v>
      </c>
      <c r="G15" s="8">
        <f t="shared" si="1"/>
        <v>0.99900000000000011</v>
      </c>
      <c r="H15" s="6">
        <v>2</v>
      </c>
      <c r="I15" s="7">
        <v>0.5</v>
      </c>
      <c r="J15" s="8">
        <f t="shared" si="2"/>
        <v>1</v>
      </c>
      <c r="K15" s="6">
        <v>1</v>
      </c>
      <c r="L15" s="7">
        <v>0</v>
      </c>
      <c r="M15" s="8">
        <f t="shared" si="3"/>
        <v>0</v>
      </c>
      <c r="N15" s="6"/>
      <c r="O15" s="7"/>
      <c r="P15" s="8">
        <f t="shared" si="4"/>
        <v>0</v>
      </c>
      <c r="Q15" s="4"/>
      <c r="R15" s="6">
        <f t="shared" si="5"/>
        <v>6</v>
      </c>
      <c r="S15" s="9">
        <f t="shared" si="6"/>
        <v>0.33316666666666667</v>
      </c>
      <c r="T15" s="9">
        <f t="shared" si="7"/>
        <v>2.6200873362445413E-2</v>
      </c>
      <c r="U15" s="9">
        <f>R15 / _xlfn.XLOOKUP(A15, Bottom!A:A, Bottom!AA:AA)</f>
        <v>0.2</v>
      </c>
      <c r="V15" s="1"/>
      <c r="W15" s="1"/>
    </row>
    <row r="16" spans="1:23" x14ac:dyDescent="0.25">
      <c r="A16" s="25" t="s">
        <v>108</v>
      </c>
      <c r="B16" s="6"/>
      <c r="C16" s="7"/>
      <c r="D16" s="8">
        <f t="shared" si="0"/>
        <v>0</v>
      </c>
      <c r="E16" s="6"/>
      <c r="F16" s="7"/>
      <c r="G16" s="8">
        <f t="shared" si="1"/>
        <v>0</v>
      </c>
      <c r="H16" s="6"/>
      <c r="I16" s="7"/>
      <c r="J16" s="8">
        <f t="shared" si="2"/>
        <v>0</v>
      </c>
      <c r="K16" s="6">
        <v>3</v>
      </c>
      <c r="L16" s="7">
        <v>0.33300000000000002</v>
      </c>
      <c r="M16" s="8">
        <f t="shared" si="3"/>
        <v>0.99900000000000011</v>
      </c>
      <c r="N16" s="6"/>
      <c r="O16" s="7"/>
      <c r="P16" s="8">
        <f t="shared" si="4"/>
        <v>0</v>
      </c>
      <c r="Q16" s="1"/>
      <c r="R16" s="6">
        <f t="shared" si="5"/>
        <v>3</v>
      </c>
      <c r="S16" s="9">
        <f t="shared" si="6"/>
        <v>0.33300000000000002</v>
      </c>
      <c r="T16" s="9">
        <f t="shared" si="7"/>
        <v>1.3100436681222707E-2</v>
      </c>
      <c r="U16" s="9">
        <f>R16 / _xlfn.XLOOKUP(A16, Bottom!A:A, Bottom!AA:AA)</f>
        <v>2.0270270270270271E-2</v>
      </c>
      <c r="V16" s="1"/>
      <c r="W16" s="1"/>
    </row>
    <row r="17" spans="1:23" x14ac:dyDescent="0.25">
      <c r="A17" s="1" t="s">
        <v>140</v>
      </c>
      <c r="B17" s="6"/>
      <c r="C17" s="7"/>
      <c r="D17" s="8">
        <f t="shared" si="0"/>
        <v>0</v>
      </c>
      <c r="E17" s="6">
        <v>6</v>
      </c>
      <c r="F17" s="7">
        <v>0.16700000000000001</v>
      </c>
      <c r="G17" s="8">
        <f t="shared" si="1"/>
        <v>1.002</v>
      </c>
      <c r="H17" s="6">
        <v>5</v>
      </c>
      <c r="I17" s="7">
        <v>0.4</v>
      </c>
      <c r="J17" s="8">
        <f t="shared" si="2"/>
        <v>2</v>
      </c>
      <c r="K17" s="6">
        <v>3</v>
      </c>
      <c r="L17" s="7">
        <v>0.33300000000000002</v>
      </c>
      <c r="M17" s="8">
        <f t="shared" si="3"/>
        <v>0.99900000000000011</v>
      </c>
      <c r="N17" s="6"/>
      <c r="O17" s="7"/>
      <c r="P17" s="8">
        <f t="shared" si="4"/>
        <v>0</v>
      </c>
      <c r="Q17" s="4"/>
      <c r="R17" s="6">
        <f t="shared" si="5"/>
        <v>14</v>
      </c>
      <c r="S17" s="9">
        <f t="shared" si="6"/>
        <v>0.28578571428571425</v>
      </c>
      <c r="T17" s="9">
        <f t="shared" si="7"/>
        <v>6.1135371179039298E-2</v>
      </c>
      <c r="U17" s="9">
        <f>R17 / _xlfn.XLOOKUP(A17, Bottom!A:A, Bottom!AA:AA)</f>
        <v>2.7027027027027029E-2</v>
      </c>
      <c r="V17" s="1"/>
      <c r="W17" s="1"/>
    </row>
    <row r="18" spans="1:23" x14ac:dyDescent="0.25">
      <c r="A18" s="1" t="s">
        <v>154</v>
      </c>
      <c r="B18" s="6"/>
      <c r="C18" s="7"/>
      <c r="D18" s="8">
        <f t="shared" si="0"/>
        <v>0</v>
      </c>
      <c r="E18" s="6"/>
      <c r="F18" s="7"/>
      <c r="G18" s="8">
        <f t="shared" si="1"/>
        <v>0</v>
      </c>
      <c r="H18" s="6">
        <v>4</v>
      </c>
      <c r="I18" s="7">
        <v>0.25</v>
      </c>
      <c r="J18" s="8">
        <f t="shared" si="2"/>
        <v>1</v>
      </c>
      <c r="K18" s="6">
        <v>3</v>
      </c>
      <c r="L18" s="7">
        <v>0.33300000000000002</v>
      </c>
      <c r="M18" s="8">
        <f t="shared" si="3"/>
        <v>0.99900000000000011</v>
      </c>
      <c r="N18" s="6"/>
      <c r="O18" s="7"/>
      <c r="P18" s="8">
        <f t="shared" si="4"/>
        <v>0</v>
      </c>
      <c r="Q18" s="1"/>
      <c r="R18" s="6">
        <f t="shared" si="5"/>
        <v>7</v>
      </c>
      <c r="S18" s="9">
        <f t="shared" si="6"/>
        <v>0.28557142857142859</v>
      </c>
      <c r="T18" s="9">
        <f t="shared" si="7"/>
        <v>3.0567685589519649E-2</v>
      </c>
      <c r="U18" s="9">
        <f>R18 / _xlfn.XLOOKUP(A18, Bottom!A:A, Bottom!AA:AA)</f>
        <v>5.8823529411764705E-2</v>
      </c>
      <c r="V18" s="1"/>
      <c r="W18" s="1"/>
    </row>
    <row r="19" spans="1:23" x14ac:dyDescent="0.25">
      <c r="A19" s="1" t="s">
        <v>143</v>
      </c>
      <c r="B19" s="6"/>
      <c r="C19" s="7"/>
      <c r="D19" s="8">
        <f t="shared" si="0"/>
        <v>0</v>
      </c>
      <c r="E19" s="6"/>
      <c r="F19" s="7"/>
      <c r="G19" s="8">
        <f t="shared" si="1"/>
        <v>0</v>
      </c>
      <c r="H19" s="6">
        <v>6</v>
      </c>
      <c r="I19" s="7">
        <v>0.33300000000000002</v>
      </c>
      <c r="J19" s="8">
        <f t="shared" si="2"/>
        <v>1.9980000000000002</v>
      </c>
      <c r="K19" s="6">
        <v>5</v>
      </c>
      <c r="L19" s="7">
        <v>0.2</v>
      </c>
      <c r="M19" s="8">
        <f t="shared" si="3"/>
        <v>1</v>
      </c>
      <c r="N19" s="6"/>
      <c r="O19" s="7"/>
      <c r="P19" s="8">
        <f t="shared" si="4"/>
        <v>0</v>
      </c>
      <c r="Q19" s="1"/>
      <c r="R19" s="6">
        <f t="shared" si="5"/>
        <v>11</v>
      </c>
      <c r="S19" s="9">
        <f t="shared" si="6"/>
        <v>0.27254545454545459</v>
      </c>
      <c r="T19" s="9">
        <f t="shared" si="7"/>
        <v>4.8034934497816595E-2</v>
      </c>
      <c r="U19" s="9">
        <f>R19 / _xlfn.XLOOKUP(A19, Bottom!A:A, Bottom!AA:AA)</f>
        <v>7.586206896551724E-2</v>
      </c>
      <c r="V19" s="1"/>
      <c r="W19" s="1"/>
    </row>
    <row r="20" spans="1:23" x14ac:dyDescent="0.25">
      <c r="A20" s="1" t="s">
        <v>149</v>
      </c>
      <c r="B20" s="6"/>
      <c r="C20" s="7"/>
      <c r="D20" s="8">
        <f t="shared" si="0"/>
        <v>0</v>
      </c>
      <c r="E20" s="6"/>
      <c r="F20" s="7"/>
      <c r="G20" s="8">
        <f t="shared" si="1"/>
        <v>0</v>
      </c>
      <c r="H20" s="6">
        <v>6</v>
      </c>
      <c r="I20" s="7">
        <v>0.16700000000000001</v>
      </c>
      <c r="J20" s="8">
        <f t="shared" si="2"/>
        <v>1.002</v>
      </c>
      <c r="K20" s="6">
        <v>7</v>
      </c>
      <c r="L20" s="7">
        <v>0.28599999999999998</v>
      </c>
      <c r="M20" s="8">
        <f t="shared" si="3"/>
        <v>2.0019999999999998</v>
      </c>
      <c r="N20" s="6"/>
      <c r="O20" s="7"/>
      <c r="P20" s="8">
        <f t="shared" si="4"/>
        <v>0</v>
      </c>
      <c r="Q20" s="1"/>
      <c r="R20" s="6">
        <f t="shared" si="5"/>
        <v>13</v>
      </c>
      <c r="S20" s="9">
        <f t="shared" si="6"/>
        <v>0.23107692307692304</v>
      </c>
      <c r="T20" s="9">
        <f t="shared" si="7"/>
        <v>5.6768558951965066E-2</v>
      </c>
      <c r="U20" s="9">
        <f>R20 / _xlfn.XLOOKUP(A20, Bottom!A:A, Bottom!AA:AA)</f>
        <v>3.880597014925373E-2</v>
      </c>
      <c r="V20" s="1"/>
      <c r="W20" s="1"/>
    </row>
    <row r="21" spans="1:23" x14ac:dyDescent="0.25">
      <c r="A21" s="1" t="s">
        <v>35</v>
      </c>
      <c r="B21" s="6"/>
      <c r="C21" s="7"/>
      <c r="D21" s="8">
        <f t="shared" si="0"/>
        <v>0</v>
      </c>
      <c r="E21" s="6"/>
      <c r="F21" s="7"/>
      <c r="G21" s="8">
        <f t="shared" si="1"/>
        <v>0</v>
      </c>
      <c r="H21" s="6">
        <v>7</v>
      </c>
      <c r="I21" s="7">
        <v>0.28599999999999998</v>
      </c>
      <c r="J21" s="8">
        <f t="shared" si="2"/>
        <v>2.0019999999999998</v>
      </c>
      <c r="K21" s="6">
        <v>2</v>
      </c>
      <c r="L21" s="7">
        <v>0</v>
      </c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9</v>
      </c>
      <c r="S21" s="9">
        <f t="shared" si="6"/>
        <v>0.22244444444444442</v>
      </c>
      <c r="T21" s="9">
        <f t="shared" si="7"/>
        <v>3.9301310043668124E-2</v>
      </c>
      <c r="U21" s="9">
        <f>R21 / _xlfn.XLOOKUP(A21, Bottom!A:A, Bottom!AA:AA)</f>
        <v>2.3255813953488372E-2</v>
      </c>
      <c r="V21" s="1"/>
      <c r="W21" s="1"/>
    </row>
    <row r="22" spans="1:23" x14ac:dyDescent="0.25">
      <c r="A22" s="1" t="s">
        <v>151</v>
      </c>
      <c r="B22" s="6"/>
      <c r="C22" s="7"/>
      <c r="D22" s="8">
        <f t="shared" si="0"/>
        <v>0</v>
      </c>
      <c r="E22" s="6"/>
      <c r="F22" s="7"/>
      <c r="G22" s="8">
        <f t="shared" si="1"/>
        <v>0</v>
      </c>
      <c r="H22" s="6">
        <v>1</v>
      </c>
      <c r="I22" s="7">
        <v>0</v>
      </c>
      <c r="J22" s="8">
        <f t="shared" si="2"/>
        <v>0</v>
      </c>
      <c r="K22" s="6">
        <v>4</v>
      </c>
      <c r="L22" s="7">
        <v>0.25</v>
      </c>
      <c r="M22" s="8">
        <f t="shared" si="3"/>
        <v>1</v>
      </c>
      <c r="N22" s="6"/>
      <c r="O22" s="7"/>
      <c r="P22" s="8">
        <f t="shared" si="4"/>
        <v>0</v>
      </c>
      <c r="Q22" s="1"/>
      <c r="R22" s="6">
        <f t="shared" si="5"/>
        <v>5</v>
      </c>
      <c r="S22" s="9">
        <f t="shared" si="6"/>
        <v>0.2</v>
      </c>
      <c r="T22" s="9">
        <f t="shared" si="7"/>
        <v>2.1834061135371178E-2</v>
      </c>
      <c r="U22" s="9">
        <f>R22 / _xlfn.XLOOKUP(A22, Bottom!A:A, Bottom!AA:AA)</f>
        <v>3.1446540880503145E-2</v>
      </c>
      <c r="V22" s="1"/>
      <c r="W22" s="1"/>
    </row>
    <row r="23" spans="1:23" x14ac:dyDescent="0.25">
      <c r="A23" s="1" t="s">
        <v>146</v>
      </c>
      <c r="B23" s="6"/>
      <c r="C23" s="7"/>
      <c r="D23" s="8">
        <f t="shared" si="0"/>
        <v>0</v>
      </c>
      <c r="E23" s="6"/>
      <c r="F23" s="7"/>
      <c r="G23" s="8">
        <f t="shared" si="1"/>
        <v>0</v>
      </c>
      <c r="H23" s="6"/>
      <c r="I23" s="7"/>
      <c r="J23" s="8">
        <f t="shared" si="2"/>
        <v>0</v>
      </c>
      <c r="K23" s="6">
        <v>8</v>
      </c>
      <c r="L23" s="7">
        <v>0.125</v>
      </c>
      <c r="M23" s="8">
        <f t="shared" si="3"/>
        <v>1</v>
      </c>
      <c r="N23" s="6"/>
      <c r="O23" s="7"/>
      <c r="P23" s="8">
        <f t="shared" si="4"/>
        <v>0</v>
      </c>
      <c r="Q23" s="1"/>
      <c r="R23" s="6">
        <f t="shared" si="5"/>
        <v>8</v>
      </c>
      <c r="S23" s="9">
        <f t="shared" si="6"/>
        <v>0.125</v>
      </c>
      <c r="T23" s="9">
        <f t="shared" si="7"/>
        <v>3.4934497816593885E-2</v>
      </c>
      <c r="U23" s="9">
        <f>R23 / _xlfn.XLOOKUP(A23, Bottom!A:A, Bottom!AA:AA)</f>
        <v>4.3243243243243246E-2</v>
      </c>
      <c r="V23" s="1"/>
      <c r="W23" s="1"/>
    </row>
    <row r="24" spans="1:23" x14ac:dyDescent="0.25">
      <c r="A24" s="1" t="s">
        <v>142</v>
      </c>
      <c r="B24" s="6"/>
      <c r="C24" s="7"/>
      <c r="D24" s="8">
        <f t="shared" si="0"/>
        <v>0</v>
      </c>
      <c r="E24" s="6"/>
      <c r="F24" s="7"/>
      <c r="G24" s="8">
        <f t="shared" si="1"/>
        <v>0</v>
      </c>
      <c r="H24" s="6">
        <v>1</v>
      </c>
      <c r="I24" s="7">
        <v>0</v>
      </c>
      <c r="J24" s="8">
        <f t="shared" si="2"/>
        <v>0</v>
      </c>
      <c r="K24" s="6">
        <v>5</v>
      </c>
      <c r="L24" s="7">
        <v>0</v>
      </c>
      <c r="M24" s="8">
        <f t="shared" si="3"/>
        <v>0</v>
      </c>
      <c r="N24" s="6"/>
      <c r="O24" s="7"/>
      <c r="P24" s="8">
        <f t="shared" si="4"/>
        <v>0</v>
      </c>
      <c r="Q24" s="1"/>
      <c r="R24" s="6">
        <f t="shared" si="5"/>
        <v>6</v>
      </c>
      <c r="S24" s="9">
        <f t="shared" si="6"/>
        <v>0</v>
      </c>
      <c r="T24" s="9">
        <f t="shared" si="7"/>
        <v>2.6200873362445413E-2</v>
      </c>
      <c r="U24" s="9">
        <f>R24 / _xlfn.XLOOKUP(A24, Bottom!A:A, Bottom!AA:AA)</f>
        <v>1.9543973941368076E-2</v>
      </c>
      <c r="V24" s="1"/>
      <c r="W24" s="1"/>
    </row>
    <row r="25" spans="1:23" x14ac:dyDescent="0.25">
      <c r="A25" s="25" t="s">
        <v>213</v>
      </c>
      <c r="B25" s="6"/>
      <c r="C25" s="7"/>
      <c r="D25" s="8">
        <f t="shared" si="0"/>
        <v>0</v>
      </c>
      <c r="E25" s="6"/>
      <c r="F25" s="7"/>
      <c r="G25" s="8">
        <f t="shared" si="1"/>
        <v>0</v>
      </c>
      <c r="H25" s="6"/>
      <c r="I25" s="7"/>
      <c r="J25" s="8">
        <f t="shared" si="2"/>
        <v>0</v>
      </c>
      <c r="K25" s="6">
        <v>2</v>
      </c>
      <c r="L25" s="7">
        <v>0</v>
      </c>
      <c r="M25" s="8">
        <f t="shared" si="3"/>
        <v>0</v>
      </c>
      <c r="N25" s="6"/>
      <c r="O25" s="7"/>
      <c r="P25" s="8">
        <f t="shared" si="4"/>
        <v>0</v>
      </c>
      <c r="Q25" s="1"/>
      <c r="R25" s="6">
        <f t="shared" si="5"/>
        <v>2</v>
      </c>
      <c r="S25" s="9">
        <f t="shared" si="6"/>
        <v>0</v>
      </c>
      <c r="T25" s="9">
        <f t="shared" si="7"/>
        <v>8.7336244541484712E-3</v>
      </c>
      <c r="U25" s="9">
        <f>R25 / _xlfn.XLOOKUP(A25, Bottom!A:A, Bottom!AA:AA)</f>
        <v>2.6315789473684209E-2</v>
      </c>
      <c r="V25" s="1"/>
      <c r="W25" s="1"/>
    </row>
    <row r="26" spans="1:23" x14ac:dyDescent="0.25">
      <c r="A26" s="1" t="s">
        <v>152</v>
      </c>
      <c r="B26" s="6"/>
      <c r="C26" s="7"/>
      <c r="D26" s="8">
        <f t="shared" si="0"/>
        <v>0</v>
      </c>
      <c r="E26" s="6">
        <v>1</v>
      </c>
      <c r="F26" s="7">
        <v>0</v>
      </c>
      <c r="G26" s="8">
        <f t="shared" si="1"/>
        <v>0</v>
      </c>
      <c r="H26" s="6"/>
      <c r="I26" s="7"/>
      <c r="J26" s="8">
        <f t="shared" si="2"/>
        <v>0</v>
      </c>
      <c r="K26" s="6"/>
      <c r="L26" s="7"/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1</v>
      </c>
      <c r="S26" s="9">
        <f t="shared" si="6"/>
        <v>0</v>
      </c>
      <c r="T26" s="9">
        <f t="shared" si="7"/>
        <v>4.3668122270742356E-3</v>
      </c>
      <c r="U26" s="9">
        <f>R26 / _xlfn.XLOOKUP(A26, Bottom!A:A, Bottom!AA:AA)</f>
        <v>3.8461538461538464E-2</v>
      </c>
      <c r="V26" s="1"/>
      <c r="W26" s="1"/>
    </row>
    <row r="27" spans="1:23" x14ac:dyDescent="0.25">
      <c r="A27" s="25" t="s">
        <v>109</v>
      </c>
      <c r="B27" s="6"/>
      <c r="C27" s="7"/>
      <c r="D27" s="8">
        <f t="shared" si="0"/>
        <v>0</v>
      </c>
      <c r="E27" s="6"/>
      <c r="F27" s="7"/>
      <c r="G27" s="8">
        <f t="shared" si="1"/>
        <v>0</v>
      </c>
      <c r="H27" s="6"/>
      <c r="I27" s="7"/>
      <c r="J27" s="8">
        <f t="shared" si="2"/>
        <v>0</v>
      </c>
      <c r="K27" s="6">
        <v>1</v>
      </c>
      <c r="L27" s="7">
        <v>0</v>
      </c>
      <c r="M27" s="8">
        <f t="shared" si="3"/>
        <v>0</v>
      </c>
      <c r="N27" s="6"/>
      <c r="O27" s="7"/>
      <c r="P27" s="8">
        <f t="shared" si="4"/>
        <v>0</v>
      </c>
      <c r="Q27" s="1"/>
      <c r="R27" s="6">
        <f t="shared" si="5"/>
        <v>1</v>
      </c>
      <c r="S27" s="9">
        <f t="shared" si="6"/>
        <v>0</v>
      </c>
      <c r="T27" s="9">
        <f t="shared" si="7"/>
        <v>4.3668122270742356E-3</v>
      </c>
      <c r="U27" s="9">
        <f>R27 / _xlfn.XLOOKUP(A27, Bottom!A:A, Bottom!AA:AA)</f>
        <v>0.33333333333333331</v>
      </c>
      <c r="V27" s="1"/>
      <c r="W27" s="1"/>
    </row>
    <row r="28" spans="1:23" x14ac:dyDescent="0.25">
      <c r="A28" s="1"/>
      <c r="B28" s="6"/>
      <c r="C28" s="7"/>
      <c r="D28" s="8">
        <f t="shared" ref="D28:D32" si="8">B28*C28</f>
        <v>0</v>
      </c>
      <c r="E28" s="6"/>
      <c r="F28" s="7"/>
      <c r="G28" s="8">
        <f t="shared" ref="G28:G32" si="9">E28*F28</f>
        <v>0</v>
      </c>
      <c r="H28" s="6"/>
      <c r="I28" s="7"/>
      <c r="J28" s="8">
        <f t="shared" ref="J28:J32" si="10">H28*I28</f>
        <v>0</v>
      </c>
      <c r="K28" s="6"/>
      <c r="L28" s="7"/>
      <c r="M28" s="8">
        <f t="shared" ref="M28:M32" si="11">K28*L28</f>
        <v>0</v>
      </c>
      <c r="N28" s="6"/>
      <c r="O28" s="7"/>
      <c r="P28" s="8">
        <f t="shared" ref="P28:P29" si="12">N28*O28</f>
        <v>0</v>
      </c>
      <c r="Q28" s="1"/>
      <c r="R28" s="6">
        <f t="shared" ref="R28:R29" si="13">B28+E28+H28+K28+N28</f>
        <v>0</v>
      </c>
      <c r="S28" s="9" t="e">
        <f t="shared" ref="S28:S29" si="14">(D28+G28+J28+M28+P28)/R28</f>
        <v>#DIV/0!</v>
      </c>
      <c r="T28" s="9">
        <f t="shared" ref="T28:T29" si="15">R28/$V$3</f>
        <v>0</v>
      </c>
      <c r="U28" s="9" t="e">
        <f>R28 / _xlfn.XLOOKUP(A28, Bottom!A:A, Bottom!AA:AA)</f>
        <v>#DIV/0!</v>
      </c>
      <c r="V28" s="1"/>
      <c r="W28" s="1"/>
    </row>
    <row r="29" spans="1:23" x14ac:dyDescent="0.25">
      <c r="A29" s="1"/>
      <c r="B29" s="6"/>
      <c r="C29" s="7"/>
      <c r="D29" s="8">
        <f t="shared" si="8"/>
        <v>0</v>
      </c>
      <c r="E29" s="6"/>
      <c r="F29" s="7"/>
      <c r="G29" s="8">
        <f t="shared" si="9"/>
        <v>0</v>
      </c>
      <c r="H29" s="6"/>
      <c r="I29" s="7"/>
      <c r="J29" s="8">
        <f t="shared" si="10"/>
        <v>0</v>
      </c>
      <c r="K29" s="6"/>
      <c r="L29" s="7"/>
      <c r="M29" s="8">
        <f t="shared" si="11"/>
        <v>0</v>
      </c>
      <c r="N29" s="6"/>
      <c r="O29" s="7"/>
      <c r="P29" s="8">
        <f t="shared" si="12"/>
        <v>0</v>
      </c>
      <c r="Q29" s="1"/>
      <c r="R29" s="6">
        <f t="shared" si="13"/>
        <v>0</v>
      </c>
      <c r="S29" s="9" t="e">
        <f t="shared" si="14"/>
        <v>#DIV/0!</v>
      </c>
      <c r="T29" s="9">
        <f t="shared" si="15"/>
        <v>0</v>
      </c>
      <c r="U29" s="9" t="e">
        <f>R29 / _xlfn.XLOOKUP(A29, Bottom!A:A, Bottom!AA:AA)</f>
        <v>#DIV/0!</v>
      </c>
      <c r="V29" s="1"/>
      <c r="W29" s="1"/>
    </row>
    <row r="30" spans="1:23" x14ac:dyDescent="0.25">
      <c r="A30" s="1"/>
      <c r="B30" s="6"/>
      <c r="C30" s="7"/>
      <c r="D30" s="8">
        <f t="shared" si="8"/>
        <v>0</v>
      </c>
      <c r="E30" s="6"/>
      <c r="F30" s="7"/>
      <c r="G30" s="8">
        <f t="shared" si="9"/>
        <v>0</v>
      </c>
      <c r="H30" s="6"/>
      <c r="I30" s="7"/>
      <c r="J30" s="8">
        <f t="shared" si="10"/>
        <v>0</v>
      </c>
      <c r="K30" s="6"/>
      <c r="L30" s="7"/>
      <c r="M30" s="8">
        <f t="shared" si="11"/>
        <v>0</v>
      </c>
      <c r="N30" s="6"/>
      <c r="O30" s="7"/>
      <c r="P30" s="8">
        <f t="shared" ref="P30:P51" si="16">N30*O30</f>
        <v>0</v>
      </c>
      <c r="Q30" s="1"/>
      <c r="R30" s="6">
        <f t="shared" ref="R30:R51" si="17">B30+E30+H30+K30+N30</f>
        <v>0</v>
      </c>
      <c r="S30" s="9" t="e">
        <f t="shared" ref="S30:S51" si="18">(D30+G30+J30+M30+P30)/R30</f>
        <v>#DIV/0!</v>
      </c>
      <c r="T30" s="9">
        <f t="shared" ref="T30:T51" si="19">R30/$V$3</f>
        <v>0</v>
      </c>
      <c r="U30" s="9" t="e">
        <f>R30 / _xlfn.XLOOKUP(A30, Bottom!A:A, Bottom!AA:AA)</f>
        <v>#DIV/0!</v>
      </c>
      <c r="V30" s="1"/>
      <c r="W30" s="1"/>
    </row>
    <row r="31" spans="1:23" x14ac:dyDescent="0.25">
      <c r="A31" s="1"/>
      <c r="B31" s="6"/>
      <c r="C31" s="7"/>
      <c r="D31" s="8">
        <f t="shared" si="8"/>
        <v>0</v>
      </c>
      <c r="E31" s="6"/>
      <c r="F31" s="7"/>
      <c r="G31" s="8">
        <f t="shared" si="9"/>
        <v>0</v>
      </c>
      <c r="H31" s="6"/>
      <c r="I31" s="7"/>
      <c r="J31" s="8">
        <f t="shared" si="10"/>
        <v>0</v>
      </c>
      <c r="K31" s="6"/>
      <c r="L31" s="7"/>
      <c r="M31" s="8">
        <f t="shared" si="11"/>
        <v>0</v>
      </c>
      <c r="N31" s="6"/>
      <c r="O31" s="7"/>
      <c r="P31" s="8">
        <f t="shared" si="16"/>
        <v>0</v>
      </c>
      <c r="Q31" s="1"/>
      <c r="R31" s="6">
        <f t="shared" si="17"/>
        <v>0</v>
      </c>
      <c r="S31" s="9" t="e">
        <f t="shared" si="18"/>
        <v>#DIV/0!</v>
      </c>
      <c r="T31" s="9">
        <f t="shared" si="19"/>
        <v>0</v>
      </c>
      <c r="U31" s="9" t="e">
        <f>R31 / _xlfn.XLOOKUP(A31, Bottom!A:A, Bottom!AA:AA)</f>
        <v>#DIV/0!</v>
      </c>
      <c r="V31" s="1"/>
      <c r="W31" s="1"/>
    </row>
    <row r="32" spans="1:23" x14ac:dyDescent="0.25">
      <c r="A32" s="1"/>
      <c r="B32" s="6"/>
      <c r="C32" s="7"/>
      <c r="D32" s="8">
        <f t="shared" si="8"/>
        <v>0</v>
      </c>
      <c r="E32" s="6"/>
      <c r="F32" s="7"/>
      <c r="G32" s="8">
        <f t="shared" si="9"/>
        <v>0</v>
      </c>
      <c r="H32" s="6"/>
      <c r="I32" s="7"/>
      <c r="J32" s="8">
        <f t="shared" si="10"/>
        <v>0</v>
      </c>
      <c r="K32" s="6"/>
      <c r="L32" s="7"/>
      <c r="M32" s="8">
        <f t="shared" si="11"/>
        <v>0</v>
      </c>
      <c r="N32" s="6"/>
      <c r="O32" s="7"/>
      <c r="P32" s="8">
        <f t="shared" si="16"/>
        <v>0</v>
      </c>
      <c r="Q32" s="1"/>
      <c r="R32" s="6">
        <f t="shared" si="17"/>
        <v>0</v>
      </c>
      <c r="S32" s="9" t="e">
        <f t="shared" si="18"/>
        <v>#DIV/0!</v>
      </c>
      <c r="T32" s="9">
        <f t="shared" si="19"/>
        <v>0</v>
      </c>
      <c r="U32" s="9" t="e">
        <f>R32 / _xlfn.XLOOKUP(A32, Bottom!A:A, Bottom!AA:AA)</f>
        <v>#DIV/0!</v>
      </c>
      <c r="V32" s="1"/>
      <c r="W32" s="1"/>
    </row>
    <row r="33" spans="14:23" x14ac:dyDescent="0.25">
      <c r="N33" s="6"/>
      <c r="O33" s="7"/>
      <c r="P33" s="8">
        <f t="shared" si="16"/>
        <v>0</v>
      </c>
      <c r="Q33" s="1"/>
      <c r="R33" s="6">
        <f t="shared" si="17"/>
        <v>0</v>
      </c>
      <c r="S33" s="9" t="e">
        <f t="shared" si="18"/>
        <v>#DIV/0!</v>
      </c>
      <c r="T33" s="9">
        <f t="shared" si="19"/>
        <v>0</v>
      </c>
      <c r="U33" s="9" t="e">
        <f>R33 / _xlfn.XLOOKUP(A33, Bottom!A:A, Bottom!AA:AA)</f>
        <v>#DIV/0!</v>
      </c>
      <c r="V33" s="1"/>
      <c r="W33" s="1"/>
    </row>
    <row r="34" spans="14:23" x14ac:dyDescent="0.25">
      <c r="N34" s="6"/>
      <c r="O34" s="7"/>
      <c r="P34" s="8">
        <f t="shared" si="16"/>
        <v>0</v>
      </c>
      <c r="Q34" s="1"/>
      <c r="R34" s="6">
        <f t="shared" si="17"/>
        <v>0</v>
      </c>
      <c r="S34" s="9" t="e">
        <f t="shared" si="18"/>
        <v>#DIV/0!</v>
      </c>
      <c r="T34" s="9">
        <f t="shared" si="19"/>
        <v>0</v>
      </c>
      <c r="U34" s="9" t="e">
        <f>R34 / _xlfn.XLOOKUP(A34, Bottom!A:A, Bottom!AA:AA)</f>
        <v>#DIV/0!</v>
      </c>
      <c r="V34" s="1"/>
      <c r="W34" s="1"/>
    </row>
    <row r="35" spans="14:23" x14ac:dyDescent="0.25">
      <c r="N35" s="6"/>
      <c r="O35" s="7"/>
      <c r="P35" s="8">
        <f t="shared" si="16"/>
        <v>0</v>
      </c>
      <c r="Q35" s="1"/>
      <c r="R35" s="6">
        <f t="shared" si="17"/>
        <v>0</v>
      </c>
      <c r="S35" s="9" t="e">
        <f t="shared" si="18"/>
        <v>#DIV/0!</v>
      </c>
      <c r="T35" s="9">
        <f t="shared" si="19"/>
        <v>0</v>
      </c>
      <c r="U35" s="9" t="e">
        <f>R35 / _xlfn.XLOOKUP(A35, Bottom!A:A, Bottom!AA:AA)</f>
        <v>#DIV/0!</v>
      </c>
    </row>
    <row r="36" spans="14:23" x14ac:dyDescent="0.25">
      <c r="N36" s="6"/>
      <c r="O36" s="7"/>
      <c r="P36" s="8">
        <f t="shared" si="16"/>
        <v>0</v>
      </c>
      <c r="Q36" s="1"/>
      <c r="R36" s="6">
        <f t="shared" si="17"/>
        <v>0</v>
      </c>
      <c r="S36" s="9" t="e">
        <f t="shared" si="18"/>
        <v>#DIV/0!</v>
      </c>
      <c r="T36" s="9">
        <f t="shared" si="19"/>
        <v>0</v>
      </c>
      <c r="U36" s="9" t="e">
        <f>R36 / _xlfn.XLOOKUP(A36, Bottom!A:A, Bottom!AA:AA)</f>
        <v>#DIV/0!</v>
      </c>
    </row>
    <row r="37" spans="14:23" x14ac:dyDescent="0.25">
      <c r="N37" s="6"/>
      <c r="O37" s="7"/>
      <c r="P37" s="8">
        <f t="shared" si="16"/>
        <v>0</v>
      </c>
      <c r="Q37" s="1"/>
      <c r="R37" s="6">
        <f t="shared" si="17"/>
        <v>0</v>
      </c>
      <c r="S37" s="9" t="e">
        <f t="shared" si="18"/>
        <v>#DIV/0!</v>
      </c>
      <c r="T37" s="9">
        <f t="shared" si="19"/>
        <v>0</v>
      </c>
      <c r="U37" s="9" t="e">
        <f>R37 / _xlfn.XLOOKUP(A37, Bottom!A:A, Bottom!AA:AA)</f>
        <v>#DIV/0!</v>
      </c>
    </row>
    <row r="38" spans="14:23" x14ac:dyDescent="0.25">
      <c r="N38" s="6"/>
      <c r="O38" s="7"/>
      <c r="P38" s="8">
        <f t="shared" si="16"/>
        <v>0</v>
      </c>
      <c r="Q38" s="1"/>
      <c r="R38" s="6">
        <f t="shared" si="17"/>
        <v>0</v>
      </c>
      <c r="S38" s="9" t="e">
        <f t="shared" si="18"/>
        <v>#DIV/0!</v>
      </c>
      <c r="T38" s="9">
        <f t="shared" si="19"/>
        <v>0</v>
      </c>
      <c r="U38" s="9" t="e">
        <f>R38 / _xlfn.XLOOKUP(A38, Bottom!A:A, Bottom!AA:AA)</f>
        <v>#DIV/0!</v>
      </c>
    </row>
    <row r="39" spans="14:23" x14ac:dyDescent="0.25">
      <c r="N39" s="6"/>
      <c r="O39" s="7"/>
      <c r="P39" s="8">
        <f t="shared" si="16"/>
        <v>0</v>
      </c>
      <c r="Q39" s="1"/>
      <c r="R39" s="6">
        <f t="shared" si="17"/>
        <v>0</v>
      </c>
      <c r="S39" s="9" t="e">
        <f t="shared" si="18"/>
        <v>#DIV/0!</v>
      </c>
      <c r="T39" s="9">
        <f t="shared" si="19"/>
        <v>0</v>
      </c>
      <c r="U39" s="9" t="e">
        <f>R39 / _xlfn.XLOOKUP(A39, Bottom!A:A, Bottom!AA:AA)</f>
        <v>#DIV/0!</v>
      </c>
    </row>
    <row r="40" spans="14:23" x14ac:dyDescent="0.25">
      <c r="N40" s="6"/>
      <c r="O40" s="7"/>
      <c r="P40" s="8">
        <f t="shared" si="16"/>
        <v>0</v>
      </c>
      <c r="Q40" s="1"/>
      <c r="R40" s="6">
        <f t="shared" si="17"/>
        <v>0</v>
      </c>
      <c r="S40" s="9" t="e">
        <f t="shared" si="18"/>
        <v>#DIV/0!</v>
      </c>
      <c r="T40" s="9">
        <f t="shared" si="19"/>
        <v>0</v>
      </c>
      <c r="U40" s="9" t="e">
        <f>R40 / _xlfn.XLOOKUP(A40, Bottom!A:A, Bottom!AA:AA)</f>
        <v>#DIV/0!</v>
      </c>
    </row>
    <row r="41" spans="14:23" x14ac:dyDescent="0.25">
      <c r="N41" s="6"/>
      <c r="O41" s="7"/>
      <c r="P41" s="8">
        <f t="shared" si="16"/>
        <v>0</v>
      </c>
      <c r="Q41" s="1"/>
      <c r="R41" s="6">
        <f t="shared" si="17"/>
        <v>0</v>
      </c>
      <c r="S41" s="9" t="e">
        <f t="shared" si="18"/>
        <v>#DIV/0!</v>
      </c>
      <c r="T41" s="9">
        <f t="shared" si="19"/>
        <v>0</v>
      </c>
      <c r="U41" s="9" t="e">
        <f>R41 / _xlfn.XLOOKUP(A41, Bottom!A:A, Bottom!AA:AA)</f>
        <v>#DIV/0!</v>
      </c>
    </row>
    <row r="42" spans="14:23" x14ac:dyDescent="0.25">
      <c r="N42" s="6"/>
      <c r="O42" s="7"/>
      <c r="P42" s="8">
        <f t="shared" si="16"/>
        <v>0</v>
      </c>
      <c r="Q42" s="1"/>
      <c r="R42" s="6">
        <f t="shared" si="17"/>
        <v>0</v>
      </c>
      <c r="S42" s="9" t="e">
        <f t="shared" si="18"/>
        <v>#DIV/0!</v>
      </c>
      <c r="T42" s="9">
        <f t="shared" si="19"/>
        <v>0</v>
      </c>
      <c r="U42" s="9" t="e">
        <f>R42 / _xlfn.XLOOKUP(A42, Bottom!A:A, Bottom!AA:AA)</f>
        <v>#DIV/0!</v>
      </c>
    </row>
    <row r="43" spans="14:23" x14ac:dyDescent="0.25">
      <c r="N43" s="6"/>
      <c r="O43" s="7"/>
      <c r="P43" s="8">
        <f t="shared" si="16"/>
        <v>0</v>
      </c>
      <c r="Q43" s="1"/>
      <c r="R43" s="6">
        <f t="shared" si="17"/>
        <v>0</v>
      </c>
      <c r="S43" s="9" t="e">
        <f t="shared" si="18"/>
        <v>#DIV/0!</v>
      </c>
      <c r="T43" s="9">
        <f t="shared" si="19"/>
        <v>0</v>
      </c>
      <c r="U43" s="9" t="e">
        <f>R43 / _xlfn.XLOOKUP(A43, Bottom!A:A, Bottom!AA:AA)</f>
        <v>#DIV/0!</v>
      </c>
    </row>
    <row r="44" spans="14:23" x14ac:dyDescent="0.25">
      <c r="N44" s="6"/>
      <c r="O44" s="7"/>
      <c r="P44" s="8">
        <f t="shared" si="16"/>
        <v>0</v>
      </c>
      <c r="Q44" s="1"/>
      <c r="R44" s="6">
        <f t="shared" si="17"/>
        <v>0</v>
      </c>
      <c r="S44" s="9" t="e">
        <f t="shared" si="18"/>
        <v>#DIV/0!</v>
      </c>
      <c r="T44" s="9">
        <f t="shared" si="19"/>
        <v>0</v>
      </c>
      <c r="U44" s="9" t="e">
        <f>R44 / _xlfn.XLOOKUP(A44, Bottom!A:A, Bottom!AA:AA)</f>
        <v>#DIV/0!</v>
      </c>
    </row>
    <row r="45" spans="14:23" x14ac:dyDescent="0.25">
      <c r="N45" s="6"/>
      <c r="O45" s="7"/>
      <c r="P45" s="8">
        <f t="shared" si="16"/>
        <v>0</v>
      </c>
      <c r="Q45" s="1"/>
      <c r="R45" s="6">
        <f t="shared" si="17"/>
        <v>0</v>
      </c>
      <c r="S45" s="9" t="e">
        <f t="shared" si="18"/>
        <v>#DIV/0!</v>
      </c>
      <c r="T45" s="9">
        <f t="shared" si="19"/>
        <v>0</v>
      </c>
      <c r="U45" s="9" t="e">
        <f>R45 / _xlfn.XLOOKUP(A45, Bottom!A:A, Bottom!AA:AA)</f>
        <v>#DIV/0!</v>
      </c>
    </row>
    <row r="46" spans="14:23" x14ac:dyDescent="0.25">
      <c r="N46" s="6"/>
      <c r="O46" s="7"/>
      <c r="P46" s="8">
        <f t="shared" si="16"/>
        <v>0</v>
      </c>
      <c r="Q46" s="1"/>
      <c r="R46" s="6">
        <f t="shared" si="17"/>
        <v>0</v>
      </c>
      <c r="S46" s="9" t="e">
        <f t="shared" si="18"/>
        <v>#DIV/0!</v>
      </c>
      <c r="T46" s="9">
        <f t="shared" si="19"/>
        <v>0</v>
      </c>
      <c r="U46" s="9" t="e">
        <f>R46 / _xlfn.XLOOKUP(A46, Bottom!A:A, Bottom!AA:AA)</f>
        <v>#DIV/0!</v>
      </c>
    </row>
    <row r="47" spans="14:23" x14ac:dyDescent="0.25">
      <c r="N47" s="6"/>
      <c r="O47" s="7"/>
      <c r="P47" s="8">
        <f t="shared" si="16"/>
        <v>0</v>
      </c>
      <c r="Q47" s="1"/>
      <c r="R47" s="6">
        <f t="shared" si="17"/>
        <v>0</v>
      </c>
      <c r="S47" s="9" t="e">
        <f t="shared" si="18"/>
        <v>#DIV/0!</v>
      </c>
      <c r="T47" s="9">
        <f t="shared" si="19"/>
        <v>0</v>
      </c>
      <c r="U47" s="9" t="e">
        <f>R47 / _xlfn.XLOOKUP(A47, Bottom!A:A, Bottom!AA:AA)</f>
        <v>#DIV/0!</v>
      </c>
    </row>
    <row r="48" spans="14:23" x14ac:dyDescent="0.25">
      <c r="N48" s="6"/>
      <c r="O48" s="7"/>
      <c r="P48" s="8">
        <f t="shared" si="16"/>
        <v>0</v>
      </c>
      <c r="Q48" s="1"/>
      <c r="R48" s="6">
        <f t="shared" si="17"/>
        <v>0</v>
      </c>
      <c r="S48" s="9" t="e">
        <f t="shared" si="18"/>
        <v>#DIV/0!</v>
      </c>
      <c r="T48" s="9">
        <f t="shared" si="19"/>
        <v>0</v>
      </c>
      <c r="U48" s="9" t="e">
        <f>R48 / _xlfn.XLOOKUP(A48, Bottom!A:A, Bottom!AA:AA)</f>
        <v>#DIV/0!</v>
      </c>
    </row>
    <row r="49" spans="14:21" x14ac:dyDescent="0.25">
      <c r="N49" s="6"/>
      <c r="O49" s="7"/>
      <c r="P49" s="8">
        <f t="shared" si="16"/>
        <v>0</v>
      </c>
      <c r="Q49" s="1"/>
      <c r="R49" s="6">
        <f t="shared" si="17"/>
        <v>0</v>
      </c>
      <c r="S49" s="9" t="e">
        <f t="shared" si="18"/>
        <v>#DIV/0!</v>
      </c>
      <c r="T49" s="9">
        <f t="shared" si="19"/>
        <v>0</v>
      </c>
      <c r="U49" s="9" t="e">
        <f>R49 / _xlfn.XLOOKUP(A49, Bottom!A:A, Bottom!AA:AA)</f>
        <v>#DIV/0!</v>
      </c>
    </row>
    <row r="50" spans="14:21" x14ac:dyDescent="0.25">
      <c r="N50" s="6"/>
      <c r="O50" s="7"/>
      <c r="P50" s="8">
        <f t="shared" si="16"/>
        <v>0</v>
      </c>
      <c r="Q50" s="1"/>
      <c r="R50" s="6">
        <f t="shared" si="17"/>
        <v>0</v>
      </c>
      <c r="S50" s="9" t="e">
        <f t="shared" si="18"/>
        <v>#DIV/0!</v>
      </c>
      <c r="T50" s="9">
        <f t="shared" si="19"/>
        <v>0</v>
      </c>
      <c r="U50" s="9" t="e">
        <f>R50 / _xlfn.XLOOKUP(A50, Bottom!A:A, Bottom!AA:AA)</f>
        <v>#DIV/0!</v>
      </c>
    </row>
    <row r="51" spans="14:21" x14ac:dyDescent="0.25">
      <c r="N51" s="6"/>
      <c r="O51" s="7"/>
      <c r="P51" s="8">
        <f t="shared" si="16"/>
        <v>0</v>
      </c>
      <c r="Q51" s="1"/>
      <c r="R51" s="6">
        <f t="shared" si="17"/>
        <v>0</v>
      </c>
      <c r="S51" s="9" t="e">
        <f t="shared" si="18"/>
        <v>#DIV/0!</v>
      </c>
      <c r="T51" s="9">
        <f t="shared" si="19"/>
        <v>0</v>
      </c>
      <c r="U51" s="9" t="e">
        <f>R51 / _xlfn.XLOOKUP(A51, Bottom!A:A, Bottom!AA:AA)</f>
        <v>#DIV/0!</v>
      </c>
    </row>
  </sheetData>
  <sortState xmlns:xlrd2="http://schemas.microsoft.com/office/spreadsheetml/2017/richdata2" ref="A3:U27">
    <sortCondition descending="1" ref="S3:S27"/>
  </sortState>
  <pageMargins left="0.7" right="0.7" top="0.78740157499999996" bottom="0.78740157499999996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EB3EB-A96D-4321-9C6F-4E1EED546F8B}">
  <sheetPr>
    <tabColor theme="5" tint="0.59999389629810485"/>
  </sheetPr>
  <dimension ref="A1:W56"/>
  <sheetViews>
    <sheetView workbookViewId="0">
      <selection activeCell="U3" sqref="U3:U26"/>
    </sheetView>
  </sheetViews>
  <sheetFormatPr baseColWidth="10" defaultRowHeight="15" x14ac:dyDescent="0.25"/>
  <sheetData>
    <row r="1" spans="1:23" ht="15.75" x14ac:dyDescent="0.25">
      <c r="A1" s="2" t="s">
        <v>155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34</v>
      </c>
      <c r="B3" s="6"/>
      <c r="C3" s="7"/>
      <c r="D3" s="8">
        <f t="shared" ref="D3:D26" si="0">B3*C3</f>
        <v>0</v>
      </c>
      <c r="E3" s="6"/>
      <c r="F3" s="7"/>
      <c r="G3" s="8">
        <f t="shared" ref="G3:G26" si="1">E3*F3</f>
        <v>0</v>
      </c>
      <c r="H3" s="6"/>
      <c r="I3" s="7"/>
      <c r="J3" s="8">
        <f t="shared" ref="J3:J26" si="2">H3*I3</f>
        <v>0</v>
      </c>
      <c r="K3" s="6"/>
      <c r="L3" s="7"/>
      <c r="M3" s="8">
        <f t="shared" ref="M3:M26" si="3">K3*L3</f>
        <v>0</v>
      </c>
      <c r="N3" s="6"/>
      <c r="O3" s="7"/>
      <c r="P3" s="8">
        <f t="shared" ref="P3:P26" si="4">N3*O3</f>
        <v>0</v>
      </c>
      <c r="Q3" s="1"/>
      <c r="R3" s="6">
        <f t="shared" ref="R3:R26" si="5">B3+E3+H3+K3+N3</f>
        <v>0</v>
      </c>
      <c r="S3" s="9" t="e">
        <f t="shared" ref="S3:S26" si="6">(D3+G3+J3+M3+P3)/R3</f>
        <v>#DIV/0!</v>
      </c>
      <c r="T3" s="9">
        <f t="shared" ref="T3:T26" si="7">R3/$V$3</f>
        <v>0</v>
      </c>
      <c r="U3" s="9">
        <f>R3 / _xlfn.XLOOKUP(A3, Bottom!A:A, Bottom!AA:AA)</f>
        <v>0</v>
      </c>
      <c r="V3" s="11">
        <f>SUM(R3:R70)</f>
        <v>268</v>
      </c>
      <c r="W3" s="12">
        <f>(SUM(D3:D100)+SUM(G3:G100)+SUM(J3:J100)+SUM(M3:M100)+SUM(P3:P100)) / V3</f>
        <v>0.7499701492537314</v>
      </c>
    </row>
    <row r="4" spans="1:23" x14ac:dyDescent="0.25">
      <c r="A4" s="1" t="s">
        <v>146</v>
      </c>
      <c r="B4" s="6"/>
      <c r="C4" s="7"/>
      <c r="D4" s="8">
        <f t="shared" si="0"/>
        <v>0</v>
      </c>
      <c r="E4" s="6">
        <v>4</v>
      </c>
      <c r="F4" s="7">
        <v>1</v>
      </c>
      <c r="G4" s="8">
        <f t="shared" si="1"/>
        <v>4</v>
      </c>
      <c r="H4" s="6"/>
      <c r="I4" s="7"/>
      <c r="J4" s="8">
        <f t="shared" si="2"/>
        <v>0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4</v>
      </c>
      <c r="S4" s="9">
        <f t="shared" si="6"/>
        <v>1</v>
      </c>
      <c r="T4" s="9">
        <f t="shared" si="7"/>
        <v>1.4925373134328358E-2</v>
      </c>
      <c r="U4" s="9">
        <f>R4 / _xlfn.XLOOKUP(A4, Bottom!A:A, Bottom!AA:AA)</f>
        <v>2.1621621621621623E-2</v>
      </c>
      <c r="V4" s="6"/>
      <c r="W4" s="9"/>
    </row>
    <row r="5" spans="1:23" x14ac:dyDescent="0.25">
      <c r="A5" s="1" t="s">
        <v>144</v>
      </c>
      <c r="B5" s="6"/>
      <c r="C5" s="7"/>
      <c r="D5" s="8">
        <f t="shared" si="0"/>
        <v>0</v>
      </c>
      <c r="E5" s="6">
        <v>1</v>
      </c>
      <c r="F5" s="7">
        <v>1</v>
      </c>
      <c r="G5" s="8">
        <f t="shared" si="1"/>
        <v>1</v>
      </c>
      <c r="H5" s="6">
        <v>1</v>
      </c>
      <c r="I5" s="7">
        <v>1</v>
      </c>
      <c r="J5" s="8">
        <f t="shared" si="2"/>
        <v>1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2</v>
      </c>
      <c r="S5" s="9">
        <f t="shared" si="6"/>
        <v>1</v>
      </c>
      <c r="T5" s="9">
        <f t="shared" si="7"/>
        <v>7.462686567164179E-3</v>
      </c>
      <c r="U5" s="9">
        <f>R5 / _xlfn.XLOOKUP(A5, Bottom!A:A, Bottom!AA:AA)</f>
        <v>0.15384615384615385</v>
      </c>
      <c r="W5" s="1"/>
    </row>
    <row r="6" spans="1:23" x14ac:dyDescent="0.25">
      <c r="A6" s="1" t="s">
        <v>153</v>
      </c>
      <c r="B6" s="6"/>
      <c r="C6" s="7"/>
      <c r="D6" s="8">
        <f t="shared" si="0"/>
        <v>0</v>
      </c>
      <c r="E6" s="6">
        <v>1</v>
      </c>
      <c r="F6" s="7">
        <v>1</v>
      </c>
      <c r="G6" s="8">
        <f t="shared" si="1"/>
        <v>1</v>
      </c>
      <c r="H6" s="6"/>
      <c r="I6" s="7"/>
      <c r="J6" s="8">
        <f t="shared" si="2"/>
        <v>0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1"/>
      <c r="R6" s="6">
        <f t="shared" si="5"/>
        <v>1</v>
      </c>
      <c r="S6" s="9">
        <f t="shared" si="6"/>
        <v>1</v>
      </c>
      <c r="T6" s="9">
        <f t="shared" si="7"/>
        <v>3.7313432835820895E-3</v>
      </c>
      <c r="U6" s="9">
        <f>R6 / _xlfn.XLOOKUP(A6, Bottom!A:A, Bottom!AA:AA)</f>
        <v>3.3333333333333333E-2</v>
      </c>
      <c r="W6" s="1"/>
    </row>
    <row r="7" spans="1:23" x14ac:dyDescent="0.25">
      <c r="A7" s="1" t="s">
        <v>152</v>
      </c>
      <c r="B7" s="6"/>
      <c r="C7" s="7"/>
      <c r="D7" s="8">
        <f t="shared" si="0"/>
        <v>0</v>
      </c>
      <c r="E7" s="6">
        <v>1</v>
      </c>
      <c r="F7" s="7">
        <v>1</v>
      </c>
      <c r="G7" s="8">
        <f t="shared" si="1"/>
        <v>1</v>
      </c>
      <c r="H7" s="6"/>
      <c r="I7" s="7"/>
      <c r="J7" s="8">
        <f t="shared" si="2"/>
        <v>0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1</v>
      </c>
      <c r="S7" s="9">
        <f t="shared" si="6"/>
        <v>1</v>
      </c>
      <c r="T7" s="9">
        <f t="shared" si="7"/>
        <v>3.7313432835820895E-3</v>
      </c>
      <c r="U7" s="9">
        <f>R7 / _xlfn.XLOOKUP(A7, Bottom!A:A, Bottom!AA:AA)</f>
        <v>3.8461538461538464E-2</v>
      </c>
      <c r="V7" s="1"/>
      <c r="W7" s="1"/>
    </row>
    <row r="8" spans="1:23" x14ac:dyDescent="0.25">
      <c r="A8" s="1" t="s">
        <v>59</v>
      </c>
      <c r="B8" s="6"/>
      <c r="C8" s="7"/>
      <c r="D8" s="8">
        <f t="shared" si="0"/>
        <v>0</v>
      </c>
      <c r="E8" s="6"/>
      <c r="F8" s="7"/>
      <c r="G8" s="8">
        <f t="shared" si="1"/>
        <v>0</v>
      </c>
      <c r="H8" s="6">
        <v>1</v>
      </c>
      <c r="I8" s="7">
        <v>1</v>
      </c>
      <c r="J8" s="8">
        <f t="shared" si="2"/>
        <v>1</v>
      </c>
      <c r="K8" s="6"/>
      <c r="L8" s="7"/>
      <c r="M8" s="8">
        <f t="shared" si="3"/>
        <v>0</v>
      </c>
      <c r="N8" s="6"/>
      <c r="O8" s="7"/>
      <c r="P8" s="8">
        <f t="shared" si="4"/>
        <v>0</v>
      </c>
      <c r="Q8" s="4"/>
      <c r="R8" s="6">
        <f t="shared" si="5"/>
        <v>1</v>
      </c>
      <c r="S8" s="9">
        <f t="shared" si="6"/>
        <v>1</v>
      </c>
      <c r="T8" s="9">
        <f t="shared" si="7"/>
        <v>3.7313432835820895E-3</v>
      </c>
      <c r="U8" s="9">
        <f>R8 / _xlfn.XLOOKUP(A8, Bottom!A:A, Bottom!AA:AA)</f>
        <v>1.9607843137254902E-2</v>
      </c>
      <c r="V8" s="1"/>
      <c r="W8" s="1"/>
    </row>
    <row r="9" spans="1:23" x14ac:dyDescent="0.25">
      <c r="A9" s="17" t="s">
        <v>122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>
        <v>1</v>
      </c>
      <c r="I9" s="7">
        <v>1</v>
      </c>
      <c r="J9" s="8">
        <f t="shared" si="2"/>
        <v>1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1"/>
      <c r="R9" s="6">
        <f t="shared" si="5"/>
        <v>1</v>
      </c>
      <c r="S9" s="9">
        <f t="shared" si="6"/>
        <v>1</v>
      </c>
      <c r="T9" s="9">
        <f t="shared" si="7"/>
        <v>3.7313432835820895E-3</v>
      </c>
      <c r="U9" s="9">
        <f>R9 / _xlfn.XLOOKUP(A9, Bottom!A:A, Bottom!AA:AA)</f>
        <v>3.7037037037037035E-2</v>
      </c>
      <c r="V9" s="1"/>
      <c r="W9" s="1"/>
    </row>
    <row r="10" spans="1:23" x14ac:dyDescent="0.25">
      <c r="A10" s="1" t="s">
        <v>143</v>
      </c>
      <c r="B10" s="6"/>
      <c r="C10" s="7"/>
      <c r="D10" s="8">
        <f t="shared" si="0"/>
        <v>0</v>
      </c>
      <c r="E10" s="6"/>
      <c r="F10" s="7"/>
      <c r="G10" s="8">
        <f t="shared" si="1"/>
        <v>0</v>
      </c>
      <c r="H10" s="6">
        <v>16</v>
      </c>
      <c r="I10" s="7">
        <v>0.93799999999999994</v>
      </c>
      <c r="J10" s="8">
        <f t="shared" si="2"/>
        <v>15.007999999999999</v>
      </c>
      <c r="K10" s="6"/>
      <c r="L10" s="7"/>
      <c r="M10" s="8">
        <f t="shared" si="3"/>
        <v>0</v>
      </c>
      <c r="N10" s="6"/>
      <c r="O10" s="7"/>
      <c r="P10" s="8">
        <f t="shared" si="4"/>
        <v>0</v>
      </c>
      <c r="Q10" s="4"/>
      <c r="R10" s="6">
        <f t="shared" si="5"/>
        <v>16</v>
      </c>
      <c r="S10" s="9">
        <f t="shared" si="6"/>
        <v>0.93799999999999994</v>
      </c>
      <c r="T10" s="9">
        <f t="shared" si="7"/>
        <v>5.9701492537313432E-2</v>
      </c>
      <c r="U10" s="9">
        <f>R10 / _xlfn.XLOOKUP(A10, Bottom!A:A, Bottom!AA:AA)</f>
        <v>0.1103448275862069</v>
      </c>
      <c r="V10" s="1"/>
      <c r="W10" s="1"/>
    </row>
    <row r="11" spans="1:23" x14ac:dyDescent="0.25">
      <c r="A11" s="1" t="s">
        <v>154</v>
      </c>
      <c r="B11" s="6"/>
      <c r="C11" s="7"/>
      <c r="D11" s="8">
        <f t="shared" si="0"/>
        <v>0</v>
      </c>
      <c r="E11" s="6">
        <v>1</v>
      </c>
      <c r="F11" s="7">
        <v>1</v>
      </c>
      <c r="G11" s="8">
        <f t="shared" si="1"/>
        <v>1</v>
      </c>
      <c r="H11" s="6">
        <v>10</v>
      </c>
      <c r="I11" s="7">
        <v>0.9</v>
      </c>
      <c r="J11" s="8">
        <f t="shared" si="2"/>
        <v>9</v>
      </c>
      <c r="K11" s="6"/>
      <c r="L11" s="7"/>
      <c r="M11" s="8">
        <f t="shared" si="3"/>
        <v>0</v>
      </c>
      <c r="N11" s="6"/>
      <c r="O11" s="7"/>
      <c r="P11" s="8">
        <f t="shared" si="4"/>
        <v>0</v>
      </c>
      <c r="Q11" s="1"/>
      <c r="R11" s="6">
        <f t="shared" si="5"/>
        <v>11</v>
      </c>
      <c r="S11" s="9">
        <f t="shared" si="6"/>
        <v>0.90909090909090906</v>
      </c>
      <c r="T11" s="9">
        <f t="shared" si="7"/>
        <v>4.1044776119402986E-2</v>
      </c>
      <c r="U11" s="9">
        <f>R11 / _xlfn.XLOOKUP(A11, Bottom!A:A, Bottom!AA:AA)</f>
        <v>9.2436974789915971E-2</v>
      </c>
      <c r="V11" s="1"/>
      <c r="W11" s="1"/>
    </row>
    <row r="12" spans="1:23" x14ac:dyDescent="0.25">
      <c r="A12" s="1" t="s">
        <v>149</v>
      </c>
      <c r="B12" s="6"/>
      <c r="C12" s="7"/>
      <c r="D12" s="8">
        <f t="shared" si="0"/>
        <v>0</v>
      </c>
      <c r="E12" s="6">
        <v>1</v>
      </c>
      <c r="F12" s="7">
        <v>1</v>
      </c>
      <c r="G12" s="8">
        <f t="shared" si="1"/>
        <v>1</v>
      </c>
      <c r="H12" s="6">
        <v>18</v>
      </c>
      <c r="I12" s="7">
        <v>0.83299999999999996</v>
      </c>
      <c r="J12" s="8">
        <f t="shared" si="2"/>
        <v>14.994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1"/>
      <c r="R12" s="6">
        <f t="shared" si="5"/>
        <v>19</v>
      </c>
      <c r="S12" s="9">
        <f t="shared" si="6"/>
        <v>0.84178947368421053</v>
      </c>
      <c r="T12" s="9">
        <f t="shared" si="7"/>
        <v>7.0895522388059698E-2</v>
      </c>
      <c r="U12" s="9">
        <f>R12 / _xlfn.XLOOKUP(A12, Bottom!A:A, Bottom!AA:AA)</f>
        <v>5.6716417910447764E-2</v>
      </c>
      <c r="V12" s="1"/>
      <c r="W12" s="1"/>
    </row>
    <row r="13" spans="1:23" x14ac:dyDescent="0.25">
      <c r="A13" s="1" t="s">
        <v>139</v>
      </c>
      <c r="B13" s="6"/>
      <c r="C13" s="7"/>
      <c r="D13" s="8">
        <f t="shared" si="0"/>
        <v>0</v>
      </c>
      <c r="E13" s="6">
        <v>23</v>
      </c>
      <c r="F13" s="7">
        <v>0.73899999999999999</v>
      </c>
      <c r="G13" s="8">
        <f t="shared" si="1"/>
        <v>16.997</v>
      </c>
      <c r="H13" s="6">
        <v>14</v>
      </c>
      <c r="I13" s="7">
        <v>0.92900000000000005</v>
      </c>
      <c r="J13" s="8">
        <f t="shared" si="2"/>
        <v>13.006</v>
      </c>
      <c r="K13" s="6"/>
      <c r="L13" s="7"/>
      <c r="M13" s="8">
        <f t="shared" si="3"/>
        <v>0</v>
      </c>
      <c r="N13" s="6"/>
      <c r="O13" s="7"/>
      <c r="P13" s="8">
        <f t="shared" si="4"/>
        <v>0</v>
      </c>
      <c r="Q13" s="1"/>
      <c r="R13" s="6">
        <f t="shared" si="5"/>
        <v>37</v>
      </c>
      <c r="S13" s="9">
        <f t="shared" si="6"/>
        <v>0.81089189189189192</v>
      </c>
      <c r="T13" s="9">
        <f t="shared" si="7"/>
        <v>0.13805970149253732</v>
      </c>
      <c r="U13" s="9">
        <f>R13 / _xlfn.XLOOKUP(A13, Bottom!A:A, Bottom!AA:AA)</f>
        <v>6.9548872180451124E-2</v>
      </c>
      <c r="V13" s="1"/>
      <c r="W13" s="1"/>
    </row>
    <row r="14" spans="1:23" x14ac:dyDescent="0.25">
      <c r="A14" s="1" t="s">
        <v>142</v>
      </c>
      <c r="B14" s="6"/>
      <c r="C14" s="7"/>
      <c r="D14" s="8">
        <f t="shared" si="0"/>
        <v>0</v>
      </c>
      <c r="E14" s="6">
        <v>3</v>
      </c>
      <c r="F14" s="7">
        <v>0.66700000000000004</v>
      </c>
      <c r="G14" s="8">
        <f t="shared" si="1"/>
        <v>2.0010000000000003</v>
      </c>
      <c r="H14" s="6">
        <v>2</v>
      </c>
      <c r="I14" s="7">
        <v>1</v>
      </c>
      <c r="J14" s="8">
        <f t="shared" si="2"/>
        <v>2</v>
      </c>
      <c r="K14" s="6"/>
      <c r="L14" s="7"/>
      <c r="M14" s="8">
        <f t="shared" si="3"/>
        <v>0</v>
      </c>
      <c r="N14" s="6"/>
      <c r="O14" s="7"/>
      <c r="P14" s="8">
        <f t="shared" si="4"/>
        <v>0</v>
      </c>
      <c r="Q14" s="1"/>
      <c r="R14" s="6">
        <f t="shared" si="5"/>
        <v>5</v>
      </c>
      <c r="S14" s="9">
        <f t="shared" si="6"/>
        <v>0.80020000000000002</v>
      </c>
      <c r="T14" s="9">
        <f t="shared" si="7"/>
        <v>1.8656716417910446E-2</v>
      </c>
      <c r="U14" s="9">
        <f>R14 / _xlfn.XLOOKUP(A14, Bottom!A:A, Bottom!AA:AA)</f>
        <v>1.6286644951140065E-2</v>
      </c>
      <c r="V14" s="1"/>
      <c r="W14" s="1"/>
    </row>
    <row r="15" spans="1:23" x14ac:dyDescent="0.25">
      <c r="A15" s="1" t="s">
        <v>150</v>
      </c>
      <c r="B15" s="6"/>
      <c r="C15" s="7"/>
      <c r="D15" s="8">
        <f t="shared" si="0"/>
        <v>0</v>
      </c>
      <c r="E15" s="6">
        <v>15</v>
      </c>
      <c r="F15" s="7">
        <v>0.8</v>
      </c>
      <c r="G15" s="8">
        <f t="shared" si="1"/>
        <v>12</v>
      </c>
      <c r="H15" s="6">
        <v>5</v>
      </c>
      <c r="I15" s="7">
        <v>0.8</v>
      </c>
      <c r="J15" s="8">
        <f t="shared" si="2"/>
        <v>4</v>
      </c>
      <c r="K15" s="6"/>
      <c r="L15" s="7"/>
      <c r="M15" s="8">
        <f t="shared" si="3"/>
        <v>0</v>
      </c>
      <c r="N15" s="6"/>
      <c r="O15" s="7"/>
      <c r="P15" s="8">
        <f t="shared" si="4"/>
        <v>0</v>
      </c>
      <c r="Q15" s="1"/>
      <c r="R15" s="6">
        <f t="shared" si="5"/>
        <v>20</v>
      </c>
      <c r="S15" s="9">
        <f t="shared" si="6"/>
        <v>0.8</v>
      </c>
      <c r="T15" s="9">
        <f t="shared" si="7"/>
        <v>7.4626865671641784E-2</v>
      </c>
      <c r="U15" s="9">
        <f>R15 / _xlfn.XLOOKUP(A15, Bottom!A:A, Bottom!AA:AA)</f>
        <v>4.1753653444676408E-2</v>
      </c>
      <c r="V15" s="1"/>
      <c r="W15" s="1"/>
    </row>
    <row r="16" spans="1:23" x14ac:dyDescent="0.25">
      <c r="A16" s="1" t="s">
        <v>145</v>
      </c>
      <c r="B16" s="6"/>
      <c r="C16" s="7"/>
      <c r="D16" s="8">
        <f t="shared" si="0"/>
        <v>0</v>
      </c>
      <c r="E16" s="6">
        <v>10</v>
      </c>
      <c r="F16" s="7">
        <v>0.8</v>
      </c>
      <c r="G16" s="8">
        <f t="shared" si="1"/>
        <v>8</v>
      </c>
      <c r="H16" s="6">
        <v>10</v>
      </c>
      <c r="I16" s="7">
        <v>0.7</v>
      </c>
      <c r="J16" s="8">
        <f t="shared" si="2"/>
        <v>7</v>
      </c>
      <c r="K16" s="6"/>
      <c r="L16" s="7"/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20</v>
      </c>
      <c r="S16" s="9">
        <f t="shared" si="6"/>
        <v>0.75</v>
      </c>
      <c r="T16" s="9">
        <f t="shared" si="7"/>
        <v>7.4626865671641784E-2</v>
      </c>
      <c r="U16" s="9">
        <f>R16 / _xlfn.XLOOKUP(A16, Bottom!A:A, Bottom!AA:AA)</f>
        <v>4.3383947939262472E-2</v>
      </c>
      <c r="V16" s="1"/>
      <c r="W16" s="1"/>
    </row>
    <row r="17" spans="1:23" x14ac:dyDescent="0.25">
      <c r="A17" s="1" t="s">
        <v>147</v>
      </c>
      <c r="B17" s="6"/>
      <c r="C17" s="7"/>
      <c r="D17" s="8">
        <f t="shared" si="0"/>
        <v>0</v>
      </c>
      <c r="E17" s="6">
        <v>2</v>
      </c>
      <c r="F17" s="7">
        <v>0.5</v>
      </c>
      <c r="G17" s="8">
        <f t="shared" si="1"/>
        <v>1</v>
      </c>
      <c r="H17" s="6">
        <v>10</v>
      </c>
      <c r="I17" s="7">
        <v>0.8</v>
      </c>
      <c r="J17" s="8">
        <f t="shared" si="2"/>
        <v>8</v>
      </c>
      <c r="K17" s="6"/>
      <c r="L17" s="7"/>
      <c r="M17" s="8">
        <f t="shared" si="3"/>
        <v>0</v>
      </c>
      <c r="N17" s="6"/>
      <c r="O17" s="7"/>
      <c r="P17" s="8">
        <f t="shared" si="4"/>
        <v>0</v>
      </c>
      <c r="Q17" s="4"/>
      <c r="R17" s="6">
        <f t="shared" si="5"/>
        <v>12</v>
      </c>
      <c r="S17" s="9">
        <f t="shared" si="6"/>
        <v>0.75</v>
      </c>
      <c r="T17" s="9">
        <f t="shared" si="7"/>
        <v>4.4776119402985072E-2</v>
      </c>
      <c r="U17" s="9">
        <f>R17 / _xlfn.XLOOKUP(A17, Bottom!A:A, Bottom!AA:AA)</f>
        <v>5.7142857142857141E-2</v>
      </c>
      <c r="V17" s="1"/>
      <c r="W17" s="1"/>
    </row>
    <row r="18" spans="1:23" x14ac:dyDescent="0.25">
      <c r="A18" s="1" t="s">
        <v>138</v>
      </c>
      <c r="B18" s="6"/>
      <c r="C18" s="7"/>
      <c r="D18" s="8">
        <f t="shared" si="0"/>
        <v>0</v>
      </c>
      <c r="E18" s="6">
        <v>7</v>
      </c>
      <c r="F18" s="7">
        <v>0.85699999999999998</v>
      </c>
      <c r="G18" s="8">
        <f t="shared" si="1"/>
        <v>5.9989999999999997</v>
      </c>
      <c r="H18" s="6">
        <v>1</v>
      </c>
      <c r="I18" s="7">
        <v>0</v>
      </c>
      <c r="J18" s="8">
        <f t="shared" si="2"/>
        <v>0</v>
      </c>
      <c r="K18" s="6"/>
      <c r="L18" s="7"/>
      <c r="M18" s="8">
        <f t="shared" si="3"/>
        <v>0</v>
      </c>
      <c r="N18" s="6"/>
      <c r="O18" s="7"/>
      <c r="P18" s="8">
        <f t="shared" si="4"/>
        <v>0</v>
      </c>
      <c r="Q18" s="1"/>
      <c r="R18" s="6">
        <f t="shared" si="5"/>
        <v>8</v>
      </c>
      <c r="S18" s="9">
        <f t="shared" si="6"/>
        <v>0.74987499999999996</v>
      </c>
      <c r="T18" s="9">
        <f t="shared" si="7"/>
        <v>2.9850746268656716E-2</v>
      </c>
      <c r="U18" s="9">
        <f>R18 / _xlfn.XLOOKUP(A18, Bottom!A:A, Bottom!AA:AA)</f>
        <v>2.7118644067796609E-2</v>
      </c>
      <c r="V18" s="1"/>
      <c r="W18" s="1"/>
    </row>
    <row r="19" spans="1:23" x14ac:dyDescent="0.25">
      <c r="A19" s="1" t="s">
        <v>141</v>
      </c>
      <c r="B19" s="6"/>
      <c r="C19" s="7"/>
      <c r="D19" s="8">
        <f t="shared" si="0"/>
        <v>0</v>
      </c>
      <c r="E19" s="6">
        <v>18</v>
      </c>
      <c r="F19" s="7">
        <v>0.72199999999999998</v>
      </c>
      <c r="G19" s="8">
        <f t="shared" si="1"/>
        <v>12.995999999999999</v>
      </c>
      <c r="H19" s="6">
        <v>1</v>
      </c>
      <c r="I19" s="7">
        <v>1</v>
      </c>
      <c r="J19" s="8">
        <f t="shared" si="2"/>
        <v>1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1"/>
      <c r="R19" s="6">
        <f t="shared" si="5"/>
        <v>19</v>
      </c>
      <c r="S19" s="9">
        <f t="shared" si="6"/>
        <v>0.7366315789473683</v>
      </c>
      <c r="T19" s="9">
        <f t="shared" si="7"/>
        <v>7.0895522388059698E-2</v>
      </c>
      <c r="U19" s="9">
        <f>R19 / _xlfn.XLOOKUP(A19, Bottom!A:A, Bottom!AA:AA)</f>
        <v>4.328018223234624E-2</v>
      </c>
      <c r="V19" s="1"/>
      <c r="W19" s="1"/>
    </row>
    <row r="20" spans="1:23" x14ac:dyDescent="0.25">
      <c r="A20" s="1" t="s">
        <v>140</v>
      </c>
      <c r="B20" s="6"/>
      <c r="C20" s="7"/>
      <c r="D20" s="8">
        <f t="shared" si="0"/>
        <v>0</v>
      </c>
      <c r="E20" s="6">
        <v>27</v>
      </c>
      <c r="F20" s="7">
        <v>0.66700000000000004</v>
      </c>
      <c r="G20" s="8">
        <f t="shared" si="1"/>
        <v>18.009</v>
      </c>
      <c r="H20" s="6">
        <v>14</v>
      </c>
      <c r="I20" s="7">
        <v>0.71399999999999997</v>
      </c>
      <c r="J20" s="8">
        <f t="shared" si="2"/>
        <v>9.9959999999999987</v>
      </c>
      <c r="K20" s="6"/>
      <c r="L20" s="7"/>
      <c r="M20" s="8">
        <f t="shared" si="3"/>
        <v>0</v>
      </c>
      <c r="N20" s="6"/>
      <c r="O20" s="7"/>
      <c r="P20" s="8">
        <f t="shared" si="4"/>
        <v>0</v>
      </c>
      <c r="Q20" s="4"/>
      <c r="R20" s="6">
        <f t="shared" si="5"/>
        <v>41</v>
      </c>
      <c r="S20" s="9">
        <f t="shared" si="6"/>
        <v>0.68304878048780482</v>
      </c>
      <c r="T20" s="9">
        <f t="shared" si="7"/>
        <v>0.15298507462686567</v>
      </c>
      <c r="U20" s="9">
        <f>R20 / _xlfn.XLOOKUP(A20, Bottom!A:A, Bottom!AA:AA)</f>
        <v>7.9150579150579145E-2</v>
      </c>
      <c r="V20" s="1"/>
      <c r="W20" s="1"/>
    </row>
    <row r="21" spans="1:23" x14ac:dyDescent="0.25">
      <c r="A21" s="1" t="s">
        <v>151</v>
      </c>
      <c r="B21" s="6"/>
      <c r="C21" s="7"/>
      <c r="D21" s="8">
        <f t="shared" si="0"/>
        <v>0</v>
      </c>
      <c r="E21" s="6">
        <v>3</v>
      </c>
      <c r="F21" s="7">
        <v>0.66700000000000004</v>
      </c>
      <c r="G21" s="8">
        <f t="shared" si="1"/>
        <v>2.0010000000000003</v>
      </c>
      <c r="H21" s="6"/>
      <c r="I21" s="7"/>
      <c r="J21" s="8">
        <f t="shared" si="2"/>
        <v>0</v>
      </c>
      <c r="K21" s="6"/>
      <c r="L21" s="7"/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3</v>
      </c>
      <c r="S21" s="9">
        <f t="shared" si="6"/>
        <v>0.66700000000000015</v>
      </c>
      <c r="T21" s="9">
        <f t="shared" si="7"/>
        <v>1.1194029850746268E-2</v>
      </c>
      <c r="U21" s="9">
        <f>R21 / _xlfn.XLOOKUP(A21, Bottom!A:A, Bottom!AA:AA)</f>
        <v>1.8867924528301886E-2</v>
      </c>
      <c r="V21" s="1"/>
      <c r="W21" s="1"/>
    </row>
    <row r="22" spans="1:23" x14ac:dyDescent="0.25">
      <c r="A22" s="1" t="s">
        <v>35</v>
      </c>
      <c r="B22" s="6"/>
      <c r="C22" s="7"/>
      <c r="D22" s="8">
        <f t="shared" si="0"/>
        <v>0</v>
      </c>
      <c r="E22" s="6">
        <v>6</v>
      </c>
      <c r="F22" s="7">
        <v>0.33300000000000002</v>
      </c>
      <c r="G22" s="8">
        <f t="shared" si="1"/>
        <v>1.9980000000000002</v>
      </c>
      <c r="H22" s="6">
        <v>14</v>
      </c>
      <c r="I22" s="7">
        <v>0.71399999999999997</v>
      </c>
      <c r="J22" s="8">
        <f t="shared" si="2"/>
        <v>9.9959999999999987</v>
      </c>
      <c r="K22" s="6"/>
      <c r="L22" s="7"/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20</v>
      </c>
      <c r="S22" s="9">
        <f t="shared" si="6"/>
        <v>0.59970000000000001</v>
      </c>
      <c r="T22" s="9">
        <f t="shared" si="7"/>
        <v>7.4626865671641784E-2</v>
      </c>
      <c r="U22" s="9">
        <f>R22 / _xlfn.XLOOKUP(A22, Bottom!A:A, Bottom!AA:AA)</f>
        <v>5.1679586563307491E-2</v>
      </c>
      <c r="V22" s="1"/>
      <c r="W22" s="1"/>
    </row>
    <row r="23" spans="1:23" x14ac:dyDescent="0.25">
      <c r="A23" s="1" t="s">
        <v>156</v>
      </c>
      <c r="B23" s="6"/>
      <c r="C23" s="7"/>
      <c r="D23" s="8">
        <f t="shared" si="0"/>
        <v>0</v>
      </c>
      <c r="E23" s="6">
        <v>7</v>
      </c>
      <c r="F23" s="7">
        <v>0.57099999999999995</v>
      </c>
      <c r="G23" s="8">
        <f t="shared" si="1"/>
        <v>3.9969999999999999</v>
      </c>
      <c r="H23" s="6">
        <v>2</v>
      </c>
      <c r="I23" s="7">
        <v>0.5</v>
      </c>
      <c r="J23" s="8">
        <f t="shared" si="2"/>
        <v>1</v>
      </c>
      <c r="K23" s="6"/>
      <c r="L23" s="7"/>
      <c r="M23" s="8">
        <f t="shared" si="3"/>
        <v>0</v>
      </c>
      <c r="N23" s="6"/>
      <c r="O23" s="7"/>
      <c r="P23" s="8">
        <f t="shared" si="4"/>
        <v>0</v>
      </c>
      <c r="Q23" s="13"/>
      <c r="R23" s="6">
        <f t="shared" si="5"/>
        <v>9</v>
      </c>
      <c r="S23" s="9">
        <f t="shared" si="6"/>
        <v>0.55522222222222217</v>
      </c>
      <c r="T23" s="9">
        <f t="shared" si="7"/>
        <v>3.3582089552238806E-2</v>
      </c>
      <c r="U23" s="9">
        <f>R23 / _xlfn.XLOOKUP(A23, Bottom!A:A, Bottom!AA:AA)</f>
        <v>7.8947368421052627E-2</v>
      </c>
      <c r="V23" s="1"/>
      <c r="W23" s="1"/>
    </row>
    <row r="24" spans="1:23" x14ac:dyDescent="0.25">
      <c r="A24" s="1" t="s">
        <v>148</v>
      </c>
      <c r="B24" s="6"/>
      <c r="C24" s="7"/>
      <c r="D24" s="8">
        <f t="shared" si="0"/>
        <v>0</v>
      </c>
      <c r="E24" s="6"/>
      <c r="F24" s="7"/>
      <c r="G24" s="8">
        <f t="shared" si="1"/>
        <v>0</v>
      </c>
      <c r="H24" s="6">
        <v>2</v>
      </c>
      <c r="I24" s="7">
        <v>0.5</v>
      </c>
      <c r="J24" s="8">
        <f t="shared" si="2"/>
        <v>1</v>
      </c>
      <c r="K24" s="6"/>
      <c r="L24" s="7"/>
      <c r="M24" s="8">
        <f t="shared" si="3"/>
        <v>0</v>
      </c>
      <c r="N24" s="6"/>
      <c r="O24" s="7"/>
      <c r="P24" s="8">
        <f t="shared" si="4"/>
        <v>0</v>
      </c>
      <c r="Q24" s="1"/>
      <c r="R24" s="6">
        <f t="shared" si="5"/>
        <v>2</v>
      </c>
      <c r="S24" s="9">
        <f t="shared" si="6"/>
        <v>0.5</v>
      </c>
      <c r="T24" s="9">
        <f t="shared" si="7"/>
        <v>7.462686567164179E-3</v>
      </c>
      <c r="U24" s="9">
        <f>R24 / _xlfn.XLOOKUP(A24, Bottom!A:A, Bottom!AA:AA)</f>
        <v>9.852216748768473E-3</v>
      </c>
      <c r="V24" s="1"/>
      <c r="W24" s="1"/>
    </row>
    <row r="25" spans="1:23" x14ac:dyDescent="0.25">
      <c r="A25" s="1" t="s">
        <v>39</v>
      </c>
      <c r="B25" s="6"/>
      <c r="C25" s="7"/>
      <c r="D25" s="8">
        <f t="shared" si="0"/>
        <v>0</v>
      </c>
      <c r="E25" s="6">
        <v>2</v>
      </c>
      <c r="F25" s="7">
        <v>0.5</v>
      </c>
      <c r="G25" s="8">
        <f t="shared" si="1"/>
        <v>1</v>
      </c>
      <c r="H25" s="6"/>
      <c r="I25" s="7"/>
      <c r="J25" s="8">
        <f t="shared" si="2"/>
        <v>0</v>
      </c>
      <c r="K25" s="6"/>
      <c r="L25" s="7"/>
      <c r="M25" s="8">
        <f t="shared" si="3"/>
        <v>0</v>
      </c>
      <c r="N25" s="6"/>
      <c r="O25" s="7"/>
      <c r="P25" s="8">
        <f t="shared" si="4"/>
        <v>0</v>
      </c>
      <c r="Q25" s="1"/>
      <c r="R25" s="6">
        <f t="shared" si="5"/>
        <v>2</v>
      </c>
      <c r="S25" s="9">
        <f t="shared" si="6"/>
        <v>0.5</v>
      </c>
      <c r="T25" s="9">
        <f t="shared" si="7"/>
        <v>7.462686567164179E-3</v>
      </c>
      <c r="U25" s="9">
        <f>R25 / _xlfn.XLOOKUP(A25, Bottom!A:A, Bottom!AA:AA)</f>
        <v>3.2786885245901641E-2</v>
      </c>
      <c r="V25" s="1"/>
      <c r="W25" s="1"/>
    </row>
    <row r="26" spans="1:23" x14ac:dyDescent="0.25">
      <c r="A26" s="1" t="s">
        <v>134</v>
      </c>
      <c r="B26" s="6"/>
      <c r="C26" s="7"/>
      <c r="D26" s="8">
        <f t="shared" si="0"/>
        <v>0</v>
      </c>
      <c r="E26" s="6">
        <v>1</v>
      </c>
      <c r="F26" s="7">
        <v>0</v>
      </c>
      <c r="G26" s="8">
        <f t="shared" si="1"/>
        <v>0</v>
      </c>
      <c r="H26" s="6">
        <v>13</v>
      </c>
      <c r="I26" s="7">
        <v>0.53800000000000003</v>
      </c>
      <c r="J26" s="8">
        <f t="shared" si="2"/>
        <v>6.9940000000000007</v>
      </c>
      <c r="K26" s="6"/>
      <c r="L26" s="7"/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14</v>
      </c>
      <c r="S26" s="9">
        <f t="shared" si="6"/>
        <v>0.49957142857142861</v>
      </c>
      <c r="T26" s="9">
        <f t="shared" si="7"/>
        <v>5.2238805970149252E-2</v>
      </c>
      <c r="U26" s="9">
        <f>R26 / _xlfn.XLOOKUP(A26, Bottom!A:A, Bottom!AA:AA)</f>
        <v>3.0567685589519649E-2</v>
      </c>
      <c r="V26" s="1"/>
      <c r="W26" s="1"/>
    </row>
    <row r="27" spans="1:23" x14ac:dyDescent="0.25">
      <c r="A27" s="1"/>
      <c r="B27" s="6"/>
      <c r="C27" s="7"/>
      <c r="D27" s="8">
        <f t="shared" ref="D27:D37" si="8">B27*C27</f>
        <v>0</v>
      </c>
      <c r="E27" s="6"/>
      <c r="F27" s="7"/>
      <c r="G27" s="8">
        <f t="shared" ref="G27:G37" si="9">E27*F27</f>
        <v>0</v>
      </c>
      <c r="H27" s="6"/>
      <c r="I27" s="7"/>
      <c r="J27" s="8">
        <f t="shared" ref="J27:J37" si="10">H27*I27</f>
        <v>0</v>
      </c>
      <c r="K27" s="6"/>
      <c r="L27" s="7"/>
      <c r="M27" s="8">
        <f t="shared" ref="M27:M37" si="11">K27*L27</f>
        <v>0</v>
      </c>
      <c r="N27" s="6"/>
      <c r="O27" s="7"/>
      <c r="P27" s="8">
        <f t="shared" ref="P27:P34" si="12">N27*O27</f>
        <v>0</v>
      </c>
      <c r="Q27" s="1"/>
      <c r="R27" s="6">
        <f t="shared" ref="R27:R34" si="13">B27+E27+H27+K27+N27</f>
        <v>0</v>
      </c>
      <c r="S27" s="9" t="e">
        <f t="shared" ref="S27:S34" si="14">(D27+G27+J27+M27+P27)/R27</f>
        <v>#DIV/0!</v>
      </c>
      <c r="T27" s="9">
        <f t="shared" ref="T27:T34" si="15">R27/$V$3</f>
        <v>0</v>
      </c>
      <c r="U27" s="9" t="e">
        <f>R27 / _xlfn.XLOOKUP(A27, Bottom!A:A, Bottom!AA:AA)</f>
        <v>#DIV/0!</v>
      </c>
      <c r="V27" s="1"/>
      <c r="W27" s="1"/>
    </row>
    <row r="28" spans="1:23" x14ac:dyDescent="0.25">
      <c r="A28" s="1"/>
      <c r="B28" s="6"/>
      <c r="C28" s="7"/>
      <c r="D28" s="8">
        <f t="shared" si="8"/>
        <v>0</v>
      </c>
      <c r="E28" s="6"/>
      <c r="F28" s="7"/>
      <c r="G28" s="8">
        <f t="shared" si="9"/>
        <v>0</v>
      </c>
      <c r="H28" s="6"/>
      <c r="I28" s="7"/>
      <c r="J28" s="8">
        <f t="shared" si="10"/>
        <v>0</v>
      </c>
      <c r="K28" s="6"/>
      <c r="L28" s="7"/>
      <c r="M28" s="8">
        <f t="shared" si="11"/>
        <v>0</v>
      </c>
      <c r="N28" s="6"/>
      <c r="O28" s="7"/>
      <c r="P28" s="8">
        <f t="shared" si="12"/>
        <v>0</v>
      </c>
      <c r="Q28" s="1"/>
      <c r="R28" s="6">
        <f t="shared" si="13"/>
        <v>0</v>
      </c>
      <c r="S28" s="9" t="e">
        <f t="shared" si="14"/>
        <v>#DIV/0!</v>
      </c>
      <c r="T28" s="9">
        <f t="shared" si="15"/>
        <v>0</v>
      </c>
      <c r="U28" s="9" t="e">
        <f>R28 / _xlfn.XLOOKUP(A28, Bottom!A:A, Bottom!AA:AA)</f>
        <v>#DIV/0!</v>
      </c>
      <c r="V28" s="1"/>
      <c r="W28" s="1"/>
    </row>
    <row r="29" spans="1:23" x14ac:dyDescent="0.25">
      <c r="A29" s="1"/>
      <c r="B29" s="6"/>
      <c r="C29" s="7"/>
      <c r="D29" s="8">
        <f t="shared" si="8"/>
        <v>0</v>
      </c>
      <c r="E29" s="6"/>
      <c r="F29" s="7"/>
      <c r="G29" s="8">
        <f t="shared" si="9"/>
        <v>0</v>
      </c>
      <c r="H29" s="6"/>
      <c r="I29" s="7"/>
      <c r="J29" s="8">
        <f t="shared" si="10"/>
        <v>0</v>
      </c>
      <c r="K29" s="6"/>
      <c r="L29" s="7"/>
      <c r="M29" s="8">
        <f t="shared" si="11"/>
        <v>0</v>
      </c>
      <c r="N29" s="6"/>
      <c r="O29" s="7"/>
      <c r="P29" s="8">
        <f t="shared" si="12"/>
        <v>0</v>
      </c>
      <c r="Q29" s="1"/>
      <c r="R29" s="6">
        <f t="shared" si="13"/>
        <v>0</v>
      </c>
      <c r="S29" s="9" t="e">
        <f t="shared" si="14"/>
        <v>#DIV/0!</v>
      </c>
      <c r="T29" s="9">
        <f t="shared" si="15"/>
        <v>0</v>
      </c>
      <c r="U29" s="9" t="e">
        <f>R29 / _xlfn.XLOOKUP(A29, Bottom!A:A, Bottom!AA:AA)</f>
        <v>#DIV/0!</v>
      </c>
      <c r="V29" s="1"/>
      <c r="W29" s="1"/>
    </row>
    <row r="30" spans="1:23" x14ac:dyDescent="0.25">
      <c r="A30" s="1"/>
      <c r="B30" s="6"/>
      <c r="C30" s="7"/>
      <c r="D30" s="8">
        <f t="shared" si="8"/>
        <v>0</v>
      </c>
      <c r="E30" s="6"/>
      <c r="F30" s="7"/>
      <c r="G30" s="8">
        <f t="shared" si="9"/>
        <v>0</v>
      </c>
      <c r="H30" s="6"/>
      <c r="I30" s="7"/>
      <c r="J30" s="8">
        <f t="shared" si="10"/>
        <v>0</v>
      </c>
      <c r="K30" s="6"/>
      <c r="L30" s="7"/>
      <c r="M30" s="8">
        <f t="shared" si="11"/>
        <v>0</v>
      </c>
      <c r="N30" s="6"/>
      <c r="O30" s="7"/>
      <c r="P30" s="8">
        <f t="shared" si="12"/>
        <v>0</v>
      </c>
      <c r="Q30" s="1"/>
      <c r="R30" s="6">
        <f t="shared" si="13"/>
        <v>0</v>
      </c>
      <c r="S30" s="9" t="e">
        <f t="shared" si="14"/>
        <v>#DIV/0!</v>
      </c>
      <c r="T30" s="9">
        <f t="shared" si="15"/>
        <v>0</v>
      </c>
      <c r="U30" s="9" t="e">
        <f>R30 / _xlfn.XLOOKUP(A30, Bottom!A:A, Bottom!AA:AA)</f>
        <v>#DIV/0!</v>
      </c>
      <c r="V30" s="1"/>
      <c r="W30" s="1"/>
    </row>
    <row r="31" spans="1:23" x14ac:dyDescent="0.25">
      <c r="A31" s="1"/>
      <c r="B31" s="6"/>
      <c r="C31" s="7"/>
      <c r="D31" s="8">
        <f t="shared" si="8"/>
        <v>0</v>
      </c>
      <c r="E31" s="6"/>
      <c r="F31" s="7"/>
      <c r="G31" s="8">
        <f t="shared" si="9"/>
        <v>0</v>
      </c>
      <c r="H31" s="6"/>
      <c r="I31" s="7"/>
      <c r="J31" s="8">
        <f t="shared" si="10"/>
        <v>0</v>
      </c>
      <c r="K31" s="6"/>
      <c r="L31" s="7"/>
      <c r="M31" s="8">
        <f t="shared" si="11"/>
        <v>0</v>
      </c>
      <c r="N31" s="6"/>
      <c r="O31" s="7"/>
      <c r="P31" s="8">
        <f t="shared" si="12"/>
        <v>0</v>
      </c>
      <c r="Q31" s="1"/>
      <c r="R31" s="6">
        <f t="shared" si="13"/>
        <v>0</v>
      </c>
      <c r="S31" s="9" t="e">
        <f t="shared" si="14"/>
        <v>#DIV/0!</v>
      </c>
      <c r="T31" s="9">
        <f t="shared" si="15"/>
        <v>0</v>
      </c>
      <c r="U31" s="9" t="e">
        <f>R31 / _xlfn.XLOOKUP(A31, Bottom!A:A, Bottom!AA:AA)</f>
        <v>#DIV/0!</v>
      </c>
      <c r="V31" s="1"/>
      <c r="W31" s="1"/>
    </row>
    <row r="32" spans="1:23" x14ac:dyDescent="0.25">
      <c r="A32" s="1"/>
      <c r="B32" s="6"/>
      <c r="C32" s="7"/>
      <c r="D32" s="8">
        <f t="shared" si="8"/>
        <v>0</v>
      </c>
      <c r="E32" s="6"/>
      <c r="F32" s="7"/>
      <c r="G32" s="8">
        <f t="shared" si="9"/>
        <v>0</v>
      </c>
      <c r="H32" s="6"/>
      <c r="I32" s="7"/>
      <c r="J32" s="8">
        <f t="shared" si="10"/>
        <v>0</v>
      </c>
      <c r="K32" s="6"/>
      <c r="L32" s="7"/>
      <c r="M32" s="8">
        <f t="shared" si="11"/>
        <v>0</v>
      </c>
      <c r="N32" s="6"/>
      <c r="O32" s="7"/>
      <c r="P32" s="8">
        <f t="shared" si="12"/>
        <v>0</v>
      </c>
      <c r="Q32" s="1"/>
      <c r="R32" s="6">
        <f t="shared" si="13"/>
        <v>0</v>
      </c>
      <c r="S32" s="9" t="e">
        <f t="shared" si="14"/>
        <v>#DIV/0!</v>
      </c>
      <c r="T32" s="9">
        <f t="shared" si="15"/>
        <v>0</v>
      </c>
      <c r="U32" s="9" t="e">
        <f>R32 / _xlfn.XLOOKUP(A32, Bottom!A:A, Bottom!AA:AA)</f>
        <v>#DIV/0!</v>
      </c>
      <c r="V32" s="1"/>
      <c r="W32" s="1"/>
    </row>
    <row r="33" spans="1:23" x14ac:dyDescent="0.25">
      <c r="A33" s="1"/>
      <c r="B33" s="6"/>
      <c r="C33" s="7"/>
      <c r="D33" s="8">
        <f t="shared" si="8"/>
        <v>0</v>
      </c>
      <c r="E33" s="6"/>
      <c r="F33" s="7"/>
      <c r="G33" s="8">
        <f t="shared" si="9"/>
        <v>0</v>
      </c>
      <c r="H33" s="6"/>
      <c r="I33" s="7"/>
      <c r="J33" s="8">
        <f t="shared" si="10"/>
        <v>0</v>
      </c>
      <c r="K33" s="6"/>
      <c r="L33" s="7"/>
      <c r="M33" s="8">
        <f t="shared" si="11"/>
        <v>0</v>
      </c>
      <c r="N33" s="6"/>
      <c r="O33" s="7"/>
      <c r="P33" s="8">
        <f t="shared" si="12"/>
        <v>0</v>
      </c>
      <c r="Q33" s="1"/>
      <c r="R33" s="6">
        <f t="shared" si="13"/>
        <v>0</v>
      </c>
      <c r="S33" s="9" t="e">
        <f t="shared" si="14"/>
        <v>#DIV/0!</v>
      </c>
      <c r="T33" s="9">
        <f t="shared" si="15"/>
        <v>0</v>
      </c>
      <c r="U33" s="9" t="e">
        <f>R33 / _xlfn.XLOOKUP(A33, Bottom!A:A, Bottom!AA:AA)</f>
        <v>#DIV/0!</v>
      </c>
      <c r="V33" s="1"/>
      <c r="W33" s="1"/>
    </row>
    <row r="34" spans="1:23" x14ac:dyDescent="0.25">
      <c r="A34" s="1"/>
      <c r="B34" s="6"/>
      <c r="C34" s="7"/>
      <c r="D34" s="8">
        <f t="shared" si="8"/>
        <v>0</v>
      </c>
      <c r="E34" s="6"/>
      <c r="F34" s="7"/>
      <c r="G34" s="8">
        <f t="shared" si="9"/>
        <v>0</v>
      </c>
      <c r="H34" s="6"/>
      <c r="I34" s="7"/>
      <c r="J34" s="8">
        <f t="shared" si="10"/>
        <v>0</v>
      </c>
      <c r="K34" s="6"/>
      <c r="L34" s="7"/>
      <c r="M34" s="8">
        <f t="shared" si="11"/>
        <v>0</v>
      </c>
      <c r="N34" s="6"/>
      <c r="O34" s="7"/>
      <c r="P34" s="8">
        <f t="shared" si="12"/>
        <v>0</v>
      </c>
      <c r="Q34" s="1"/>
      <c r="R34" s="6">
        <f t="shared" si="13"/>
        <v>0</v>
      </c>
      <c r="S34" s="9" t="e">
        <f t="shared" si="14"/>
        <v>#DIV/0!</v>
      </c>
      <c r="T34" s="9">
        <f t="shared" si="15"/>
        <v>0</v>
      </c>
      <c r="U34" s="9" t="e">
        <f>R34 / _xlfn.XLOOKUP(A34, Bottom!A:A, Bottom!AA:AA)</f>
        <v>#DIV/0!</v>
      </c>
      <c r="V34" s="1"/>
      <c r="W34" s="1"/>
    </row>
    <row r="35" spans="1:23" x14ac:dyDescent="0.25">
      <c r="A35" s="1"/>
      <c r="B35" s="6"/>
      <c r="C35" s="7"/>
      <c r="D35" s="8">
        <f t="shared" si="8"/>
        <v>0</v>
      </c>
      <c r="E35" s="6"/>
      <c r="F35" s="7"/>
      <c r="G35" s="8">
        <f t="shared" si="9"/>
        <v>0</v>
      </c>
      <c r="H35" s="6"/>
      <c r="I35" s="7"/>
      <c r="J35" s="8">
        <f t="shared" si="10"/>
        <v>0</v>
      </c>
      <c r="K35" s="6"/>
      <c r="L35" s="7"/>
      <c r="M35" s="8">
        <f t="shared" si="11"/>
        <v>0</v>
      </c>
      <c r="N35" s="6"/>
      <c r="O35" s="7"/>
      <c r="P35" s="8">
        <f t="shared" ref="P35:P56" si="16">N35*O35</f>
        <v>0</v>
      </c>
      <c r="Q35" s="1"/>
      <c r="R35" s="6">
        <f t="shared" ref="R35:R56" si="17">B35+E35+H35+K35+N35</f>
        <v>0</v>
      </c>
      <c r="S35" s="9" t="e">
        <f t="shared" ref="S35:S56" si="18">(D35+G35+J35+M35+P35)/R35</f>
        <v>#DIV/0!</v>
      </c>
      <c r="T35" s="9">
        <f t="shared" ref="T35:T56" si="19">R35/$V$3</f>
        <v>0</v>
      </c>
      <c r="U35" s="9" t="e">
        <f>R35 / _xlfn.XLOOKUP(A35, Bottom!A:A, Bottom!AA:AA)</f>
        <v>#DIV/0!</v>
      </c>
      <c r="V35" s="1"/>
      <c r="W35" s="1"/>
    </row>
    <row r="36" spans="1:23" x14ac:dyDescent="0.25">
      <c r="A36" s="1"/>
      <c r="B36" s="6"/>
      <c r="C36" s="7"/>
      <c r="D36" s="8">
        <f t="shared" si="8"/>
        <v>0</v>
      </c>
      <c r="E36" s="6"/>
      <c r="F36" s="7"/>
      <c r="G36" s="8">
        <f t="shared" si="9"/>
        <v>0</v>
      </c>
      <c r="H36" s="6"/>
      <c r="I36" s="7"/>
      <c r="J36" s="8">
        <f t="shared" si="10"/>
        <v>0</v>
      </c>
      <c r="K36" s="6"/>
      <c r="L36" s="7"/>
      <c r="M36" s="8">
        <f t="shared" si="11"/>
        <v>0</v>
      </c>
      <c r="N36" s="6"/>
      <c r="O36" s="7"/>
      <c r="P36" s="8">
        <f t="shared" si="16"/>
        <v>0</v>
      </c>
      <c r="Q36" s="1"/>
      <c r="R36" s="6">
        <f t="shared" si="17"/>
        <v>0</v>
      </c>
      <c r="S36" s="9" t="e">
        <f t="shared" si="18"/>
        <v>#DIV/0!</v>
      </c>
      <c r="T36" s="9">
        <f t="shared" si="19"/>
        <v>0</v>
      </c>
      <c r="U36" s="9" t="e">
        <f>R36 / _xlfn.XLOOKUP(A36, Bottom!A:A, Bottom!AA:AA)</f>
        <v>#DIV/0!</v>
      </c>
      <c r="V36" s="1"/>
      <c r="W36" s="1"/>
    </row>
    <row r="37" spans="1:23" x14ac:dyDescent="0.25">
      <c r="A37" s="1"/>
      <c r="B37" s="6"/>
      <c r="C37" s="7"/>
      <c r="D37" s="8">
        <f t="shared" si="8"/>
        <v>0</v>
      </c>
      <c r="E37" s="6"/>
      <c r="F37" s="7"/>
      <c r="G37" s="8">
        <f t="shared" si="9"/>
        <v>0</v>
      </c>
      <c r="H37" s="6"/>
      <c r="I37" s="7"/>
      <c r="J37" s="8">
        <f t="shared" si="10"/>
        <v>0</v>
      </c>
      <c r="K37" s="6"/>
      <c r="L37" s="7"/>
      <c r="M37" s="8">
        <f t="shared" si="11"/>
        <v>0</v>
      </c>
      <c r="N37" s="6"/>
      <c r="O37" s="7"/>
      <c r="P37" s="8">
        <f t="shared" si="16"/>
        <v>0</v>
      </c>
      <c r="Q37" s="1"/>
      <c r="R37" s="6">
        <f t="shared" si="17"/>
        <v>0</v>
      </c>
      <c r="S37" s="9" t="e">
        <f t="shared" si="18"/>
        <v>#DIV/0!</v>
      </c>
      <c r="T37" s="9">
        <f t="shared" si="19"/>
        <v>0</v>
      </c>
      <c r="U37" s="9" t="e">
        <f>R37 / _xlfn.XLOOKUP(A37, Bottom!A:A, Bottom!AA:AA)</f>
        <v>#DIV/0!</v>
      </c>
      <c r="V37" s="1"/>
      <c r="W37" s="1"/>
    </row>
    <row r="38" spans="1:23" x14ac:dyDescent="0.25">
      <c r="N38" s="6"/>
      <c r="O38" s="7"/>
      <c r="P38" s="8">
        <f t="shared" si="16"/>
        <v>0</v>
      </c>
      <c r="Q38" s="1"/>
      <c r="R38" s="6">
        <f t="shared" si="17"/>
        <v>0</v>
      </c>
      <c r="S38" s="9" t="e">
        <f t="shared" si="18"/>
        <v>#DIV/0!</v>
      </c>
      <c r="T38" s="9">
        <f t="shared" si="19"/>
        <v>0</v>
      </c>
      <c r="U38" s="9" t="e">
        <f>R38 / _xlfn.XLOOKUP(A38, Bottom!A:A, Bottom!AA:AA)</f>
        <v>#DIV/0!</v>
      </c>
      <c r="V38" s="1"/>
      <c r="W38" s="1"/>
    </row>
    <row r="39" spans="1:23" x14ac:dyDescent="0.25">
      <c r="N39" s="6"/>
      <c r="O39" s="7"/>
      <c r="P39" s="8">
        <f t="shared" si="16"/>
        <v>0</v>
      </c>
      <c r="Q39" s="1"/>
      <c r="R39" s="6">
        <f t="shared" si="17"/>
        <v>0</v>
      </c>
      <c r="S39" s="9" t="e">
        <f t="shared" si="18"/>
        <v>#DIV/0!</v>
      </c>
      <c r="T39" s="9">
        <f t="shared" si="19"/>
        <v>0</v>
      </c>
      <c r="U39" s="9" t="e">
        <f>R39 / _xlfn.XLOOKUP(A39, Bottom!A:A, Bottom!AA:AA)</f>
        <v>#DIV/0!</v>
      </c>
      <c r="V39" s="1"/>
      <c r="W39" s="1"/>
    </row>
    <row r="40" spans="1:23" x14ac:dyDescent="0.25">
      <c r="N40" s="6"/>
      <c r="O40" s="7"/>
      <c r="P40" s="8">
        <f t="shared" si="16"/>
        <v>0</v>
      </c>
      <c r="Q40" s="1"/>
      <c r="R40" s="6">
        <f t="shared" si="17"/>
        <v>0</v>
      </c>
      <c r="S40" s="9" t="e">
        <f t="shared" si="18"/>
        <v>#DIV/0!</v>
      </c>
      <c r="T40" s="9">
        <f t="shared" si="19"/>
        <v>0</v>
      </c>
      <c r="U40" s="9" t="e">
        <f>R40 / _xlfn.XLOOKUP(A40, Bottom!A:A, Bottom!AA:AA)</f>
        <v>#DIV/0!</v>
      </c>
    </row>
    <row r="41" spans="1:23" x14ac:dyDescent="0.25">
      <c r="N41" s="6"/>
      <c r="O41" s="7"/>
      <c r="P41" s="8">
        <f t="shared" si="16"/>
        <v>0</v>
      </c>
      <c r="Q41" s="1"/>
      <c r="R41" s="6">
        <f t="shared" si="17"/>
        <v>0</v>
      </c>
      <c r="S41" s="9" t="e">
        <f t="shared" si="18"/>
        <v>#DIV/0!</v>
      </c>
      <c r="T41" s="9">
        <f t="shared" si="19"/>
        <v>0</v>
      </c>
      <c r="U41" s="9" t="e">
        <f>R41 / _xlfn.XLOOKUP(A41, Bottom!A:A, Bottom!AA:AA)</f>
        <v>#DIV/0!</v>
      </c>
    </row>
    <row r="42" spans="1:23" x14ac:dyDescent="0.25">
      <c r="N42" s="6"/>
      <c r="O42" s="7"/>
      <c r="P42" s="8">
        <f t="shared" si="16"/>
        <v>0</v>
      </c>
      <c r="Q42" s="1"/>
      <c r="R42" s="6">
        <f t="shared" si="17"/>
        <v>0</v>
      </c>
      <c r="S42" s="9" t="e">
        <f t="shared" si="18"/>
        <v>#DIV/0!</v>
      </c>
      <c r="T42" s="9">
        <f t="shared" si="19"/>
        <v>0</v>
      </c>
      <c r="U42" s="9" t="e">
        <f>R42 / _xlfn.XLOOKUP(A42, Bottom!A:A, Bottom!AA:AA)</f>
        <v>#DIV/0!</v>
      </c>
    </row>
    <row r="43" spans="1:23" x14ac:dyDescent="0.25">
      <c r="N43" s="6"/>
      <c r="O43" s="7"/>
      <c r="P43" s="8">
        <f t="shared" si="16"/>
        <v>0</v>
      </c>
      <c r="Q43" s="1"/>
      <c r="R43" s="6">
        <f t="shared" si="17"/>
        <v>0</v>
      </c>
      <c r="S43" s="9" t="e">
        <f t="shared" si="18"/>
        <v>#DIV/0!</v>
      </c>
      <c r="T43" s="9">
        <f t="shared" si="19"/>
        <v>0</v>
      </c>
      <c r="U43" s="9" t="e">
        <f>R43 / _xlfn.XLOOKUP(A43, Bottom!A:A, Bottom!AA:AA)</f>
        <v>#DIV/0!</v>
      </c>
    </row>
    <row r="44" spans="1:23" x14ac:dyDescent="0.25">
      <c r="N44" s="6"/>
      <c r="O44" s="7"/>
      <c r="P44" s="8">
        <f t="shared" si="16"/>
        <v>0</v>
      </c>
      <c r="Q44" s="1"/>
      <c r="R44" s="6">
        <f t="shared" si="17"/>
        <v>0</v>
      </c>
      <c r="S44" s="9" t="e">
        <f t="shared" si="18"/>
        <v>#DIV/0!</v>
      </c>
      <c r="T44" s="9">
        <f t="shared" si="19"/>
        <v>0</v>
      </c>
      <c r="U44" s="9" t="e">
        <f>R44 / _xlfn.XLOOKUP(A44, Bottom!A:A, Bottom!AA:AA)</f>
        <v>#DIV/0!</v>
      </c>
    </row>
    <row r="45" spans="1:23" x14ac:dyDescent="0.25">
      <c r="N45" s="6"/>
      <c r="O45" s="7"/>
      <c r="P45" s="8">
        <f t="shared" si="16"/>
        <v>0</v>
      </c>
      <c r="Q45" s="1"/>
      <c r="R45" s="6">
        <f t="shared" si="17"/>
        <v>0</v>
      </c>
      <c r="S45" s="9" t="e">
        <f t="shared" si="18"/>
        <v>#DIV/0!</v>
      </c>
      <c r="T45" s="9">
        <f t="shared" si="19"/>
        <v>0</v>
      </c>
      <c r="U45" s="9" t="e">
        <f>R45 / _xlfn.XLOOKUP(A45, Bottom!A:A, Bottom!AA:AA)</f>
        <v>#DIV/0!</v>
      </c>
    </row>
    <row r="46" spans="1:23" x14ac:dyDescent="0.25">
      <c r="N46" s="6"/>
      <c r="O46" s="7"/>
      <c r="P46" s="8">
        <f t="shared" si="16"/>
        <v>0</v>
      </c>
      <c r="Q46" s="1"/>
      <c r="R46" s="6">
        <f t="shared" si="17"/>
        <v>0</v>
      </c>
      <c r="S46" s="9" t="e">
        <f t="shared" si="18"/>
        <v>#DIV/0!</v>
      </c>
      <c r="T46" s="9">
        <f t="shared" si="19"/>
        <v>0</v>
      </c>
      <c r="U46" s="9" t="e">
        <f>R46 / _xlfn.XLOOKUP(A46, Bottom!A:A, Bottom!AA:AA)</f>
        <v>#DIV/0!</v>
      </c>
    </row>
    <row r="47" spans="1:23" x14ac:dyDescent="0.25">
      <c r="N47" s="6"/>
      <c r="O47" s="7"/>
      <c r="P47" s="8">
        <f t="shared" si="16"/>
        <v>0</v>
      </c>
      <c r="Q47" s="1"/>
      <c r="R47" s="6">
        <f t="shared" si="17"/>
        <v>0</v>
      </c>
      <c r="S47" s="9" t="e">
        <f t="shared" si="18"/>
        <v>#DIV/0!</v>
      </c>
      <c r="T47" s="9">
        <f t="shared" si="19"/>
        <v>0</v>
      </c>
      <c r="U47" s="9" t="e">
        <f>R47 / _xlfn.XLOOKUP(A47, Bottom!A:A, Bottom!AA:AA)</f>
        <v>#DIV/0!</v>
      </c>
    </row>
    <row r="48" spans="1:23" x14ac:dyDescent="0.25">
      <c r="N48" s="6"/>
      <c r="O48" s="7"/>
      <c r="P48" s="8">
        <f t="shared" si="16"/>
        <v>0</v>
      </c>
      <c r="Q48" s="1"/>
      <c r="R48" s="6">
        <f t="shared" si="17"/>
        <v>0</v>
      </c>
      <c r="S48" s="9" t="e">
        <f t="shared" si="18"/>
        <v>#DIV/0!</v>
      </c>
      <c r="T48" s="9">
        <f t="shared" si="19"/>
        <v>0</v>
      </c>
      <c r="U48" s="9" t="e">
        <f>R48 / _xlfn.XLOOKUP(A48, Bottom!A:A, Bottom!AA:AA)</f>
        <v>#DIV/0!</v>
      </c>
    </row>
    <row r="49" spans="14:21" x14ac:dyDescent="0.25">
      <c r="N49" s="6"/>
      <c r="O49" s="7"/>
      <c r="P49" s="8">
        <f t="shared" si="16"/>
        <v>0</v>
      </c>
      <c r="Q49" s="1"/>
      <c r="R49" s="6">
        <f t="shared" si="17"/>
        <v>0</v>
      </c>
      <c r="S49" s="9" t="e">
        <f t="shared" si="18"/>
        <v>#DIV/0!</v>
      </c>
      <c r="T49" s="9">
        <f t="shared" si="19"/>
        <v>0</v>
      </c>
      <c r="U49" s="9" t="e">
        <f>R49 / _xlfn.XLOOKUP(A49, Bottom!A:A, Bottom!AA:AA)</f>
        <v>#DIV/0!</v>
      </c>
    </row>
    <row r="50" spans="14:21" x14ac:dyDescent="0.25">
      <c r="N50" s="6"/>
      <c r="O50" s="7"/>
      <c r="P50" s="8">
        <f t="shared" si="16"/>
        <v>0</v>
      </c>
      <c r="Q50" s="1"/>
      <c r="R50" s="6">
        <f t="shared" si="17"/>
        <v>0</v>
      </c>
      <c r="S50" s="9" t="e">
        <f t="shared" si="18"/>
        <v>#DIV/0!</v>
      </c>
      <c r="T50" s="9">
        <f t="shared" si="19"/>
        <v>0</v>
      </c>
      <c r="U50" s="9" t="e">
        <f>R50 / _xlfn.XLOOKUP(A50, Bottom!A:A, Bottom!AA:AA)</f>
        <v>#DIV/0!</v>
      </c>
    </row>
    <row r="51" spans="14:21" x14ac:dyDescent="0.25">
      <c r="N51" s="6"/>
      <c r="O51" s="7"/>
      <c r="P51" s="8">
        <f t="shared" si="16"/>
        <v>0</v>
      </c>
      <c r="Q51" s="1"/>
      <c r="R51" s="6">
        <f t="shared" si="17"/>
        <v>0</v>
      </c>
      <c r="S51" s="9" t="e">
        <f t="shared" si="18"/>
        <v>#DIV/0!</v>
      </c>
      <c r="T51" s="9">
        <f t="shared" si="19"/>
        <v>0</v>
      </c>
      <c r="U51" s="9" t="e">
        <f>R51 / _xlfn.XLOOKUP(A51, Bottom!A:A, Bottom!AA:AA)</f>
        <v>#DIV/0!</v>
      </c>
    </row>
    <row r="52" spans="14:21" x14ac:dyDescent="0.25">
      <c r="N52" s="6"/>
      <c r="O52" s="7"/>
      <c r="P52" s="8">
        <f t="shared" si="16"/>
        <v>0</v>
      </c>
      <c r="Q52" s="1"/>
      <c r="R52" s="6">
        <f t="shared" si="17"/>
        <v>0</v>
      </c>
      <c r="S52" s="9" t="e">
        <f t="shared" si="18"/>
        <v>#DIV/0!</v>
      </c>
      <c r="T52" s="9">
        <f t="shared" si="19"/>
        <v>0</v>
      </c>
      <c r="U52" s="9" t="e">
        <f>R52 / _xlfn.XLOOKUP(A52, Bottom!A:A, Bottom!AA:AA)</f>
        <v>#DIV/0!</v>
      </c>
    </row>
    <row r="53" spans="14:21" x14ac:dyDescent="0.25">
      <c r="N53" s="6"/>
      <c r="O53" s="7"/>
      <c r="P53" s="8">
        <f t="shared" si="16"/>
        <v>0</v>
      </c>
      <c r="Q53" s="1"/>
      <c r="R53" s="6">
        <f t="shared" si="17"/>
        <v>0</v>
      </c>
      <c r="S53" s="9" t="e">
        <f t="shared" si="18"/>
        <v>#DIV/0!</v>
      </c>
      <c r="T53" s="9">
        <f t="shared" si="19"/>
        <v>0</v>
      </c>
      <c r="U53" s="9" t="e">
        <f>R53 / _xlfn.XLOOKUP(A53, Bottom!A:A, Bottom!AA:AA)</f>
        <v>#DIV/0!</v>
      </c>
    </row>
    <row r="54" spans="14:21" x14ac:dyDescent="0.25">
      <c r="N54" s="6"/>
      <c r="O54" s="7"/>
      <c r="P54" s="8">
        <f t="shared" si="16"/>
        <v>0</v>
      </c>
      <c r="Q54" s="1"/>
      <c r="R54" s="6">
        <f t="shared" si="17"/>
        <v>0</v>
      </c>
      <c r="S54" s="9" t="e">
        <f t="shared" si="18"/>
        <v>#DIV/0!</v>
      </c>
      <c r="T54" s="9">
        <f t="shared" si="19"/>
        <v>0</v>
      </c>
      <c r="U54" s="9" t="e">
        <f>R54 / _xlfn.XLOOKUP(A54, Bottom!A:A, Bottom!AA:AA)</f>
        <v>#DIV/0!</v>
      </c>
    </row>
    <row r="55" spans="14:21" x14ac:dyDescent="0.25">
      <c r="N55" s="6"/>
      <c r="O55" s="7"/>
      <c r="P55" s="8">
        <f t="shared" si="16"/>
        <v>0</v>
      </c>
      <c r="Q55" s="1"/>
      <c r="R55" s="6">
        <f t="shared" si="17"/>
        <v>0</v>
      </c>
      <c r="S55" s="9" t="e">
        <f t="shared" si="18"/>
        <v>#DIV/0!</v>
      </c>
      <c r="T55" s="9">
        <f t="shared" si="19"/>
        <v>0</v>
      </c>
      <c r="U55" s="9" t="e">
        <f>R55 / _xlfn.XLOOKUP(A55, Bottom!A:A, Bottom!AA:AA)</f>
        <v>#DIV/0!</v>
      </c>
    </row>
    <row r="56" spans="14:21" x14ac:dyDescent="0.25">
      <c r="N56" s="6"/>
      <c r="O56" s="7"/>
      <c r="P56" s="8">
        <f t="shared" si="16"/>
        <v>0</v>
      </c>
      <c r="Q56" s="1"/>
      <c r="R56" s="6">
        <f t="shared" si="17"/>
        <v>0</v>
      </c>
      <c r="S56" s="9" t="e">
        <f t="shared" si="18"/>
        <v>#DIV/0!</v>
      </c>
      <c r="T56" s="9">
        <f t="shared" si="19"/>
        <v>0</v>
      </c>
      <c r="U56" s="9" t="e">
        <f>R56 / _xlfn.XLOOKUP(A56, Bottom!A:A, Bottom!AA:AA)</f>
        <v>#DIV/0!</v>
      </c>
    </row>
  </sheetData>
  <sortState xmlns:xlrd2="http://schemas.microsoft.com/office/spreadsheetml/2017/richdata2" ref="A3:U26">
    <sortCondition descending="1" ref="S3:S26"/>
  </sortState>
  <pageMargins left="0.7" right="0.7" top="0.78740157499999996" bottom="0.78740157499999996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03E73-5082-4295-8661-53DE8B872A7B}">
  <sheetPr>
    <tabColor theme="5" tint="0.59999389629810485"/>
  </sheetPr>
  <dimension ref="A1:W56"/>
  <sheetViews>
    <sheetView workbookViewId="0">
      <selection activeCell="U3" sqref="U3:U26"/>
    </sheetView>
  </sheetViews>
  <sheetFormatPr baseColWidth="10" defaultRowHeight="15" x14ac:dyDescent="0.25"/>
  <sheetData>
    <row r="1" spans="1:23" ht="15.75" x14ac:dyDescent="0.25">
      <c r="A1" s="2" t="s">
        <v>137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25" t="s">
        <v>213</v>
      </c>
      <c r="B3" s="6"/>
      <c r="C3" s="7"/>
      <c r="D3" s="8">
        <f t="shared" ref="D3:D26" si="0">B3*C3</f>
        <v>0</v>
      </c>
      <c r="E3" s="6"/>
      <c r="F3" s="7"/>
      <c r="G3" s="8">
        <f t="shared" ref="G3:G26" si="1">E3*F3</f>
        <v>0</v>
      </c>
      <c r="H3" s="6"/>
      <c r="I3" s="7"/>
      <c r="J3" s="8">
        <f t="shared" ref="J3:J26" si="2">H3*I3</f>
        <v>0</v>
      </c>
      <c r="K3" s="6">
        <v>3</v>
      </c>
      <c r="L3" s="7">
        <v>1</v>
      </c>
      <c r="M3" s="8">
        <f t="shared" ref="M3:M26" si="3">K3*L3</f>
        <v>3</v>
      </c>
      <c r="N3" s="6"/>
      <c r="O3" s="7"/>
      <c r="P3" s="8">
        <f t="shared" ref="P3:P26" si="4">N3*O3</f>
        <v>0</v>
      </c>
      <c r="Q3" s="1"/>
      <c r="R3" s="6">
        <f t="shared" ref="R3:R26" si="5">B3+E3+H3+K3+N3</f>
        <v>3</v>
      </c>
      <c r="S3" s="9">
        <f t="shared" ref="S3:S26" si="6">(D3+G3+J3+M3+P3)/R3</f>
        <v>1</v>
      </c>
      <c r="T3" s="9">
        <f t="shared" ref="T3:T26" si="7">R3/$V$3</f>
        <v>1.0416666666666666E-2</v>
      </c>
      <c r="U3" s="9">
        <f>R3 / _xlfn.XLOOKUP(A3, Bottom!A:A, Bottom!AA:AA)</f>
        <v>3.9473684210526314E-2</v>
      </c>
      <c r="V3" s="11">
        <f>SUM(R3:R70)</f>
        <v>288</v>
      </c>
      <c r="W3" s="12">
        <f>(SUM(D3:D100)+SUM(G3:G100)+SUM(J3:J100)+SUM(M3:M100)+SUM(P3:P100)) / V3</f>
        <v>0.73263194444444446</v>
      </c>
    </row>
    <row r="4" spans="1:23" x14ac:dyDescent="0.25">
      <c r="A4" s="25" t="s">
        <v>39</v>
      </c>
      <c r="B4" s="6"/>
      <c r="C4" s="7"/>
      <c r="D4" s="8">
        <f t="shared" si="0"/>
        <v>0</v>
      </c>
      <c r="E4" s="6"/>
      <c r="F4" s="7"/>
      <c r="G4" s="8">
        <f t="shared" si="1"/>
        <v>0</v>
      </c>
      <c r="H4" s="6"/>
      <c r="I4" s="7"/>
      <c r="J4" s="8">
        <f t="shared" si="2"/>
        <v>0</v>
      </c>
      <c r="K4" s="6">
        <v>2</v>
      </c>
      <c r="L4" s="7">
        <v>1</v>
      </c>
      <c r="M4" s="8">
        <f t="shared" si="3"/>
        <v>2</v>
      </c>
      <c r="N4" s="6"/>
      <c r="O4" s="7"/>
      <c r="P4" s="8">
        <f t="shared" si="4"/>
        <v>0</v>
      </c>
      <c r="Q4" s="1"/>
      <c r="R4" s="6">
        <f t="shared" si="5"/>
        <v>2</v>
      </c>
      <c r="S4" s="9">
        <f t="shared" si="6"/>
        <v>1</v>
      </c>
      <c r="T4" s="9">
        <f t="shared" si="7"/>
        <v>6.9444444444444441E-3</v>
      </c>
      <c r="U4" s="9">
        <f>R4 / _xlfn.XLOOKUP(A4, Bottom!A:A, Bottom!AA:AA)</f>
        <v>3.2786885245901641E-2</v>
      </c>
      <c r="V4" s="6"/>
      <c r="W4" s="9"/>
    </row>
    <row r="5" spans="1:23" x14ac:dyDescent="0.25">
      <c r="A5" s="1" t="s">
        <v>153</v>
      </c>
      <c r="B5" s="6">
        <v>1</v>
      </c>
      <c r="C5" s="7">
        <v>1</v>
      </c>
      <c r="D5" s="8">
        <f t="shared" si="0"/>
        <v>1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1</v>
      </c>
      <c r="S5" s="9">
        <f t="shared" si="6"/>
        <v>1</v>
      </c>
      <c r="T5" s="9">
        <f t="shared" si="7"/>
        <v>3.472222222222222E-3</v>
      </c>
      <c r="U5" s="9">
        <f>R5 / _xlfn.XLOOKUP(A5, Bottom!A:A, Bottom!AA:AA)</f>
        <v>3.3333333333333333E-2</v>
      </c>
      <c r="W5" s="1"/>
    </row>
    <row r="6" spans="1:23" x14ac:dyDescent="0.25">
      <c r="A6" s="1" t="s">
        <v>152</v>
      </c>
      <c r="B6" s="6">
        <v>1</v>
      </c>
      <c r="C6" s="7">
        <v>1</v>
      </c>
      <c r="D6" s="8">
        <f t="shared" si="0"/>
        <v>1</v>
      </c>
      <c r="E6" s="6"/>
      <c r="F6" s="7"/>
      <c r="G6" s="8">
        <f t="shared" si="1"/>
        <v>0</v>
      </c>
      <c r="H6" s="6"/>
      <c r="I6" s="7"/>
      <c r="J6" s="8">
        <f t="shared" si="2"/>
        <v>0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1"/>
      <c r="R6" s="6">
        <f t="shared" si="5"/>
        <v>1</v>
      </c>
      <c r="S6" s="9">
        <f t="shared" si="6"/>
        <v>1</v>
      </c>
      <c r="T6" s="9">
        <f t="shared" si="7"/>
        <v>3.472222222222222E-3</v>
      </c>
      <c r="U6" s="9">
        <f>R6 / _xlfn.XLOOKUP(A6, Bottom!A:A, Bottom!AA:AA)</f>
        <v>3.8461538461538464E-2</v>
      </c>
      <c r="W6" s="1"/>
    </row>
    <row r="7" spans="1:23" x14ac:dyDescent="0.25">
      <c r="A7" s="1" t="s">
        <v>34</v>
      </c>
      <c r="B7" s="6">
        <v>1</v>
      </c>
      <c r="C7" s="7">
        <v>1</v>
      </c>
      <c r="D7" s="8">
        <f t="shared" si="0"/>
        <v>1</v>
      </c>
      <c r="E7" s="6"/>
      <c r="F7" s="7"/>
      <c r="G7" s="8">
        <f t="shared" si="1"/>
        <v>0</v>
      </c>
      <c r="H7" s="6"/>
      <c r="I7" s="7"/>
      <c r="J7" s="8">
        <f t="shared" si="2"/>
        <v>0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1</v>
      </c>
      <c r="S7" s="9">
        <f t="shared" si="6"/>
        <v>1</v>
      </c>
      <c r="T7" s="9">
        <f t="shared" si="7"/>
        <v>3.472222222222222E-3</v>
      </c>
      <c r="U7" s="9">
        <f>R7 / _xlfn.XLOOKUP(A7, Bottom!A:A, Bottom!AA:AA)</f>
        <v>0.16666666666666666</v>
      </c>
      <c r="V7" s="1"/>
      <c r="W7" s="1"/>
    </row>
    <row r="8" spans="1:23" x14ac:dyDescent="0.25">
      <c r="A8" s="1" t="s">
        <v>147</v>
      </c>
      <c r="B8" s="6">
        <v>3</v>
      </c>
      <c r="C8" s="7">
        <v>0.66700000000000004</v>
      </c>
      <c r="D8" s="8">
        <f t="shared" si="0"/>
        <v>2.0010000000000003</v>
      </c>
      <c r="E8" s="6"/>
      <c r="F8" s="7"/>
      <c r="G8" s="8">
        <f t="shared" si="1"/>
        <v>0</v>
      </c>
      <c r="H8" s="6"/>
      <c r="I8" s="7"/>
      <c r="J8" s="8">
        <f t="shared" si="2"/>
        <v>0</v>
      </c>
      <c r="K8" s="6">
        <v>5</v>
      </c>
      <c r="L8" s="7">
        <v>1</v>
      </c>
      <c r="M8" s="8">
        <f t="shared" si="3"/>
        <v>5</v>
      </c>
      <c r="N8" s="6"/>
      <c r="O8" s="7"/>
      <c r="P8" s="8">
        <f t="shared" si="4"/>
        <v>0</v>
      </c>
      <c r="Q8" s="1"/>
      <c r="R8" s="6">
        <f t="shared" si="5"/>
        <v>8</v>
      </c>
      <c r="S8" s="9">
        <f t="shared" si="6"/>
        <v>0.87512500000000004</v>
      </c>
      <c r="T8" s="9">
        <f t="shared" si="7"/>
        <v>2.7777777777777776E-2</v>
      </c>
      <c r="U8" s="9">
        <f>R8 / _xlfn.XLOOKUP(A8, Bottom!A:A, Bottom!AA:AA)</f>
        <v>3.8095238095238099E-2</v>
      </c>
      <c r="V8" s="1"/>
      <c r="W8" s="1"/>
    </row>
    <row r="9" spans="1:23" x14ac:dyDescent="0.25">
      <c r="A9" s="1" t="s">
        <v>140</v>
      </c>
      <c r="B9" s="6">
        <v>11</v>
      </c>
      <c r="C9" s="7">
        <v>0.90900000000000003</v>
      </c>
      <c r="D9" s="8">
        <f t="shared" si="0"/>
        <v>9.9990000000000006</v>
      </c>
      <c r="E9" s="6">
        <v>4</v>
      </c>
      <c r="F9" s="7">
        <v>0.75</v>
      </c>
      <c r="G9" s="8">
        <f t="shared" si="1"/>
        <v>3</v>
      </c>
      <c r="H9" s="6"/>
      <c r="I9" s="7"/>
      <c r="J9" s="8">
        <f t="shared" si="2"/>
        <v>0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1"/>
      <c r="R9" s="6">
        <f t="shared" si="5"/>
        <v>15</v>
      </c>
      <c r="S9" s="9">
        <f t="shared" si="6"/>
        <v>0.86660000000000004</v>
      </c>
      <c r="T9" s="9">
        <f t="shared" si="7"/>
        <v>5.2083333333333336E-2</v>
      </c>
      <c r="U9" s="9">
        <f>R9 / _xlfn.XLOOKUP(A9, Bottom!A:A, Bottom!AA:AA)</f>
        <v>2.8957528957528959E-2</v>
      </c>
      <c r="V9" s="1"/>
      <c r="W9" s="1"/>
    </row>
    <row r="10" spans="1:23" x14ac:dyDescent="0.25">
      <c r="A10" s="25" t="s">
        <v>108</v>
      </c>
      <c r="B10" s="6"/>
      <c r="C10" s="7"/>
      <c r="D10" s="8">
        <f t="shared" si="0"/>
        <v>0</v>
      </c>
      <c r="E10" s="6"/>
      <c r="F10" s="7"/>
      <c r="G10" s="8">
        <f t="shared" si="1"/>
        <v>0</v>
      </c>
      <c r="H10" s="6"/>
      <c r="I10" s="7"/>
      <c r="J10" s="8">
        <f t="shared" si="2"/>
        <v>0</v>
      </c>
      <c r="K10" s="6">
        <v>17</v>
      </c>
      <c r="L10" s="7">
        <v>0.82399999999999995</v>
      </c>
      <c r="M10" s="8">
        <f t="shared" si="3"/>
        <v>14.007999999999999</v>
      </c>
      <c r="N10" s="6"/>
      <c r="O10" s="7"/>
      <c r="P10" s="8">
        <f t="shared" si="4"/>
        <v>0</v>
      </c>
      <c r="Q10" s="4"/>
      <c r="R10" s="6">
        <f t="shared" si="5"/>
        <v>17</v>
      </c>
      <c r="S10" s="9">
        <f t="shared" si="6"/>
        <v>0.82399999999999995</v>
      </c>
      <c r="T10" s="9">
        <f t="shared" si="7"/>
        <v>5.9027777777777776E-2</v>
      </c>
      <c r="U10" s="9">
        <f>R10 / _xlfn.XLOOKUP(A10, Bottom!A:A, Bottom!AA:AA)</f>
        <v>0.11486486486486487</v>
      </c>
      <c r="V10" s="1"/>
      <c r="W10" s="1"/>
    </row>
    <row r="11" spans="1:23" x14ac:dyDescent="0.25">
      <c r="A11" s="1" t="s">
        <v>144</v>
      </c>
      <c r="B11" s="6">
        <v>4</v>
      </c>
      <c r="C11" s="7">
        <v>1</v>
      </c>
      <c r="D11" s="8">
        <f t="shared" si="0"/>
        <v>4</v>
      </c>
      <c r="E11" s="6"/>
      <c r="F11" s="7"/>
      <c r="G11" s="8">
        <f t="shared" si="1"/>
        <v>0</v>
      </c>
      <c r="H11" s="6"/>
      <c r="I11" s="7"/>
      <c r="J11" s="8">
        <f t="shared" si="2"/>
        <v>0</v>
      </c>
      <c r="K11" s="6">
        <v>1</v>
      </c>
      <c r="L11" s="7">
        <v>0</v>
      </c>
      <c r="M11" s="8">
        <f t="shared" si="3"/>
        <v>0</v>
      </c>
      <c r="N11" s="6"/>
      <c r="O11" s="7"/>
      <c r="P11" s="8">
        <f t="shared" si="4"/>
        <v>0</v>
      </c>
      <c r="Q11" s="1"/>
      <c r="R11" s="6">
        <f t="shared" si="5"/>
        <v>5</v>
      </c>
      <c r="S11" s="9">
        <f t="shared" si="6"/>
        <v>0.8</v>
      </c>
      <c r="T11" s="9">
        <f t="shared" si="7"/>
        <v>1.7361111111111112E-2</v>
      </c>
      <c r="U11" s="9">
        <f>R11 / _xlfn.XLOOKUP(A11, Bottom!A:A, Bottom!AA:AA)</f>
        <v>0.38461538461538464</v>
      </c>
      <c r="V11" s="1"/>
      <c r="W11" s="1"/>
    </row>
    <row r="12" spans="1:23" x14ac:dyDescent="0.25">
      <c r="A12" s="1" t="s">
        <v>149</v>
      </c>
      <c r="B12" s="6">
        <v>2</v>
      </c>
      <c r="C12" s="7">
        <v>1</v>
      </c>
      <c r="D12" s="8">
        <f t="shared" si="0"/>
        <v>2</v>
      </c>
      <c r="E12" s="6">
        <v>2</v>
      </c>
      <c r="F12" s="7">
        <v>1</v>
      </c>
      <c r="G12" s="8">
        <f t="shared" si="1"/>
        <v>2</v>
      </c>
      <c r="H12" s="6"/>
      <c r="I12" s="7"/>
      <c r="J12" s="8">
        <f t="shared" si="2"/>
        <v>0</v>
      </c>
      <c r="K12" s="6">
        <v>5</v>
      </c>
      <c r="L12" s="7">
        <v>0.6</v>
      </c>
      <c r="M12" s="8">
        <f t="shared" si="3"/>
        <v>3</v>
      </c>
      <c r="N12" s="6"/>
      <c r="O12" s="7"/>
      <c r="P12" s="8">
        <f t="shared" si="4"/>
        <v>0</v>
      </c>
      <c r="Q12" s="4"/>
      <c r="R12" s="6">
        <f t="shared" si="5"/>
        <v>9</v>
      </c>
      <c r="S12" s="9">
        <f t="shared" si="6"/>
        <v>0.77777777777777779</v>
      </c>
      <c r="T12" s="9">
        <f t="shared" si="7"/>
        <v>3.125E-2</v>
      </c>
      <c r="U12" s="9">
        <f>R12 / _xlfn.XLOOKUP(A12, Bottom!A:A, Bottom!AA:AA)</f>
        <v>2.6865671641791045E-2</v>
      </c>
      <c r="V12" s="1"/>
      <c r="W12" s="1"/>
    </row>
    <row r="13" spans="1:23" x14ac:dyDescent="0.25">
      <c r="A13" s="1" t="s">
        <v>142</v>
      </c>
      <c r="B13" s="6">
        <v>5</v>
      </c>
      <c r="C13" s="7">
        <v>1</v>
      </c>
      <c r="D13" s="8">
        <f t="shared" si="0"/>
        <v>5</v>
      </c>
      <c r="E13" s="6"/>
      <c r="F13" s="7"/>
      <c r="G13" s="8">
        <f t="shared" si="1"/>
        <v>0</v>
      </c>
      <c r="H13" s="6"/>
      <c r="I13" s="7"/>
      <c r="J13" s="8">
        <f t="shared" si="2"/>
        <v>0</v>
      </c>
      <c r="K13" s="6">
        <v>20</v>
      </c>
      <c r="L13" s="7">
        <v>0.7</v>
      </c>
      <c r="M13" s="8">
        <f t="shared" si="3"/>
        <v>14</v>
      </c>
      <c r="N13" s="6"/>
      <c r="O13" s="7"/>
      <c r="P13" s="8">
        <f t="shared" si="4"/>
        <v>0</v>
      </c>
      <c r="Q13" s="4"/>
      <c r="R13" s="6">
        <f t="shared" si="5"/>
        <v>25</v>
      </c>
      <c r="S13" s="9">
        <f t="shared" si="6"/>
        <v>0.76</v>
      </c>
      <c r="T13" s="9">
        <f t="shared" si="7"/>
        <v>8.6805555555555552E-2</v>
      </c>
      <c r="U13" s="9">
        <f>R13 / _xlfn.XLOOKUP(A13, Bottom!A:A, Bottom!AA:AA)</f>
        <v>8.143322475570032E-2</v>
      </c>
      <c r="V13" s="1"/>
      <c r="W13" s="1"/>
    </row>
    <row r="14" spans="1:23" x14ac:dyDescent="0.25">
      <c r="A14" s="1" t="s">
        <v>151</v>
      </c>
      <c r="B14" s="6">
        <v>2</v>
      </c>
      <c r="C14" s="7">
        <v>1</v>
      </c>
      <c r="D14" s="8">
        <f t="shared" si="0"/>
        <v>2</v>
      </c>
      <c r="E14" s="6"/>
      <c r="F14" s="7"/>
      <c r="G14" s="8">
        <f t="shared" si="1"/>
        <v>0</v>
      </c>
      <c r="H14" s="6"/>
      <c r="I14" s="7"/>
      <c r="J14" s="8">
        <f t="shared" si="2"/>
        <v>0</v>
      </c>
      <c r="K14" s="6">
        <v>2</v>
      </c>
      <c r="L14" s="7">
        <v>0.5</v>
      </c>
      <c r="M14" s="8">
        <f t="shared" si="3"/>
        <v>1</v>
      </c>
      <c r="N14" s="6"/>
      <c r="O14" s="7"/>
      <c r="P14" s="8">
        <f t="shared" si="4"/>
        <v>0</v>
      </c>
      <c r="Q14" s="1"/>
      <c r="R14" s="6">
        <f t="shared" si="5"/>
        <v>4</v>
      </c>
      <c r="S14" s="9">
        <f t="shared" si="6"/>
        <v>0.75</v>
      </c>
      <c r="T14" s="9">
        <f t="shared" si="7"/>
        <v>1.3888888888888888E-2</v>
      </c>
      <c r="U14" s="9">
        <f>R14 / _xlfn.XLOOKUP(A14, Bottom!A:A, Bottom!AA:AA)</f>
        <v>2.5157232704402517E-2</v>
      </c>
      <c r="V14" s="1"/>
      <c r="W14" s="1"/>
    </row>
    <row r="15" spans="1:23" x14ac:dyDescent="0.25">
      <c r="A15" s="1" t="s">
        <v>143</v>
      </c>
      <c r="B15" s="6">
        <v>5</v>
      </c>
      <c r="C15" s="7">
        <v>0.6</v>
      </c>
      <c r="D15" s="8">
        <f t="shared" si="0"/>
        <v>3</v>
      </c>
      <c r="E15" s="6"/>
      <c r="F15" s="7"/>
      <c r="G15" s="8">
        <f t="shared" si="1"/>
        <v>0</v>
      </c>
      <c r="H15" s="6"/>
      <c r="I15" s="7"/>
      <c r="J15" s="8">
        <f t="shared" si="2"/>
        <v>0</v>
      </c>
      <c r="K15" s="6">
        <v>7</v>
      </c>
      <c r="L15" s="7">
        <v>0.85699999999999998</v>
      </c>
      <c r="M15" s="8">
        <f t="shared" si="3"/>
        <v>5.9989999999999997</v>
      </c>
      <c r="N15" s="6"/>
      <c r="O15" s="7"/>
      <c r="P15" s="8">
        <f t="shared" si="4"/>
        <v>0</v>
      </c>
      <c r="Q15" s="1"/>
      <c r="R15" s="6">
        <f t="shared" si="5"/>
        <v>12</v>
      </c>
      <c r="S15" s="9">
        <f t="shared" si="6"/>
        <v>0.74991666666666656</v>
      </c>
      <c r="T15" s="9">
        <f t="shared" si="7"/>
        <v>4.1666666666666664E-2</v>
      </c>
      <c r="U15" s="9">
        <f>R15 / _xlfn.XLOOKUP(A15, Bottom!A:A, Bottom!AA:AA)</f>
        <v>8.2758620689655171E-2</v>
      </c>
      <c r="V15" s="1"/>
      <c r="W15" s="1"/>
    </row>
    <row r="16" spans="1:23" x14ac:dyDescent="0.25">
      <c r="A16" s="1" t="s">
        <v>139</v>
      </c>
      <c r="B16" s="6">
        <v>16</v>
      </c>
      <c r="C16" s="7">
        <v>0.75</v>
      </c>
      <c r="D16" s="8">
        <f t="shared" si="0"/>
        <v>12</v>
      </c>
      <c r="E16" s="6">
        <v>6</v>
      </c>
      <c r="F16" s="7">
        <v>0.66700000000000004</v>
      </c>
      <c r="G16" s="8">
        <f t="shared" si="1"/>
        <v>4.0020000000000007</v>
      </c>
      <c r="H16" s="6"/>
      <c r="I16" s="7"/>
      <c r="J16" s="8">
        <f t="shared" si="2"/>
        <v>0</v>
      </c>
      <c r="K16" s="6">
        <v>5</v>
      </c>
      <c r="L16" s="7">
        <v>0.8</v>
      </c>
      <c r="M16" s="8">
        <f t="shared" si="3"/>
        <v>4</v>
      </c>
      <c r="N16" s="6"/>
      <c r="O16" s="7"/>
      <c r="P16" s="8">
        <f t="shared" si="4"/>
        <v>0</v>
      </c>
      <c r="Q16" s="4"/>
      <c r="R16" s="6">
        <f t="shared" si="5"/>
        <v>27</v>
      </c>
      <c r="S16" s="9">
        <f t="shared" si="6"/>
        <v>0.74081481481481493</v>
      </c>
      <c r="T16" s="9">
        <f t="shared" si="7"/>
        <v>9.375E-2</v>
      </c>
      <c r="U16" s="9">
        <f>R16 / _xlfn.XLOOKUP(A16, Bottom!A:A, Bottom!AA:AA)</f>
        <v>5.0751879699248117E-2</v>
      </c>
      <c r="V16" s="1"/>
      <c r="W16" s="1"/>
    </row>
    <row r="17" spans="1:23" x14ac:dyDescent="0.25">
      <c r="A17" s="1" t="s">
        <v>138</v>
      </c>
      <c r="B17" s="6">
        <v>18</v>
      </c>
      <c r="C17" s="7">
        <v>0.72199999999999998</v>
      </c>
      <c r="D17" s="8">
        <f t="shared" si="0"/>
        <v>12.995999999999999</v>
      </c>
      <c r="E17" s="6">
        <v>7</v>
      </c>
      <c r="F17" s="7">
        <v>0.85699999999999998</v>
      </c>
      <c r="G17" s="8">
        <f t="shared" si="1"/>
        <v>5.9989999999999997</v>
      </c>
      <c r="H17" s="6"/>
      <c r="I17" s="7"/>
      <c r="J17" s="8">
        <f t="shared" si="2"/>
        <v>0</v>
      </c>
      <c r="K17" s="6">
        <v>4</v>
      </c>
      <c r="L17" s="7">
        <v>0.5</v>
      </c>
      <c r="M17" s="8">
        <f t="shared" si="3"/>
        <v>2</v>
      </c>
      <c r="N17" s="6"/>
      <c r="O17" s="7"/>
      <c r="P17" s="8">
        <f t="shared" si="4"/>
        <v>0</v>
      </c>
      <c r="Q17" s="1"/>
      <c r="R17" s="6">
        <f t="shared" si="5"/>
        <v>29</v>
      </c>
      <c r="S17" s="9">
        <f t="shared" si="6"/>
        <v>0.72396551724137925</v>
      </c>
      <c r="T17" s="9">
        <f t="shared" si="7"/>
        <v>0.10069444444444445</v>
      </c>
      <c r="U17" s="9">
        <f>R17 / _xlfn.XLOOKUP(A17, Bottom!A:A, Bottom!AA:AA)</f>
        <v>9.8305084745762716E-2</v>
      </c>
      <c r="V17" s="1"/>
      <c r="W17" s="1"/>
    </row>
    <row r="18" spans="1:23" x14ac:dyDescent="0.25">
      <c r="A18" s="1" t="s">
        <v>150</v>
      </c>
      <c r="B18" s="6">
        <v>2</v>
      </c>
      <c r="C18" s="7">
        <v>1</v>
      </c>
      <c r="D18" s="8">
        <f t="shared" si="0"/>
        <v>2</v>
      </c>
      <c r="E18" s="6">
        <v>4</v>
      </c>
      <c r="F18" s="7">
        <v>0.75</v>
      </c>
      <c r="G18" s="8">
        <f t="shared" si="1"/>
        <v>3</v>
      </c>
      <c r="H18" s="6"/>
      <c r="I18" s="7"/>
      <c r="J18" s="8">
        <f t="shared" si="2"/>
        <v>0</v>
      </c>
      <c r="K18" s="6">
        <v>12</v>
      </c>
      <c r="L18" s="7">
        <v>0.66700000000000004</v>
      </c>
      <c r="M18" s="8">
        <f t="shared" si="3"/>
        <v>8.0040000000000013</v>
      </c>
      <c r="N18" s="6"/>
      <c r="O18" s="7"/>
      <c r="P18" s="8">
        <f t="shared" si="4"/>
        <v>0</v>
      </c>
      <c r="Q18" s="1"/>
      <c r="R18" s="6">
        <f t="shared" si="5"/>
        <v>18</v>
      </c>
      <c r="S18" s="9">
        <f t="shared" si="6"/>
        <v>0.72244444444444456</v>
      </c>
      <c r="T18" s="9">
        <f t="shared" si="7"/>
        <v>6.25E-2</v>
      </c>
      <c r="U18" s="9">
        <f>R18 / _xlfn.XLOOKUP(A18, Bottom!A:A, Bottom!AA:AA)</f>
        <v>3.7578288100208766E-2</v>
      </c>
      <c r="V18" s="1"/>
      <c r="W18" s="1"/>
    </row>
    <row r="19" spans="1:23" x14ac:dyDescent="0.25">
      <c r="A19" s="1" t="s">
        <v>35</v>
      </c>
      <c r="B19" s="6">
        <v>11</v>
      </c>
      <c r="C19" s="7">
        <v>0.72699999999999998</v>
      </c>
      <c r="D19" s="8">
        <f t="shared" si="0"/>
        <v>7.9969999999999999</v>
      </c>
      <c r="E19" s="6"/>
      <c r="F19" s="7"/>
      <c r="G19" s="8">
        <f t="shared" si="1"/>
        <v>0</v>
      </c>
      <c r="H19" s="6"/>
      <c r="I19" s="7"/>
      <c r="J19" s="8">
        <f t="shared" si="2"/>
        <v>0</v>
      </c>
      <c r="K19" s="6">
        <v>13</v>
      </c>
      <c r="L19" s="7">
        <v>0.69199999999999995</v>
      </c>
      <c r="M19" s="8">
        <f t="shared" si="3"/>
        <v>8.9959999999999987</v>
      </c>
      <c r="N19" s="6"/>
      <c r="O19" s="7"/>
      <c r="P19" s="8">
        <f t="shared" si="4"/>
        <v>0</v>
      </c>
      <c r="Q19" s="1"/>
      <c r="R19" s="6">
        <f t="shared" si="5"/>
        <v>24</v>
      </c>
      <c r="S19" s="9">
        <f t="shared" si="6"/>
        <v>0.70804166666666657</v>
      </c>
      <c r="T19" s="9">
        <f t="shared" si="7"/>
        <v>8.3333333333333329E-2</v>
      </c>
      <c r="U19" s="9">
        <f>R19 / _xlfn.XLOOKUP(A19, Bottom!A:A, Bottom!AA:AA)</f>
        <v>6.2015503875968991E-2</v>
      </c>
      <c r="V19" s="1"/>
      <c r="W19" s="1"/>
    </row>
    <row r="20" spans="1:23" x14ac:dyDescent="0.25">
      <c r="A20" s="1" t="s">
        <v>146</v>
      </c>
      <c r="B20" s="6">
        <v>3</v>
      </c>
      <c r="C20" s="7">
        <v>1</v>
      </c>
      <c r="D20" s="8">
        <f t="shared" si="0"/>
        <v>3</v>
      </c>
      <c r="E20" s="6">
        <v>1</v>
      </c>
      <c r="F20" s="7">
        <v>1</v>
      </c>
      <c r="G20" s="8">
        <f t="shared" si="1"/>
        <v>1</v>
      </c>
      <c r="H20" s="6"/>
      <c r="I20" s="7"/>
      <c r="J20" s="8">
        <f t="shared" si="2"/>
        <v>0</v>
      </c>
      <c r="K20" s="6">
        <v>6</v>
      </c>
      <c r="L20" s="7">
        <v>0.5</v>
      </c>
      <c r="M20" s="8">
        <f t="shared" si="3"/>
        <v>3</v>
      </c>
      <c r="N20" s="6"/>
      <c r="O20" s="7"/>
      <c r="P20" s="8">
        <f t="shared" si="4"/>
        <v>0</v>
      </c>
      <c r="Q20" s="1"/>
      <c r="R20" s="6">
        <f t="shared" si="5"/>
        <v>10</v>
      </c>
      <c r="S20" s="9">
        <f t="shared" si="6"/>
        <v>0.7</v>
      </c>
      <c r="T20" s="9">
        <f t="shared" si="7"/>
        <v>3.4722222222222224E-2</v>
      </c>
      <c r="U20" s="9">
        <f>R20 / _xlfn.XLOOKUP(A20, Bottom!A:A, Bottom!AA:AA)</f>
        <v>5.4054054054054057E-2</v>
      </c>
      <c r="V20" s="1"/>
      <c r="W20" s="1"/>
    </row>
    <row r="21" spans="1:23" x14ac:dyDescent="0.25">
      <c r="A21" s="1" t="s">
        <v>148</v>
      </c>
      <c r="B21" s="6">
        <v>2</v>
      </c>
      <c r="C21" s="7">
        <v>1</v>
      </c>
      <c r="D21" s="8">
        <f t="shared" si="0"/>
        <v>2</v>
      </c>
      <c r="E21" s="6"/>
      <c r="F21" s="7"/>
      <c r="G21" s="8">
        <f t="shared" si="1"/>
        <v>0</v>
      </c>
      <c r="H21" s="6"/>
      <c r="I21" s="7"/>
      <c r="J21" s="8">
        <f t="shared" si="2"/>
        <v>0</v>
      </c>
      <c r="K21" s="6">
        <v>11</v>
      </c>
      <c r="L21" s="7">
        <v>0.63600000000000001</v>
      </c>
      <c r="M21" s="8">
        <f t="shared" si="3"/>
        <v>6.9960000000000004</v>
      </c>
      <c r="N21" s="6"/>
      <c r="O21" s="7"/>
      <c r="P21" s="8">
        <f t="shared" si="4"/>
        <v>0</v>
      </c>
      <c r="Q21" s="1"/>
      <c r="R21" s="6">
        <f t="shared" si="5"/>
        <v>13</v>
      </c>
      <c r="S21" s="9">
        <f t="shared" si="6"/>
        <v>0.69200000000000006</v>
      </c>
      <c r="T21" s="9">
        <f t="shared" si="7"/>
        <v>4.5138888888888888E-2</v>
      </c>
      <c r="U21" s="9">
        <f>R21 / _xlfn.XLOOKUP(A21, Bottom!A:A, Bottom!AA:AA)</f>
        <v>6.4039408866995079E-2</v>
      </c>
      <c r="V21" s="1"/>
      <c r="W21" s="1"/>
    </row>
    <row r="22" spans="1:23" x14ac:dyDescent="0.25">
      <c r="A22" s="1" t="s">
        <v>145</v>
      </c>
      <c r="B22" s="6">
        <v>3</v>
      </c>
      <c r="C22" s="7">
        <v>0.66700000000000004</v>
      </c>
      <c r="D22" s="8">
        <f t="shared" si="0"/>
        <v>2.0010000000000003</v>
      </c>
      <c r="E22" s="6">
        <v>1</v>
      </c>
      <c r="F22" s="7">
        <v>0</v>
      </c>
      <c r="G22" s="8">
        <f t="shared" si="1"/>
        <v>0</v>
      </c>
      <c r="H22" s="6"/>
      <c r="I22" s="7"/>
      <c r="J22" s="8">
        <f t="shared" si="2"/>
        <v>0</v>
      </c>
      <c r="K22" s="6">
        <v>8</v>
      </c>
      <c r="L22" s="7">
        <v>0.75</v>
      </c>
      <c r="M22" s="8">
        <f t="shared" si="3"/>
        <v>6</v>
      </c>
      <c r="N22" s="6"/>
      <c r="O22" s="7"/>
      <c r="P22" s="8">
        <f t="shared" si="4"/>
        <v>0</v>
      </c>
      <c r="Q22" s="13"/>
      <c r="R22" s="6">
        <f t="shared" si="5"/>
        <v>12</v>
      </c>
      <c r="S22" s="9">
        <f t="shared" si="6"/>
        <v>0.66675000000000006</v>
      </c>
      <c r="T22" s="9">
        <f t="shared" si="7"/>
        <v>4.1666666666666664E-2</v>
      </c>
      <c r="U22" s="9">
        <f>R22 / _xlfn.XLOOKUP(A22, Bottom!A:A, Bottom!AA:AA)</f>
        <v>2.6030368763557483E-2</v>
      </c>
      <c r="V22" s="1"/>
      <c r="W22" s="1"/>
    </row>
    <row r="23" spans="1:23" x14ac:dyDescent="0.25">
      <c r="A23" s="1" t="s">
        <v>141</v>
      </c>
      <c r="B23" s="6">
        <v>7</v>
      </c>
      <c r="C23" s="7">
        <v>0.42899999999999999</v>
      </c>
      <c r="D23" s="8">
        <f t="shared" si="0"/>
        <v>3.0030000000000001</v>
      </c>
      <c r="E23" s="6">
        <v>3</v>
      </c>
      <c r="F23" s="7">
        <v>0.33300000000000002</v>
      </c>
      <c r="G23" s="8">
        <f t="shared" si="1"/>
        <v>0.99900000000000011</v>
      </c>
      <c r="H23" s="6"/>
      <c r="I23" s="7"/>
      <c r="J23" s="8">
        <f t="shared" si="2"/>
        <v>0</v>
      </c>
      <c r="K23" s="6">
        <v>10</v>
      </c>
      <c r="L23" s="7">
        <v>0.9</v>
      </c>
      <c r="M23" s="8">
        <f t="shared" si="3"/>
        <v>9</v>
      </c>
      <c r="N23" s="6"/>
      <c r="O23" s="7"/>
      <c r="P23" s="8">
        <f t="shared" si="4"/>
        <v>0</v>
      </c>
      <c r="Q23" s="1"/>
      <c r="R23" s="6">
        <f t="shared" si="5"/>
        <v>20</v>
      </c>
      <c r="S23" s="9">
        <f t="shared" si="6"/>
        <v>0.65010000000000001</v>
      </c>
      <c r="T23" s="9">
        <f t="shared" si="7"/>
        <v>6.9444444444444448E-2</v>
      </c>
      <c r="U23" s="9">
        <f>R23 / _xlfn.XLOOKUP(A23, Bottom!A:A, Bottom!AA:AA)</f>
        <v>4.5558086560364468E-2</v>
      </c>
      <c r="V23" s="1"/>
      <c r="W23" s="1"/>
    </row>
    <row r="24" spans="1:23" x14ac:dyDescent="0.25">
      <c r="A24" s="1" t="s">
        <v>134</v>
      </c>
      <c r="B24" s="6">
        <v>9</v>
      </c>
      <c r="C24" s="7">
        <v>0.44400000000000001</v>
      </c>
      <c r="D24" s="8">
        <f t="shared" si="0"/>
        <v>3.996</v>
      </c>
      <c r="E24" s="6"/>
      <c r="F24" s="7"/>
      <c r="G24" s="8">
        <f t="shared" si="1"/>
        <v>0</v>
      </c>
      <c r="H24" s="6"/>
      <c r="I24" s="7"/>
      <c r="J24" s="8">
        <f t="shared" si="2"/>
        <v>0</v>
      </c>
      <c r="K24" s="6">
        <v>17</v>
      </c>
      <c r="L24" s="7">
        <v>0.70599999999999996</v>
      </c>
      <c r="M24" s="8">
        <f t="shared" si="3"/>
        <v>12.001999999999999</v>
      </c>
      <c r="N24" s="6"/>
      <c r="O24" s="7"/>
      <c r="P24" s="8">
        <f t="shared" si="4"/>
        <v>0</v>
      </c>
      <c r="Q24" s="1"/>
      <c r="R24" s="6">
        <f t="shared" si="5"/>
        <v>26</v>
      </c>
      <c r="S24" s="9">
        <f t="shared" si="6"/>
        <v>0.61530769230769233</v>
      </c>
      <c r="T24" s="9">
        <f t="shared" si="7"/>
        <v>9.0277777777777776E-2</v>
      </c>
      <c r="U24" s="9">
        <f>R24 / _xlfn.XLOOKUP(A24, Bottom!A:A, Bottom!AA:AA)</f>
        <v>5.6768558951965066E-2</v>
      </c>
      <c r="V24" s="1"/>
      <c r="W24" s="1"/>
    </row>
    <row r="25" spans="1:23" x14ac:dyDescent="0.25">
      <c r="A25" s="1" t="s">
        <v>154</v>
      </c>
      <c r="B25" s="6">
        <v>1</v>
      </c>
      <c r="C25" s="7">
        <v>1</v>
      </c>
      <c r="D25" s="8">
        <f t="shared" si="0"/>
        <v>1</v>
      </c>
      <c r="E25" s="6"/>
      <c r="F25" s="7"/>
      <c r="G25" s="8">
        <f t="shared" si="1"/>
        <v>0</v>
      </c>
      <c r="H25" s="6"/>
      <c r="I25" s="7"/>
      <c r="J25" s="8">
        <f t="shared" si="2"/>
        <v>0</v>
      </c>
      <c r="K25" s="6">
        <v>4</v>
      </c>
      <c r="L25" s="7">
        <v>0.5</v>
      </c>
      <c r="M25" s="8">
        <f t="shared" si="3"/>
        <v>2</v>
      </c>
      <c r="N25" s="6"/>
      <c r="O25" s="7"/>
      <c r="P25" s="8">
        <f t="shared" si="4"/>
        <v>0</v>
      </c>
      <c r="Q25" s="1"/>
      <c r="R25" s="6">
        <f t="shared" si="5"/>
        <v>5</v>
      </c>
      <c r="S25" s="9">
        <f t="shared" si="6"/>
        <v>0.6</v>
      </c>
      <c r="T25" s="9">
        <f t="shared" si="7"/>
        <v>1.7361111111111112E-2</v>
      </c>
      <c r="U25" s="9">
        <f>R25 / _xlfn.XLOOKUP(A25, Bottom!A:A, Bottom!AA:AA)</f>
        <v>4.2016806722689079E-2</v>
      </c>
      <c r="V25" s="1"/>
      <c r="W25" s="1"/>
    </row>
    <row r="26" spans="1:23" x14ac:dyDescent="0.25">
      <c r="A26" s="25" t="s">
        <v>59</v>
      </c>
      <c r="B26" s="6"/>
      <c r="C26" s="7"/>
      <c r="D26" s="8">
        <f t="shared" si="0"/>
        <v>0</v>
      </c>
      <c r="E26" s="6"/>
      <c r="F26" s="7"/>
      <c r="G26" s="8">
        <f t="shared" si="1"/>
        <v>0</v>
      </c>
      <c r="H26" s="6"/>
      <c r="I26" s="7"/>
      <c r="J26" s="8">
        <f t="shared" si="2"/>
        <v>0</v>
      </c>
      <c r="K26" s="6">
        <v>1</v>
      </c>
      <c r="L26" s="7">
        <v>0</v>
      </c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1</v>
      </c>
      <c r="S26" s="9">
        <f t="shared" si="6"/>
        <v>0</v>
      </c>
      <c r="T26" s="9">
        <f t="shared" si="7"/>
        <v>3.472222222222222E-3</v>
      </c>
      <c r="U26" s="9">
        <f>R26 / _xlfn.XLOOKUP(A26, Bottom!A:A, Bottom!AA:AA)</f>
        <v>1.9607843137254902E-2</v>
      </c>
      <c r="V26" s="1"/>
      <c r="W26" s="1"/>
    </row>
    <row r="27" spans="1:23" x14ac:dyDescent="0.25">
      <c r="A27" s="1"/>
      <c r="B27" s="6"/>
      <c r="C27" s="7"/>
      <c r="D27" s="8">
        <f t="shared" ref="D27:D37" si="8">B27*C27</f>
        <v>0</v>
      </c>
      <c r="E27" s="6"/>
      <c r="F27" s="7"/>
      <c r="G27" s="8">
        <f t="shared" ref="G27:G37" si="9">E27*F27</f>
        <v>0</v>
      </c>
      <c r="H27" s="6"/>
      <c r="I27" s="7"/>
      <c r="J27" s="8">
        <f t="shared" ref="J27:J37" si="10">H27*I27</f>
        <v>0</v>
      </c>
      <c r="K27" s="6"/>
      <c r="L27" s="7"/>
      <c r="M27" s="8">
        <f t="shared" ref="M27:M37" si="11">K27*L27</f>
        <v>0</v>
      </c>
      <c r="N27" s="6"/>
      <c r="O27" s="7"/>
      <c r="P27" s="8">
        <f t="shared" ref="P27:P34" si="12">N27*O27</f>
        <v>0</v>
      </c>
      <c r="Q27" s="1"/>
      <c r="R27" s="6">
        <f t="shared" ref="R27:R34" si="13">B27+E27+H27+K27+N27</f>
        <v>0</v>
      </c>
      <c r="S27" s="9" t="e">
        <f t="shared" ref="S27:S34" si="14">(D27+G27+J27+M27+P27)/R27</f>
        <v>#DIV/0!</v>
      </c>
      <c r="T27" s="9">
        <f t="shared" ref="T27:T34" si="15">R27/$V$3</f>
        <v>0</v>
      </c>
      <c r="U27" s="9" t="e">
        <f>R27 / _xlfn.XLOOKUP(A27, Bottom!A:A, Bottom!AA:AA)</f>
        <v>#DIV/0!</v>
      </c>
      <c r="V27" s="1"/>
      <c r="W27" s="1"/>
    </row>
    <row r="28" spans="1:23" x14ac:dyDescent="0.25">
      <c r="A28" s="1"/>
      <c r="B28" s="6"/>
      <c r="C28" s="7"/>
      <c r="D28" s="8">
        <f t="shared" si="8"/>
        <v>0</v>
      </c>
      <c r="E28" s="6"/>
      <c r="F28" s="7"/>
      <c r="G28" s="8">
        <f t="shared" si="9"/>
        <v>0</v>
      </c>
      <c r="H28" s="6"/>
      <c r="I28" s="7"/>
      <c r="J28" s="8">
        <f t="shared" si="10"/>
        <v>0</v>
      </c>
      <c r="K28" s="6"/>
      <c r="L28" s="7"/>
      <c r="M28" s="8">
        <f t="shared" si="11"/>
        <v>0</v>
      </c>
      <c r="N28" s="6"/>
      <c r="O28" s="7"/>
      <c r="P28" s="8">
        <f t="shared" si="12"/>
        <v>0</v>
      </c>
      <c r="Q28" s="1"/>
      <c r="R28" s="6">
        <f t="shared" si="13"/>
        <v>0</v>
      </c>
      <c r="S28" s="9" t="e">
        <f t="shared" si="14"/>
        <v>#DIV/0!</v>
      </c>
      <c r="T28" s="9">
        <f t="shared" si="15"/>
        <v>0</v>
      </c>
      <c r="U28" s="9" t="e">
        <f>R28 / _xlfn.XLOOKUP(A28, Bottom!A:A, Bottom!AA:AA)</f>
        <v>#DIV/0!</v>
      </c>
      <c r="V28" s="1"/>
      <c r="W28" s="1"/>
    </row>
    <row r="29" spans="1:23" x14ac:dyDescent="0.25">
      <c r="A29" s="1"/>
      <c r="B29" s="6"/>
      <c r="C29" s="7"/>
      <c r="D29" s="8">
        <f t="shared" si="8"/>
        <v>0</v>
      </c>
      <c r="E29" s="6"/>
      <c r="F29" s="7"/>
      <c r="G29" s="8">
        <f t="shared" si="9"/>
        <v>0</v>
      </c>
      <c r="H29" s="6"/>
      <c r="I29" s="7"/>
      <c r="J29" s="8">
        <f t="shared" si="10"/>
        <v>0</v>
      </c>
      <c r="K29" s="6"/>
      <c r="L29" s="7"/>
      <c r="M29" s="8">
        <f t="shared" si="11"/>
        <v>0</v>
      </c>
      <c r="N29" s="6"/>
      <c r="O29" s="7"/>
      <c r="P29" s="8">
        <f t="shared" si="12"/>
        <v>0</v>
      </c>
      <c r="Q29" s="1"/>
      <c r="R29" s="6">
        <f t="shared" si="13"/>
        <v>0</v>
      </c>
      <c r="S29" s="9" t="e">
        <f t="shared" si="14"/>
        <v>#DIV/0!</v>
      </c>
      <c r="T29" s="9">
        <f t="shared" si="15"/>
        <v>0</v>
      </c>
      <c r="U29" s="9" t="e">
        <f>R29 / _xlfn.XLOOKUP(A29, Bottom!A:A, Bottom!AA:AA)</f>
        <v>#DIV/0!</v>
      </c>
      <c r="V29" s="1"/>
      <c r="W29" s="1"/>
    </row>
    <row r="30" spans="1:23" x14ac:dyDescent="0.25">
      <c r="A30" s="1"/>
      <c r="B30" s="6"/>
      <c r="C30" s="7"/>
      <c r="D30" s="8">
        <f t="shared" si="8"/>
        <v>0</v>
      </c>
      <c r="E30" s="6"/>
      <c r="F30" s="7"/>
      <c r="G30" s="8">
        <f t="shared" si="9"/>
        <v>0</v>
      </c>
      <c r="H30" s="6"/>
      <c r="I30" s="7"/>
      <c r="J30" s="8">
        <f t="shared" si="10"/>
        <v>0</v>
      </c>
      <c r="K30" s="6"/>
      <c r="L30" s="7"/>
      <c r="M30" s="8">
        <f t="shared" si="11"/>
        <v>0</v>
      </c>
      <c r="N30" s="6"/>
      <c r="O30" s="7"/>
      <c r="P30" s="8">
        <f t="shared" si="12"/>
        <v>0</v>
      </c>
      <c r="Q30" s="1"/>
      <c r="R30" s="6">
        <f t="shared" si="13"/>
        <v>0</v>
      </c>
      <c r="S30" s="9" t="e">
        <f t="shared" si="14"/>
        <v>#DIV/0!</v>
      </c>
      <c r="T30" s="9">
        <f t="shared" si="15"/>
        <v>0</v>
      </c>
      <c r="U30" s="9" t="e">
        <f>R30 / _xlfn.XLOOKUP(A30, Bottom!A:A, Bottom!AA:AA)</f>
        <v>#DIV/0!</v>
      </c>
      <c r="V30" s="1"/>
      <c r="W30" s="1"/>
    </row>
    <row r="31" spans="1:23" x14ac:dyDescent="0.25">
      <c r="A31" s="1"/>
      <c r="B31" s="6"/>
      <c r="C31" s="7"/>
      <c r="D31" s="8">
        <f t="shared" si="8"/>
        <v>0</v>
      </c>
      <c r="E31" s="6"/>
      <c r="F31" s="7"/>
      <c r="G31" s="8">
        <f t="shared" si="9"/>
        <v>0</v>
      </c>
      <c r="H31" s="6"/>
      <c r="I31" s="7"/>
      <c r="J31" s="8">
        <f t="shared" si="10"/>
        <v>0</v>
      </c>
      <c r="K31" s="6"/>
      <c r="L31" s="7"/>
      <c r="M31" s="8">
        <f t="shared" si="11"/>
        <v>0</v>
      </c>
      <c r="N31" s="6"/>
      <c r="O31" s="7"/>
      <c r="P31" s="8">
        <f t="shared" si="12"/>
        <v>0</v>
      </c>
      <c r="Q31" s="1"/>
      <c r="R31" s="6">
        <f t="shared" si="13"/>
        <v>0</v>
      </c>
      <c r="S31" s="9" t="e">
        <f t="shared" si="14"/>
        <v>#DIV/0!</v>
      </c>
      <c r="T31" s="9">
        <f t="shared" si="15"/>
        <v>0</v>
      </c>
      <c r="U31" s="9" t="e">
        <f>R31 / _xlfn.XLOOKUP(A31, Bottom!A:A, Bottom!AA:AA)</f>
        <v>#DIV/0!</v>
      </c>
      <c r="V31" s="1"/>
      <c r="W31" s="1"/>
    </row>
    <row r="32" spans="1:23" x14ac:dyDescent="0.25">
      <c r="A32" s="1"/>
      <c r="B32" s="6"/>
      <c r="C32" s="7"/>
      <c r="D32" s="8">
        <f t="shared" si="8"/>
        <v>0</v>
      </c>
      <c r="E32" s="6"/>
      <c r="F32" s="7"/>
      <c r="G32" s="8">
        <f t="shared" si="9"/>
        <v>0</v>
      </c>
      <c r="H32" s="6"/>
      <c r="I32" s="7"/>
      <c r="J32" s="8">
        <f t="shared" si="10"/>
        <v>0</v>
      </c>
      <c r="K32" s="6"/>
      <c r="L32" s="7"/>
      <c r="M32" s="8">
        <f t="shared" si="11"/>
        <v>0</v>
      </c>
      <c r="N32" s="6"/>
      <c r="O32" s="7"/>
      <c r="P32" s="8">
        <f t="shared" si="12"/>
        <v>0</v>
      </c>
      <c r="Q32" s="1"/>
      <c r="R32" s="6">
        <f t="shared" si="13"/>
        <v>0</v>
      </c>
      <c r="S32" s="9" t="e">
        <f t="shared" si="14"/>
        <v>#DIV/0!</v>
      </c>
      <c r="T32" s="9">
        <f t="shared" si="15"/>
        <v>0</v>
      </c>
      <c r="U32" s="9" t="e">
        <f>R32 / _xlfn.XLOOKUP(A32, Bottom!A:A, Bottom!AA:AA)</f>
        <v>#DIV/0!</v>
      </c>
      <c r="V32" s="1"/>
      <c r="W32" s="1"/>
    </row>
    <row r="33" spans="1:23" x14ac:dyDescent="0.25">
      <c r="A33" s="1"/>
      <c r="B33" s="6"/>
      <c r="C33" s="7"/>
      <c r="D33" s="8">
        <f t="shared" si="8"/>
        <v>0</v>
      </c>
      <c r="E33" s="6"/>
      <c r="F33" s="7"/>
      <c r="G33" s="8">
        <f t="shared" si="9"/>
        <v>0</v>
      </c>
      <c r="H33" s="6"/>
      <c r="I33" s="7"/>
      <c r="J33" s="8">
        <f t="shared" si="10"/>
        <v>0</v>
      </c>
      <c r="K33" s="6"/>
      <c r="L33" s="7"/>
      <c r="M33" s="8">
        <f t="shared" si="11"/>
        <v>0</v>
      </c>
      <c r="N33" s="6"/>
      <c r="O33" s="7"/>
      <c r="P33" s="8">
        <f t="shared" si="12"/>
        <v>0</v>
      </c>
      <c r="Q33" s="1"/>
      <c r="R33" s="6">
        <f t="shared" si="13"/>
        <v>0</v>
      </c>
      <c r="S33" s="9" t="e">
        <f t="shared" si="14"/>
        <v>#DIV/0!</v>
      </c>
      <c r="T33" s="9">
        <f t="shared" si="15"/>
        <v>0</v>
      </c>
      <c r="U33" s="9" t="e">
        <f>R33 / _xlfn.XLOOKUP(A33, Bottom!A:A, Bottom!AA:AA)</f>
        <v>#DIV/0!</v>
      </c>
      <c r="V33" s="1"/>
      <c r="W33" s="1"/>
    </row>
    <row r="34" spans="1:23" x14ac:dyDescent="0.25">
      <c r="A34" s="1"/>
      <c r="B34" s="6"/>
      <c r="C34" s="7"/>
      <c r="D34" s="8">
        <f t="shared" si="8"/>
        <v>0</v>
      </c>
      <c r="E34" s="6"/>
      <c r="F34" s="7"/>
      <c r="G34" s="8">
        <f t="shared" si="9"/>
        <v>0</v>
      </c>
      <c r="H34" s="6"/>
      <c r="I34" s="7"/>
      <c r="J34" s="8">
        <f t="shared" si="10"/>
        <v>0</v>
      </c>
      <c r="K34" s="6"/>
      <c r="L34" s="7"/>
      <c r="M34" s="8">
        <f t="shared" si="11"/>
        <v>0</v>
      </c>
      <c r="N34" s="6"/>
      <c r="O34" s="7"/>
      <c r="P34" s="8">
        <f t="shared" si="12"/>
        <v>0</v>
      </c>
      <c r="Q34" s="1"/>
      <c r="R34" s="6">
        <f t="shared" si="13"/>
        <v>0</v>
      </c>
      <c r="S34" s="9" t="e">
        <f t="shared" si="14"/>
        <v>#DIV/0!</v>
      </c>
      <c r="T34" s="9">
        <f t="shared" si="15"/>
        <v>0</v>
      </c>
      <c r="U34" s="9" t="e">
        <f>R34 / _xlfn.XLOOKUP(A34, Bottom!A:A, Bottom!AA:AA)</f>
        <v>#DIV/0!</v>
      </c>
      <c r="V34" s="1"/>
      <c r="W34" s="1"/>
    </row>
    <row r="35" spans="1:23" x14ac:dyDescent="0.25">
      <c r="A35" s="1"/>
      <c r="B35" s="6"/>
      <c r="C35" s="7"/>
      <c r="D35" s="8">
        <f t="shared" si="8"/>
        <v>0</v>
      </c>
      <c r="E35" s="6"/>
      <c r="F35" s="7"/>
      <c r="G35" s="8">
        <f t="shared" si="9"/>
        <v>0</v>
      </c>
      <c r="H35" s="6"/>
      <c r="I35" s="7"/>
      <c r="J35" s="8">
        <f t="shared" si="10"/>
        <v>0</v>
      </c>
      <c r="K35" s="6"/>
      <c r="L35" s="7"/>
      <c r="M35" s="8">
        <f t="shared" si="11"/>
        <v>0</v>
      </c>
      <c r="N35" s="6"/>
      <c r="O35" s="7"/>
      <c r="P35" s="8">
        <f t="shared" ref="P35:P56" si="16">N35*O35</f>
        <v>0</v>
      </c>
      <c r="Q35" s="1"/>
      <c r="R35" s="6">
        <f t="shared" ref="R35:R56" si="17">B35+E35+H35+K35+N35</f>
        <v>0</v>
      </c>
      <c r="S35" s="9" t="e">
        <f t="shared" ref="S35:S56" si="18">(D35+G35+J35+M35+P35)/R35</f>
        <v>#DIV/0!</v>
      </c>
      <c r="T35" s="9">
        <f t="shared" ref="T35:T56" si="19">R35/$V$3</f>
        <v>0</v>
      </c>
      <c r="U35" s="9" t="e">
        <f>R35 / _xlfn.XLOOKUP(A35, Bottom!A:A, Bottom!AA:AA)</f>
        <v>#DIV/0!</v>
      </c>
      <c r="V35" s="1"/>
      <c r="W35" s="1"/>
    </row>
    <row r="36" spans="1:23" x14ac:dyDescent="0.25">
      <c r="A36" s="1"/>
      <c r="B36" s="6"/>
      <c r="C36" s="7"/>
      <c r="D36" s="8">
        <f t="shared" si="8"/>
        <v>0</v>
      </c>
      <c r="E36" s="6"/>
      <c r="F36" s="7"/>
      <c r="G36" s="8">
        <f t="shared" si="9"/>
        <v>0</v>
      </c>
      <c r="H36" s="6"/>
      <c r="I36" s="7"/>
      <c r="J36" s="8">
        <f t="shared" si="10"/>
        <v>0</v>
      </c>
      <c r="K36" s="6"/>
      <c r="L36" s="7"/>
      <c r="M36" s="8">
        <f t="shared" si="11"/>
        <v>0</v>
      </c>
      <c r="N36" s="6"/>
      <c r="O36" s="7"/>
      <c r="P36" s="8">
        <f t="shared" si="16"/>
        <v>0</v>
      </c>
      <c r="Q36" s="1"/>
      <c r="R36" s="6">
        <f t="shared" si="17"/>
        <v>0</v>
      </c>
      <c r="S36" s="9" t="e">
        <f t="shared" si="18"/>
        <v>#DIV/0!</v>
      </c>
      <c r="T36" s="9">
        <f t="shared" si="19"/>
        <v>0</v>
      </c>
      <c r="U36" s="9" t="e">
        <f>R36 / _xlfn.XLOOKUP(A36, Bottom!A:A, Bottom!AA:AA)</f>
        <v>#DIV/0!</v>
      </c>
      <c r="V36" s="1"/>
      <c r="W36" s="1"/>
    </row>
    <row r="37" spans="1:23" x14ac:dyDescent="0.25">
      <c r="A37" s="1"/>
      <c r="B37" s="6"/>
      <c r="C37" s="7"/>
      <c r="D37" s="8">
        <f t="shared" si="8"/>
        <v>0</v>
      </c>
      <c r="E37" s="6"/>
      <c r="F37" s="7"/>
      <c r="G37" s="8">
        <f t="shared" si="9"/>
        <v>0</v>
      </c>
      <c r="H37" s="6"/>
      <c r="I37" s="7"/>
      <c r="J37" s="8">
        <f t="shared" si="10"/>
        <v>0</v>
      </c>
      <c r="K37" s="6"/>
      <c r="L37" s="7"/>
      <c r="M37" s="8">
        <f t="shared" si="11"/>
        <v>0</v>
      </c>
      <c r="N37" s="6"/>
      <c r="O37" s="7"/>
      <c r="P37" s="8">
        <f t="shared" si="16"/>
        <v>0</v>
      </c>
      <c r="Q37" s="1"/>
      <c r="R37" s="6">
        <f t="shared" si="17"/>
        <v>0</v>
      </c>
      <c r="S37" s="9" t="e">
        <f t="shared" si="18"/>
        <v>#DIV/0!</v>
      </c>
      <c r="T37" s="9">
        <f t="shared" si="19"/>
        <v>0</v>
      </c>
      <c r="U37" s="9" t="e">
        <f>R37 / _xlfn.XLOOKUP(A37, Bottom!A:A, Bottom!AA:AA)</f>
        <v>#DIV/0!</v>
      </c>
      <c r="V37" s="1"/>
      <c r="W37" s="1"/>
    </row>
    <row r="38" spans="1:23" x14ac:dyDescent="0.25">
      <c r="N38" s="6"/>
      <c r="O38" s="7"/>
      <c r="P38" s="8">
        <f t="shared" si="16"/>
        <v>0</v>
      </c>
      <c r="Q38" s="1"/>
      <c r="R38" s="6">
        <f t="shared" si="17"/>
        <v>0</v>
      </c>
      <c r="S38" s="9" t="e">
        <f t="shared" si="18"/>
        <v>#DIV/0!</v>
      </c>
      <c r="T38" s="9">
        <f t="shared" si="19"/>
        <v>0</v>
      </c>
      <c r="U38" s="9" t="e">
        <f>R38 / _xlfn.XLOOKUP(A38, Bottom!A:A, Bottom!AA:AA)</f>
        <v>#DIV/0!</v>
      </c>
      <c r="V38" s="1"/>
      <c r="W38" s="1"/>
    </row>
    <row r="39" spans="1:23" x14ac:dyDescent="0.25">
      <c r="N39" s="6"/>
      <c r="O39" s="7"/>
      <c r="P39" s="8">
        <f t="shared" si="16"/>
        <v>0</v>
      </c>
      <c r="Q39" s="1"/>
      <c r="R39" s="6">
        <f t="shared" si="17"/>
        <v>0</v>
      </c>
      <c r="S39" s="9" t="e">
        <f t="shared" si="18"/>
        <v>#DIV/0!</v>
      </c>
      <c r="T39" s="9">
        <f t="shared" si="19"/>
        <v>0</v>
      </c>
      <c r="U39" s="9" t="e">
        <f>R39 / _xlfn.XLOOKUP(A39, Bottom!A:A, Bottom!AA:AA)</f>
        <v>#DIV/0!</v>
      </c>
      <c r="V39" s="1"/>
      <c r="W39" s="1"/>
    </row>
    <row r="40" spans="1:23" x14ac:dyDescent="0.25">
      <c r="N40" s="6"/>
      <c r="O40" s="7"/>
      <c r="P40" s="8">
        <f t="shared" si="16"/>
        <v>0</v>
      </c>
      <c r="Q40" s="1"/>
      <c r="R40" s="6">
        <f t="shared" si="17"/>
        <v>0</v>
      </c>
      <c r="S40" s="9" t="e">
        <f t="shared" si="18"/>
        <v>#DIV/0!</v>
      </c>
      <c r="T40" s="9">
        <f t="shared" si="19"/>
        <v>0</v>
      </c>
      <c r="U40" s="9" t="e">
        <f>R40 / _xlfn.XLOOKUP(A40, Bottom!A:A, Bottom!AA:AA)</f>
        <v>#DIV/0!</v>
      </c>
    </row>
    <row r="41" spans="1:23" x14ac:dyDescent="0.25">
      <c r="N41" s="6"/>
      <c r="O41" s="7"/>
      <c r="P41" s="8">
        <f t="shared" si="16"/>
        <v>0</v>
      </c>
      <c r="Q41" s="1"/>
      <c r="R41" s="6">
        <f t="shared" si="17"/>
        <v>0</v>
      </c>
      <c r="S41" s="9" t="e">
        <f t="shared" si="18"/>
        <v>#DIV/0!</v>
      </c>
      <c r="T41" s="9">
        <f t="shared" si="19"/>
        <v>0</v>
      </c>
      <c r="U41" s="9" t="e">
        <f>R41 / _xlfn.XLOOKUP(A41, Bottom!A:A, Bottom!AA:AA)</f>
        <v>#DIV/0!</v>
      </c>
    </row>
    <row r="42" spans="1:23" x14ac:dyDescent="0.25">
      <c r="N42" s="6"/>
      <c r="O42" s="7"/>
      <c r="P42" s="8">
        <f t="shared" si="16"/>
        <v>0</v>
      </c>
      <c r="Q42" s="1"/>
      <c r="R42" s="6">
        <f t="shared" si="17"/>
        <v>0</v>
      </c>
      <c r="S42" s="9" t="e">
        <f t="shared" si="18"/>
        <v>#DIV/0!</v>
      </c>
      <c r="T42" s="9">
        <f t="shared" si="19"/>
        <v>0</v>
      </c>
      <c r="U42" s="9" t="e">
        <f>R42 / _xlfn.XLOOKUP(A42, Bottom!A:A, Bottom!AA:AA)</f>
        <v>#DIV/0!</v>
      </c>
    </row>
    <row r="43" spans="1:23" x14ac:dyDescent="0.25">
      <c r="N43" s="6"/>
      <c r="O43" s="7"/>
      <c r="P43" s="8">
        <f t="shared" si="16"/>
        <v>0</v>
      </c>
      <c r="Q43" s="1"/>
      <c r="R43" s="6">
        <f t="shared" si="17"/>
        <v>0</v>
      </c>
      <c r="S43" s="9" t="e">
        <f t="shared" si="18"/>
        <v>#DIV/0!</v>
      </c>
      <c r="T43" s="9">
        <f t="shared" si="19"/>
        <v>0</v>
      </c>
      <c r="U43" s="9" t="e">
        <f>R43 / _xlfn.XLOOKUP(A43, Bottom!A:A, Bottom!AA:AA)</f>
        <v>#DIV/0!</v>
      </c>
    </row>
    <row r="44" spans="1:23" x14ac:dyDescent="0.25">
      <c r="N44" s="6"/>
      <c r="O44" s="7"/>
      <c r="P44" s="8">
        <f t="shared" si="16"/>
        <v>0</v>
      </c>
      <c r="Q44" s="1"/>
      <c r="R44" s="6">
        <f t="shared" si="17"/>
        <v>0</v>
      </c>
      <c r="S44" s="9" t="e">
        <f t="shared" si="18"/>
        <v>#DIV/0!</v>
      </c>
      <c r="T44" s="9">
        <f t="shared" si="19"/>
        <v>0</v>
      </c>
      <c r="U44" s="9" t="e">
        <f>R44 / _xlfn.XLOOKUP(A44, Bottom!A:A, Bottom!AA:AA)</f>
        <v>#DIV/0!</v>
      </c>
    </row>
    <row r="45" spans="1:23" x14ac:dyDescent="0.25">
      <c r="N45" s="6"/>
      <c r="O45" s="7"/>
      <c r="P45" s="8">
        <f t="shared" si="16"/>
        <v>0</v>
      </c>
      <c r="Q45" s="1"/>
      <c r="R45" s="6">
        <f t="shared" si="17"/>
        <v>0</v>
      </c>
      <c r="S45" s="9" t="e">
        <f t="shared" si="18"/>
        <v>#DIV/0!</v>
      </c>
      <c r="T45" s="9">
        <f t="shared" si="19"/>
        <v>0</v>
      </c>
      <c r="U45" s="9" t="e">
        <f>R45 / _xlfn.XLOOKUP(A45, Bottom!A:A, Bottom!AA:AA)</f>
        <v>#DIV/0!</v>
      </c>
    </row>
    <row r="46" spans="1:23" x14ac:dyDescent="0.25">
      <c r="N46" s="6"/>
      <c r="O46" s="7"/>
      <c r="P46" s="8">
        <f t="shared" si="16"/>
        <v>0</v>
      </c>
      <c r="Q46" s="1"/>
      <c r="R46" s="6">
        <f t="shared" si="17"/>
        <v>0</v>
      </c>
      <c r="S46" s="9" t="e">
        <f t="shared" si="18"/>
        <v>#DIV/0!</v>
      </c>
      <c r="T46" s="9">
        <f t="shared" si="19"/>
        <v>0</v>
      </c>
      <c r="U46" s="9" t="e">
        <f>R46 / _xlfn.XLOOKUP(A46, Bottom!A:A, Bottom!AA:AA)</f>
        <v>#DIV/0!</v>
      </c>
    </row>
    <row r="47" spans="1:23" x14ac:dyDescent="0.25">
      <c r="N47" s="6"/>
      <c r="O47" s="7"/>
      <c r="P47" s="8">
        <f t="shared" si="16"/>
        <v>0</v>
      </c>
      <c r="Q47" s="1"/>
      <c r="R47" s="6">
        <f t="shared" si="17"/>
        <v>0</v>
      </c>
      <c r="S47" s="9" t="e">
        <f t="shared" si="18"/>
        <v>#DIV/0!</v>
      </c>
      <c r="T47" s="9">
        <f t="shared" si="19"/>
        <v>0</v>
      </c>
      <c r="U47" s="9" t="e">
        <f>R47 / _xlfn.XLOOKUP(A47, Bottom!A:A, Bottom!AA:AA)</f>
        <v>#DIV/0!</v>
      </c>
    </row>
    <row r="48" spans="1:23" x14ac:dyDescent="0.25">
      <c r="N48" s="6"/>
      <c r="O48" s="7"/>
      <c r="P48" s="8">
        <f t="shared" si="16"/>
        <v>0</v>
      </c>
      <c r="Q48" s="1"/>
      <c r="R48" s="6">
        <f t="shared" si="17"/>
        <v>0</v>
      </c>
      <c r="S48" s="9" t="e">
        <f t="shared" si="18"/>
        <v>#DIV/0!</v>
      </c>
      <c r="T48" s="9">
        <f t="shared" si="19"/>
        <v>0</v>
      </c>
      <c r="U48" s="9" t="e">
        <f>R48 / _xlfn.XLOOKUP(A48, Bottom!A:A, Bottom!AA:AA)</f>
        <v>#DIV/0!</v>
      </c>
    </row>
    <row r="49" spans="14:21" x14ac:dyDescent="0.25">
      <c r="N49" s="6"/>
      <c r="O49" s="7"/>
      <c r="P49" s="8">
        <f t="shared" si="16"/>
        <v>0</v>
      </c>
      <c r="Q49" s="1"/>
      <c r="R49" s="6">
        <f t="shared" si="17"/>
        <v>0</v>
      </c>
      <c r="S49" s="9" t="e">
        <f t="shared" si="18"/>
        <v>#DIV/0!</v>
      </c>
      <c r="T49" s="9">
        <f t="shared" si="19"/>
        <v>0</v>
      </c>
      <c r="U49" s="9" t="e">
        <f>R49 / _xlfn.XLOOKUP(A49, Bottom!A:A, Bottom!AA:AA)</f>
        <v>#DIV/0!</v>
      </c>
    </row>
    <row r="50" spans="14:21" x14ac:dyDescent="0.25">
      <c r="N50" s="6"/>
      <c r="O50" s="7"/>
      <c r="P50" s="8">
        <f t="shared" si="16"/>
        <v>0</v>
      </c>
      <c r="Q50" s="1"/>
      <c r="R50" s="6">
        <f t="shared" si="17"/>
        <v>0</v>
      </c>
      <c r="S50" s="9" t="e">
        <f t="shared" si="18"/>
        <v>#DIV/0!</v>
      </c>
      <c r="T50" s="9">
        <f t="shared" si="19"/>
        <v>0</v>
      </c>
      <c r="U50" s="9" t="e">
        <f>R50 / _xlfn.XLOOKUP(A50, Bottom!A:A, Bottom!AA:AA)</f>
        <v>#DIV/0!</v>
      </c>
    </row>
    <row r="51" spans="14:21" x14ac:dyDescent="0.25">
      <c r="N51" s="6"/>
      <c r="O51" s="7"/>
      <c r="P51" s="8">
        <f t="shared" si="16"/>
        <v>0</v>
      </c>
      <c r="Q51" s="1"/>
      <c r="R51" s="6">
        <f t="shared" si="17"/>
        <v>0</v>
      </c>
      <c r="S51" s="9" t="e">
        <f t="shared" si="18"/>
        <v>#DIV/0!</v>
      </c>
      <c r="T51" s="9">
        <f t="shared" si="19"/>
        <v>0</v>
      </c>
      <c r="U51" s="9" t="e">
        <f>R51 / _xlfn.XLOOKUP(A51, Bottom!A:A, Bottom!AA:AA)</f>
        <v>#DIV/0!</v>
      </c>
    </row>
    <row r="52" spans="14:21" x14ac:dyDescent="0.25">
      <c r="N52" s="6"/>
      <c r="O52" s="7"/>
      <c r="P52" s="8">
        <f t="shared" si="16"/>
        <v>0</v>
      </c>
      <c r="Q52" s="1"/>
      <c r="R52" s="6">
        <f t="shared" si="17"/>
        <v>0</v>
      </c>
      <c r="S52" s="9" t="e">
        <f t="shared" si="18"/>
        <v>#DIV/0!</v>
      </c>
      <c r="T52" s="9">
        <f t="shared" si="19"/>
        <v>0</v>
      </c>
      <c r="U52" s="9" t="e">
        <f>R52 / _xlfn.XLOOKUP(A52, Bottom!A:A, Bottom!AA:AA)</f>
        <v>#DIV/0!</v>
      </c>
    </row>
    <row r="53" spans="14:21" x14ac:dyDescent="0.25">
      <c r="N53" s="6"/>
      <c r="O53" s="7"/>
      <c r="P53" s="8">
        <f t="shared" si="16"/>
        <v>0</v>
      </c>
      <c r="Q53" s="1"/>
      <c r="R53" s="6">
        <f t="shared" si="17"/>
        <v>0</v>
      </c>
      <c r="S53" s="9" t="e">
        <f t="shared" si="18"/>
        <v>#DIV/0!</v>
      </c>
      <c r="T53" s="9">
        <f t="shared" si="19"/>
        <v>0</v>
      </c>
      <c r="U53" s="9" t="e">
        <f>R53 / _xlfn.XLOOKUP(A53, Bottom!A:A, Bottom!AA:AA)</f>
        <v>#DIV/0!</v>
      </c>
    </row>
    <row r="54" spans="14:21" x14ac:dyDescent="0.25">
      <c r="N54" s="6"/>
      <c r="O54" s="7"/>
      <c r="P54" s="8">
        <f t="shared" si="16"/>
        <v>0</v>
      </c>
      <c r="Q54" s="1"/>
      <c r="R54" s="6">
        <f t="shared" si="17"/>
        <v>0</v>
      </c>
      <c r="S54" s="9" t="e">
        <f t="shared" si="18"/>
        <v>#DIV/0!</v>
      </c>
      <c r="T54" s="9">
        <f t="shared" si="19"/>
        <v>0</v>
      </c>
      <c r="U54" s="9" t="e">
        <f>R54 / _xlfn.XLOOKUP(A54, Bottom!A:A, Bottom!AA:AA)</f>
        <v>#DIV/0!</v>
      </c>
    </row>
    <row r="55" spans="14:21" x14ac:dyDescent="0.25">
      <c r="N55" s="6"/>
      <c r="O55" s="7"/>
      <c r="P55" s="8">
        <f t="shared" si="16"/>
        <v>0</v>
      </c>
      <c r="Q55" s="1"/>
      <c r="R55" s="6">
        <f t="shared" si="17"/>
        <v>0</v>
      </c>
      <c r="S55" s="9" t="e">
        <f t="shared" si="18"/>
        <v>#DIV/0!</v>
      </c>
      <c r="T55" s="9">
        <f t="shared" si="19"/>
        <v>0</v>
      </c>
      <c r="U55" s="9" t="e">
        <f>R55 / _xlfn.XLOOKUP(A55, Bottom!A:A, Bottom!AA:AA)</f>
        <v>#DIV/0!</v>
      </c>
    </row>
    <row r="56" spans="14:21" x14ac:dyDescent="0.25">
      <c r="N56" s="6"/>
      <c r="O56" s="7"/>
      <c r="P56" s="8">
        <f t="shared" si="16"/>
        <v>0</v>
      </c>
      <c r="Q56" s="1"/>
      <c r="R56" s="6">
        <f t="shared" si="17"/>
        <v>0</v>
      </c>
      <c r="S56" s="9" t="e">
        <f t="shared" si="18"/>
        <v>#DIV/0!</v>
      </c>
      <c r="T56" s="9">
        <f t="shared" si="19"/>
        <v>0</v>
      </c>
      <c r="U56" s="9" t="e">
        <f>R56 / _xlfn.XLOOKUP(A56, Bottom!A:A, Bottom!AA:AA)</f>
        <v>#DIV/0!</v>
      </c>
    </row>
  </sheetData>
  <sortState xmlns:xlrd2="http://schemas.microsoft.com/office/spreadsheetml/2017/richdata2" ref="A3:U26">
    <sortCondition descending="1" ref="S3:S26"/>
  </sortState>
  <pageMargins left="0.7" right="0.7" top="0.78740157499999996" bottom="0.78740157499999996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32694-486B-4942-AB62-4AABC9269C5E}">
  <sheetPr>
    <tabColor theme="5" tint="0.59999389629810485"/>
  </sheetPr>
  <dimension ref="A1:W47"/>
  <sheetViews>
    <sheetView workbookViewId="0">
      <selection activeCell="U3" sqref="U3:U23"/>
    </sheetView>
  </sheetViews>
  <sheetFormatPr baseColWidth="10" defaultRowHeight="15" x14ac:dyDescent="0.25"/>
  <sheetData>
    <row r="1" spans="1:23" ht="15.75" x14ac:dyDescent="0.25">
      <c r="A1" s="2" t="s">
        <v>164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140</v>
      </c>
      <c r="B3" s="6">
        <v>19</v>
      </c>
      <c r="C3" s="7">
        <v>0.57899999999999996</v>
      </c>
      <c r="D3" s="8">
        <f t="shared" ref="D3:D23" si="0">B3*C3</f>
        <v>11.000999999999999</v>
      </c>
      <c r="E3" s="6">
        <v>6</v>
      </c>
      <c r="F3" s="7">
        <v>0.16700000000000001</v>
      </c>
      <c r="G3" s="8">
        <f t="shared" ref="G3:G23" si="1">E3*F3</f>
        <v>1.002</v>
      </c>
      <c r="H3" s="6">
        <v>2</v>
      </c>
      <c r="I3" s="7">
        <v>0</v>
      </c>
      <c r="J3" s="8">
        <f t="shared" ref="J3:J23" si="2">H3*I3</f>
        <v>0</v>
      </c>
      <c r="K3" s="6">
        <v>1</v>
      </c>
      <c r="L3" s="7">
        <v>0</v>
      </c>
      <c r="M3" s="8">
        <f t="shared" ref="M3:M23" si="3">K3*L3</f>
        <v>0</v>
      </c>
      <c r="N3" s="6"/>
      <c r="O3" s="7"/>
      <c r="P3" s="8">
        <f t="shared" ref="P3:P23" si="4">N3*O3</f>
        <v>0</v>
      </c>
      <c r="Q3" s="1"/>
      <c r="R3" s="6">
        <f t="shared" ref="R3:R23" si="5">B3+E3+H3+K3+N3</f>
        <v>28</v>
      </c>
      <c r="S3" s="9">
        <f t="shared" ref="S3:S23" si="6">(D3+G3+J3+M3+P3)/R3</f>
        <v>0.42867857142857141</v>
      </c>
      <c r="T3" s="9">
        <f t="shared" ref="T3:T23" si="7">R3/$V$3</f>
        <v>0.10408921933085502</v>
      </c>
      <c r="U3" s="9">
        <f>R3 / _xlfn.XLOOKUP(A3, Bottom!A:A, Bottom!AA:AA)</f>
        <v>5.4054054054054057E-2</v>
      </c>
      <c r="V3" s="11">
        <f>SUM(R3:R61)</f>
        <v>269</v>
      </c>
      <c r="W3" s="12">
        <f>(SUM(D3:D91)+SUM(G3:G91)+SUM(J3:J91)+SUM(M3:M91)+SUM(P3:P91)) / V3</f>
        <v>0.32720817843866173</v>
      </c>
    </row>
    <row r="4" spans="1:23" x14ac:dyDescent="0.25">
      <c r="A4" s="1" t="s">
        <v>150</v>
      </c>
      <c r="B4" s="6"/>
      <c r="C4" s="7"/>
      <c r="D4" s="8">
        <f t="shared" si="0"/>
        <v>0</v>
      </c>
      <c r="E4" s="6">
        <v>9</v>
      </c>
      <c r="F4" s="7">
        <v>0.55600000000000005</v>
      </c>
      <c r="G4" s="8">
        <f t="shared" si="1"/>
        <v>5.0040000000000004</v>
      </c>
      <c r="H4" s="6">
        <v>7</v>
      </c>
      <c r="I4" s="7">
        <v>0.42899999999999999</v>
      </c>
      <c r="J4" s="8">
        <f t="shared" si="2"/>
        <v>3.0030000000000001</v>
      </c>
      <c r="K4" s="6">
        <v>8</v>
      </c>
      <c r="L4" s="7">
        <v>0.375</v>
      </c>
      <c r="M4" s="8">
        <f t="shared" si="3"/>
        <v>3</v>
      </c>
      <c r="N4" s="6"/>
      <c r="O4" s="7"/>
      <c r="P4" s="8">
        <f t="shared" si="4"/>
        <v>0</v>
      </c>
      <c r="Q4" s="4"/>
      <c r="R4" s="6">
        <f t="shared" si="5"/>
        <v>24</v>
      </c>
      <c r="S4" s="9">
        <f t="shared" si="6"/>
        <v>0.45862500000000006</v>
      </c>
      <c r="T4" s="9">
        <f t="shared" si="7"/>
        <v>8.9219330855018583E-2</v>
      </c>
      <c r="U4" s="9">
        <f>R4 / _xlfn.XLOOKUP(A4, Bottom!A:A, Bottom!AA:AA)</f>
        <v>5.0104384133611693E-2</v>
      </c>
      <c r="V4" s="6"/>
      <c r="W4" s="9"/>
    </row>
    <row r="5" spans="1:23" x14ac:dyDescent="0.25">
      <c r="A5" s="1" t="s">
        <v>139</v>
      </c>
      <c r="B5" s="6">
        <v>10</v>
      </c>
      <c r="C5" s="7">
        <v>0.4</v>
      </c>
      <c r="D5" s="8">
        <f t="shared" si="0"/>
        <v>4</v>
      </c>
      <c r="E5" s="6">
        <v>4</v>
      </c>
      <c r="F5" s="7">
        <v>0.25</v>
      </c>
      <c r="G5" s="8">
        <f t="shared" si="1"/>
        <v>1</v>
      </c>
      <c r="H5" s="6">
        <v>8</v>
      </c>
      <c r="I5" s="7">
        <v>0.25</v>
      </c>
      <c r="J5" s="8">
        <f t="shared" si="2"/>
        <v>2</v>
      </c>
      <c r="K5" s="6">
        <v>2</v>
      </c>
      <c r="L5" s="7">
        <v>0.5</v>
      </c>
      <c r="M5" s="8">
        <f t="shared" si="3"/>
        <v>1</v>
      </c>
      <c r="N5" s="6"/>
      <c r="O5" s="7"/>
      <c r="P5" s="8">
        <f t="shared" si="4"/>
        <v>0</v>
      </c>
      <c r="Q5" s="1"/>
      <c r="R5" s="6">
        <f t="shared" si="5"/>
        <v>24</v>
      </c>
      <c r="S5" s="9">
        <f t="shared" si="6"/>
        <v>0.33333333333333331</v>
      </c>
      <c r="T5" s="9">
        <f t="shared" si="7"/>
        <v>8.9219330855018583E-2</v>
      </c>
      <c r="U5" s="9">
        <f>R5 / _xlfn.XLOOKUP(A5, Bottom!A:A, Bottom!AA:AA)</f>
        <v>4.5112781954887216E-2</v>
      </c>
      <c r="W5" s="1"/>
    </row>
    <row r="6" spans="1:23" x14ac:dyDescent="0.25">
      <c r="A6" s="1" t="s">
        <v>134</v>
      </c>
      <c r="B6" s="6">
        <v>4</v>
      </c>
      <c r="C6" s="7">
        <v>0</v>
      </c>
      <c r="D6" s="8">
        <f t="shared" si="0"/>
        <v>0</v>
      </c>
      <c r="E6" s="6">
        <v>4</v>
      </c>
      <c r="F6" s="7">
        <v>0.25</v>
      </c>
      <c r="G6" s="8">
        <f t="shared" si="1"/>
        <v>1</v>
      </c>
      <c r="H6" s="6">
        <v>8</v>
      </c>
      <c r="I6" s="7">
        <v>0</v>
      </c>
      <c r="J6" s="8">
        <f t="shared" si="2"/>
        <v>0</v>
      </c>
      <c r="K6" s="6">
        <v>6</v>
      </c>
      <c r="L6" s="7">
        <v>0.33300000000000002</v>
      </c>
      <c r="M6" s="8">
        <f t="shared" si="3"/>
        <v>1.9980000000000002</v>
      </c>
      <c r="N6" s="6"/>
      <c r="O6" s="7"/>
      <c r="P6" s="8">
        <f t="shared" si="4"/>
        <v>0</v>
      </c>
      <c r="Q6" s="1"/>
      <c r="R6" s="6">
        <f t="shared" si="5"/>
        <v>22</v>
      </c>
      <c r="S6" s="9">
        <f t="shared" si="6"/>
        <v>0.1362727272727273</v>
      </c>
      <c r="T6" s="9">
        <f t="shared" si="7"/>
        <v>8.1784386617100371E-2</v>
      </c>
      <c r="U6" s="9">
        <f>R6 / _xlfn.XLOOKUP(A6, Bottom!A:A, Bottom!AA:AA)</f>
        <v>4.8034934497816595E-2</v>
      </c>
      <c r="W6" s="1"/>
    </row>
    <row r="7" spans="1:23" x14ac:dyDescent="0.25">
      <c r="A7" s="1" t="s">
        <v>138</v>
      </c>
      <c r="B7" s="6">
        <v>16</v>
      </c>
      <c r="C7" s="7">
        <v>0.5</v>
      </c>
      <c r="D7" s="8">
        <f t="shared" si="0"/>
        <v>8</v>
      </c>
      <c r="E7" s="6">
        <v>1</v>
      </c>
      <c r="F7" s="7">
        <v>1</v>
      </c>
      <c r="G7" s="8">
        <f t="shared" si="1"/>
        <v>1</v>
      </c>
      <c r="H7" s="6">
        <v>4</v>
      </c>
      <c r="I7" s="7">
        <v>0.5</v>
      </c>
      <c r="J7" s="8">
        <f t="shared" si="2"/>
        <v>2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21</v>
      </c>
      <c r="S7" s="9">
        <f t="shared" si="6"/>
        <v>0.52380952380952384</v>
      </c>
      <c r="T7" s="9">
        <f t="shared" si="7"/>
        <v>7.8066914498141265E-2</v>
      </c>
      <c r="U7" s="9">
        <f>R7 / _xlfn.XLOOKUP(A7, Bottom!A:A, Bottom!AA:AA)</f>
        <v>7.1186440677966104E-2</v>
      </c>
      <c r="V7" s="1"/>
      <c r="W7" s="1"/>
    </row>
    <row r="8" spans="1:23" x14ac:dyDescent="0.25">
      <c r="A8" s="1" t="s">
        <v>145</v>
      </c>
      <c r="B8" s="6">
        <v>3</v>
      </c>
      <c r="C8" s="7">
        <v>0</v>
      </c>
      <c r="D8" s="8">
        <f t="shared" si="0"/>
        <v>0</v>
      </c>
      <c r="E8" s="6">
        <v>6</v>
      </c>
      <c r="F8" s="7">
        <v>0.16700000000000001</v>
      </c>
      <c r="G8" s="8">
        <f t="shared" si="1"/>
        <v>1.002</v>
      </c>
      <c r="H8" s="6">
        <v>7</v>
      </c>
      <c r="I8" s="7">
        <v>0.28599999999999998</v>
      </c>
      <c r="J8" s="8">
        <f t="shared" si="2"/>
        <v>2.0019999999999998</v>
      </c>
      <c r="K8" s="6">
        <v>5</v>
      </c>
      <c r="L8" s="7">
        <v>0.2</v>
      </c>
      <c r="M8" s="8">
        <f t="shared" si="3"/>
        <v>1</v>
      </c>
      <c r="N8" s="6"/>
      <c r="O8" s="7"/>
      <c r="P8" s="8">
        <f t="shared" si="4"/>
        <v>0</v>
      </c>
      <c r="Q8" s="1"/>
      <c r="R8" s="6">
        <f t="shared" si="5"/>
        <v>21</v>
      </c>
      <c r="S8" s="9">
        <f t="shared" si="6"/>
        <v>0.19066666666666665</v>
      </c>
      <c r="T8" s="9">
        <f t="shared" si="7"/>
        <v>7.8066914498141265E-2</v>
      </c>
      <c r="U8" s="9">
        <f>R8 / _xlfn.XLOOKUP(A8, Bottom!A:A, Bottom!AA:AA)</f>
        <v>4.5553145336225599E-2</v>
      </c>
      <c r="V8" s="1"/>
      <c r="W8" s="1"/>
    </row>
    <row r="9" spans="1:23" x14ac:dyDescent="0.25">
      <c r="A9" s="1" t="s">
        <v>141</v>
      </c>
      <c r="B9" s="6">
        <v>3</v>
      </c>
      <c r="C9" s="7">
        <v>0.33300000000000002</v>
      </c>
      <c r="D9" s="8">
        <f t="shared" si="0"/>
        <v>0.99900000000000011</v>
      </c>
      <c r="E9" s="6">
        <v>5</v>
      </c>
      <c r="F9" s="7">
        <v>0.4</v>
      </c>
      <c r="G9" s="8">
        <f t="shared" si="1"/>
        <v>2</v>
      </c>
      <c r="H9" s="6">
        <v>6</v>
      </c>
      <c r="I9" s="7">
        <v>0</v>
      </c>
      <c r="J9" s="8">
        <f t="shared" si="2"/>
        <v>0</v>
      </c>
      <c r="K9" s="6">
        <v>4</v>
      </c>
      <c r="L9" s="7">
        <v>0.25</v>
      </c>
      <c r="M9" s="8">
        <f t="shared" si="3"/>
        <v>1</v>
      </c>
      <c r="N9" s="6"/>
      <c r="O9" s="7"/>
      <c r="P9" s="8">
        <f t="shared" si="4"/>
        <v>0</v>
      </c>
      <c r="Q9" s="1"/>
      <c r="R9" s="6">
        <f t="shared" si="5"/>
        <v>18</v>
      </c>
      <c r="S9" s="9">
        <f t="shared" si="6"/>
        <v>0.22216666666666668</v>
      </c>
      <c r="T9" s="9">
        <f t="shared" si="7"/>
        <v>6.6914498141263934E-2</v>
      </c>
      <c r="U9" s="9">
        <f>R9 / _xlfn.XLOOKUP(A9, Bottom!A:A, Bottom!AA:AA)</f>
        <v>4.1002277904328019E-2</v>
      </c>
      <c r="V9" s="1"/>
      <c r="W9" s="1"/>
    </row>
    <row r="10" spans="1:23" x14ac:dyDescent="0.25">
      <c r="A10" s="1" t="s">
        <v>143</v>
      </c>
      <c r="B10" s="6">
        <v>7</v>
      </c>
      <c r="C10" s="7">
        <v>0.28599999999999998</v>
      </c>
      <c r="D10" s="8">
        <f t="shared" si="0"/>
        <v>2.0019999999999998</v>
      </c>
      <c r="E10" s="6"/>
      <c r="F10" s="7"/>
      <c r="G10" s="8">
        <f t="shared" si="1"/>
        <v>0</v>
      </c>
      <c r="H10" s="6">
        <v>6</v>
      </c>
      <c r="I10" s="7">
        <v>0.33300000000000002</v>
      </c>
      <c r="J10" s="8">
        <f t="shared" si="2"/>
        <v>1.9980000000000002</v>
      </c>
      <c r="K10" s="6">
        <v>2</v>
      </c>
      <c r="L10" s="7">
        <v>0.5</v>
      </c>
      <c r="M10" s="8">
        <f t="shared" si="3"/>
        <v>1</v>
      </c>
      <c r="N10" s="6"/>
      <c r="O10" s="7"/>
      <c r="P10" s="8">
        <f t="shared" si="4"/>
        <v>0</v>
      </c>
      <c r="Q10" s="1"/>
      <c r="R10" s="6">
        <f t="shared" si="5"/>
        <v>15</v>
      </c>
      <c r="S10" s="9">
        <f t="shared" si="6"/>
        <v>0.33333333333333331</v>
      </c>
      <c r="T10" s="9">
        <f t="shared" si="7"/>
        <v>5.5762081784386616E-2</v>
      </c>
      <c r="U10" s="9">
        <f>R10 / _xlfn.XLOOKUP(A10, Bottom!A:A, Bottom!AA:AA)</f>
        <v>0.10344827586206896</v>
      </c>
      <c r="V10" s="1"/>
      <c r="W10" s="1"/>
    </row>
    <row r="11" spans="1:23" x14ac:dyDescent="0.25">
      <c r="A11" s="1" t="s">
        <v>142</v>
      </c>
      <c r="B11" s="6">
        <v>7</v>
      </c>
      <c r="C11" s="7">
        <v>0.28599999999999998</v>
      </c>
      <c r="D11" s="8">
        <f t="shared" si="0"/>
        <v>2.0019999999999998</v>
      </c>
      <c r="E11" s="6"/>
      <c r="F11" s="7"/>
      <c r="G11" s="8">
        <f t="shared" si="1"/>
        <v>0</v>
      </c>
      <c r="H11" s="6">
        <v>2</v>
      </c>
      <c r="I11" s="7">
        <v>0.5</v>
      </c>
      <c r="J11" s="8">
        <f t="shared" si="2"/>
        <v>1</v>
      </c>
      <c r="K11" s="6">
        <v>5</v>
      </c>
      <c r="L11" s="7">
        <v>0.2</v>
      </c>
      <c r="M11" s="8">
        <f t="shared" si="3"/>
        <v>1</v>
      </c>
      <c r="N11" s="6"/>
      <c r="O11" s="7"/>
      <c r="P11" s="8">
        <f t="shared" si="4"/>
        <v>0</v>
      </c>
      <c r="Q11" s="1"/>
      <c r="R11" s="6">
        <f t="shared" si="5"/>
        <v>14</v>
      </c>
      <c r="S11" s="9">
        <f t="shared" si="6"/>
        <v>0.28585714285714287</v>
      </c>
      <c r="T11" s="9">
        <f t="shared" si="7"/>
        <v>5.204460966542751E-2</v>
      </c>
      <c r="U11" s="9">
        <f>R11 / _xlfn.XLOOKUP(A11, Bottom!A:A, Bottom!AA:AA)</f>
        <v>4.5602605863192182E-2</v>
      </c>
      <c r="V11" s="1"/>
      <c r="W11" s="1"/>
    </row>
    <row r="12" spans="1:23" x14ac:dyDescent="0.25">
      <c r="A12" s="1" t="s">
        <v>35</v>
      </c>
      <c r="B12" s="6"/>
      <c r="C12" s="7"/>
      <c r="D12" s="8">
        <f t="shared" si="0"/>
        <v>0</v>
      </c>
      <c r="E12" s="6">
        <v>2</v>
      </c>
      <c r="F12" s="7">
        <v>0.5</v>
      </c>
      <c r="G12" s="8">
        <f t="shared" si="1"/>
        <v>1</v>
      </c>
      <c r="H12" s="6">
        <v>7</v>
      </c>
      <c r="I12" s="7">
        <v>0.14299999999999999</v>
      </c>
      <c r="J12" s="8">
        <f t="shared" si="2"/>
        <v>1.0009999999999999</v>
      </c>
      <c r="K12" s="6">
        <v>5</v>
      </c>
      <c r="L12" s="7">
        <v>0.4</v>
      </c>
      <c r="M12" s="8">
        <f t="shared" si="3"/>
        <v>2</v>
      </c>
      <c r="N12" s="6"/>
      <c r="O12" s="7"/>
      <c r="P12" s="8">
        <f t="shared" si="4"/>
        <v>0</v>
      </c>
      <c r="Q12" s="4"/>
      <c r="R12" s="6">
        <f t="shared" si="5"/>
        <v>14</v>
      </c>
      <c r="S12" s="9">
        <f t="shared" si="6"/>
        <v>0.28578571428571425</v>
      </c>
      <c r="T12" s="9">
        <f t="shared" si="7"/>
        <v>5.204460966542751E-2</v>
      </c>
      <c r="U12" s="9">
        <f>R12 / _xlfn.XLOOKUP(A12, Bottom!A:A, Bottom!AA:AA)</f>
        <v>3.6175710594315243E-2</v>
      </c>
      <c r="V12" s="1"/>
      <c r="W12" s="1"/>
    </row>
    <row r="13" spans="1:23" x14ac:dyDescent="0.25">
      <c r="A13" s="1" t="s">
        <v>147</v>
      </c>
      <c r="B13" s="6">
        <v>1</v>
      </c>
      <c r="C13" s="7">
        <v>1</v>
      </c>
      <c r="D13" s="8">
        <f t="shared" si="0"/>
        <v>1</v>
      </c>
      <c r="E13" s="6">
        <v>2</v>
      </c>
      <c r="F13" s="7">
        <v>0</v>
      </c>
      <c r="G13" s="8">
        <f t="shared" si="1"/>
        <v>0</v>
      </c>
      <c r="H13" s="6">
        <v>6</v>
      </c>
      <c r="I13" s="7">
        <v>0.66700000000000004</v>
      </c>
      <c r="J13" s="8">
        <f t="shared" si="2"/>
        <v>4.0020000000000007</v>
      </c>
      <c r="K13" s="6">
        <v>4</v>
      </c>
      <c r="L13" s="7">
        <v>0.5</v>
      </c>
      <c r="M13" s="8">
        <f t="shared" si="3"/>
        <v>2</v>
      </c>
      <c r="N13" s="6"/>
      <c r="O13" s="7"/>
      <c r="P13" s="8">
        <f t="shared" si="4"/>
        <v>0</v>
      </c>
      <c r="Q13" s="4"/>
      <c r="R13" s="6">
        <f t="shared" si="5"/>
        <v>13</v>
      </c>
      <c r="S13" s="9">
        <f t="shared" si="6"/>
        <v>0.53861538461538472</v>
      </c>
      <c r="T13" s="9">
        <f t="shared" si="7"/>
        <v>4.8327137546468404E-2</v>
      </c>
      <c r="U13" s="9">
        <f>R13 / _xlfn.XLOOKUP(A13, Bottom!A:A, Bottom!AA:AA)</f>
        <v>6.1904761904761907E-2</v>
      </c>
      <c r="V13" s="1"/>
      <c r="W13" s="1"/>
    </row>
    <row r="14" spans="1:23" x14ac:dyDescent="0.25">
      <c r="A14" s="1" t="s">
        <v>149</v>
      </c>
      <c r="B14" s="6">
        <v>6</v>
      </c>
      <c r="C14" s="7">
        <v>0.33300000000000002</v>
      </c>
      <c r="D14" s="8">
        <f t="shared" si="0"/>
        <v>1.9980000000000002</v>
      </c>
      <c r="E14" s="6">
        <v>1</v>
      </c>
      <c r="F14" s="7">
        <v>0</v>
      </c>
      <c r="G14" s="8">
        <f t="shared" si="1"/>
        <v>0</v>
      </c>
      <c r="H14" s="6">
        <v>5</v>
      </c>
      <c r="I14" s="7">
        <v>0.2</v>
      </c>
      <c r="J14" s="8">
        <f t="shared" si="2"/>
        <v>1</v>
      </c>
      <c r="K14" s="6"/>
      <c r="L14" s="7"/>
      <c r="M14" s="8">
        <f t="shared" si="3"/>
        <v>0</v>
      </c>
      <c r="N14" s="6"/>
      <c r="O14" s="7"/>
      <c r="P14" s="8">
        <f t="shared" si="4"/>
        <v>0</v>
      </c>
      <c r="Q14" s="1"/>
      <c r="R14" s="6">
        <f t="shared" si="5"/>
        <v>12</v>
      </c>
      <c r="S14" s="9">
        <f t="shared" si="6"/>
        <v>0.24983333333333335</v>
      </c>
      <c r="T14" s="9">
        <f t="shared" si="7"/>
        <v>4.4609665427509292E-2</v>
      </c>
      <c r="U14" s="9">
        <f>R14 / _xlfn.XLOOKUP(A14, Bottom!A:A, Bottom!AA:AA)</f>
        <v>3.5820895522388062E-2</v>
      </c>
      <c r="V14" s="1"/>
      <c r="W14" s="1"/>
    </row>
    <row r="15" spans="1:23" x14ac:dyDescent="0.25">
      <c r="A15" s="1" t="s">
        <v>148</v>
      </c>
      <c r="B15" s="6">
        <v>3</v>
      </c>
      <c r="C15" s="7">
        <v>0.33300000000000002</v>
      </c>
      <c r="D15" s="8">
        <f t="shared" si="0"/>
        <v>0.99900000000000011</v>
      </c>
      <c r="E15" s="6"/>
      <c r="F15" s="7"/>
      <c r="G15" s="8">
        <f t="shared" si="1"/>
        <v>0</v>
      </c>
      <c r="H15" s="6">
        <v>1</v>
      </c>
      <c r="I15" s="7">
        <v>0</v>
      </c>
      <c r="J15" s="8">
        <f t="shared" si="2"/>
        <v>0</v>
      </c>
      <c r="K15" s="6">
        <v>7</v>
      </c>
      <c r="L15" s="7">
        <v>0.42899999999999999</v>
      </c>
      <c r="M15" s="8">
        <f t="shared" si="3"/>
        <v>3.0030000000000001</v>
      </c>
      <c r="N15" s="6"/>
      <c r="O15" s="7"/>
      <c r="P15" s="8">
        <f t="shared" si="4"/>
        <v>0</v>
      </c>
      <c r="Q15" s="1"/>
      <c r="R15" s="6">
        <f t="shared" si="5"/>
        <v>11</v>
      </c>
      <c r="S15" s="9">
        <f t="shared" si="6"/>
        <v>0.36381818181818187</v>
      </c>
      <c r="T15" s="9">
        <f t="shared" si="7"/>
        <v>4.0892193308550186E-2</v>
      </c>
      <c r="U15" s="9">
        <f>R15 / _xlfn.XLOOKUP(A15, Bottom!A:A, Bottom!AA:AA)</f>
        <v>5.4187192118226604E-2</v>
      </c>
      <c r="V15" s="1"/>
      <c r="W15" s="1"/>
    </row>
    <row r="16" spans="1:23" x14ac:dyDescent="0.25">
      <c r="A16" s="1" t="s">
        <v>146</v>
      </c>
      <c r="B16" s="6">
        <v>3</v>
      </c>
      <c r="C16" s="7">
        <v>0</v>
      </c>
      <c r="D16" s="8">
        <f t="shared" si="0"/>
        <v>0</v>
      </c>
      <c r="E16" s="6"/>
      <c r="F16" s="7"/>
      <c r="G16" s="8">
        <f t="shared" si="1"/>
        <v>0</v>
      </c>
      <c r="H16" s="6"/>
      <c r="I16" s="7"/>
      <c r="J16" s="8">
        <f t="shared" si="2"/>
        <v>0</v>
      </c>
      <c r="K16" s="6">
        <v>7</v>
      </c>
      <c r="L16" s="7">
        <v>0.42899999999999999</v>
      </c>
      <c r="M16" s="8">
        <f t="shared" si="3"/>
        <v>3.0030000000000001</v>
      </c>
      <c r="N16" s="6"/>
      <c r="O16" s="7"/>
      <c r="P16" s="8">
        <f t="shared" si="4"/>
        <v>0</v>
      </c>
      <c r="Q16" s="1"/>
      <c r="R16" s="6">
        <f t="shared" si="5"/>
        <v>10</v>
      </c>
      <c r="S16" s="9">
        <f t="shared" si="6"/>
        <v>0.30030000000000001</v>
      </c>
      <c r="T16" s="9">
        <f t="shared" si="7"/>
        <v>3.717472118959108E-2</v>
      </c>
      <c r="U16" s="9">
        <f>R16 / _xlfn.XLOOKUP(A16, Bottom!A:A, Bottom!AA:AA)</f>
        <v>5.4054054054054057E-2</v>
      </c>
      <c r="V16" s="1"/>
      <c r="W16" s="1"/>
    </row>
    <row r="17" spans="1:23" x14ac:dyDescent="0.25">
      <c r="A17" s="1" t="s">
        <v>151</v>
      </c>
      <c r="B17" s="6">
        <v>3</v>
      </c>
      <c r="C17" s="7">
        <v>0</v>
      </c>
      <c r="D17" s="8">
        <f t="shared" si="0"/>
        <v>0</v>
      </c>
      <c r="E17" s="6"/>
      <c r="F17" s="7"/>
      <c r="G17" s="8">
        <f t="shared" si="1"/>
        <v>0</v>
      </c>
      <c r="H17" s="6">
        <v>3</v>
      </c>
      <c r="I17" s="7">
        <v>0</v>
      </c>
      <c r="J17" s="8">
        <f t="shared" si="2"/>
        <v>0</v>
      </c>
      <c r="K17" s="6">
        <v>1</v>
      </c>
      <c r="L17" s="7">
        <v>0</v>
      </c>
      <c r="M17" s="8">
        <f t="shared" si="3"/>
        <v>0</v>
      </c>
      <c r="N17" s="6"/>
      <c r="O17" s="7"/>
      <c r="P17" s="8">
        <f t="shared" si="4"/>
        <v>0</v>
      </c>
      <c r="Q17" s="1"/>
      <c r="R17" s="6">
        <f t="shared" si="5"/>
        <v>7</v>
      </c>
      <c r="S17" s="9">
        <f t="shared" si="6"/>
        <v>0</v>
      </c>
      <c r="T17" s="9">
        <f t="shared" si="7"/>
        <v>2.6022304832713755E-2</v>
      </c>
      <c r="U17" s="9">
        <f>R17 / _xlfn.XLOOKUP(A17, Bottom!A:A, Bottom!AA:AA)</f>
        <v>4.40251572327044E-2</v>
      </c>
      <c r="V17" s="1"/>
      <c r="W17" s="1"/>
    </row>
    <row r="18" spans="1:23" x14ac:dyDescent="0.25">
      <c r="A18" s="1" t="s">
        <v>59</v>
      </c>
      <c r="B18" s="6"/>
      <c r="C18" s="7"/>
      <c r="D18" s="8">
        <f t="shared" si="0"/>
        <v>0</v>
      </c>
      <c r="E18" s="6"/>
      <c r="F18" s="7"/>
      <c r="G18" s="8">
        <f t="shared" si="1"/>
        <v>0</v>
      </c>
      <c r="H18" s="6">
        <v>5</v>
      </c>
      <c r="I18" s="7">
        <v>0.6</v>
      </c>
      <c r="J18" s="8">
        <f t="shared" si="2"/>
        <v>3</v>
      </c>
      <c r="K18" s="6"/>
      <c r="L18" s="7"/>
      <c r="M18" s="8">
        <f t="shared" si="3"/>
        <v>0</v>
      </c>
      <c r="N18" s="6"/>
      <c r="O18" s="7"/>
      <c r="P18" s="8">
        <f t="shared" si="4"/>
        <v>0</v>
      </c>
      <c r="Q18" s="13"/>
      <c r="R18" s="6">
        <f t="shared" si="5"/>
        <v>5</v>
      </c>
      <c r="S18" s="9">
        <f t="shared" si="6"/>
        <v>0.6</v>
      </c>
      <c r="T18" s="9">
        <f t="shared" si="7"/>
        <v>1.858736059479554E-2</v>
      </c>
      <c r="U18" s="9">
        <f>R18 / _xlfn.XLOOKUP(A18, Bottom!A:A, Bottom!AA:AA)</f>
        <v>9.8039215686274508E-2</v>
      </c>
      <c r="V18" s="1"/>
      <c r="W18" s="1"/>
    </row>
    <row r="19" spans="1:23" x14ac:dyDescent="0.25">
      <c r="A19" s="18" t="s">
        <v>108</v>
      </c>
      <c r="B19" s="6"/>
      <c r="C19" s="7"/>
      <c r="D19" s="8">
        <f t="shared" si="0"/>
        <v>0</v>
      </c>
      <c r="E19" s="6"/>
      <c r="F19" s="7"/>
      <c r="G19" s="8">
        <f t="shared" si="1"/>
        <v>0</v>
      </c>
      <c r="H19" s="6">
        <v>1</v>
      </c>
      <c r="I19" s="7">
        <v>0</v>
      </c>
      <c r="J19" s="8">
        <f t="shared" si="2"/>
        <v>0</v>
      </c>
      <c r="K19" s="6">
        <v>4</v>
      </c>
      <c r="L19" s="7">
        <v>0.25</v>
      </c>
      <c r="M19" s="8">
        <f t="shared" si="3"/>
        <v>1</v>
      </c>
      <c r="N19" s="6"/>
      <c r="O19" s="7"/>
      <c r="P19" s="8">
        <f t="shared" si="4"/>
        <v>0</v>
      </c>
      <c r="Q19" s="1"/>
      <c r="R19" s="6">
        <f t="shared" si="5"/>
        <v>5</v>
      </c>
      <c r="S19" s="9">
        <f t="shared" si="6"/>
        <v>0.2</v>
      </c>
      <c r="T19" s="9">
        <f t="shared" si="7"/>
        <v>1.858736059479554E-2</v>
      </c>
      <c r="U19" s="9">
        <f>R19 / _xlfn.XLOOKUP(A19, Bottom!A:A, Bottom!AA:AA)</f>
        <v>3.3783783783783786E-2</v>
      </c>
      <c r="V19" s="1"/>
      <c r="W19" s="1"/>
    </row>
    <row r="20" spans="1:23" x14ac:dyDescent="0.25">
      <c r="A20" s="1" t="s">
        <v>154</v>
      </c>
      <c r="B20" s="6"/>
      <c r="C20" s="7"/>
      <c r="D20" s="8">
        <f t="shared" si="0"/>
        <v>0</v>
      </c>
      <c r="E20" s="6"/>
      <c r="F20" s="7"/>
      <c r="G20" s="8">
        <f t="shared" si="1"/>
        <v>0</v>
      </c>
      <c r="H20" s="6">
        <v>2</v>
      </c>
      <c r="I20" s="7">
        <v>0</v>
      </c>
      <c r="J20" s="8">
        <f t="shared" si="2"/>
        <v>0</v>
      </c>
      <c r="K20" s="6"/>
      <c r="L20" s="7"/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2</v>
      </c>
      <c r="S20" s="9">
        <f t="shared" si="6"/>
        <v>0</v>
      </c>
      <c r="T20" s="9">
        <f t="shared" si="7"/>
        <v>7.4349442379182153E-3</v>
      </c>
      <c r="U20" s="9">
        <f>R20 / _xlfn.XLOOKUP(A20, Bottom!A:A, Bottom!AA:AA)</f>
        <v>1.680672268907563E-2</v>
      </c>
      <c r="V20" s="1"/>
      <c r="W20" s="1"/>
    </row>
    <row r="21" spans="1:23" x14ac:dyDescent="0.25">
      <c r="A21" s="23" t="s">
        <v>213</v>
      </c>
      <c r="B21" s="6"/>
      <c r="C21" s="7"/>
      <c r="D21" s="8">
        <f t="shared" si="0"/>
        <v>0</v>
      </c>
      <c r="E21" s="6"/>
      <c r="F21" s="7"/>
      <c r="G21" s="8">
        <f t="shared" si="1"/>
        <v>0</v>
      </c>
      <c r="H21" s="6"/>
      <c r="I21" s="7"/>
      <c r="J21" s="8">
        <f t="shared" si="2"/>
        <v>0</v>
      </c>
      <c r="K21" s="6">
        <v>1</v>
      </c>
      <c r="L21" s="7">
        <v>1</v>
      </c>
      <c r="M21" s="8">
        <f t="shared" si="3"/>
        <v>1</v>
      </c>
      <c r="N21" s="6"/>
      <c r="O21" s="7"/>
      <c r="P21" s="8">
        <f t="shared" si="4"/>
        <v>0</v>
      </c>
      <c r="Q21" s="1"/>
      <c r="R21" s="6">
        <f t="shared" si="5"/>
        <v>1</v>
      </c>
      <c r="S21" s="9">
        <f t="shared" si="6"/>
        <v>1</v>
      </c>
      <c r="T21" s="9">
        <f t="shared" si="7"/>
        <v>3.7174721189591076E-3</v>
      </c>
      <c r="U21" s="9">
        <f>R21 / _xlfn.XLOOKUP(A21, Bottom!A:A, Bottom!AA:AA)</f>
        <v>1.3157894736842105E-2</v>
      </c>
      <c r="V21" s="1"/>
      <c r="W21" s="1"/>
    </row>
    <row r="22" spans="1:23" x14ac:dyDescent="0.25">
      <c r="A22" s="1" t="s">
        <v>118</v>
      </c>
      <c r="B22" s="6"/>
      <c r="C22" s="7"/>
      <c r="D22" s="8">
        <f t="shared" si="0"/>
        <v>0</v>
      </c>
      <c r="E22" s="6"/>
      <c r="F22" s="7"/>
      <c r="G22" s="8">
        <f t="shared" si="1"/>
        <v>0</v>
      </c>
      <c r="H22" s="6">
        <v>1</v>
      </c>
      <c r="I22" s="7">
        <v>0</v>
      </c>
      <c r="J22" s="8">
        <f t="shared" si="2"/>
        <v>0</v>
      </c>
      <c r="K22" s="6"/>
      <c r="L22" s="7"/>
      <c r="M22" s="8">
        <f t="shared" si="3"/>
        <v>0</v>
      </c>
      <c r="N22" s="6"/>
      <c r="O22" s="7"/>
      <c r="P22" s="8">
        <f t="shared" si="4"/>
        <v>0</v>
      </c>
      <c r="Q22" s="4"/>
      <c r="R22" s="6">
        <f t="shared" si="5"/>
        <v>1</v>
      </c>
      <c r="S22" s="9">
        <f t="shared" si="6"/>
        <v>0</v>
      </c>
      <c r="T22" s="9">
        <f t="shared" si="7"/>
        <v>3.7174721189591076E-3</v>
      </c>
      <c r="U22" s="9">
        <f>R22 / _xlfn.XLOOKUP(A22, Bottom!A:A, Bottom!AA:AA)</f>
        <v>1</v>
      </c>
      <c r="V22" s="1"/>
      <c r="W22" s="1"/>
    </row>
    <row r="23" spans="1:23" x14ac:dyDescent="0.25">
      <c r="A23" s="1" t="s">
        <v>159</v>
      </c>
      <c r="B23" s="6">
        <v>1</v>
      </c>
      <c r="C23" s="7">
        <v>0</v>
      </c>
      <c r="D23" s="8">
        <f t="shared" si="0"/>
        <v>0</v>
      </c>
      <c r="E23" s="6"/>
      <c r="F23" s="7"/>
      <c r="G23" s="8">
        <f t="shared" si="1"/>
        <v>0</v>
      </c>
      <c r="H23" s="6"/>
      <c r="I23" s="7"/>
      <c r="J23" s="8">
        <f t="shared" si="2"/>
        <v>0</v>
      </c>
      <c r="K23" s="6"/>
      <c r="L23" s="7"/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1</v>
      </c>
      <c r="S23" s="9">
        <f t="shared" si="6"/>
        <v>0</v>
      </c>
      <c r="T23" s="9">
        <f t="shared" si="7"/>
        <v>3.7174721189591076E-3</v>
      </c>
      <c r="U23" s="9">
        <f>R23 / _xlfn.XLOOKUP(A23, Bottom!A:A, Bottom!AA:AA)</f>
        <v>9.0909090909090912E-2</v>
      </c>
      <c r="V23" s="1"/>
      <c r="W23" s="1"/>
    </row>
    <row r="24" spans="1:23" x14ac:dyDescent="0.25">
      <c r="A24" s="1"/>
      <c r="B24" s="6"/>
      <c r="C24" s="7"/>
      <c r="D24" s="8">
        <f t="shared" ref="D24:D28" si="8">B24*C24</f>
        <v>0</v>
      </c>
      <c r="E24" s="6"/>
      <c r="F24" s="7"/>
      <c r="G24" s="8">
        <f t="shared" ref="G24:G28" si="9">E24*F24</f>
        <v>0</v>
      </c>
      <c r="H24" s="6"/>
      <c r="I24" s="7"/>
      <c r="J24" s="8">
        <f t="shared" ref="J24:J28" si="10">H24*I24</f>
        <v>0</v>
      </c>
      <c r="K24" s="6"/>
      <c r="L24" s="7"/>
      <c r="M24" s="8">
        <f t="shared" ref="M24:M28" si="11">K24*L24</f>
        <v>0</v>
      </c>
      <c r="N24" s="6"/>
      <c r="O24" s="7"/>
      <c r="P24" s="8">
        <f t="shared" ref="P24:P25" si="12">N24*O24</f>
        <v>0</v>
      </c>
      <c r="Q24" s="1"/>
      <c r="R24" s="6">
        <f t="shared" ref="R24:R25" si="13">B24+E24+H24+K24+N24</f>
        <v>0</v>
      </c>
      <c r="S24" s="9" t="e">
        <f t="shared" ref="S24:S25" si="14">(D24+G24+J24+M24+P24)/R24</f>
        <v>#DIV/0!</v>
      </c>
      <c r="T24" s="9">
        <f t="shared" ref="T24:T25" si="15">R24/$V$3</f>
        <v>0</v>
      </c>
      <c r="U24" s="9" t="e">
        <f>R24 / _xlfn.XLOOKUP(A24, Bottom!A:A, Bottom!AA:AA)</f>
        <v>#DIV/0!</v>
      </c>
      <c r="V24" s="1"/>
      <c r="W24" s="1"/>
    </row>
    <row r="25" spans="1:23" x14ac:dyDescent="0.25">
      <c r="A25" s="1"/>
      <c r="B25" s="6"/>
      <c r="C25" s="7"/>
      <c r="D25" s="8">
        <f t="shared" si="8"/>
        <v>0</v>
      </c>
      <c r="E25" s="6"/>
      <c r="F25" s="7"/>
      <c r="G25" s="8">
        <f t="shared" si="9"/>
        <v>0</v>
      </c>
      <c r="H25" s="6"/>
      <c r="I25" s="7"/>
      <c r="J25" s="8">
        <f t="shared" si="10"/>
        <v>0</v>
      </c>
      <c r="K25" s="6"/>
      <c r="L25" s="7"/>
      <c r="M25" s="8">
        <f t="shared" si="11"/>
        <v>0</v>
      </c>
      <c r="N25" s="6"/>
      <c r="O25" s="7"/>
      <c r="P25" s="8">
        <f t="shared" si="12"/>
        <v>0</v>
      </c>
      <c r="Q25" s="1"/>
      <c r="R25" s="6">
        <f t="shared" si="13"/>
        <v>0</v>
      </c>
      <c r="S25" s="9" t="e">
        <f t="shared" si="14"/>
        <v>#DIV/0!</v>
      </c>
      <c r="T25" s="9">
        <f t="shared" si="15"/>
        <v>0</v>
      </c>
      <c r="U25" s="9" t="e">
        <f>R25 / _xlfn.XLOOKUP(A25, Bottom!A:A, Bottom!AA:AA)</f>
        <v>#DIV/0!</v>
      </c>
      <c r="V25" s="1"/>
      <c r="W25" s="1"/>
    </row>
    <row r="26" spans="1:23" x14ac:dyDescent="0.25">
      <c r="A26" s="1"/>
      <c r="B26" s="6"/>
      <c r="C26" s="7"/>
      <c r="D26" s="8">
        <f t="shared" si="8"/>
        <v>0</v>
      </c>
      <c r="E26" s="6"/>
      <c r="F26" s="7"/>
      <c r="G26" s="8">
        <f t="shared" si="9"/>
        <v>0</v>
      </c>
      <c r="H26" s="6"/>
      <c r="I26" s="7"/>
      <c r="J26" s="8">
        <f t="shared" si="10"/>
        <v>0</v>
      </c>
      <c r="K26" s="6"/>
      <c r="L26" s="7"/>
      <c r="M26" s="8">
        <f t="shared" si="11"/>
        <v>0</v>
      </c>
      <c r="N26" s="6"/>
      <c r="O26" s="7"/>
      <c r="P26" s="8">
        <f t="shared" ref="P26:P47" si="16">N26*O26</f>
        <v>0</v>
      </c>
      <c r="Q26" s="1"/>
      <c r="R26" s="6">
        <f t="shared" ref="R26:R47" si="17">B26+E26+H26+K26+N26</f>
        <v>0</v>
      </c>
      <c r="S26" s="9" t="e">
        <f t="shared" ref="S26:S47" si="18">(D26+G26+J26+M26+P26)/R26</f>
        <v>#DIV/0!</v>
      </c>
      <c r="T26" s="9">
        <f t="shared" ref="T26:T47" si="19">R26/$V$3</f>
        <v>0</v>
      </c>
      <c r="U26" s="9" t="e">
        <f>R26 / _xlfn.XLOOKUP(A26, Bottom!A:A, Bottom!AA:AA)</f>
        <v>#DIV/0!</v>
      </c>
      <c r="V26" s="1"/>
      <c r="W26" s="1"/>
    </row>
    <row r="27" spans="1:23" x14ac:dyDescent="0.25">
      <c r="A27" s="1"/>
      <c r="B27" s="6"/>
      <c r="C27" s="7"/>
      <c r="D27" s="8">
        <f t="shared" si="8"/>
        <v>0</v>
      </c>
      <c r="E27" s="6"/>
      <c r="F27" s="7"/>
      <c r="G27" s="8">
        <f t="shared" si="9"/>
        <v>0</v>
      </c>
      <c r="H27" s="6"/>
      <c r="I27" s="7"/>
      <c r="J27" s="8">
        <f t="shared" si="10"/>
        <v>0</v>
      </c>
      <c r="K27" s="6"/>
      <c r="L27" s="7"/>
      <c r="M27" s="8">
        <f t="shared" si="11"/>
        <v>0</v>
      </c>
      <c r="N27" s="6"/>
      <c r="O27" s="7"/>
      <c r="P27" s="8">
        <f t="shared" si="16"/>
        <v>0</v>
      </c>
      <c r="Q27" s="1"/>
      <c r="R27" s="6">
        <f t="shared" si="17"/>
        <v>0</v>
      </c>
      <c r="S27" s="9" t="e">
        <f t="shared" si="18"/>
        <v>#DIV/0!</v>
      </c>
      <c r="T27" s="9">
        <f t="shared" si="19"/>
        <v>0</v>
      </c>
      <c r="U27" s="9" t="e">
        <f>R27 / _xlfn.XLOOKUP(A27, Bottom!A:A, Bottom!AA:AA)</f>
        <v>#DIV/0!</v>
      </c>
      <c r="V27" s="1"/>
      <c r="W27" s="1"/>
    </row>
    <row r="28" spans="1:23" x14ac:dyDescent="0.25">
      <c r="A28" s="1"/>
      <c r="B28" s="6"/>
      <c r="C28" s="7"/>
      <c r="D28" s="8">
        <f t="shared" si="8"/>
        <v>0</v>
      </c>
      <c r="E28" s="6"/>
      <c r="F28" s="7"/>
      <c r="G28" s="8">
        <f t="shared" si="9"/>
        <v>0</v>
      </c>
      <c r="H28" s="6"/>
      <c r="I28" s="7"/>
      <c r="J28" s="8">
        <f t="shared" si="10"/>
        <v>0</v>
      </c>
      <c r="K28" s="6"/>
      <c r="L28" s="7"/>
      <c r="M28" s="8">
        <f t="shared" si="11"/>
        <v>0</v>
      </c>
      <c r="N28" s="6"/>
      <c r="O28" s="7"/>
      <c r="P28" s="8">
        <f t="shared" si="16"/>
        <v>0</v>
      </c>
      <c r="Q28" s="1"/>
      <c r="R28" s="6">
        <f t="shared" si="17"/>
        <v>0</v>
      </c>
      <c r="S28" s="9" t="e">
        <f t="shared" si="18"/>
        <v>#DIV/0!</v>
      </c>
      <c r="T28" s="9">
        <f t="shared" si="19"/>
        <v>0</v>
      </c>
      <c r="U28" s="9" t="e">
        <f>R28 / _xlfn.XLOOKUP(A28, Bottom!A:A, Bottom!AA:AA)</f>
        <v>#DIV/0!</v>
      </c>
      <c r="V28" s="1"/>
      <c r="W28" s="1"/>
    </row>
    <row r="29" spans="1:23" x14ac:dyDescent="0.25">
      <c r="N29" s="6"/>
      <c r="O29" s="7"/>
      <c r="P29" s="8">
        <f t="shared" si="16"/>
        <v>0</v>
      </c>
      <c r="Q29" s="1"/>
      <c r="R29" s="6">
        <f t="shared" si="17"/>
        <v>0</v>
      </c>
      <c r="S29" s="9" t="e">
        <f t="shared" si="18"/>
        <v>#DIV/0!</v>
      </c>
      <c r="T29" s="9">
        <f t="shared" si="19"/>
        <v>0</v>
      </c>
      <c r="U29" s="9" t="e">
        <f>R29 / _xlfn.XLOOKUP(A29, Bottom!A:A, Bottom!AA:AA)</f>
        <v>#DIV/0!</v>
      </c>
      <c r="V29" s="1"/>
      <c r="W29" s="1"/>
    </row>
    <row r="30" spans="1:23" x14ac:dyDescent="0.25">
      <c r="N30" s="6"/>
      <c r="O30" s="7"/>
      <c r="P30" s="8">
        <f t="shared" si="16"/>
        <v>0</v>
      </c>
      <c r="Q30" s="1"/>
      <c r="R30" s="6">
        <f t="shared" si="17"/>
        <v>0</v>
      </c>
      <c r="S30" s="9" t="e">
        <f t="shared" si="18"/>
        <v>#DIV/0!</v>
      </c>
      <c r="T30" s="9">
        <f t="shared" si="19"/>
        <v>0</v>
      </c>
      <c r="U30" s="9" t="e">
        <f>R30 / _xlfn.XLOOKUP(A30, Bottom!A:A, Bottom!AA:AA)</f>
        <v>#DIV/0!</v>
      </c>
      <c r="V30" s="1"/>
      <c r="W30" s="1"/>
    </row>
    <row r="31" spans="1:23" x14ac:dyDescent="0.25">
      <c r="N31" s="6"/>
      <c r="O31" s="7"/>
      <c r="P31" s="8">
        <f t="shared" si="16"/>
        <v>0</v>
      </c>
      <c r="Q31" s="1"/>
      <c r="R31" s="6">
        <f t="shared" si="17"/>
        <v>0</v>
      </c>
      <c r="S31" s="9" t="e">
        <f t="shared" si="18"/>
        <v>#DIV/0!</v>
      </c>
      <c r="T31" s="9">
        <f t="shared" si="19"/>
        <v>0</v>
      </c>
      <c r="U31" s="9" t="e">
        <f>R31 / _xlfn.XLOOKUP(A31, Bottom!A:A, Bottom!AA:AA)</f>
        <v>#DIV/0!</v>
      </c>
    </row>
    <row r="32" spans="1:23" x14ac:dyDescent="0.25">
      <c r="N32" s="6"/>
      <c r="O32" s="7"/>
      <c r="P32" s="8">
        <f t="shared" si="16"/>
        <v>0</v>
      </c>
      <c r="Q32" s="1"/>
      <c r="R32" s="6">
        <f t="shared" si="17"/>
        <v>0</v>
      </c>
      <c r="S32" s="9" t="e">
        <f t="shared" si="18"/>
        <v>#DIV/0!</v>
      </c>
      <c r="T32" s="9">
        <f t="shared" si="19"/>
        <v>0</v>
      </c>
      <c r="U32" s="9" t="e">
        <f>R32 / _xlfn.XLOOKUP(A32, Bottom!A:A, Bottom!AA:AA)</f>
        <v>#DIV/0!</v>
      </c>
    </row>
    <row r="33" spans="14:21" x14ac:dyDescent="0.25">
      <c r="N33" s="6"/>
      <c r="O33" s="7"/>
      <c r="P33" s="8">
        <f t="shared" si="16"/>
        <v>0</v>
      </c>
      <c r="Q33" s="1"/>
      <c r="R33" s="6">
        <f t="shared" si="17"/>
        <v>0</v>
      </c>
      <c r="S33" s="9" t="e">
        <f t="shared" si="18"/>
        <v>#DIV/0!</v>
      </c>
      <c r="T33" s="9">
        <f t="shared" si="19"/>
        <v>0</v>
      </c>
      <c r="U33" s="9" t="e">
        <f>R33 / _xlfn.XLOOKUP(A33, Bottom!A:A, Bottom!AA:AA)</f>
        <v>#DIV/0!</v>
      </c>
    </row>
    <row r="34" spans="14:21" x14ac:dyDescent="0.25">
      <c r="N34" s="6"/>
      <c r="O34" s="7"/>
      <c r="P34" s="8">
        <f t="shared" si="16"/>
        <v>0</v>
      </c>
      <c r="Q34" s="1"/>
      <c r="R34" s="6">
        <f t="shared" si="17"/>
        <v>0</v>
      </c>
      <c r="S34" s="9" t="e">
        <f t="shared" si="18"/>
        <v>#DIV/0!</v>
      </c>
      <c r="T34" s="9">
        <f t="shared" si="19"/>
        <v>0</v>
      </c>
      <c r="U34" s="9" t="e">
        <f>R34 / _xlfn.XLOOKUP(A34, Bottom!A:A, Bottom!AA:AA)</f>
        <v>#DIV/0!</v>
      </c>
    </row>
    <row r="35" spans="14:21" x14ac:dyDescent="0.25">
      <c r="N35" s="6"/>
      <c r="O35" s="7"/>
      <c r="P35" s="8">
        <f t="shared" si="16"/>
        <v>0</v>
      </c>
      <c r="Q35" s="1"/>
      <c r="R35" s="6">
        <f t="shared" si="17"/>
        <v>0</v>
      </c>
      <c r="S35" s="9" t="e">
        <f t="shared" si="18"/>
        <v>#DIV/0!</v>
      </c>
      <c r="T35" s="9">
        <f t="shared" si="19"/>
        <v>0</v>
      </c>
      <c r="U35" s="9" t="e">
        <f>R35 / _xlfn.XLOOKUP(A35, Bottom!A:A, Bottom!AA:AA)</f>
        <v>#DIV/0!</v>
      </c>
    </row>
    <row r="36" spans="14:21" x14ac:dyDescent="0.25">
      <c r="N36" s="6"/>
      <c r="O36" s="7"/>
      <c r="P36" s="8">
        <f t="shared" si="16"/>
        <v>0</v>
      </c>
      <c r="Q36" s="1"/>
      <c r="R36" s="6">
        <f t="shared" si="17"/>
        <v>0</v>
      </c>
      <c r="S36" s="9" t="e">
        <f t="shared" si="18"/>
        <v>#DIV/0!</v>
      </c>
      <c r="T36" s="9">
        <f t="shared" si="19"/>
        <v>0</v>
      </c>
      <c r="U36" s="9" t="e">
        <f>R36 / _xlfn.XLOOKUP(A36, Bottom!A:A, Bottom!AA:AA)</f>
        <v>#DIV/0!</v>
      </c>
    </row>
    <row r="37" spans="14:21" x14ac:dyDescent="0.25">
      <c r="N37" s="6"/>
      <c r="O37" s="7"/>
      <c r="P37" s="8">
        <f t="shared" si="16"/>
        <v>0</v>
      </c>
      <c r="Q37" s="1"/>
      <c r="R37" s="6">
        <f t="shared" si="17"/>
        <v>0</v>
      </c>
      <c r="S37" s="9" t="e">
        <f t="shared" si="18"/>
        <v>#DIV/0!</v>
      </c>
      <c r="T37" s="9">
        <f t="shared" si="19"/>
        <v>0</v>
      </c>
      <c r="U37" s="9" t="e">
        <f>R37 / _xlfn.XLOOKUP(A37, Bottom!A:A, Bottom!AA:AA)</f>
        <v>#DIV/0!</v>
      </c>
    </row>
    <row r="38" spans="14:21" x14ac:dyDescent="0.25">
      <c r="N38" s="6"/>
      <c r="O38" s="7"/>
      <c r="P38" s="8">
        <f t="shared" si="16"/>
        <v>0</v>
      </c>
      <c r="Q38" s="1"/>
      <c r="R38" s="6">
        <f t="shared" si="17"/>
        <v>0</v>
      </c>
      <c r="S38" s="9" t="e">
        <f t="shared" si="18"/>
        <v>#DIV/0!</v>
      </c>
      <c r="T38" s="9">
        <f t="shared" si="19"/>
        <v>0</v>
      </c>
      <c r="U38" s="9" t="e">
        <f>R38 / _xlfn.XLOOKUP(A38, Bottom!A:A, Bottom!AA:AA)</f>
        <v>#DIV/0!</v>
      </c>
    </row>
    <row r="39" spans="14:21" x14ac:dyDescent="0.25">
      <c r="N39" s="6"/>
      <c r="O39" s="7"/>
      <c r="P39" s="8">
        <f t="shared" si="16"/>
        <v>0</v>
      </c>
      <c r="Q39" s="1"/>
      <c r="R39" s="6">
        <f t="shared" si="17"/>
        <v>0</v>
      </c>
      <c r="S39" s="9" t="e">
        <f t="shared" si="18"/>
        <v>#DIV/0!</v>
      </c>
      <c r="T39" s="9">
        <f t="shared" si="19"/>
        <v>0</v>
      </c>
      <c r="U39" s="9" t="e">
        <f>R39 / _xlfn.XLOOKUP(A39, Bottom!A:A, Bottom!AA:AA)</f>
        <v>#DIV/0!</v>
      </c>
    </row>
    <row r="40" spans="14:21" x14ac:dyDescent="0.25">
      <c r="N40" s="6"/>
      <c r="O40" s="7"/>
      <c r="P40" s="8">
        <f t="shared" si="16"/>
        <v>0</v>
      </c>
      <c r="Q40" s="1"/>
      <c r="R40" s="6">
        <f t="shared" si="17"/>
        <v>0</v>
      </c>
      <c r="S40" s="9" t="e">
        <f t="shared" si="18"/>
        <v>#DIV/0!</v>
      </c>
      <c r="T40" s="9">
        <f t="shared" si="19"/>
        <v>0</v>
      </c>
      <c r="U40" s="9" t="e">
        <f>R40 / _xlfn.XLOOKUP(A40, Bottom!A:A, Bottom!AA:AA)</f>
        <v>#DIV/0!</v>
      </c>
    </row>
    <row r="41" spans="14:21" x14ac:dyDescent="0.25">
      <c r="N41" s="6"/>
      <c r="O41" s="7"/>
      <c r="P41" s="8">
        <f t="shared" si="16"/>
        <v>0</v>
      </c>
      <c r="Q41" s="1"/>
      <c r="R41" s="6">
        <f t="shared" si="17"/>
        <v>0</v>
      </c>
      <c r="S41" s="9" t="e">
        <f t="shared" si="18"/>
        <v>#DIV/0!</v>
      </c>
      <c r="T41" s="9">
        <f t="shared" si="19"/>
        <v>0</v>
      </c>
      <c r="U41" s="9" t="e">
        <f>R41 / _xlfn.XLOOKUP(A41, Bottom!A:A, Bottom!AA:AA)</f>
        <v>#DIV/0!</v>
      </c>
    </row>
    <row r="42" spans="14:21" x14ac:dyDescent="0.25">
      <c r="N42" s="6"/>
      <c r="O42" s="7"/>
      <c r="P42" s="8">
        <f t="shared" si="16"/>
        <v>0</v>
      </c>
      <c r="Q42" s="1"/>
      <c r="R42" s="6">
        <f t="shared" si="17"/>
        <v>0</v>
      </c>
      <c r="S42" s="9" t="e">
        <f t="shared" si="18"/>
        <v>#DIV/0!</v>
      </c>
      <c r="T42" s="9">
        <f t="shared" si="19"/>
        <v>0</v>
      </c>
      <c r="U42" s="9" t="e">
        <f>R42 / _xlfn.XLOOKUP(A42, Bottom!A:A, Bottom!AA:AA)</f>
        <v>#DIV/0!</v>
      </c>
    </row>
    <row r="43" spans="14:21" x14ac:dyDescent="0.25">
      <c r="N43" s="6"/>
      <c r="O43" s="7"/>
      <c r="P43" s="8">
        <f t="shared" si="16"/>
        <v>0</v>
      </c>
      <c r="Q43" s="1"/>
      <c r="R43" s="6">
        <f t="shared" si="17"/>
        <v>0</v>
      </c>
      <c r="S43" s="9" t="e">
        <f t="shared" si="18"/>
        <v>#DIV/0!</v>
      </c>
      <c r="T43" s="9">
        <f t="shared" si="19"/>
        <v>0</v>
      </c>
      <c r="U43" s="9" t="e">
        <f>R43 / _xlfn.XLOOKUP(A43, Bottom!A:A, Bottom!AA:AA)</f>
        <v>#DIV/0!</v>
      </c>
    </row>
    <row r="44" spans="14:21" x14ac:dyDescent="0.25">
      <c r="N44" s="6"/>
      <c r="O44" s="7"/>
      <c r="P44" s="8">
        <f t="shared" si="16"/>
        <v>0</v>
      </c>
      <c r="Q44" s="1"/>
      <c r="R44" s="6">
        <f t="shared" si="17"/>
        <v>0</v>
      </c>
      <c r="S44" s="9" t="e">
        <f t="shared" si="18"/>
        <v>#DIV/0!</v>
      </c>
      <c r="T44" s="9">
        <f t="shared" si="19"/>
        <v>0</v>
      </c>
      <c r="U44" s="9" t="e">
        <f>R44 / _xlfn.XLOOKUP(A44, Bottom!A:A, Bottom!AA:AA)</f>
        <v>#DIV/0!</v>
      </c>
    </row>
    <row r="45" spans="14:21" x14ac:dyDescent="0.25">
      <c r="N45" s="6"/>
      <c r="O45" s="7"/>
      <c r="P45" s="8">
        <f t="shared" si="16"/>
        <v>0</v>
      </c>
      <c r="Q45" s="1"/>
      <c r="R45" s="6">
        <f t="shared" si="17"/>
        <v>0</v>
      </c>
      <c r="S45" s="9" t="e">
        <f t="shared" si="18"/>
        <v>#DIV/0!</v>
      </c>
      <c r="T45" s="9">
        <f t="shared" si="19"/>
        <v>0</v>
      </c>
      <c r="U45" s="9" t="e">
        <f>R45 / _xlfn.XLOOKUP(A45, Bottom!A:A, Bottom!AA:AA)</f>
        <v>#DIV/0!</v>
      </c>
    </row>
    <row r="46" spans="14:21" x14ac:dyDescent="0.25">
      <c r="N46" s="6"/>
      <c r="O46" s="7"/>
      <c r="P46" s="8">
        <f t="shared" si="16"/>
        <v>0</v>
      </c>
      <c r="Q46" s="1"/>
      <c r="R46" s="6">
        <f t="shared" si="17"/>
        <v>0</v>
      </c>
      <c r="S46" s="9" t="e">
        <f t="shared" si="18"/>
        <v>#DIV/0!</v>
      </c>
      <c r="T46" s="9">
        <f t="shared" si="19"/>
        <v>0</v>
      </c>
      <c r="U46" s="9" t="e">
        <f>R46 / _xlfn.XLOOKUP(A46, Bottom!A:A, Bottom!AA:AA)</f>
        <v>#DIV/0!</v>
      </c>
    </row>
    <row r="47" spans="14:21" x14ac:dyDescent="0.25">
      <c r="N47" s="6"/>
      <c r="O47" s="7"/>
      <c r="P47" s="8">
        <f t="shared" si="16"/>
        <v>0</v>
      </c>
      <c r="Q47" s="1"/>
      <c r="R47" s="6">
        <f t="shared" si="17"/>
        <v>0</v>
      </c>
      <c r="S47" s="9" t="e">
        <f t="shared" si="18"/>
        <v>#DIV/0!</v>
      </c>
      <c r="T47" s="9">
        <f t="shared" si="19"/>
        <v>0</v>
      </c>
      <c r="U47" s="9" t="e">
        <f>R47 / _xlfn.XLOOKUP(A47, Bottom!A:A, Bottom!AA:AA)</f>
        <v>#DIV/0!</v>
      </c>
    </row>
  </sheetData>
  <sortState xmlns:xlrd2="http://schemas.microsoft.com/office/spreadsheetml/2017/richdata2" ref="A3:U23">
    <sortCondition descending="1" ref="T3:T23"/>
  </sortState>
  <pageMargins left="0.7" right="0.7" top="0.78740157499999996" bottom="0.78740157499999996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1FF6-C23B-4151-B491-525596E1D838}">
  <sheetPr>
    <tabColor theme="5" tint="0.59999389629810485"/>
  </sheetPr>
  <dimension ref="A1:W53"/>
  <sheetViews>
    <sheetView workbookViewId="0">
      <selection activeCell="U3" sqref="U3:U26"/>
    </sheetView>
  </sheetViews>
  <sheetFormatPr baseColWidth="10" defaultRowHeight="15" x14ac:dyDescent="0.25"/>
  <sheetData>
    <row r="1" spans="1:23" ht="15.75" x14ac:dyDescent="0.25">
      <c r="A1" s="2" t="s">
        <v>157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25" t="s">
        <v>159</v>
      </c>
      <c r="B3" s="6"/>
      <c r="C3" s="7"/>
      <c r="D3" s="8">
        <f t="shared" ref="D3:D26" si="0">B3*C3</f>
        <v>0</v>
      </c>
      <c r="E3" s="6"/>
      <c r="F3" s="7"/>
      <c r="G3" s="8">
        <f t="shared" ref="G3:G26" si="1">E3*F3</f>
        <v>0</v>
      </c>
      <c r="H3" s="6"/>
      <c r="I3" s="7"/>
      <c r="J3" s="8">
        <f t="shared" ref="J3:J26" si="2">H3*I3</f>
        <v>0</v>
      </c>
      <c r="K3" s="6"/>
      <c r="L3" s="7"/>
      <c r="M3" s="8">
        <f t="shared" ref="M3:M26" si="3">K3*L3</f>
        <v>0</v>
      </c>
      <c r="N3" s="6"/>
      <c r="O3" s="7"/>
      <c r="P3" s="8">
        <f t="shared" ref="P3:P26" si="4">N3*O3</f>
        <v>0</v>
      </c>
      <c r="Q3" s="1"/>
      <c r="R3" s="6">
        <f t="shared" ref="R3:R26" si="5">B3+E3+H3+K3+N3</f>
        <v>0</v>
      </c>
      <c r="S3" s="9" t="e">
        <f t="shared" ref="S3:S26" si="6">(D3+G3+J3+M3+P3)/R3</f>
        <v>#DIV/0!</v>
      </c>
      <c r="T3" s="9">
        <f t="shared" ref="T3:T26" si="7">R3/$V$3</f>
        <v>0</v>
      </c>
      <c r="U3" s="9">
        <f>R3 / _xlfn.XLOOKUP(A3, Bottom!A:A, Bottom!AA:AA)</f>
        <v>0</v>
      </c>
      <c r="V3" s="11">
        <f>SUM(R3:R67)</f>
        <v>397</v>
      </c>
      <c r="W3" s="12">
        <f>(SUM(D3:D97)+SUM(G3:G97)+SUM(J3:J97)+SUM(M3:M97)+SUM(P3:P97)) / V3</f>
        <v>0.61959445843828709</v>
      </c>
    </row>
    <row r="4" spans="1:23" x14ac:dyDescent="0.25">
      <c r="A4" s="1" t="s">
        <v>152</v>
      </c>
      <c r="B4" s="6"/>
      <c r="C4" s="7"/>
      <c r="D4" s="8">
        <f t="shared" si="0"/>
        <v>0</v>
      </c>
      <c r="E4" s="6">
        <v>2</v>
      </c>
      <c r="F4" s="7">
        <v>1</v>
      </c>
      <c r="G4" s="8">
        <f t="shared" si="1"/>
        <v>2</v>
      </c>
      <c r="H4" s="6"/>
      <c r="I4" s="7"/>
      <c r="J4" s="8">
        <f t="shared" si="2"/>
        <v>0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2</v>
      </c>
      <c r="S4" s="9">
        <f t="shared" si="6"/>
        <v>1</v>
      </c>
      <c r="T4" s="9">
        <f t="shared" si="7"/>
        <v>5.0377833753148613E-3</v>
      </c>
      <c r="U4" s="9">
        <f>R4 / _xlfn.XLOOKUP(A4, Bottom!A:A, Bottom!AA:AA)</f>
        <v>7.6923076923076927E-2</v>
      </c>
      <c r="V4" s="1"/>
      <c r="W4" s="1"/>
    </row>
    <row r="5" spans="1:23" x14ac:dyDescent="0.25">
      <c r="A5" s="1" t="s">
        <v>146</v>
      </c>
      <c r="B5" s="6">
        <v>2</v>
      </c>
      <c r="C5" s="7">
        <v>1</v>
      </c>
      <c r="D5" s="8">
        <f t="shared" si="0"/>
        <v>2</v>
      </c>
      <c r="E5" s="6">
        <v>1</v>
      </c>
      <c r="F5" s="7">
        <v>1</v>
      </c>
      <c r="G5" s="8">
        <f t="shared" si="1"/>
        <v>1</v>
      </c>
      <c r="H5" s="6"/>
      <c r="I5" s="7"/>
      <c r="J5" s="8">
        <f t="shared" si="2"/>
        <v>0</v>
      </c>
      <c r="K5" s="6">
        <v>5</v>
      </c>
      <c r="L5" s="7">
        <v>0.8</v>
      </c>
      <c r="M5" s="8">
        <f t="shared" si="3"/>
        <v>4</v>
      </c>
      <c r="N5" s="6"/>
      <c r="O5" s="7"/>
      <c r="P5" s="8">
        <f t="shared" si="4"/>
        <v>0</v>
      </c>
      <c r="Q5" s="1"/>
      <c r="R5" s="6">
        <f t="shared" si="5"/>
        <v>8</v>
      </c>
      <c r="S5" s="9">
        <f t="shared" si="6"/>
        <v>0.875</v>
      </c>
      <c r="T5" s="9">
        <f t="shared" si="7"/>
        <v>2.0151133501259445E-2</v>
      </c>
      <c r="U5" s="9">
        <f>R5 / _xlfn.XLOOKUP(A5, Bottom!A:A, Bottom!AA:AA)</f>
        <v>4.3243243243243246E-2</v>
      </c>
      <c r="V5" s="1"/>
      <c r="W5" s="1"/>
    </row>
    <row r="6" spans="1:23" x14ac:dyDescent="0.25">
      <c r="A6" s="1" t="s">
        <v>59</v>
      </c>
      <c r="B6" s="6"/>
      <c r="C6" s="7"/>
      <c r="D6" s="8">
        <f t="shared" si="0"/>
        <v>0</v>
      </c>
      <c r="E6" s="6"/>
      <c r="F6" s="7"/>
      <c r="G6" s="8">
        <f t="shared" si="1"/>
        <v>0</v>
      </c>
      <c r="H6" s="6">
        <v>5</v>
      </c>
      <c r="I6" s="7">
        <v>0.8</v>
      </c>
      <c r="J6" s="8">
        <f t="shared" si="2"/>
        <v>4</v>
      </c>
      <c r="K6" s="6">
        <v>4</v>
      </c>
      <c r="L6" s="7">
        <v>0.75</v>
      </c>
      <c r="M6" s="8">
        <f t="shared" si="3"/>
        <v>3</v>
      </c>
      <c r="N6" s="6"/>
      <c r="O6" s="7"/>
      <c r="P6" s="8">
        <f t="shared" si="4"/>
        <v>0</v>
      </c>
      <c r="Q6" s="13"/>
      <c r="R6" s="6">
        <f t="shared" si="5"/>
        <v>9</v>
      </c>
      <c r="S6" s="9">
        <f t="shared" si="6"/>
        <v>0.77777777777777779</v>
      </c>
      <c r="T6" s="9">
        <f t="shared" si="7"/>
        <v>2.2670025188916875E-2</v>
      </c>
      <c r="U6" s="9">
        <f>R6 / _xlfn.XLOOKUP(A6, Bottom!A:A, Bottom!AA:AA)</f>
        <v>0.17647058823529413</v>
      </c>
      <c r="V6" s="1"/>
      <c r="W6" s="1"/>
    </row>
    <row r="7" spans="1:23" x14ac:dyDescent="0.25">
      <c r="A7" s="1" t="s">
        <v>149</v>
      </c>
      <c r="B7" s="6">
        <v>2</v>
      </c>
      <c r="C7" s="7">
        <v>0</v>
      </c>
      <c r="D7" s="8">
        <f t="shared" si="0"/>
        <v>0</v>
      </c>
      <c r="E7" s="6"/>
      <c r="F7" s="7"/>
      <c r="G7" s="8">
        <f t="shared" si="1"/>
        <v>0</v>
      </c>
      <c r="H7" s="6">
        <v>6</v>
      </c>
      <c r="I7" s="7">
        <v>0.83299999999999996</v>
      </c>
      <c r="J7" s="8">
        <f t="shared" si="2"/>
        <v>4.9979999999999993</v>
      </c>
      <c r="K7" s="6">
        <v>9</v>
      </c>
      <c r="L7" s="7">
        <v>0.88900000000000001</v>
      </c>
      <c r="M7" s="8">
        <f t="shared" si="3"/>
        <v>8.0009999999999994</v>
      </c>
      <c r="N7" s="6"/>
      <c r="O7" s="7"/>
      <c r="P7" s="8">
        <f t="shared" si="4"/>
        <v>0</v>
      </c>
      <c r="Q7" s="4"/>
      <c r="R7" s="6">
        <f t="shared" si="5"/>
        <v>17</v>
      </c>
      <c r="S7" s="9">
        <f t="shared" si="6"/>
        <v>0.76464705882352935</v>
      </c>
      <c r="T7" s="9">
        <f t="shared" si="7"/>
        <v>4.2821158690176324E-2</v>
      </c>
      <c r="U7" s="9">
        <f>R7 / _xlfn.XLOOKUP(A7, Bottom!A:A, Bottom!AA:AA)</f>
        <v>5.0746268656716415E-2</v>
      </c>
      <c r="V7" s="1"/>
      <c r="W7" s="1"/>
    </row>
    <row r="8" spans="1:23" x14ac:dyDescent="0.25">
      <c r="A8" s="1" t="s">
        <v>147</v>
      </c>
      <c r="B8" s="6"/>
      <c r="C8" s="7"/>
      <c r="D8" s="8">
        <f t="shared" si="0"/>
        <v>0</v>
      </c>
      <c r="E8" s="6"/>
      <c r="F8" s="7"/>
      <c r="G8" s="8">
        <f t="shared" si="1"/>
        <v>0</v>
      </c>
      <c r="H8" s="6">
        <v>8</v>
      </c>
      <c r="I8" s="7">
        <v>0.875</v>
      </c>
      <c r="J8" s="8">
        <f t="shared" si="2"/>
        <v>7</v>
      </c>
      <c r="K8" s="6">
        <v>11</v>
      </c>
      <c r="L8" s="7">
        <v>0.63600000000000001</v>
      </c>
      <c r="M8" s="8">
        <f t="shared" si="3"/>
        <v>6.9960000000000004</v>
      </c>
      <c r="N8" s="6"/>
      <c r="O8" s="7"/>
      <c r="P8" s="8">
        <f t="shared" si="4"/>
        <v>0</v>
      </c>
      <c r="Q8" s="1"/>
      <c r="R8" s="6">
        <f t="shared" si="5"/>
        <v>19</v>
      </c>
      <c r="S8" s="9">
        <f t="shared" si="6"/>
        <v>0.73663157894736842</v>
      </c>
      <c r="T8" s="9">
        <f t="shared" si="7"/>
        <v>4.7858942065491183E-2</v>
      </c>
      <c r="U8" s="9">
        <f>R8 / _xlfn.XLOOKUP(A8, Bottom!A:A, Bottom!AA:AA)</f>
        <v>9.0476190476190474E-2</v>
      </c>
      <c r="V8" s="1"/>
      <c r="W8" s="1"/>
    </row>
    <row r="9" spans="1:23" x14ac:dyDescent="0.25">
      <c r="A9" s="1" t="s">
        <v>154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>
        <v>5</v>
      </c>
      <c r="I9" s="7">
        <v>0.8</v>
      </c>
      <c r="J9" s="8">
        <f t="shared" si="2"/>
        <v>4</v>
      </c>
      <c r="K9" s="6">
        <v>2</v>
      </c>
      <c r="L9" s="7">
        <v>0.5</v>
      </c>
      <c r="M9" s="8">
        <f t="shared" si="3"/>
        <v>1</v>
      </c>
      <c r="N9" s="6"/>
      <c r="O9" s="7"/>
      <c r="P9" s="8">
        <f t="shared" si="4"/>
        <v>0</v>
      </c>
      <c r="Q9" s="1"/>
      <c r="R9" s="6">
        <f t="shared" si="5"/>
        <v>7</v>
      </c>
      <c r="S9" s="9">
        <f t="shared" si="6"/>
        <v>0.7142857142857143</v>
      </c>
      <c r="T9" s="9">
        <f t="shared" si="7"/>
        <v>1.7632241813602016E-2</v>
      </c>
      <c r="U9" s="9">
        <f>R9 / _xlfn.XLOOKUP(A9, Bottom!A:A, Bottom!AA:AA)</f>
        <v>5.8823529411764705E-2</v>
      </c>
      <c r="V9" s="1"/>
      <c r="W9" s="1"/>
    </row>
    <row r="10" spans="1:23" x14ac:dyDescent="0.25">
      <c r="A10" s="1" t="s">
        <v>134</v>
      </c>
      <c r="B10" s="6"/>
      <c r="C10" s="7"/>
      <c r="D10" s="8">
        <f t="shared" si="0"/>
        <v>0</v>
      </c>
      <c r="E10" s="6">
        <v>3</v>
      </c>
      <c r="F10" s="7">
        <v>0.33300000000000002</v>
      </c>
      <c r="G10" s="8">
        <f t="shared" si="1"/>
        <v>0.99900000000000011</v>
      </c>
      <c r="H10" s="6">
        <v>11</v>
      </c>
      <c r="I10" s="7">
        <v>0.81799999999999995</v>
      </c>
      <c r="J10" s="8">
        <f t="shared" si="2"/>
        <v>8.9979999999999993</v>
      </c>
      <c r="K10" s="6">
        <v>14</v>
      </c>
      <c r="L10" s="7">
        <v>0.64300000000000002</v>
      </c>
      <c r="M10" s="8">
        <f t="shared" si="3"/>
        <v>9.0020000000000007</v>
      </c>
      <c r="N10" s="6"/>
      <c r="O10" s="7"/>
      <c r="P10" s="8">
        <f t="shared" si="4"/>
        <v>0</v>
      </c>
      <c r="Q10" s="1"/>
      <c r="R10" s="6">
        <f t="shared" si="5"/>
        <v>28</v>
      </c>
      <c r="S10" s="9">
        <f t="shared" si="6"/>
        <v>0.67853571428571435</v>
      </c>
      <c r="T10" s="9">
        <f t="shared" si="7"/>
        <v>7.0528967254408062E-2</v>
      </c>
      <c r="U10" s="9">
        <f>R10 / _xlfn.XLOOKUP(A10, Bottom!A:A, Bottom!AA:AA)</f>
        <v>6.1135371179039298E-2</v>
      </c>
      <c r="V10" s="1"/>
      <c r="W10" s="1"/>
    </row>
    <row r="11" spans="1:23" x14ac:dyDescent="0.25">
      <c r="A11" s="1" t="s">
        <v>151</v>
      </c>
      <c r="B11" s="6"/>
      <c r="C11" s="7"/>
      <c r="D11" s="8">
        <f t="shared" si="0"/>
        <v>0</v>
      </c>
      <c r="E11" s="6">
        <v>7</v>
      </c>
      <c r="F11" s="7">
        <v>0.57099999999999995</v>
      </c>
      <c r="G11" s="8">
        <f t="shared" si="1"/>
        <v>3.9969999999999999</v>
      </c>
      <c r="H11" s="6"/>
      <c r="I11" s="7"/>
      <c r="J11" s="8">
        <f t="shared" si="2"/>
        <v>0</v>
      </c>
      <c r="K11" s="6">
        <v>5</v>
      </c>
      <c r="L11" s="7">
        <v>0.8</v>
      </c>
      <c r="M11" s="8">
        <f t="shared" si="3"/>
        <v>4</v>
      </c>
      <c r="N11" s="6"/>
      <c r="O11" s="7"/>
      <c r="P11" s="8">
        <f t="shared" si="4"/>
        <v>0</v>
      </c>
      <c r="Q11" s="1"/>
      <c r="R11" s="6">
        <f t="shared" si="5"/>
        <v>12</v>
      </c>
      <c r="S11" s="9">
        <f t="shared" si="6"/>
        <v>0.66641666666666666</v>
      </c>
      <c r="T11" s="9">
        <f t="shared" si="7"/>
        <v>3.0226700251889168E-2</v>
      </c>
      <c r="U11" s="9">
        <f>R11 / _xlfn.XLOOKUP(A11, Bottom!A:A, Bottom!AA:AA)</f>
        <v>7.5471698113207544E-2</v>
      </c>
      <c r="V11" s="1"/>
      <c r="W11" s="1"/>
    </row>
    <row r="12" spans="1:23" x14ac:dyDescent="0.25">
      <c r="A12" s="1" t="s">
        <v>150</v>
      </c>
      <c r="B12" s="6"/>
      <c r="C12" s="7"/>
      <c r="D12" s="8">
        <f t="shared" si="0"/>
        <v>0</v>
      </c>
      <c r="E12" s="6">
        <v>19</v>
      </c>
      <c r="F12" s="7">
        <v>0.47399999999999998</v>
      </c>
      <c r="G12" s="8">
        <f t="shared" si="1"/>
        <v>9.0060000000000002</v>
      </c>
      <c r="H12" s="6">
        <v>10</v>
      </c>
      <c r="I12" s="7">
        <v>0.8</v>
      </c>
      <c r="J12" s="8">
        <f t="shared" si="2"/>
        <v>8</v>
      </c>
      <c r="K12" s="6">
        <v>14</v>
      </c>
      <c r="L12" s="7">
        <v>0.78600000000000003</v>
      </c>
      <c r="M12" s="8">
        <f t="shared" si="3"/>
        <v>11.004000000000001</v>
      </c>
      <c r="N12" s="6"/>
      <c r="O12" s="7"/>
      <c r="P12" s="8">
        <f t="shared" si="4"/>
        <v>0</v>
      </c>
      <c r="Q12" s="4"/>
      <c r="R12" s="6">
        <f t="shared" si="5"/>
        <v>43</v>
      </c>
      <c r="S12" s="9">
        <f t="shared" si="6"/>
        <v>0.65139534883720929</v>
      </c>
      <c r="T12" s="9">
        <f t="shared" si="7"/>
        <v>0.10831234256926953</v>
      </c>
      <c r="U12" s="9">
        <f>R12 / _xlfn.XLOOKUP(A12, Bottom!A:A, Bottom!AA:AA)</f>
        <v>8.9770354906054284E-2</v>
      </c>
      <c r="V12" s="1"/>
      <c r="W12" s="1"/>
    </row>
    <row r="13" spans="1:23" x14ac:dyDescent="0.25">
      <c r="A13" s="1" t="s">
        <v>148</v>
      </c>
      <c r="B13" s="6"/>
      <c r="C13" s="7"/>
      <c r="D13" s="8">
        <f t="shared" si="0"/>
        <v>0</v>
      </c>
      <c r="E13" s="6"/>
      <c r="F13" s="7"/>
      <c r="G13" s="8">
        <f t="shared" si="1"/>
        <v>0</v>
      </c>
      <c r="H13" s="6">
        <v>6</v>
      </c>
      <c r="I13" s="7">
        <v>0.5</v>
      </c>
      <c r="J13" s="8">
        <f t="shared" si="2"/>
        <v>3</v>
      </c>
      <c r="K13" s="6">
        <v>5</v>
      </c>
      <c r="L13" s="7">
        <v>0.8</v>
      </c>
      <c r="M13" s="8">
        <f t="shared" si="3"/>
        <v>4</v>
      </c>
      <c r="N13" s="6"/>
      <c r="O13" s="7"/>
      <c r="P13" s="8">
        <f t="shared" si="4"/>
        <v>0</v>
      </c>
      <c r="Q13" s="1"/>
      <c r="R13" s="6">
        <f t="shared" si="5"/>
        <v>11</v>
      </c>
      <c r="S13" s="9">
        <f t="shared" si="6"/>
        <v>0.63636363636363635</v>
      </c>
      <c r="T13" s="9">
        <f t="shared" si="7"/>
        <v>2.7707808564231738E-2</v>
      </c>
      <c r="U13" s="9">
        <f>R13 / _xlfn.XLOOKUP(A13, Bottom!A:A, Bottom!AA:AA)</f>
        <v>5.4187192118226604E-2</v>
      </c>
      <c r="V13" s="1"/>
      <c r="W13" s="1"/>
    </row>
    <row r="14" spans="1:23" x14ac:dyDescent="0.25">
      <c r="A14" s="1" t="s">
        <v>35</v>
      </c>
      <c r="B14" s="6"/>
      <c r="C14" s="7"/>
      <c r="D14" s="8">
        <f t="shared" si="0"/>
        <v>0</v>
      </c>
      <c r="E14" s="6">
        <v>7</v>
      </c>
      <c r="F14" s="7">
        <v>0.71399999999999997</v>
      </c>
      <c r="G14" s="8">
        <f t="shared" si="1"/>
        <v>4.9979999999999993</v>
      </c>
      <c r="H14" s="6">
        <v>7</v>
      </c>
      <c r="I14" s="7">
        <v>0.71399999999999997</v>
      </c>
      <c r="J14" s="8">
        <f t="shared" si="2"/>
        <v>4.9979999999999993</v>
      </c>
      <c r="K14" s="6">
        <v>10</v>
      </c>
      <c r="L14" s="7">
        <v>0.5</v>
      </c>
      <c r="M14" s="8">
        <f t="shared" si="3"/>
        <v>5</v>
      </c>
      <c r="N14" s="6"/>
      <c r="O14" s="7"/>
      <c r="P14" s="8">
        <f t="shared" si="4"/>
        <v>0</v>
      </c>
      <c r="Q14" s="1"/>
      <c r="R14" s="6">
        <f t="shared" si="5"/>
        <v>24</v>
      </c>
      <c r="S14" s="9">
        <f t="shared" si="6"/>
        <v>0.62483333333333324</v>
      </c>
      <c r="T14" s="9">
        <f t="shared" si="7"/>
        <v>6.0453400503778336E-2</v>
      </c>
      <c r="U14" s="9">
        <f>R14 / _xlfn.XLOOKUP(A14, Bottom!A:A, Bottom!AA:AA)</f>
        <v>6.2015503875968991E-2</v>
      </c>
      <c r="V14" s="1"/>
      <c r="W14" s="1"/>
    </row>
    <row r="15" spans="1:23" x14ac:dyDescent="0.25">
      <c r="A15" s="1" t="s">
        <v>156</v>
      </c>
      <c r="B15" s="6"/>
      <c r="C15" s="7"/>
      <c r="D15" s="8">
        <f t="shared" si="0"/>
        <v>0</v>
      </c>
      <c r="E15" s="6">
        <v>8</v>
      </c>
      <c r="F15" s="7">
        <v>0.5</v>
      </c>
      <c r="G15" s="8">
        <f t="shared" si="1"/>
        <v>4</v>
      </c>
      <c r="H15" s="6"/>
      <c r="I15" s="7"/>
      <c r="J15" s="8">
        <f t="shared" si="2"/>
        <v>0</v>
      </c>
      <c r="K15" s="6">
        <v>2</v>
      </c>
      <c r="L15" s="7">
        <v>1</v>
      </c>
      <c r="M15" s="8">
        <f t="shared" si="3"/>
        <v>2</v>
      </c>
      <c r="N15" s="6"/>
      <c r="O15" s="7"/>
      <c r="P15" s="8">
        <f t="shared" si="4"/>
        <v>0</v>
      </c>
      <c r="Q15" s="1"/>
      <c r="R15" s="6">
        <f t="shared" si="5"/>
        <v>10</v>
      </c>
      <c r="S15" s="9">
        <f t="shared" si="6"/>
        <v>0.6</v>
      </c>
      <c r="T15" s="9">
        <f t="shared" si="7"/>
        <v>2.5188916876574308E-2</v>
      </c>
      <c r="U15" s="9">
        <f>R15 / _xlfn.XLOOKUP(A15, Bottom!A:A, Bottom!AA:AA)</f>
        <v>8.771929824561403E-2</v>
      </c>
      <c r="V15" s="1"/>
      <c r="W15" s="1"/>
    </row>
    <row r="16" spans="1:23" x14ac:dyDescent="0.25">
      <c r="A16" s="1" t="s">
        <v>142</v>
      </c>
      <c r="B16" s="6"/>
      <c r="C16" s="7"/>
      <c r="D16" s="8">
        <f t="shared" si="0"/>
        <v>0</v>
      </c>
      <c r="E16" s="6"/>
      <c r="F16" s="7"/>
      <c r="G16" s="8">
        <f t="shared" si="1"/>
        <v>0</v>
      </c>
      <c r="H16" s="6">
        <v>11</v>
      </c>
      <c r="I16" s="7">
        <v>0.72699999999999998</v>
      </c>
      <c r="J16" s="8">
        <f t="shared" si="2"/>
        <v>7.9969999999999999</v>
      </c>
      <c r="K16" s="6">
        <v>14</v>
      </c>
      <c r="L16" s="7">
        <v>0.5</v>
      </c>
      <c r="M16" s="8">
        <f t="shared" si="3"/>
        <v>7</v>
      </c>
      <c r="N16" s="6"/>
      <c r="O16" s="7"/>
      <c r="P16" s="8">
        <f t="shared" si="4"/>
        <v>0</v>
      </c>
      <c r="Q16" s="1"/>
      <c r="R16" s="6">
        <f t="shared" si="5"/>
        <v>25</v>
      </c>
      <c r="S16" s="9">
        <f t="shared" si="6"/>
        <v>0.59987999999999997</v>
      </c>
      <c r="T16" s="9">
        <f t="shared" si="7"/>
        <v>6.2972292191435769E-2</v>
      </c>
      <c r="U16" s="9">
        <f>R16 / _xlfn.XLOOKUP(A16, Bottom!A:A, Bottom!AA:AA)</f>
        <v>8.143322475570032E-2</v>
      </c>
      <c r="V16" s="1"/>
      <c r="W16" s="1"/>
    </row>
    <row r="17" spans="1:23" x14ac:dyDescent="0.25">
      <c r="A17" s="1" t="s">
        <v>140</v>
      </c>
      <c r="B17" s="6">
        <v>4</v>
      </c>
      <c r="C17" s="7">
        <v>0.5</v>
      </c>
      <c r="D17" s="8">
        <f t="shared" si="0"/>
        <v>2</v>
      </c>
      <c r="E17" s="6">
        <v>13</v>
      </c>
      <c r="F17" s="7">
        <v>0.69199999999999995</v>
      </c>
      <c r="G17" s="8">
        <f t="shared" si="1"/>
        <v>8.9959999999999987</v>
      </c>
      <c r="H17" s="6">
        <v>3</v>
      </c>
      <c r="I17" s="7">
        <v>0.33300000000000002</v>
      </c>
      <c r="J17" s="8">
        <f t="shared" si="2"/>
        <v>0.99900000000000011</v>
      </c>
      <c r="K17" s="6"/>
      <c r="L17" s="7"/>
      <c r="M17" s="8">
        <f t="shared" si="3"/>
        <v>0</v>
      </c>
      <c r="N17" s="6"/>
      <c r="O17" s="7"/>
      <c r="P17" s="8">
        <f t="shared" si="4"/>
        <v>0</v>
      </c>
      <c r="Q17" s="4"/>
      <c r="R17" s="6">
        <f t="shared" si="5"/>
        <v>20</v>
      </c>
      <c r="S17" s="9">
        <f t="shared" si="6"/>
        <v>0.59975000000000001</v>
      </c>
      <c r="T17" s="9">
        <f t="shared" si="7"/>
        <v>5.0377833753148617E-2</v>
      </c>
      <c r="U17" s="9">
        <f>R17 / _xlfn.XLOOKUP(A17, Bottom!A:A, Bottom!AA:AA)</f>
        <v>3.8610038610038609E-2</v>
      </c>
      <c r="V17" s="1"/>
      <c r="W17" s="1"/>
    </row>
    <row r="18" spans="1:23" x14ac:dyDescent="0.25">
      <c r="A18" s="1" t="s">
        <v>141</v>
      </c>
      <c r="B18" s="6"/>
      <c r="C18" s="7"/>
      <c r="D18" s="8">
        <f t="shared" si="0"/>
        <v>0</v>
      </c>
      <c r="E18" s="6">
        <v>17</v>
      </c>
      <c r="F18" s="7">
        <v>0.47099999999999997</v>
      </c>
      <c r="G18" s="8">
        <f t="shared" si="1"/>
        <v>8.0069999999999997</v>
      </c>
      <c r="H18" s="6">
        <v>6</v>
      </c>
      <c r="I18" s="7">
        <v>0.66700000000000004</v>
      </c>
      <c r="J18" s="8">
        <f t="shared" si="2"/>
        <v>4.0020000000000007</v>
      </c>
      <c r="K18" s="6">
        <v>13</v>
      </c>
      <c r="L18" s="7">
        <v>0.69199999999999995</v>
      </c>
      <c r="M18" s="8">
        <f t="shared" si="3"/>
        <v>8.9959999999999987</v>
      </c>
      <c r="N18" s="6"/>
      <c r="O18" s="7"/>
      <c r="P18" s="8">
        <f t="shared" si="4"/>
        <v>0</v>
      </c>
      <c r="Q18" s="1"/>
      <c r="R18" s="6">
        <f t="shared" si="5"/>
        <v>36</v>
      </c>
      <c r="S18" s="9">
        <f t="shared" si="6"/>
        <v>0.58347222222222217</v>
      </c>
      <c r="T18" s="9">
        <f t="shared" si="7"/>
        <v>9.06801007556675E-2</v>
      </c>
      <c r="U18" s="9">
        <f>R18 / _xlfn.XLOOKUP(A18, Bottom!A:A, Bottom!AA:AA)</f>
        <v>8.2004555808656038E-2</v>
      </c>
      <c r="V18" s="1"/>
      <c r="W18" s="1"/>
    </row>
    <row r="19" spans="1:23" x14ac:dyDescent="0.25">
      <c r="A19" s="1" t="s">
        <v>145</v>
      </c>
      <c r="B19" s="6">
        <v>1</v>
      </c>
      <c r="C19" s="7">
        <v>0</v>
      </c>
      <c r="D19" s="8">
        <f t="shared" si="0"/>
        <v>0</v>
      </c>
      <c r="E19" s="6">
        <v>11</v>
      </c>
      <c r="F19" s="7">
        <v>0.45500000000000002</v>
      </c>
      <c r="G19" s="8">
        <f t="shared" si="1"/>
        <v>5.0049999999999999</v>
      </c>
      <c r="H19" s="6">
        <v>14</v>
      </c>
      <c r="I19" s="7">
        <v>0.57099999999999995</v>
      </c>
      <c r="J19" s="8">
        <f t="shared" si="2"/>
        <v>7.9939999999999998</v>
      </c>
      <c r="K19" s="6">
        <v>17</v>
      </c>
      <c r="L19" s="7">
        <v>0.70599999999999996</v>
      </c>
      <c r="M19" s="8">
        <f t="shared" si="3"/>
        <v>12.001999999999999</v>
      </c>
      <c r="N19" s="6"/>
      <c r="O19" s="7"/>
      <c r="P19" s="8">
        <f t="shared" si="4"/>
        <v>0</v>
      </c>
      <c r="Q19" s="1"/>
      <c r="R19" s="6">
        <f t="shared" si="5"/>
        <v>43</v>
      </c>
      <c r="S19" s="9">
        <f t="shared" si="6"/>
        <v>0.58141860465116268</v>
      </c>
      <c r="T19" s="9">
        <f t="shared" si="7"/>
        <v>0.10831234256926953</v>
      </c>
      <c r="U19" s="9">
        <f>R19 / _xlfn.XLOOKUP(A19, Bottom!A:A, Bottom!AA:AA)</f>
        <v>9.3275488069414311E-2</v>
      </c>
      <c r="V19" s="1"/>
      <c r="W19" s="1"/>
    </row>
    <row r="20" spans="1:23" x14ac:dyDescent="0.25">
      <c r="A20" s="1" t="s">
        <v>143</v>
      </c>
      <c r="B20" s="6"/>
      <c r="C20" s="7"/>
      <c r="D20" s="8">
        <f t="shared" si="0"/>
        <v>0</v>
      </c>
      <c r="E20" s="6"/>
      <c r="F20" s="7"/>
      <c r="G20" s="8">
        <f t="shared" si="1"/>
        <v>0</v>
      </c>
      <c r="H20" s="6">
        <v>5</v>
      </c>
      <c r="I20" s="7">
        <v>0.8</v>
      </c>
      <c r="J20" s="8">
        <f t="shared" si="2"/>
        <v>4</v>
      </c>
      <c r="K20" s="6">
        <v>2</v>
      </c>
      <c r="L20" s="7">
        <v>0</v>
      </c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7</v>
      </c>
      <c r="S20" s="9">
        <f t="shared" si="6"/>
        <v>0.5714285714285714</v>
      </c>
      <c r="T20" s="9">
        <f t="shared" si="7"/>
        <v>1.7632241813602016E-2</v>
      </c>
      <c r="U20" s="9">
        <f>R20 / _xlfn.XLOOKUP(A20, Bottom!A:A, Bottom!AA:AA)</f>
        <v>4.8275862068965517E-2</v>
      </c>
      <c r="V20" s="1"/>
      <c r="W20" s="1"/>
    </row>
    <row r="21" spans="1:23" x14ac:dyDescent="0.25">
      <c r="A21" s="1" t="s">
        <v>139</v>
      </c>
      <c r="B21" s="6"/>
      <c r="C21" s="7"/>
      <c r="D21" s="8">
        <f t="shared" si="0"/>
        <v>0</v>
      </c>
      <c r="E21" s="6">
        <v>24</v>
      </c>
      <c r="F21" s="7">
        <v>0.45800000000000002</v>
      </c>
      <c r="G21" s="8">
        <f t="shared" si="1"/>
        <v>10.992000000000001</v>
      </c>
      <c r="H21" s="6">
        <v>24</v>
      </c>
      <c r="I21" s="7">
        <v>0.58299999999999996</v>
      </c>
      <c r="J21" s="8">
        <f t="shared" si="2"/>
        <v>13.991999999999999</v>
      </c>
      <c r="K21" s="6">
        <v>3</v>
      </c>
      <c r="L21" s="7">
        <v>1</v>
      </c>
      <c r="M21" s="8">
        <f t="shared" si="3"/>
        <v>3</v>
      </c>
      <c r="N21" s="6"/>
      <c r="O21" s="7"/>
      <c r="P21" s="8">
        <f t="shared" si="4"/>
        <v>0</v>
      </c>
      <c r="Q21" s="1"/>
      <c r="R21" s="6">
        <f t="shared" si="5"/>
        <v>51</v>
      </c>
      <c r="S21" s="9">
        <f t="shared" si="6"/>
        <v>0.54870588235294127</v>
      </c>
      <c r="T21" s="9">
        <f t="shared" si="7"/>
        <v>0.12846347607052896</v>
      </c>
      <c r="U21" s="9">
        <f>R21 / _xlfn.XLOOKUP(A21, Bottom!A:A, Bottom!AA:AA)</f>
        <v>9.5864661654135333E-2</v>
      </c>
      <c r="V21" s="1"/>
      <c r="W21" s="1"/>
    </row>
    <row r="22" spans="1:23" x14ac:dyDescent="0.25">
      <c r="A22" s="25" t="s">
        <v>213</v>
      </c>
      <c r="B22" s="6"/>
      <c r="C22" s="7"/>
      <c r="D22" s="8">
        <f t="shared" si="0"/>
        <v>0</v>
      </c>
      <c r="E22" s="6"/>
      <c r="F22" s="7"/>
      <c r="G22" s="8">
        <f t="shared" si="1"/>
        <v>0</v>
      </c>
      <c r="H22" s="6"/>
      <c r="I22" s="7"/>
      <c r="J22" s="8">
        <f t="shared" si="2"/>
        <v>0</v>
      </c>
      <c r="K22" s="6">
        <v>6</v>
      </c>
      <c r="L22" s="7">
        <v>0.5</v>
      </c>
      <c r="M22" s="8">
        <f t="shared" si="3"/>
        <v>3</v>
      </c>
      <c r="N22" s="6"/>
      <c r="O22" s="7"/>
      <c r="P22" s="8">
        <f t="shared" si="4"/>
        <v>0</v>
      </c>
      <c r="Q22" s="1"/>
      <c r="R22" s="6">
        <f t="shared" si="5"/>
        <v>6</v>
      </c>
      <c r="S22" s="9">
        <f t="shared" si="6"/>
        <v>0.5</v>
      </c>
      <c r="T22" s="9">
        <f t="shared" si="7"/>
        <v>1.5113350125944584E-2</v>
      </c>
      <c r="U22" s="9">
        <f>R22 / _xlfn.XLOOKUP(A22, Bottom!A:A, Bottom!AA:AA)</f>
        <v>7.8947368421052627E-2</v>
      </c>
      <c r="V22" s="1"/>
      <c r="W22" s="1"/>
    </row>
    <row r="23" spans="1:23" x14ac:dyDescent="0.25">
      <c r="A23" s="1" t="s">
        <v>39</v>
      </c>
      <c r="B23" s="6"/>
      <c r="C23" s="7"/>
      <c r="D23" s="8">
        <f t="shared" si="0"/>
        <v>0</v>
      </c>
      <c r="E23" s="6">
        <v>1</v>
      </c>
      <c r="F23" s="7">
        <v>1</v>
      </c>
      <c r="G23" s="8">
        <f t="shared" si="1"/>
        <v>1</v>
      </c>
      <c r="H23" s="6"/>
      <c r="I23" s="7"/>
      <c r="J23" s="8">
        <f t="shared" si="2"/>
        <v>0</v>
      </c>
      <c r="K23" s="6">
        <v>1</v>
      </c>
      <c r="L23" s="7">
        <v>0</v>
      </c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2</v>
      </c>
      <c r="S23" s="9">
        <f t="shared" si="6"/>
        <v>0.5</v>
      </c>
      <c r="T23" s="9">
        <f t="shared" si="7"/>
        <v>5.0377833753148613E-3</v>
      </c>
      <c r="U23" s="9">
        <f>R23 / _xlfn.XLOOKUP(A23, Bottom!A:A, Bottom!AA:AA)</f>
        <v>3.2786885245901641E-2</v>
      </c>
      <c r="V23" s="1"/>
      <c r="W23" s="1"/>
    </row>
    <row r="24" spans="1:23" x14ac:dyDescent="0.25">
      <c r="A24" s="25" t="s">
        <v>108</v>
      </c>
      <c r="B24" s="6"/>
      <c r="C24" s="7"/>
      <c r="D24" s="8">
        <f t="shared" si="0"/>
        <v>0</v>
      </c>
      <c r="E24" s="6"/>
      <c r="F24" s="7"/>
      <c r="G24" s="8">
        <f t="shared" si="1"/>
        <v>0</v>
      </c>
      <c r="H24" s="6"/>
      <c r="I24" s="7"/>
      <c r="J24" s="8">
        <f t="shared" si="2"/>
        <v>0</v>
      </c>
      <c r="K24" s="6">
        <v>8</v>
      </c>
      <c r="L24" s="7">
        <v>0.375</v>
      </c>
      <c r="M24" s="8">
        <f t="shared" si="3"/>
        <v>3</v>
      </c>
      <c r="N24" s="6"/>
      <c r="O24" s="7"/>
      <c r="P24" s="8">
        <f t="shared" si="4"/>
        <v>0</v>
      </c>
      <c r="Q24" s="1"/>
      <c r="R24" s="6">
        <f t="shared" si="5"/>
        <v>8</v>
      </c>
      <c r="S24" s="9">
        <f t="shared" si="6"/>
        <v>0.375</v>
      </c>
      <c r="T24" s="9">
        <f t="shared" si="7"/>
        <v>2.0151133501259445E-2</v>
      </c>
      <c r="U24" s="9">
        <f>R24 / _xlfn.XLOOKUP(A24, Bottom!A:A, Bottom!AA:AA)</f>
        <v>5.4054054054054057E-2</v>
      </c>
      <c r="V24" s="1"/>
      <c r="W24" s="1"/>
    </row>
    <row r="25" spans="1:23" x14ac:dyDescent="0.25">
      <c r="A25" s="1" t="s">
        <v>138</v>
      </c>
      <c r="B25" s="6">
        <v>2</v>
      </c>
      <c r="C25" s="7">
        <v>1</v>
      </c>
      <c r="D25" s="8">
        <f t="shared" si="0"/>
        <v>2</v>
      </c>
      <c r="E25" s="6">
        <v>2</v>
      </c>
      <c r="F25" s="7">
        <v>0.5</v>
      </c>
      <c r="G25" s="8">
        <f t="shared" si="1"/>
        <v>1</v>
      </c>
      <c r="H25" s="6">
        <v>2</v>
      </c>
      <c r="I25" s="7">
        <v>0</v>
      </c>
      <c r="J25" s="8">
        <f t="shared" si="2"/>
        <v>0</v>
      </c>
      <c r="K25" s="6">
        <v>2</v>
      </c>
      <c r="L25" s="7">
        <v>0</v>
      </c>
      <c r="M25" s="8">
        <f t="shared" si="3"/>
        <v>0</v>
      </c>
      <c r="N25" s="6"/>
      <c r="O25" s="7"/>
      <c r="P25" s="8">
        <f t="shared" si="4"/>
        <v>0</v>
      </c>
      <c r="Q25" s="1"/>
      <c r="R25" s="6">
        <f t="shared" si="5"/>
        <v>8</v>
      </c>
      <c r="S25" s="9">
        <f t="shared" si="6"/>
        <v>0.375</v>
      </c>
      <c r="T25" s="9">
        <f t="shared" si="7"/>
        <v>2.0151133501259445E-2</v>
      </c>
      <c r="U25" s="9">
        <f>R25 / _xlfn.XLOOKUP(A25, Bottom!A:A, Bottom!AA:AA)</f>
        <v>2.7118644067796609E-2</v>
      </c>
      <c r="V25" s="1"/>
      <c r="W25" s="1"/>
    </row>
    <row r="26" spans="1:23" x14ac:dyDescent="0.25">
      <c r="A26" s="17" t="s">
        <v>25</v>
      </c>
      <c r="B26" s="6"/>
      <c r="C26" s="7"/>
      <c r="D26" s="8">
        <f t="shared" si="0"/>
        <v>0</v>
      </c>
      <c r="E26" s="6"/>
      <c r="F26" s="7"/>
      <c r="G26" s="8">
        <f t="shared" si="1"/>
        <v>0</v>
      </c>
      <c r="H26" s="6">
        <v>1</v>
      </c>
      <c r="I26" s="7">
        <v>0</v>
      </c>
      <c r="J26" s="8">
        <f t="shared" si="2"/>
        <v>0</v>
      </c>
      <c r="K26" s="6"/>
      <c r="L26" s="7"/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1</v>
      </c>
      <c r="S26" s="9">
        <f t="shared" si="6"/>
        <v>0</v>
      </c>
      <c r="T26" s="9">
        <f t="shared" si="7"/>
        <v>2.5188916876574307E-3</v>
      </c>
      <c r="U26" s="9">
        <f>R26 / _xlfn.XLOOKUP(A26, Bottom!A:A, Bottom!AA:AA)</f>
        <v>9.0909090909090912E-2</v>
      </c>
      <c r="V26" s="1"/>
      <c r="W26" s="1"/>
    </row>
    <row r="27" spans="1:23" x14ac:dyDescent="0.25">
      <c r="A27" s="1"/>
      <c r="B27" s="6"/>
      <c r="C27" s="7"/>
      <c r="D27" s="8">
        <f t="shared" ref="D27:D34" si="8">B27*C27</f>
        <v>0</v>
      </c>
      <c r="E27" s="6"/>
      <c r="F27" s="7"/>
      <c r="G27" s="8">
        <f t="shared" ref="G27:G34" si="9">E27*F27</f>
        <v>0</v>
      </c>
      <c r="H27" s="6"/>
      <c r="I27" s="7"/>
      <c r="J27" s="8">
        <f t="shared" ref="J27:J34" si="10">H27*I27</f>
        <v>0</v>
      </c>
      <c r="K27" s="6"/>
      <c r="L27" s="7"/>
      <c r="M27" s="8">
        <f t="shared" ref="M27:M34" si="11">K27*L27</f>
        <v>0</v>
      </c>
      <c r="N27" s="6"/>
      <c r="O27" s="7"/>
      <c r="P27" s="8">
        <f t="shared" ref="P27:P31" si="12">N27*O27</f>
        <v>0</v>
      </c>
      <c r="Q27" s="1"/>
      <c r="R27" s="6">
        <f t="shared" ref="R27:R31" si="13">B27+E27+H27+K27+N27</f>
        <v>0</v>
      </c>
      <c r="S27" s="9" t="e">
        <f t="shared" ref="S27:S31" si="14">(D27+G27+J27+M27+P27)/R27</f>
        <v>#DIV/0!</v>
      </c>
      <c r="T27" s="9">
        <f t="shared" ref="T27:T31" si="15">R27/$V$3</f>
        <v>0</v>
      </c>
      <c r="U27" s="9" t="e">
        <f>R27 / _xlfn.XLOOKUP(A27, Bottom!A:A, Bottom!AA:AA)</f>
        <v>#DIV/0!</v>
      </c>
      <c r="V27" s="1"/>
      <c r="W27" s="1"/>
    </row>
    <row r="28" spans="1:23" x14ac:dyDescent="0.25">
      <c r="A28" s="1"/>
      <c r="B28" s="6"/>
      <c r="C28" s="7"/>
      <c r="D28" s="8">
        <f t="shared" si="8"/>
        <v>0</v>
      </c>
      <c r="E28" s="6"/>
      <c r="F28" s="7"/>
      <c r="G28" s="8">
        <f t="shared" si="9"/>
        <v>0</v>
      </c>
      <c r="H28" s="6"/>
      <c r="I28" s="7"/>
      <c r="J28" s="8">
        <f t="shared" si="10"/>
        <v>0</v>
      </c>
      <c r="K28" s="6"/>
      <c r="L28" s="7"/>
      <c r="M28" s="8">
        <f t="shared" si="11"/>
        <v>0</v>
      </c>
      <c r="N28" s="6"/>
      <c r="O28" s="7"/>
      <c r="P28" s="8">
        <f t="shared" si="12"/>
        <v>0</v>
      </c>
      <c r="Q28" s="1"/>
      <c r="R28" s="6">
        <f t="shared" si="13"/>
        <v>0</v>
      </c>
      <c r="S28" s="9" t="e">
        <f t="shared" si="14"/>
        <v>#DIV/0!</v>
      </c>
      <c r="T28" s="9">
        <f t="shared" si="15"/>
        <v>0</v>
      </c>
      <c r="U28" s="9" t="e">
        <f>R28 / _xlfn.XLOOKUP(A28, Bottom!A:A, Bottom!AA:AA)</f>
        <v>#DIV/0!</v>
      </c>
      <c r="V28" s="1"/>
      <c r="W28" s="1"/>
    </row>
    <row r="29" spans="1:23" x14ac:dyDescent="0.25">
      <c r="A29" s="1"/>
      <c r="B29" s="6"/>
      <c r="C29" s="7"/>
      <c r="D29" s="8">
        <f t="shared" si="8"/>
        <v>0</v>
      </c>
      <c r="E29" s="6"/>
      <c r="F29" s="7"/>
      <c r="G29" s="8">
        <f t="shared" si="9"/>
        <v>0</v>
      </c>
      <c r="H29" s="6"/>
      <c r="I29" s="7"/>
      <c r="J29" s="8">
        <f t="shared" si="10"/>
        <v>0</v>
      </c>
      <c r="K29" s="6"/>
      <c r="L29" s="7"/>
      <c r="M29" s="8">
        <f t="shared" si="11"/>
        <v>0</v>
      </c>
      <c r="N29" s="6"/>
      <c r="O29" s="7"/>
      <c r="P29" s="8">
        <f t="shared" si="12"/>
        <v>0</v>
      </c>
      <c r="Q29" s="1"/>
      <c r="R29" s="6">
        <f t="shared" si="13"/>
        <v>0</v>
      </c>
      <c r="S29" s="9" t="e">
        <f t="shared" si="14"/>
        <v>#DIV/0!</v>
      </c>
      <c r="T29" s="9">
        <f t="shared" si="15"/>
        <v>0</v>
      </c>
      <c r="U29" s="9" t="e">
        <f>R29 / _xlfn.XLOOKUP(A29, Bottom!A:A, Bottom!AA:AA)</f>
        <v>#DIV/0!</v>
      </c>
      <c r="V29" s="1"/>
      <c r="W29" s="1"/>
    </row>
    <row r="30" spans="1:23" x14ac:dyDescent="0.25">
      <c r="A30" s="1"/>
      <c r="B30" s="6"/>
      <c r="C30" s="7"/>
      <c r="D30" s="8">
        <f t="shared" si="8"/>
        <v>0</v>
      </c>
      <c r="E30" s="6"/>
      <c r="F30" s="7"/>
      <c r="G30" s="8">
        <f t="shared" si="9"/>
        <v>0</v>
      </c>
      <c r="H30" s="6"/>
      <c r="I30" s="7"/>
      <c r="J30" s="8">
        <f t="shared" si="10"/>
        <v>0</v>
      </c>
      <c r="K30" s="6"/>
      <c r="L30" s="7"/>
      <c r="M30" s="8">
        <f t="shared" si="11"/>
        <v>0</v>
      </c>
      <c r="N30" s="6"/>
      <c r="O30" s="7"/>
      <c r="P30" s="8">
        <f t="shared" si="12"/>
        <v>0</v>
      </c>
      <c r="Q30" s="1"/>
      <c r="R30" s="6">
        <f t="shared" si="13"/>
        <v>0</v>
      </c>
      <c r="S30" s="9" t="e">
        <f t="shared" si="14"/>
        <v>#DIV/0!</v>
      </c>
      <c r="T30" s="9">
        <f t="shared" si="15"/>
        <v>0</v>
      </c>
      <c r="U30" s="9" t="e">
        <f>R30 / _xlfn.XLOOKUP(A30, Bottom!A:A, Bottom!AA:AA)</f>
        <v>#DIV/0!</v>
      </c>
      <c r="V30" s="1"/>
      <c r="W30" s="1"/>
    </row>
    <row r="31" spans="1:23" x14ac:dyDescent="0.25">
      <c r="A31" s="1"/>
      <c r="B31" s="6"/>
      <c r="C31" s="7"/>
      <c r="D31" s="8">
        <f t="shared" si="8"/>
        <v>0</v>
      </c>
      <c r="E31" s="6"/>
      <c r="F31" s="7"/>
      <c r="G31" s="8">
        <f t="shared" si="9"/>
        <v>0</v>
      </c>
      <c r="H31" s="6"/>
      <c r="I31" s="7"/>
      <c r="J31" s="8">
        <f t="shared" si="10"/>
        <v>0</v>
      </c>
      <c r="K31" s="6"/>
      <c r="L31" s="7"/>
      <c r="M31" s="8">
        <f t="shared" si="11"/>
        <v>0</v>
      </c>
      <c r="N31" s="6"/>
      <c r="O31" s="7"/>
      <c r="P31" s="8">
        <f t="shared" si="12"/>
        <v>0</v>
      </c>
      <c r="Q31" s="1"/>
      <c r="R31" s="6">
        <f t="shared" si="13"/>
        <v>0</v>
      </c>
      <c r="S31" s="9" t="e">
        <f t="shared" si="14"/>
        <v>#DIV/0!</v>
      </c>
      <c r="T31" s="9">
        <f t="shared" si="15"/>
        <v>0</v>
      </c>
      <c r="U31" s="9" t="e">
        <f>R31 / _xlfn.XLOOKUP(A31, Bottom!A:A, Bottom!AA:AA)</f>
        <v>#DIV/0!</v>
      </c>
      <c r="V31" s="1"/>
      <c r="W31" s="1"/>
    </row>
    <row r="32" spans="1:23" x14ac:dyDescent="0.25">
      <c r="A32" s="1"/>
      <c r="B32" s="6"/>
      <c r="C32" s="7"/>
      <c r="D32" s="8">
        <f t="shared" si="8"/>
        <v>0</v>
      </c>
      <c r="E32" s="6"/>
      <c r="F32" s="7"/>
      <c r="G32" s="8">
        <f t="shared" si="9"/>
        <v>0</v>
      </c>
      <c r="H32" s="6"/>
      <c r="I32" s="7"/>
      <c r="J32" s="8">
        <f t="shared" si="10"/>
        <v>0</v>
      </c>
      <c r="K32" s="6"/>
      <c r="L32" s="7"/>
      <c r="M32" s="8">
        <f t="shared" si="11"/>
        <v>0</v>
      </c>
      <c r="N32" s="6"/>
      <c r="O32" s="7"/>
      <c r="P32" s="8">
        <f t="shared" ref="P32:P53" si="16">N32*O32</f>
        <v>0</v>
      </c>
      <c r="Q32" s="1"/>
      <c r="R32" s="6">
        <f t="shared" ref="R32:R53" si="17">B32+E32+H32+K32+N32</f>
        <v>0</v>
      </c>
      <c r="S32" s="9" t="e">
        <f t="shared" ref="S32:S53" si="18">(D32+G32+J32+M32+P32)/R32</f>
        <v>#DIV/0!</v>
      </c>
      <c r="T32" s="9">
        <f t="shared" ref="T32:T53" si="19">R32/$V$3</f>
        <v>0</v>
      </c>
      <c r="U32" s="9" t="e">
        <f>R32 / _xlfn.XLOOKUP(A32, Bottom!A:A, Bottom!AA:AA)</f>
        <v>#DIV/0!</v>
      </c>
      <c r="V32" s="1"/>
      <c r="W32" s="1"/>
    </row>
    <row r="33" spans="1:23" x14ac:dyDescent="0.25">
      <c r="A33" s="1"/>
      <c r="B33" s="6"/>
      <c r="C33" s="7"/>
      <c r="D33" s="8">
        <f t="shared" si="8"/>
        <v>0</v>
      </c>
      <c r="E33" s="6"/>
      <c r="F33" s="7"/>
      <c r="G33" s="8">
        <f t="shared" si="9"/>
        <v>0</v>
      </c>
      <c r="H33" s="6"/>
      <c r="I33" s="7"/>
      <c r="J33" s="8">
        <f t="shared" si="10"/>
        <v>0</v>
      </c>
      <c r="K33" s="6"/>
      <c r="L33" s="7"/>
      <c r="M33" s="8">
        <f t="shared" si="11"/>
        <v>0</v>
      </c>
      <c r="N33" s="6"/>
      <c r="O33" s="7"/>
      <c r="P33" s="8">
        <f t="shared" si="16"/>
        <v>0</v>
      </c>
      <c r="Q33" s="1"/>
      <c r="R33" s="6">
        <f t="shared" si="17"/>
        <v>0</v>
      </c>
      <c r="S33" s="9" t="e">
        <f t="shared" si="18"/>
        <v>#DIV/0!</v>
      </c>
      <c r="T33" s="9">
        <f t="shared" si="19"/>
        <v>0</v>
      </c>
      <c r="U33" s="9" t="e">
        <f>R33 / _xlfn.XLOOKUP(A33, Bottom!A:A, Bottom!AA:AA)</f>
        <v>#DIV/0!</v>
      </c>
      <c r="V33" s="1"/>
      <c r="W33" s="1"/>
    </row>
    <row r="34" spans="1:23" x14ac:dyDescent="0.25">
      <c r="A34" s="1"/>
      <c r="B34" s="6"/>
      <c r="C34" s="7"/>
      <c r="D34" s="8">
        <f t="shared" si="8"/>
        <v>0</v>
      </c>
      <c r="E34" s="6"/>
      <c r="F34" s="7"/>
      <c r="G34" s="8">
        <f t="shared" si="9"/>
        <v>0</v>
      </c>
      <c r="H34" s="6"/>
      <c r="I34" s="7"/>
      <c r="J34" s="8">
        <f t="shared" si="10"/>
        <v>0</v>
      </c>
      <c r="K34" s="6"/>
      <c r="L34" s="7"/>
      <c r="M34" s="8">
        <f t="shared" si="11"/>
        <v>0</v>
      </c>
      <c r="N34" s="6"/>
      <c r="O34" s="7"/>
      <c r="P34" s="8">
        <f t="shared" si="16"/>
        <v>0</v>
      </c>
      <c r="Q34" s="1"/>
      <c r="R34" s="6">
        <f t="shared" si="17"/>
        <v>0</v>
      </c>
      <c r="S34" s="9" t="e">
        <f t="shared" si="18"/>
        <v>#DIV/0!</v>
      </c>
      <c r="T34" s="9">
        <f t="shared" si="19"/>
        <v>0</v>
      </c>
      <c r="U34" s="9" t="e">
        <f>R34 / _xlfn.XLOOKUP(A34, Bottom!A:A, Bottom!AA:AA)</f>
        <v>#DIV/0!</v>
      </c>
      <c r="V34" s="1"/>
      <c r="W34" s="1"/>
    </row>
    <row r="35" spans="1:23" x14ac:dyDescent="0.25">
      <c r="N35" s="6"/>
      <c r="O35" s="7"/>
      <c r="P35" s="8">
        <f t="shared" si="16"/>
        <v>0</v>
      </c>
      <c r="Q35" s="1"/>
      <c r="R35" s="6">
        <f t="shared" si="17"/>
        <v>0</v>
      </c>
      <c r="S35" s="9" t="e">
        <f t="shared" si="18"/>
        <v>#DIV/0!</v>
      </c>
      <c r="T35" s="9">
        <f t="shared" si="19"/>
        <v>0</v>
      </c>
      <c r="U35" s="9" t="e">
        <f>R35 / _xlfn.XLOOKUP(A35, Bottom!A:A, Bottom!AA:AA)</f>
        <v>#DIV/0!</v>
      </c>
      <c r="V35" s="1"/>
      <c r="W35" s="1"/>
    </row>
    <row r="36" spans="1:23" x14ac:dyDescent="0.25">
      <c r="N36" s="6"/>
      <c r="O36" s="7"/>
      <c r="P36" s="8">
        <f t="shared" si="16"/>
        <v>0</v>
      </c>
      <c r="Q36" s="1"/>
      <c r="R36" s="6">
        <f t="shared" si="17"/>
        <v>0</v>
      </c>
      <c r="S36" s="9" t="e">
        <f t="shared" si="18"/>
        <v>#DIV/0!</v>
      </c>
      <c r="T36" s="9">
        <f t="shared" si="19"/>
        <v>0</v>
      </c>
      <c r="U36" s="9" t="e">
        <f>R36 / _xlfn.XLOOKUP(A36, Bottom!A:A, Bottom!AA:AA)</f>
        <v>#DIV/0!</v>
      </c>
      <c r="V36" s="1"/>
      <c r="W36" s="1"/>
    </row>
    <row r="37" spans="1:23" x14ac:dyDescent="0.25">
      <c r="N37" s="6"/>
      <c r="O37" s="7"/>
      <c r="P37" s="8">
        <f t="shared" si="16"/>
        <v>0</v>
      </c>
      <c r="Q37" s="1"/>
      <c r="R37" s="6">
        <f t="shared" si="17"/>
        <v>0</v>
      </c>
      <c r="S37" s="9" t="e">
        <f t="shared" si="18"/>
        <v>#DIV/0!</v>
      </c>
      <c r="T37" s="9">
        <f t="shared" si="19"/>
        <v>0</v>
      </c>
      <c r="U37" s="9" t="e">
        <f>R37 / _xlfn.XLOOKUP(A37, Bottom!A:A, Bottom!AA:AA)</f>
        <v>#DIV/0!</v>
      </c>
    </row>
    <row r="38" spans="1:23" x14ac:dyDescent="0.25">
      <c r="N38" s="6"/>
      <c r="O38" s="7"/>
      <c r="P38" s="8">
        <f t="shared" si="16"/>
        <v>0</v>
      </c>
      <c r="Q38" s="1"/>
      <c r="R38" s="6">
        <f t="shared" si="17"/>
        <v>0</v>
      </c>
      <c r="S38" s="9" t="e">
        <f t="shared" si="18"/>
        <v>#DIV/0!</v>
      </c>
      <c r="T38" s="9">
        <f t="shared" si="19"/>
        <v>0</v>
      </c>
      <c r="U38" s="9" t="e">
        <f>R38 / _xlfn.XLOOKUP(A38, Bottom!A:A, Bottom!AA:AA)</f>
        <v>#DIV/0!</v>
      </c>
    </row>
    <row r="39" spans="1:23" x14ac:dyDescent="0.25">
      <c r="N39" s="6"/>
      <c r="O39" s="7"/>
      <c r="P39" s="8">
        <f t="shared" si="16"/>
        <v>0</v>
      </c>
      <c r="Q39" s="1"/>
      <c r="R39" s="6">
        <f t="shared" si="17"/>
        <v>0</v>
      </c>
      <c r="S39" s="9" t="e">
        <f t="shared" si="18"/>
        <v>#DIV/0!</v>
      </c>
      <c r="T39" s="9">
        <f t="shared" si="19"/>
        <v>0</v>
      </c>
      <c r="U39" s="9" t="e">
        <f>R39 / _xlfn.XLOOKUP(A39, Bottom!A:A, Bottom!AA:AA)</f>
        <v>#DIV/0!</v>
      </c>
    </row>
    <row r="40" spans="1:23" x14ac:dyDescent="0.25">
      <c r="N40" s="6"/>
      <c r="O40" s="7"/>
      <c r="P40" s="8">
        <f t="shared" si="16"/>
        <v>0</v>
      </c>
      <c r="Q40" s="1"/>
      <c r="R40" s="6">
        <f t="shared" si="17"/>
        <v>0</v>
      </c>
      <c r="S40" s="9" t="e">
        <f t="shared" si="18"/>
        <v>#DIV/0!</v>
      </c>
      <c r="T40" s="9">
        <f t="shared" si="19"/>
        <v>0</v>
      </c>
      <c r="U40" s="9" t="e">
        <f>R40 / _xlfn.XLOOKUP(A40, Bottom!A:A, Bottom!AA:AA)</f>
        <v>#DIV/0!</v>
      </c>
    </row>
    <row r="41" spans="1:23" x14ac:dyDescent="0.25">
      <c r="N41" s="6"/>
      <c r="O41" s="7"/>
      <c r="P41" s="8">
        <f t="shared" si="16"/>
        <v>0</v>
      </c>
      <c r="Q41" s="1"/>
      <c r="R41" s="6">
        <f t="shared" si="17"/>
        <v>0</v>
      </c>
      <c r="S41" s="9" t="e">
        <f t="shared" si="18"/>
        <v>#DIV/0!</v>
      </c>
      <c r="T41" s="9">
        <f t="shared" si="19"/>
        <v>0</v>
      </c>
      <c r="U41" s="9" t="e">
        <f>R41 / _xlfn.XLOOKUP(A41, Bottom!A:A, Bottom!AA:AA)</f>
        <v>#DIV/0!</v>
      </c>
    </row>
    <row r="42" spans="1:23" x14ac:dyDescent="0.25">
      <c r="N42" s="6"/>
      <c r="O42" s="7"/>
      <c r="P42" s="8">
        <f t="shared" si="16"/>
        <v>0</v>
      </c>
      <c r="Q42" s="1"/>
      <c r="R42" s="6">
        <f t="shared" si="17"/>
        <v>0</v>
      </c>
      <c r="S42" s="9" t="e">
        <f t="shared" si="18"/>
        <v>#DIV/0!</v>
      </c>
      <c r="T42" s="9">
        <f t="shared" si="19"/>
        <v>0</v>
      </c>
      <c r="U42" s="9" t="e">
        <f>R42 / _xlfn.XLOOKUP(A42, Bottom!A:A, Bottom!AA:AA)</f>
        <v>#DIV/0!</v>
      </c>
    </row>
    <row r="43" spans="1:23" x14ac:dyDescent="0.25">
      <c r="N43" s="6"/>
      <c r="O43" s="7"/>
      <c r="P43" s="8">
        <f t="shared" si="16"/>
        <v>0</v>
      </c>
      <c r="Q43" s="1"/>
      <c r="R43" s="6">
        <f t="shared" si="17"/>
        <v>0</v>
      </c>
      <c r="S43" s="9" t="e">
        <f t="shared" si="18"/>
        <v>#DIV/0!</v>
      </c>
      <c r="T43" s="9">
        <f t="shared" si="19"/>
        <v>0</v>
      </c>
      <c r="U43" s="9" t="e">
        <f>R43 / _xlfn.XLOOKUP(A43, Bottom!A:A, Bottom!AA:AA)</f>
        <v>#DIV/0!</v>
      </c>
    </row>
    <row r="44" spans="1:23" x14ac:dyDescent="0.25">
      <c r="N44" s="6"/>
      <c r="O44" s="7"/>
      <c r="P44" s="8">
        <f t="shared" si="16"/>
        <v>0</v>
      </c>
      <c r="Q44" s="1"/>
      <c r="R44" s="6">
        <f t="shared" si="17"/>
        <v>0</v>
      </c>
      <c r="S44" s="9" t="e">
        <f t="shared" si="18"/>
        <v>#DIV/0!</v>
      </c>
      <c r="T44" s="9">
        <f t="shared" si="19"/>
        <v>0</v>
      </c>
      <c r="U44" s="9" t="e">
        <f>R44 / _xlfn.XLOOKUP(A44, Bottom!A:A, Bottom!AA:AA)</f>
        <v>#DIV/0!</v>
      </c>
    </row>
    <row r="45" spans="1:23" x14ac:dyDescent="0.25">
      <c r="N45" s="6"/>
      <c r="O45" s="7"/>
      <c r="P45" s="8">
        <f t="shared" si="16"/>
        <v>0</v>
      </c>
      <c r="Q45" s="1"/>
      <c r="R45" s="6">
        <f t="shared" si="17"/>
        <v>0</v>
      </c>
      <c r="S45" s="9" t="e">
        <f t="shared" si="18"/>
        <v>#DIV/0!</v>
      </c>
      <c r="T45" s="9">
        <f t="shared" si="19"/>
        <v>0</v>
      </c>
      <c r="U45" s="9" t="e">
        <f>R45 / _xlfn.XLOOKUP(A45, Bottom!A:A, Bottom!AA:AA)</f>
        <v>#DIV/0!</v>
      </c>
    </row>
    <row r="46" spans="1:23" x14ac:dyDescent="0.25">
      <c r="N46" s="6"/>
      <c r="O46" s="7"/>
      <c r="P46" s="8">
        <f t="shared" si="16"/>
        <v>0</v>
      </c>
      <c r="Q46" s="1"/>
      <c r="R46" s="6">
        <f t="shared" si="17"/>
        <v>0</v>
      </c>
      <c r="S46" s="9" t="e">
        <f t="shared" si="18"/>
        <v>#DIV/0!</v>
      </c>
      <c r="T46" s="9">
        <f t="shared" si="19"/>
        <v>0</v>
      </c>
      <c r="U46" s="9" t="e">
        <f>R46 / _xlfn.XLOOKUP(A46, Bottom!A:A, Bottom!AA:AA)</f>
        <v>#DIV/0!</v>
      </c>
    </row>
    <row r="47" spans="1:23" x14ac:dyDescent="0.25">
      <c r="N47" s="6"/>
      <c r="O47" s="7"/>
      <c r="P47" s="8">
        <f t="shared" si="16"/>
        <v>0</v>
      </c>
      <c r="Q47" s="1"/>
      <c r="R47" s="6">
        <f t="shared" si="17"/>
        <v>0</v>
      </c>
      <c r="S47" s="9" t="e">
        <f t="shared" si="18"/>
        <v>#DIV/0!</v>
      </c>
      <c r="T47" s="9">
        <f t="shared" si="19"/>
        <v>0</v>
      </c>
      <c r="U47" s="9" t="e">
        <f>R47 / _xlfn.XLOOKUP(A47, Bottom!A:A, Bottom!AA:AA)</f>
        <v>#DIV/0!</v>
      </c>
    </row>
    <row r="48" spans="1:23" x14ac:dyDescent="0.25">
      <c r="N48" s="6"/>
      <c r="O48" s="7"/>
      <c r="P48" s="8">
        <f t="shared" si="16"/>
        <v>0</v>
      </c>
      <c r="Q48" s="1"/>
      <c r="R48" s="6">
        <f t="shared" si="17"/>
        <v>0</v>
      </c>
      <c r="S48" s="9" t="e">
        <f t="shared" si="18"/>
        <v>#DIV/0!</v>
      </c>
      <c r="T48" s="9">
        <f t="shared" si="19"/>
        <v>0</v>
      </c>
      <c r="U48" s="9" t="e">
        <f>R48 / _xlfn.XLOOKUP(A48, Bottom!A:A, Bottom!AA:AA)</f>
        <v>#DIV/0!</v>
      </c>
    </row>
    <row r="49" spans="14:21" x14ac:dyDescent="0.25">
      <c r="N49" s="6"/>
      <c r="O49" s="7"/>
      <c r="P49" s="8">
        <f t="shared" si="16"/>
        <v>0</v>
      </c>
      <c r="Q49" s="1"/>
      <c r="R49" s="6">
        <f t="shared" si="17"/>
        <v>0</v>
      </c>
      <c r="S49" s="9" t="e">
        <f t="shared" si="18"/>
        <v>#DIV/0!</v>
      </c>
      <c r="T49" s="9">
        <f t="shared" si="19"/>
        <v>0</v>
      </c>
      <c r="U49" s="9" t="e">
        <f>R49 / _xlfn.XLOOKUP(A49, Bottom!A:A, Bottom!AA:AA)</f>
        <v>#DIV/0!</v>
      </c>
    </row>
    <row r="50" spans="14:21" x14ac:dyDescent="0.25">
      <c r="N50" s="6"/>
      <c r="O50" s="7"/>
      <c r="P50" s="8">
        <f t="shared" si="16"/>
        <v>0</v>
      </c>
      <c r="Q50" s="1"/>
      <c r="R50" s="6">
        <f t="shared" si="17"/>
        <v>0</v>
      </c>
      <c r="S50" s="9" t="e">
        <f t="shared" si="18"/>
        <v>#DIV/0!</v>
      </c>
      <c r="T50" s="9">
        <f t="shared" si="19"/>
        <v>0</v>
      </c>
      <c r="U50" s="9" t="e">
        <f>R50 / _xlfn.XLOOKUP(A50, Bottom!A:A, Bottom!AA:AA)</f>
        <v>#DIV/0!</v>
      </c>
    </row>
    <row r="51" spans="14:21" x14ac:dyDescent="0.25">
      <c r="N51" s="6"/>
      <c r="O51" s="7"/>
      <c r="P51" s="8">
        <f t="shared" si="16"/>
        <v>0</v>
      </c>
      <c r="Q51" s="1"/>
      <c r="R51" s="6">
        <f t="shared" si="17"/>
        <v>0</v>
      </c>
      <c r="S51" s="9" t="e">
        <f t="shared" si="18"/>
        <v>#DIV/0!</v>
      </c>
      <c r="T51" s="9">
        <f t="shared" si="19"/>
        <v>0</v>
      </c>
      <c r="U51" s="9" t="e">
        <f>R51 / _xlfn.XLOOKUP(A51, Bottom!A:A, Bottom!AA:AA)</f>
        <v>#DIV/0!</v>
      </c>
    </row>
    <row r="52" spans="14:21" x14ac:dyDescent="0.25">
      <c r="N52" s="6"/>
      <c r="O52" s="7"/>
      <c r="P52" s="8">
        <f t="shared" si="16"/>
        <v>0</v>
      </c>
      <c r="Q52" s="1"/>
      <c r="R52" s="6">
        <f t="shared" si="17"/>
        <v>0</v>
      </c>
      <c r="S52" s="9" t="e">
        <f t="shared" si="18"/>
        <v>#DIV/0!</v>
      </c>
      <c r="T52" s="9">
        <f t="shared" si="19"/>
        <v>0</v>
      </c>
      <c r="U52" s="9" t="e">
        <f>R52 / _xlfn.XLOOKUP(A52, Bottom!A:A, Bottom!AA:AA)</f>
        <v>#DIV/0!</v>
      </c>
    </row>
    <row r="53" spans="14:21" x14ac:dyDescent="0.25">
      <c r="N53" s="6"/>
      <c r="O53" s="7"/>
      <c r="P53" s="8">
        <f t="shared" si="16"/>
        <v>0</v>
      </c>
      <c r="Q53" s="1"/>
      <c r="R53" s="6">
        <f t="shared" si="17"/>
        <v>0</v>
      </c>
      <c r="S53" s="9" t="e">
        <f t="shared" si="18"/>
        <v>#DIV/0!</v>
      </c>
      <c r="T53" s="9">
        <f t="shared" si="19"/>
        <v>0</v>
      </c>
      <c r="U53" s="9" t="e">
        <f>R53 / _xlfn.XLOOKUP(A53, Bottom!A:A, Bottom!AA:AA)</f>
        <v>#DIV/0!</v>
      </c>
    </row>
  </sheetData>
  <sortState xmlns:xlrd2="http://schemas.microsoft.com/office/spreadsheetml/2017/richdata2" ref="A3:U26">
    <sortCondition descending="1" ref="S3:S26"/>
  </sortState>
  <pageMargins left="0.7" right="0.7" top="0.78740157499999996" bottom="0.78740157499999996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3F246-87A1-43CF-A4AA-AA2C4E63E4E8}">
  <sheetPr>
    <tabColor theme="9" tint="0.59999389629810485"/>
  </sheetPr>
  <dimension ref="A1:W56"/>
  <sheetViews>
    <sheetView workbookViewId="0">
      <selection activeCell="U3" sqref="U3:U28"/>
    </sheetView>
  </sheetViews>
  <sheetFormatPr baseColWidth="10" defaultRowHeight="15" x14ac:dyDescent="0.25"/>
  <sheetData>
    <row r="1" spans="1:23" ht="15.75" x14ac:dyDescent="0.25">
      <c r="A1" s="2" t="s">
        <v>206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179</v>
      </c>
      <c r="B3" s="6"/>
      <c r="C3" s="7"/>
      <c r="D3" s="8">
        <f t="shared" ref="D3:D28" si="0">B3*C3</f>
        <v>0</v>
      </c>
      <c r="E3" s="6">
        <v>3</v>
      </c>
      <c r="F3" s="7">
        <v>0</v>
      </c>
      <c r="G3" s="8">
        <f t="shared" ref="G3:G28" si="1">E3*F3</f>
        <v>0</v>
      </c>
      <c r="H3" s="6">
        <v>10</v>
      </c>
      <c r="I3" s="7">
        <v>0.6</v>
      </c>
      <c r="J3" s="8">
        <f t="shared" ref="J3:J28" si="2">H3*I3</f>
        <v>6</v>
      </c>
      <c r="K3" s="6">
        <v>10</v>
      </c>
      <c r="L3" s="7">
        <v>0.3</v>
      </c>
      <c r="M3" s="8">
        <f t="shared" ref="M3:M28" si="3">K3*L3</f>
        <v>3</v>
      </c>
      <c r="N3" s="6"/>
      <c r="O3" s="7"/>
      <c r="P3" s="8">
        <f t="shared" ref="P3:P28" si="4">N3*O3</f>
        <v>0</v>
      </c>
      <c r="Q3" s="4"/>
      <c r="R3" s="6">
        <f t="shared" ref="R3:R28" si="5">B3+E3+H3+K3+N3</f>
        <v>23</v>
      </c>
      <c r="S3" s="9">
        <f t="shared" ref="S3:S28" si="6">(D3+G3+J3+M3+P3)/R3</f>
        <v>0.39130434782608697</v>
      </c>
      <c r="T3" s="9">
        <f t="shared" ref="T3:T28" si="7">R3/$V$3</f>
        <v>0.125</v>
      </c>
      <c r="U3" s="9">
        <f>R3 / _xlfn.XLOOKUP(A3, Support!A:A, Support!AA:AA)</f>
        <v>4.852320675105485E-2</v>
      </c>
      <c r="V3" s="11">
        <f>SUM(R3:R70)</f>
        <v>184</v>
      </c>
      <c r="W3" s="12">
        <f>(SUM(D3:D100)+SUM(G3:G100)+SUM(J3:J100)+SUM(M3:M100)+SUM(P3:P100)) / V3</f>
        <v>0.39666847826086954</v>
      </c>
    </row>
    <row r="4" spans="1:23" x14ac:dyDescent="0.25">
      <c r="A4" s="1" t="s">
        <v>80</v>
      </c>
      <c r="B4" s="6"/>
      <c r="C4" s="7"/>
      <c r="D4" s="8">
        <f t="shared" si="0"/>
        <v>0</v>
      </c>
      <c r="E4" s="6">
        <v>2</v>
      </c>
      <c r="F4" s="7">
        <v>0.5</v>
      </c>
      <c r="G4" s="8">
        <f t="shared" si="1"/>
        <v>1</v>
      </c>
      <c r="H4" s="6">
        <v>9</v>
      </c>
      <c r="I4" s="7">
        <v>0.55600000000000005</v>
      </c>
      <c r="J4" s="8">
        <f t="shared" si="2"/>
        <v>5.0040000000000004</v>
      </c>
      <c r="K4" s="6">
        <v>10</v>
      </c>
      <c r="L4" s="7">
        <v>0.5</v>
      </c>
      <c r="M4" s="8">
        <f t="shared" si="3"/>
        <v>5</v>
      </c>
      <c r="N4" s="6"/>
      <c r="O4" s="7"/>
      <c r="P4" s="8">
        <f t="shared" si="4"/>
        <v>0</v>
      </c>
      <c r="Q4" s="1"/>
      <c r="R4" s="6">
        <f t="shared" si="5"/>
        <v>21</v>
      </c>
      <c r="S4" s="9">
        <f t="shared" si="6"/>
        <v>0.52400000000000002</v>
      </c>
      <c r="T4" s="9">
        <f t="shared" si="7"/>
        <v>0.11413043478260869</v>
      </c>
      <c r="U4" s="9">
        <f>R4 / _xlfn.XLOOKUP(A4, Support!A:A, Support!AA:AA)</f>
        <v>4.3121149897330596E-2</v>
      </c>
      <c r="V4" s="6"/>
      <c r="W4" s="9"/>
    </row>
    <row r="5" spans="1:23" x14ac:dyDescent="0.25">
      <c r="A5" s="1" t="s">
        <v>90</v>
      </c>
      <c r="B5" s="6"/>
      <c r="C5" s="7"/>
      <c r="D5" s="8">
        <f t="shared" si="0"/>
        <v>0</v>
      </c>
      <c r="E5" s="6">
        <v>3</v>
      </c>
      <c r="F5" s="7">
        <v>0</v>
      </c>
      <c r="G5" s="8">
        <f t="shared" si="1"/>
        <v>0</v>
      </c>
      <c r="H5" s="6">
        <v>9</v>
      </c>
      <c r="I5" s="7">
        <v>0.33300000000000002</v>
      </c>
      <c r="J5" s="8">
        <f t="shared" si="2"/>
        <v>2.9970000000000003</v>
      </c>
      <c r="K5" s="6">
        <v>9</v>
      </c>
      <c r="L5" s="7">
        <v>0.55500000000000005</v>
      </c>
      <c r="M5" s="8">
        <f t="shared" si="3"/>
        <v>4.9950000000000001</v>
      </c>
      <c r="N5" s="6"/>
      <c r="O5" s="7"/>
      <c r="P5" s="8">
        <f t="shared" si="4"/>
        <v>0</v>
      </c>
      <c r="Q5" s="1"/>
      <c r="R5" s="6">
        <f t="shared" si="5"/>
        <v>21</v>
      </c>
      <c r="S5" s="9">
        <f t="shared" si="6"/>
        <v>0.38057142857142862</v>
      </c>
      <c r="T5" s="9">
        <f t="shared" si="7"/>
        <v>0.11413043478260869</v>
      </c>
      <c r="U5" s="9">
        <f>R5 / _xlfn.XLOOKUP(A5, Support!A:A, Support!AA:AA)</f>
        <v>3.4313725490196081E-2</v>
      </c>
      <c r="W5" s="1"/>
    </row>
    <row r="6" spans="1:23" x14ac:dyDescent="0.25">
      <c r="A6" s="1" t="s">
        <v>178</v>
      </c>
      <c r="B6" s="6"/>
      <c r="C6" s="7"/>
      <c r="D6" s="8">
        <f t="shared" si="0"/>
        <v>0</v>
      </c>
      <c r="E6" s="6">
        <v>1</v>
      </c>
      <c r="F6" s="7">
        <v>0</v>
      </c>
      <c r="G6" s="8">
        <f t="shared" si="1"/>
        <v>0</v>
      </c>
      <c r="H6" s="6">
        <v>9</v>
      </c>
      <c r="I6" s="7">
        <v>0.33300000000000002</v>
      </c>
      <c r="J6" s="8">
        <f t="shared" si="2"/>
        <v>2.9970000000000003</v>
      </c>
      <c r="K6" s="6">
        <v>11</v>
      </c>
      <c r="L6" s="7">
        <v>0.27300000000000002</v>
      </c>
      <c r="M6" s="8">
        <f t="shared" si="3"/>
        <v>3.0030000000000001</v>
      </c>
      <c r="N6" s="6"/>
      <c r="O6" s="7"/>
      <c r="P6" s="8">
        <f t="shared" si="4"/>
        <v>0</v>
      </c>
      <c r="Q6" s="1"/>
      <c r="R6" s="6">
        <f t="shared" si="5"/>
        <v>21</v>
      </c>
      <c r="S6" s="9">
        <f t="shared" si="6"/>
        <v>0.2857142857142857</v>
      </c>
      <c r="T6" s="9">
        <f t="shared" si="7"/>
        <v>0.11413043478260869</v>
      </c>
      <c r="U6" s="9">
        <f>R6 / _xlfn.XLOOKUP(A6, Support!A:A, Support!AA:AA)</f>
        <v>4.2168674698795178E-2</v>
      </c>
      <c r="W6" s="1"/>
    </row>
    <row r="7" spans="1:23" x14ac:dyDescent="0.25">
      <c r="A7" s="1" t="s">
        <v>182</v>
      </c>
      <c r="B7" s="6"/>
      <c r="C7" s="7"/>
      <c r="D7" s="8">
        <f t="shared" si="0"/>
        <v>0</v>
      </c>
      <c r="E7" s="6">
        <v>6</v>
      </c>
      <c r="F7" s="7">
        <v>0</v>
      </c>
      <c r="G7" s="8">
        <f t="shared" si="1"/>
        <v>0</v>
      </c>
      <c r="H7" s="6">
        <v>2</v>
      </c>
      <c r="I7" s="7">
        <v>0</v>
      </c>
      <c r="J7" s="8">
        <f t="shared" si="2"/>
        <v>0</v>
      </c>
      <c r="K7" s="6">
        <v>11</v>
      </c>
      <c r="L7" s="7">
        <v>0.63600000000000001</v>
      </c>
      <c r="M7" s="8">
        <f t="shared" si="3"/>
        <v>6.9960000000000004</v>
      </c>
      <c r="N7" s="6"/>
      <c r="O7" s="7"/>
      <c r="P7" s="8">
        <f t="shared" si="4"/>
        <v>0</v>
      </c>
      <c r="Q7" s="4"/>
      <c r="R7" s="6">
        <f t="shared" si="5"/>
        <v>19</v>
      </c>
      <c r="S7" s="9">
        <f t="shared" si="6"/>
        <v>0.36821052631578949</v>
      </c>
      <c r="T7" s="9">
        <f t="shared" si="7"/>
        <v>0.10326086956521739</v>
      </c>
      <c r="U7" s="9">
        <f>R7 / _xlfn.XLOOKUP(A7, Support!A:A, Support!AA:AA)</f>
        <v>6.95970695970696E-2</v>
      </c>
      <c r="V7" s="1"/>
      <c r="W7" s="1"/>
    </row>
    <row r="8" spans="1:23" x14ac:dyDescent="0.25">
      <c r="A8" s="1" t="s">
        <v>176</v>
      </c>
      <c r="B8" s="6"/>
      <c r="C8" s="7"/>
      <c r="D8" s="8">
        <f t="shared" si="0"/>
        <v>0</v>
      </c>
      <c r="E8" s="6">
        <v>4</v>
      </c>
      <c r="F8" s="7">
        <v>0.25</v>
      </c>
      <c r="G8" s="8">
        <f t="shared" si="1"/>
        <v>1</v>
      </c>
      <c r="H8" s="6">
        <v>7</v>
      </c>
      <c r="I8" s="7">
        <v>0.85699999999999998</v>
      </c>
      <c r="J8" s="8">
        <f t="shared" si="2"/>
        <v>5.9989999999999997</v>
      </c>
      <c r="K8" s="6">
        <v>6</v>
      </c>
      <c r="L8" s="7">
        <v>0.33300000000000002</v>
      </c>
      <c r="M8" s="8">
        <f t="shared" si="3"/>
        <v>1.9980000000000002</v>
      </c>
      <c r="N8" s="6"/>
      <c r="O8" s="7"/>
      <c r="P8" s="8">
        <f t="shared" si="4"/>
        <v>0</v>
      </c>
      <c r="Q8" s="1"/>
      <c r="R8" s="6">
        <f t="shared" si="5"/>
        <v>17</v>
      </c>
      <c r="S8" s="9">
        <f t="shared" si="6"/>
        <v>0.52923529411764703</v>
      </c>
      <c r="T8" s="9">
        <f t="shared" si="7"/>
        <v>9.2391304347826081E-2</v>
      </c>
      <c r="U8" s="9">
        <f>R8 / _xlfn.XLOOKUP(A8, Support!A:A, Support!AA:AA)</f>
        <v>2.694136291600634E-2</v>
      </c>
      <c r="V8" s="1"/>
      <c r="W8" s="1"/>
    </row>
    <row r="9" spans="1:23" x14ac:dyDescent="0.25">
      <c r="A9" s="1" t="s">
        <v>91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/>
      <c r="I9" s="7"/>
      <c r="J9" s="8">
        <f t="shared" si="2"/>
        <v>0</v>
      </c>
      <c r="K9" s="6">
        <v>8</v>
      </c>
      <c r="L9" s="7">
        <v>0.375</v>
      </c>
      <c r="M9" s="8">
        <f t="shared" si="3"/>
        <v>3</v>
      </c>
      <c r="N9" s="6"/>
      <c r="O9" s="7"/>
      <c r="P9" s="8">
        <f t="shared" si="4"/>
        <v>0</v>
      </c>
      <c r="Q9" s="1"/>
      <c r="R9" s="6">
        <f t="shared" si="5"/>
        <v>8</v>
      </c>
      <c r="S9" s="9">
        <f t="shared" si="6"/>
        <v>0.375</v>
      </c>
      <c r="T9" s="9">
        <f t="shared" si="7"/>
        <v>4.3478260869565216E-2</v>
      </c>
      <c r="U9" s="9">
        <f>R9 / _xlfn.XLOOKUP(A9, Support!A:A, Support!AA:AA)</f>
        <v>4.7619047619047616E-2</v>
      </c>
      <c r="V9" s="1"/>
      <c r="W9" s="1"/>
    </row>
    <row r="10" spans="1:23" x14ac:dyDescent="0.25">
      <c r="A10" s="1" t="s">
        <v>29</v>
      </c>
      <c r="B10" s="6"/>
      <c r="C10" s="7"/>
      <c r="D10" s="8">
        <f t="shared" si="0"/>
        <v>0</v>
      </c>
      <c r="E10" s="6"/>
      <c r="F10" s="7"/>
      <c r="G10" s="8">
        <f t="shared" si="1"/>
        <v>0</v>
      </c>
      <c r="H10" s="6">
        <v>5</v>
      </c>
      <c r="I10" s="7">
        <v>0.4</v>
      </c>
      <c r="J10" s="8">
        <f t="shared" si="2"/>
        <v>2</v>
      </c>
      <c r="K10" s="6">
        <v>2</v>
      </c>
      <c r="L10" s="7">
        <v>0</v>
      </c>
      <c r="M10" s="8">
        <f t="shared" si="3"/>
        <v>0</v>
      </c>
      <c r="N10" s="6"/>
      <c r="O10" s="7"/>
      <c r="P10" s="8">
        <f t="shared" si="4"/>
        <v>0</v>
      </c>
      <c r="Q10" s="1"/>
      <c r="R10" s="6">
        <f t="shared" si="5"/>
        <v>7</v>
      </c>
      <c r="S10" s="9">
        <f t="shared" si="6"/>
        <v>0.2857142857142857</v>
      </c>
      <c r="T10" s="9">
        <f t="shared" si="7"/>
        <v>3.8043478260869568E-2</v>
      </c>
      <c r="U10" s="9">
        <f>R10 / _xlfn.XLOOKUP(A10, Support!A:A, Support!AA:AA)</f>
        <v>3.5000000000000003E-2</v>
      </c>
      <c r="V10" s="1"/>
      <c r="W10" s="1"/>
    </row>
    <row r="11" spans="1:23" x14ac:dyDescent="0.25">
      <c r="A11" s="1" t="s">
        <v>31</v>
      </c>
      <c r="B11" s="6"/>
      <c r="C11" s="7"/>
      <c r="D11" s="8">
        <f t="shared" si="0"/>
        <v>0</v>
      </c>
      <c r="E11" s="6"/>
      <c r="F11" s="7"/>
      <c r="G11" s="8">
        <f t="shared" si="1"/>
        <v>0</v>
      </c>
      <c r="H11" s="6">
        <v>1</v>
      </c>
      <c r="I11" s="7">
        <v>0</v>
      </c>
      <c r="J11" s="8">
        <f t="shared" si="2"/>
        <v>0</v>
      </c>
      <c r="K11" s="6">
        <v>5</v>
      </c>
      <c r="L11" s="7">
        <v>0.6</v>
      </c>
      <c r="M11" s="8">
        <f t="shared" si="3"/>
        <v>3</v>
      </c>
      <c r="N11" s="6"/>
      <c r="O11" s="7"/>
      <c r="P11" s="8">
        <f t="shared" si="4"/>
        <v>0</v>
      </c>
      <c r="Q11" s="1"/>
      <c r="R11" s="6">
        <f t="shared" si="5"/>
        <v>6</v>
      </c>
      <c r="S11" s="9">
        <f t="shared" si="6"/>
        <v>0.5</v>
      </c>
      <c r="T11" s="9">
        <f t="shared" si="7"/>
        <v>3.2608695652173912E-2</v>
      </c>
      <c r="U11" s="9">
        <f>R11 / _xlfn.XLOOKUP(A11, Support!A:A, Support!AA:AA)</f>
        <v>4.8387096774193547E-2</v>
      </c>
      <c r="V11" s="1"/>
      <c r="W11" s="1"/>
    </row>
    <row r="12" spans="1:23" x14ac:dyDescent="0.25">
      <c r="A12" s="1" t="s">
        <v>143</v>
      </c>
      <c r="B12" s="6"/>
      <c r="C12" s="7"/>
      <c r="D12" s="8">
        <f t="shared" si="0"/>
        <v>0</v>
      </c>
      <c r="E12" s="6"/>
      <c r="F12" s="7"/>
      <c r="G12" s="8">
        <f t="shared" si="1"/>
        <v>0</v>
      </c>
      <c r="H12" s="6">
        <v>6</v>
      </c>
      <c r="I12" s="7">
        <v>0.5</v>
      </c>
      <c r="J12" s="8">
        <f t="shared" si="2"/>
        <v>3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4"/>
      <c r="R12" s="6">
        <f t="shared" si="5"/>
        <v>6</v>
      </c>
      <c r="S12" s="9">
        <f t="shared" si="6"/>
        <v>0.5</v>
      </c>
      <c r="T12" s="9">
        <f t="shared" si="7"/>
        <v>3.2608695652173912E-2</v>
      </c>
      <c r="U12" s="9">
        <f>R12 / _xlfn.XLOOKUP(A12, Support!A:A, Support!AA:AA)</f>
        <v>7.792207792207792E-2</v>
      </c>
      <c r="V12" s="1"/>
      <c r="W12" s="1"/>
    </row>
    <row r="13" spans="1:23" x14ac:dyDescent="0.25">
      <c r="A13" s="1" t="s">
        <v>169</v>
      </c>
      <c r="B13" s="6"/>
      <c r="C13" s="7"/>
      <c r="D13" s="8">
        <f t="shared" si="0"/>
        <v>0</v>
      </c>
      <c r="E13" s="6"/>
      <c r="F13" s="7"/>
      <c r="G13" s="8">
        <f t="shared" si="1"/>
        <v>0</v>
      </c>
      <c r="H13" s="6">
        <v>3</v>
      </c>
      <c r="I13" s="7">
        <v>0.66700000000000004</v>
      </c>
      <c r="J13" s="8">
        <f t="shared" si="2"/>
        <v>2.0010000000000003</v>
      </c>
      <c r="K13" s="6">
        <v>2</v>
      </c>
      <c r="L13" s="7">
        <v>0.5</v>
      </c>
      <c r="M13" s="8">
        <f t="shared" si="3"/>
        <v>1</v>
      </c>
      <c r="N13" s="6"/>
      <c r="O13" s="7"/>
      <c r="P13" s="8">
        <f t="shared" si="4"/>
        <v>0</v>
      </c>
      <c r="Q13" s="1"/>
      <c r="R13" s="6">
        <f t="shared" si="5"/>
        <v>5</v>
      </c>
      <c r="S13" s="9">
        <f t="shared" si="6"/>
        <v>0.60020000000000007</v>
      </c>
      <c r="T13" s="9">
        <f t="shared" si="7"/>
        <v>2.717391304347826E-2</v>
      </c>
      <c r="U13" s="9">
        <f>R13 / _xlfn.XLOOKUP(A13, Support!A:A, Support!AA:AA)</f>
        <v>1.6129032258064516E-2</v>
      </c>
      <c r="V13" s="1"/>
      <c r="W13" s="1"/>
    </row>
    <row r="14" spans="1:23" x14ac:dyDescent="0.25">
      <c r="A14" s="1" t="s">
        <v>173</v>
      </c>
      <c r="B14" s="6"/>
      <c r="C14" s="7"/>
      <c r="D14" s="8">
        <f t="shared" si="0"/>
        <v>0</v>
      </c>
      <c r="E14" s="6"/>
      <c r="F14" s="7"/>
      <c r="G14" s="8">
        <f t="shared" si="1"/>
        <v>0</v>
      </c>
      <c r="H14" s="6">
        <v>1</v>
      </c>
      <c r="I14" s="7">
        <v>0</v>
      </c>
      <c r="J14" s="8">
        <f t="shared" si="2"/>
        <v>0</v>
      </c>
      <c r="K14" s="6">
        <v>3</v>
      </c>
      <c r="L14" s="7">
        <v>0.33300000000000002</v>
      </c>
      <c r="M14" s="8">
        <f t="shared" si="3"/>
        <v>0.99900000000000011</v>
      </c>
      <c r="N14" s="6"/>
      <c r="O14" s="7"/>
      <c r="P14" s="8">
        <f t="shared" si="4"/>
        <v>0</v>
      </c>
      <c r="Q14" s="1"/>
      <c r="R14" s="6">
        <f t="shared" si="5"/>
        <v>4</v>
      </c>
      <c r="S14" s="9">
        <f t="shared" si="6"/>
        <v>0.24975000000000003</v>
      </c>
      <c r="T14" s="9">
        <f t="shared" si="7"/>
        <v>2.1739130434782608E-2</v>
      </c>
      <c r="U14" s="9">
        <f>R14 / _xlfn.XLOOKUP(A14, Support!A:A, Support!AA:AA)</f>
        <v>1.2987012987012988E-2</v>
      </c>
      <c r="V14" s="1"/>
      <c r="W14" s="1"/>
    </row>
    <row r="15" spans="1:23" x14ac:dyDescent="0.25">
      <c r="A15" s="1" t="s">
        <v>186</v>
      </c>
      <c r="B15" s="6"/>
      <c r="C15" s="7"/>
      <c r="D15" s="8">
        <f t="shared" si="0"/>
        <v>0</v>
      </c>
      <c r="E15" s="6">
        <v>1</v>
      </c>
      <c r="F15" s="7">
        <v>0</v>
      </c>
      <c r="G15" s="8">
        <f t="shared" si="1"/>
        <v>0</v>
      </c>
      <c r="H15" s="6">
        <v>3</v>
      </c>
      <c r="I15" s="7">
        <v>0</v>
      </c>
      <c r="J15" s="8">
        <f t="shared" si="2"/>
        <v>0</v>
      </c>
      <c r="K15" s="6"/>
      <c r="L15" s="7"/>
      <c r="M15" s="8">
        <f t="shared" si="3"/>
        <v>0</v>
      </c>
      <c r="N15" s="6"/>
      <c r="O15" s="7"/>
      <c r="P15" s="8">
        <f t="shared" si="4"/>
        <v>0</v>
      </c>
      <c r="Q15" s="4"/>
      <c r="R15" s="6">
        <f t="shared" si="5"/>
        <v>4</v>
      </c>
      <c r="S15" s="9">
        <f t="shared" si="6"/>
        <v>0</v>
      </c>
      <c r="T15" s="9">
        <f t="shared" si="7"/>
        <v>2.1739130434782608E-2</v>
      </c>
      <c r="U15" s="9">
        <f>R15 / _xlfn.XLOOKUP(A15, Support!A:A, Support!AA:AA)</f>
        <v>3.7735849056603772E-2</v>
      </c>
      <c r="V15" s="1"/>
      <c r="W15" s="1"/>
    </row>
    <row r="16" spans="1:23" x14ac:dyDescent="0.25">
      <c r="A16" s="1" t="s">
        <v>172</v>
      </c>
      <c r="B16" s="6"/>
      <c r="C16" s="7"/>
      <c r="D16" s="8">
        <f t="shared" si="0"/>
        <v>0</v>
      </c>
      <c r="E16" s="6"/>
      <c r="F16" s="7"/>
      <c r="G16" s="8">
        <f t="shared" si="1"/>
        <v>0</v>
      </c>
      <c r="H16" s="6">
        <v>3</v>
      </c>
      <c r="I16" s="7">
        <v>0.33300000000000002</v>
      </c>
      <c r="J16" s="8">
        <f t="shared" si="2"/>
        <v>0.99900000000000011</v>
      </c>
      <c r="K16" s="6"/>
      <c r="L16" s="7"/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3</v>
      </c>
      <c r="S16" s="9">
        <f t="shared" si="6"/>
        <v>0.33300000000000002</v>
      </c>
      <c r="T16" s="9">
        <f t="shared" si="7"/>
        <v>1.6304347826086956E-2</v>
      </c>
      <c r="U16" s="9">
        <f>R16 / _xlfn.XLOOKUP(A16, Support!A:A, Support!AA:AA)</f>
        <v>1.107011070110701E-2</v>
      </c>
      <c r="V16" s="1"/>
      <c r="W16" s="1"/>
    </row>
    <row r="17" spans="1:23" x14ac:dyDescent="0.25">
      <c r="A17" s="23" t="s">
        <v>81</v>
      </c>
      <c r="B17" s="6"/>
      <c r="C17" s="7"/>
      <c r="D17" s="8">
        <f t="shared" si="0"/>
        <v>0</v>
      </c>
      <c r="E17" s="6"/>
      <c r="F17" s="7"/>
      <c r="G17" s="8">
        <f t="shared" si="1"/>
        <v>0</v>
      </c>
      <c r="H17" s="6"/>
      <c r="I17" s="7"/>
      <c r="J17" s="8">
        <f t="shared" si="2"/>
        <v>0</v>
      </c>
      <c r="K17" s="6">
        <v>3</v>
      </c>
      <c r="L17" s="7">
        <v>0.33300000000000002</v>
      </c>
      <c r="M17" s="8">
        <f t="shared" si="3"/>
        <v>0.99900000000000011</v>
      </c>
      <c r="N17" s="6"/>
      <c r="O17" s="7"/>
      <c r="P17" s="8">
        <f t="shared" si="4"/>
        <v>0</v>
      </c>
      <c r="Q17" s="1"/>
      <c r="R17" s="6">
        <f t="shared" si="5"/>
        <v>3</v>
      </c>
      <c r="S17" s="9">
        <f t="shared" si="6"/>
        <v>0.33300000000000002</v>
      </c>
      <c r="T17" s="9">
        <f t="shared" si="7"/>
        <v>1.6304347826086956E-2</v>
      </c>
      <c r="U17" s="9">
        <f>R17 / _xlfn.XLOOKUP(A17, Support!A:A, Support!AA:AA)</f>
        <v>6.6666666666666666E-2</v>
      </c>
      <c r="V17" s="1"/>
      <c r="W17" s="1"/>
    </row>
    <row r="18" spans="1:23" x14ac:dyDescent="0.25">
      <c r="A18" s="1" t="s">
        <v>181</v>
      </c>
      <c r="B18" s="6"/>
      <c r="C18" s="7"/>
      <c r="D18" s="8">
        <f t="shared" si="0"/>
        <v>0</v>
      </c>
      <c r="E18" s="6"/>
      <c r="F18" s="7"/>
      <c r="G18" s="8">
        <f t="shared" si="1"/>
        <v>0</v>
      </c>
      <c r="H18" s="6"/>
      <c r="I18" s="7"/>
      <c r="J18" s="8">
        <f t="shared" si="2"/>
        <v>0</v>
      </c>
      <c r="K18" s="6">
        <v>2</v>
      </c>
      <c r="L18" s="7">
        <v>1</v>
      </c>
      <c r="M18" s="8">
        <f t="shared" si="3"/>
        <v>2</v>
      </c>
      <c r="N18" s="6"/>
      <c r="O18" s="7"/>
      <c r="P18" s="8">
        <f t="shared" si="4"/>
        <v>0</v>
      </c>
      <c r="Q18" s="1"/>
      <c r="R18" s="6">
        <f t="shared" si="5"/>
        <v>2</v>
      </c>
      <c r="S18" s="9">
        <f t="shared" si="6"/>
        <v>1</v>
      </c>
      <c r="T18" s="9">
        <f t="shared" si="7"/>
        <v>1.0869565217391304E-2</v>
      </c>
      <c r="U18" s="9">
        <f>R18 / _xlfn.XLOOKUP(A18, Support!A:A, Support!AA:AA)</f>
        <v>1.8518518518518517E-2</v>
      </c>
      <c r="V18" s="1"/>
      <c r="W18" s="1"/>
    </row>
    <row r="19" spans="1:23" x14ac:dyDescent="0.25">
      <c r="A19" s="1" t="s">
        <v>147</v>
      </c>
      <c r="B19" s="6"/>
      <c r="C19" s="7"/>
      <c r="D19" s="8">
        <f t="shared" si="0"/>
        <v>0</v>
      </c>
      <c r="E19" s="6"/>
      <c r="F19" s="7"/>
      <c r="G19" s="8">
        <f t="shared" si="1"/>
        <v>0</v>
      </c>
      <c r="H19" s="6">
        <v>2</v>
      </c>
      <c r="I19" s="7">
        <v>0.5</v>
      </c>
      <c r="J19" s="8">
        <f t="shared" si="2"/>
        <v>1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13"/>
      <c r="R19" s="6">
        <f t="shared" si="5"/>
        <v>2</v>
      </c>
      <c r="S19" s="9">
        <f t="shared" si="6"/>
        <v>0.5</v>
      </c>
      <c r="T19" s="9">
        <f t="shared" si="7"/>
        <v>1.0869565217391304E-2</v>
      </c>
      <c r="U19" s="9">
        <f>R19 / _xlfn.XLOOKUP(A19, Support!A:A, Support!AA:AA)</f>
        <v>2.4691358024691357E-2</v>
      </c>
      <c r="V19" s="1"/>
      <c r="W19" s="1"/>
    </row>
    <row r="20" spans="1:23" x14ac:dyDescent="0.25">
      <c r="A20" s="1" t="s">
        <v>10</v>
      </c>
      <c r="B20" s="6"/>
      <c r="C20" s="7"/>
      <c r="D20" s="8">
        <f t="shared" si="0"/>
        <v>0</v>
      </c>
      <c r="E20" s="6"/>
      <c r="F20" s="7"/>
      <c r="G20" s="8">
        <f t="shared" si="1"/>
        <v>0</v>
      </c>
      <c r="H20" s="6"/>
      <c r="I20" s="7"/>
      <c r="J20" s="8">
        <f t="shared" si="2"/>
        <v>0</v>
      </c>
      <c r="K20" s="6">
        <v>2</v>
      </c>
      <c r="L20" s="7">
        <v>0</v>
      </c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2</v>
      </c>
      <c r="S20" s="9">
        <f t="shared" si="6"/>
        <v>0</v>
      </c>
      <c r="T20" s="9">
        <f t="shared" si="7"/>
        <v>1.0869565217391304E-2</v>
      </c>
      <c r="U20" s="9">
        <f>R20 / _xlfn.XLOOKUP(A20, Support!A:A, Support!AA:AA)</f>
        <v>0.1111111111111111</v>
      </c>
      <c r="V20" s="1"/>
      <c r="W20" s="1"/>
    </row>
    <row r="21" spans="1:23" x14ac:dyDescent="0.25">
      <c r="A21" s="1" t="s">
        <v>174</v>
      </c>
      <c r="B21" s="6"/>
      <c r="C21" s="7"/>
      <c r="D21" s="8">
        <f t="shared" si="0"/>
        <v>0</v>
      </c>
      <c r="E21" s="6"/>
      <c r="F21" s="7"/>
      <c r="G21" s="8">
        <f t="shared" si="1"/>
        <v>0</v>
      </c>
      <c r="H21" s="6">
        <v>1</v>
      </c>
      <c r="I21" s="7">
        <v>0</v>
      </c>
      <c r="J21" s="8">
        <f t="shared" si="2"/>
        <v>0</v>
      </c>
      <c r="K21" s="6">
        <v>1</v>
      </c>
      <c r="L21" s="7">
        <v>0</v>
      </c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2</v>
      </c>
      <c r="S21" s="9">
        <f t="shared" si="6"/>
        <v>0</v>
      </c>
      <c r="T21" s="9">
        <f t="shared" si="7"/>
        <v>1.0869565217391304E-2</v>
      </c>
      <c r="U21" s="9">
        <f>R21 / _xlfn.XLOOKUP(A21, Support!A:A, Support!AA:AA)</f>
        <v>5.8823529411764705E-2</v>
      </c>
      <c r="V21" s="1"/>
      <c r="W21" s="1"/>
    </row>
    <row r="22" spans="1:23" x14ac:dyDescent="0.25">
      <c r="A22" s="1" t="s">
        <v>168</v>
      </c>
      <c r="B22" s="6"/>
      <c r="C22" s="7"/>
      <c r="D22" s="8">
        <f t="shared" si="0"/>
        <v>0</v>
      </c>
      <c r="E22" s="6"/>
      <c r="F22" s="7"/>
      <c r="G22" s="8">
        <f t="shared" si="1"/>
        <v>0</v>
      </c>
      <c r="H22" s="6">
        <v>2</v>
      </c>
      <c r="I22" s="7">
        <v>0</v>
      </c>
      <c r="J22" s="8">
        <f t="shared" si="2"/>
        <v>0</v>
      </c>
      <c r="K22" s="6"/>
      <c r="L22" s="7"/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2</v>
      </c>
      <c r="S22" s="9">
        <f t="shared" si="6"/>
        <v>0</v>
      </c>
      <c r="T22" s="9">
        <f t="shared" si="7"/>
        <v>1.0869565217391304E-2</v>
      </c>
      <c r="U22" s="9">
        <f>R22 / _xlfn.XLOOKUP(A22, Support!A:A, Support!AA:AA)</f>
        <v>1.0526315789473684E-2</v>
      </c>
      <c r="V22" s="1"/>
      <c r="W22" s="1"/>
    </row>
    <row r="23" spans="1:23" x14ac:dyDescent="0.25">
      <c r="A23" s="1" t="s">
        <v>183</v>
      </c>
      <c r="B23" s="6"/>
      <c r="C23" s="7"/>
      <c r="D23" s="8">
        <f t="shared" si="0"/>
        <v>0</v>
      </c>
      <c r="E23" s="6"/>
      <c r="F23" s="7"/>
      <c r="G23" s="8">
        <f t="shared" si="1"/>
        <v>0</v>
      </c>
      <c r="H23" s="6">
        <v>1</v>
      </c>
      <c r="I23" s="7">
        <v>1</v>
      </c>
      <c r="J23" s="8">
        <f t="shared" si="2"/>
        <v>1</v>
      </c>
      <c r="K23" s="6"/>
      <c r="L23" s="7"/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1</v>
      </c>
      <c r="S23" s="9">
        <f t="shared" si="6"/>
        <v>1</v>
      </c>
      <c r="T23" s="9">
        <f t="shared" si="7"/>
        <v>5.434782608695652E-3</v>
      </c>
      <c r="U23" s="9">
        <f>R23 / _xlfn.XLOOKUP(A23, Support!A:A, Support!AA:AA)</f>
        <v>1.3333333333333334E-2</v>
      </c>
      <c r="V23" s="1"/>
      <c r="W23" s="1"/>
    </row>
    <row r="24" spans="1:23" x14ac:dyDescent="0.25">
      <c r="A24" s="1" t="s">
        <v>30</v>
      </c>
      <c r="B24" s="6"/>
      <c r="C24" s="7"/>
      <c r="D24" s="8">
        <f t="shared" si="0"/>
        <v>0</v>
      </c>
      <c r="E24" s="6"/>
      <c r="F24" s="7"/>
      <c r="G24" s="8">
        <f t="shared" si="1"/>
        <v>0</v>
      </c>
      <c r="H24" s="6">
        <v>1</v>
      </c>
      <c r="I24" s="7">
        <v>1</v>
      </c>
      <c r="J24" s="8">
        <f t="shared" si="2"/>
        <v>1</v>
      </c>
      <c r="K24" s="6"/>
      <c r="L24" s="7"/>
      <c r="M24" s="8">
        <f t="shared" si="3"/>
        <v>0</v>
      </c>
      <c r="N24" s="6"/>
      <c r="O24" s="7"/>
      <c r="P24" s="8">
        <f t="shared" si="4"/>
        <v>0</v>
      </c>
      <c r="Q24" s="1"/>
      <c r="R24" s="6">
        <f t="shared" si="5"/>
        <v>1</v>
      </c>
      <c r="S24" s="9">
        <f t="shared" si="6"/>
        <v>1</v>
      </c>
      <c r="T24" s="9">
        <f t="shared" si="7"/>
        <v>5.434782608695652E-3</v>
      </c>
      <c r="U24" s="9">
        <f>R24 / _xlfn.XLOOKUP(A24, Support!A:A, Support!AA:AA)</f>
        <v>2.2727272727272728E-2</v>
      </c>
      <c r="V24" s="1"/>
      <c r="W24" s="1"/>
    </row>
    <row r="25" spans="1:23" x14ac:dyDescent="0.25">
      <c r="A25" s="1" t="s">
        <v>122</v>
      </c>
      <c r="B25" s="6"/>
      <c r="C25" s="7"/>
      <c r="D25" s="8">
        <f t="shared" si="0"/>
        <v>0</v>
      </c>
      <c r="E25" s="6"/>
      <c r="F25" s="7"/>
      <c r="G25" s="8">
        <f t="shared" si="1"/>
        <v>0</v>
      </c>
      <c r="H25" s="6">
        <v>1</v>
      </c>
      <c r="I25" s="7">
        <v>1</v>
      </c>
      <c r="J25" s="8">
        <f t="shared" si="2"/>
        <v>1</v>
      </c>
      <c r="K25" s="6"/>
      <c r="L25" s="7"/>
      <c r="M25" s="8">
        <f t="shared" si="3"/>
        <v>0</v>
      </c>
      <c r="N25" s="6"/>
      <c r="O25" s="7"/>
      <c r="P25" s="8">
        <f t="shared" si="4"/>
        <v>0</v>
      </c>
      <c r="Q25" s="1"/>
      <c r="R25" s="6">
        <f t="shared" si="5"/>
        <v>1</v>
      </c>
      <c r="S25" s="9">
        <f t="shared" si="6"/>
        <v>1</v>
      </c>
      <c r="T25" s="9">
        <f t="shared" si="7"/>
        <v>5.434782608695652E-3</v>
      </c>
      <c r="U25" s="9">
        <f>R25 / _xlfn.XLOOKUP(A25, Support!A:A, Support!AA:AA)</f>
        <v>3.8461538461538464E-2</v>
      </c>
      <c r="V25" s="1"/>
      <c r="W25" s="1"/>
    </row>
    <row r="26" spans="1:23" x14ac:dyDescent="0.25">
      <c r="A26" s="1" t="s">
        <v>14</v>
      </c>
      <c r="B26" s="6"/>
      <c r="C26" s="7"/>
      <c r="D26" s="8">
        <f t="shared" si="0"/>
        <v>0</v>
      </c>
      <c r="E26" s="6"/>
      <c r="F26" s="7"/>
      <c r="G26" s="8">
        <f t="shared" si="1"/>
        <v>0</v>
      </c>
      <c r="H26" s="6"/>
      <c r="I26" s="7"/>
      <c r="J26" s="8">
        <f t="shared" si="2"/>
        <v>0</v>
      </c>
      <c r="K26" s="6">
        <v>1</v>
      </c>
      <c r="L26" s="7">
        <v>0</v>
      </c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1</v>
      </c>
      <c r="S26" s="9">
        <f t="shared" si="6"/>
        <v>0</v>
      </c>
      <c r="T26" s="9">
        <f t="shared" si="7"/>
        <v>5.434782608695652E-3</v>
      </c>
      <c r="U26" s="9">
        <f>R26 / _xlfn.XLOOKUP(A26, Support!A:A, Support!AA:AA)</f>
        <v>3.8461538461538464E-2</v>
      </c>
      <c r="V26" s="1"/>
      <c r="W26" s="1"/>
    </row>
    <row r="27" spans="1:23" x14ac:dyDescent="0.25">
      <c r="A27" s="1" t="s">
        <v>77</v>
      </c>
      <c r="B27" s="6"/>
      <c r="C27" s="7"/>
      <c r="D27" s="8">
        <f t="shared" si="0"/>
        <v>0</v>
      </c>
      <c r="E27" s="6"/>
      <c r="F27" s="7"/>
      <c r="G27" s="8">
        <f t="shared" si="1"/>
        <v>0</v>
      </c>
      <c r="H27" s="6"/>
      <c r="I27" s="7"/>
      <c r="J27" s="8">
        <f t="shared" si="2"/>
        <v>0</v>
      </c>
      <c r="K27" s="6">
        <v>1</v>
      </c>
      <c r="L27" s="7">
        <v>0</v>
      </c>
      <c r="M27" s="8">
        <f t="shared" si="3"/>
        <v>0</v>
      </c>
      <c r="N27" s="6"/>
      <c r="O27" s="7"/>
      <c r="P27" s="8">
        <f t="shared" si="4"/>
        <v>0</v>
      </c>
      <c r="Q27" s="1"/>
      <c r="R27" s="6">
        <f t="shared" si="5"/>
        <v>1</v>
      </c>
      <c r="S27" s="9">
        <f t="shared" si="6"/>
        <v>0</v>
      </c>
      <c r="T27" s="9">
        <f t="shared" si="7"/>
        <v>5.434782608695652E-3</v>
      </c>
      <c r="U27" s="9">
        <f>R27 / _xlfn.XLOOKUP(A27, Support!A:A, Support!AA:AA)</f>
        <v>6.25E-2</v>
      </c>
      <c r="V27" s="1"/>
      <c r="W27" s="1"/>
    </row>
    <row r="28" spans="1:23" x14ac:dyDescent="0.25">
      <c r="A28" s="1" t="s">
        <v>171</v>
      </c>
      <c r="B28" s="6"/>
      <c r="C28" s="7"/>
      <c r="D28" s="8">
        <f t="shared" si="0"/>
        <v>0</v>
      </c>
      <c r="E28" s="6"/>
      <c r="F28" s="7"/>
      <c r="G28" s="8">
        <f t="shared" si="1"/>
        <v>0</v>
      </c>
      <c r="H28" s="6"/>
      <c r="I28" s="7"/>
      <c r="J28" s="8">
        <f t="shared" si="2"/>
        <v>0</v>
      </c>
      <c r="K28" s="6">
        <v>1</v>
      </c>
      <c r="L28" s="7">
        <v>0</v>
      </c>
      <c r="M28" s="8">
        <f t="shared" si="3"/>
        <v>0</v>
      </c>
      <c r="N28" s="6"/>
      <c r="O28" s="7"/>
      <c r="P28" s="8">
        <f t="shared" si="4"/>
        <v>0</v>
      </c>
      <c r="Q28" s="1"/>
      <c r="R28" s="6">
        <f t="shared" si="5"/>
        <v>1</v>
      </c>
      <c r="S28" s="9">
        <f t="shared" si="6"/>
        <v>0</v>
      </c>
      <c r="T28" s="9">
        <f t="shared" si="7"/>
        <v>5.434782608695652E-3</v>
      </c>
      <c r="U28" s="9">
        <f>R28 / _xlfn.XLOOKUP(A28, Support!A:A, Support!AA:AA)</f>
        <v>9.7087378640776691E-3</v>
      </c>
      <c r="V28" s="1"/>
      <c r="W28" s="1"/>
    </row>
    <row r="29" spans="1:23" x14ac:dyDescent="0.25">
      <c r="N29" s="6"/>
      <c r="O29" s="7"/>
      <c r="P29" s="8">
        <f t="shared" ref="P29:P34" si="8">N29*O29</f>
        <v>0</v>
      </c>
      <c r="Q29" s="1"/>
      <c r="R29" s="6">
        <f t="shared" ref="R29:R34" si="9">B29+E29+H29+K29+N29</f>
        <v>0</v>
      </c>
      <c r="S29" s="9" t="e">
        <f t="shared" ref="S29:S34" si="10">(D29+G29+J29+M29+P29)/R29</f>
        <v>#DIV/0!</v>
      </c>
      <c r="T29" s="9">
        <f t="shared" ref="T29:T34" si="11">R29/$V$3</f>
        <v>0</v>
      </c>
      <c r="U29" s="9" t="e">
        <f>R29 / _xlfn.XLOOKUP(A29, Support!A:A, Support!AA:AA)</f>
        <v>#DIV/0!</v>
      </c>
      <c r="V29" s="1"/>
      <c r="W29" s="1"/>
    </row>
    <row r="30" spans="1:23" x14ac:dyDescent="0.25">
      <c r="N30" s="6"/>
      <c r="O30" s="7"/>
      <c r="P30" s="8">
        <f t="shared" si="8"/>
        <v>0</v>
      </c>
      <c r="Q30" s="1"/>
      <c r="R30" s="6">
        <f t="shared" si="9"/>
        <v>0</v>
      </c>
      <c r="S30" s="9" t="e">
        <f t="shared" si="10"/>
        <v>#DIV/0!</v>
      </c>
      <c r="T30" s="9">
        <f t="shared" si="11"/>
        <v>0</v>
      </c>
      <c r="U30" s="9" t="e">
        <f>R30 / _xlfn.XLOOKUP(A30, Support!A:A, Support!AA:AA)</f>
        <v>#DIV/0!</v>
      </c>
      <c r="V30" s="1"/>
      <c r="W30" s="1"/>
    </row>
    <row r="31" spans="1:23" x14ac:dyDescent="0.25">
      <c r="N31" s="6"/>
      <c r="O31" s="7"/>
      <c r="P31" s="8">
        <f t="shared" si="8"/>
        <v>0</v>
      </c>
      <c r="Q31" s="1"/>
      <c r="R31" s="6">
        <f t="shared" si="9"/>
        <v>0</v>
      </c>
      <c r="S31" s="9" t="e">
        <f t="shared" si="10"/>
        <v>#DIV/0!</v>
      </c>
      <c r="T31" s="9">
        <f t="shared" si="11"/>
        <v>0</v>
      </c>
      <c r="U31" s="9" t="e">
        <f>R31 / _xlfn.XLOOKUP(A31, Support!A:A, Support!AA:AA)</f>
        <v>#DIV/0!</v>
      </c>
      <c r="V31" s="1"/>
      <c r="W31" s="1"/>
    </row>
    <row r="32" spans="1:23" x14ac:dyDescent="0.25">
      <c r="N32" s="6"/>
      <c r="O32" s="7"/>
      <c r="P32" s="8">
        <f t="shared" si="8"/>
        <v>0</v>
      </c>
      <c r="Q32" s="1"/>
      <c r="R32" s="6">
        <f t="shared" si="9"/>
        <v>0</v>
      </c>
      <c r="S32" s="9" t="e">
        <f t="shared" si="10"/>
        <v>#DIV/0!</v>
      </c>
      <c r="T32" s="9">
        <f t="shared" si="11"/>
        <v>0</v>
      </c>
      <c r="U32" s="9" t="e">
        <f>R32 / _xlfn.XLOOKUP(A32, Support!A:A, Support!AA:AA)</f>
        <v>#DIV/0!</v>
      </c>
      <c r="V32" s="1"/>
      <c r="W32" s="1"/>
    </row>
    <row r="33" spans="14:23" x14ac:dyDescent="0.25">
      <c r="N33" s="6"/>
      <c r="O33" s="7"/>
      <c r="P33" s="8">
        <f t="shared" si="8"/>
        <v>0</v>
      </c>
      <c r="Q33" s="1"/>
      <c r="R33" s="6">
        <f t="shared" si="9"/>
        <v>0</v>
      </c>
      <c r="S33" s="9" t="e">
        <f t="shared" si="10"/>
        <v>#DIV/0!</v>
      </c>
      <c r="T33" s="9">
        <f t="shared" si="11"/>
        <v>0</v>
      </c>
      <c r="U33" s="9" t="e">
        <f>R33 / _xlfn.XLOOKUP(A33, Support!A:A, Support!AA:AA)</f>
        <v>#DIV/0!</v>
      </c>
      <c r="V33" s="1"/>
      <c r="W33" s="1"/>
    </row>
    <row r="34" spans="14:23" x14ac:dyDescent="0.25">
      <c r="N34" s="6"/>
      <c r="O34" s="7"/>
      <c r="P34" s="8">
        <f t="shared" si="8"/>
        <v>0</v>
      </c>
      <c r="Q34" s="1"/>
      <c r="R34" s="6">
        <f t="shared" si="9"/>
        <v>0</v>
      </c>
      <c r="S34" s="9" t="e">
        <f t="shared" si="10"/>
        <v>#DIV/0!</v>
      </c>
      <c r="T34" s="9">
        <f t="shared" si="11"/>
        <v>0</v>
      </c>
      <c r="U34" s="9" t="e">
        <f>R34 / _xlfn.XLOOKUP(A34, Support!A:A, Support!AA:AA)</f>
        <v>#DIV/0!</v>
      </c>
      <c r="V34" s="1"/>
      <c r="W34" s="1"/>
    </row>
    <row r="35" spans="14:23" x14ac:dyDescent="0.25">
      <c r="N35" s="6"/>
      <c r="O35" s="7"/>
      <c r="P35" s="8">
        <f t="shared" ref="P35:P56" si="12">N35*O35</f>
        <v>0</v>
      </c>
      <c r="Q35" s="1"/>
      <c r="R35" s="6">
        <f t="shared" ref="R35:R56" si="13">B35+E35+H35+K35+N35</f>
        <v>0</v>
      </c>
      <c r="S35" s="9" t="e">
        <f t="shared" ref="S35:S56" si="14">(D35+G35+J35+M35+P35)/R35</f>
        <v>#DIV/0!</v>
      </c>
      <c r="T35" s="9">
        <f t="shared" ref="T35:T56" si="15">R35/$V$3</f>
        <v>0</v>
      </c>
      <c r="U35" s="9" t="e">
        <f>R35 / _xlfn.XLOOKUP(A35, Support!A:A, Support!AA:AA)</f>
        <v>#DIV/0!</v>
      </c>
      <c r="V35" s="1"/>
      <c r="W35" s="1"/>
    </row>
    <row r="36" spans="14:23" x14ac:dyDescent="0.25">
      <c r="N36" s="6"/>
      <c r="O36" s="7"/>
      <c r="P36" s="8">
        <f t="shared" si="12"/>
        <v>0</v>
      </c>
      <c r="Q36" s="1"/>
      <c r="R36" s="6">
        <f t="shared" si="13"/>
        <v>0</v>
      </c>
      <c r="S36" s="9" t="e">
        <f t="shared" si="14"/>
        <v>#DIV/0!</v>
      </c>
      <c r="T36" s="9">
        <f t="shared" si="15"/>
        <v>0</v>
      </c>
      <c r="U36" s="9" t="e">
        <f>R36 / _xlfn.XLOOKUP(A36, Support!A:A, Support!AA:AA)</f>
        <v>#DIV/0!</v>
      </c>
      <c r="V36" s="1"/>
      <c r="W36" s="1"/>
    </row>
    <row r="37" spans="14:23" x14ac:dyDescent="0.25">
      <c r="N37" s="6"/>
      <c r="O37" s="7"/>
      <c r="P37" s="8">
        <f t="shared" si="12"/>
        <v>0</v>
      </c>
      <c r="Q37" s="1"/>
      <c r="R37" s="6">
        <f t="shared" si="13"/>
        <v>0</v>
      </c>
      <c r="S37" s="9" t="e">
        <f t="shared" si="14"/>
        <v>#DIV/0!</v>
      </c>
      <c r="T37" s="9">
        <f t="shared" si="15"/>
        <v>0</v>
      </c>
      <c r="U37" s="9" t="e">
        <f>R37 / _xlfn.XLOOKUP(A37, Support!A:A, Support!AA:AA)</f>
        <v>#DIV/0!</v>
      </c>
      <c r="V37" s="1"/>
      <c r="W37" s="1"/>
    </row>
    <row r="38" spans="14:23" x14ac:dyDescent="0.25">
      <c r="N38" s="6"/>
      <c r="O38" s="7"/>
      <c r="P38" s="8">
        <f t="shared" si="12"/>
        <v>0</v>
      </c>
      <c r="Q38" s="1"/>
      <c r="R38" s="6">
        <f t="shared" si="13"/>
        <v>0</v>
      </c>
      <c r="S38" s="9" t="e">
        <f t="shared" si="14"/>
        <v>#DIV/0!</v>
      </c>
      <c r="T38" s="9">
        <f t="shared" si="15"/>
        <v>0</v>
      </c>
      <c r="U38" s="9" t="e">
        <f>R38 / _xlfn.XLOOKUP(A38, Support!A:A, Support!AA:AA)</f>
        <v>#DIV/0!</v>
      </c>
      <c r="V38" s="1"/>
      <c r="W38" s="1"/>
    </row>
    <row r="39" spans="14:23" x14ac:dyDescent="0.25">
      <c r="N39" s="6"/>
      <c r="O39" s="7"/>
      <c r="P39" s="8">
        <f t="shared" si="12"/>
        <v>0</v>
      </c>
      <c r="Q39" s="1"/>
      <c r="R39" s="6">
        <f t="shared" si="13"/>
        <v>0</v>
      </c>
      <c r="S39" s="9" t="e">
        <f t="shared" si="14"/>
        <v>#DIV/0!</v>
      </c>
      <c r="T39" s="9">
        <f t="shared" si="15"/>
        <v>0</v>
      </c>
      <c r="U39" s="9" t="e">
        <f>R39 / _xlfn.XLOOKUP(A39, Support!A:A, Support!AA:AA)</f>
        <v>#DIV/0!</v>
      </c>
      <c r="V39" s="1"/>
      <c r="W39" s="1"/>
    </row>
    <row r="40" spans="14:23" x14ac:dyDescent="0.25">
      <c r="N40" s="6"/>
      <c r="O40" s="7"/>
      <c r="P40" s="8">
        <f t="shared" si="12"/>
        <v>0</v>
      </c>
      <c r="Q40" s="1"/>
      <c r="R40" s="6">
        <f t="shared" si="13"/>
        <v>0</v>
      </c>
      <c r="S40" s="9" t="e">
        <f t="shared" si="14"/>
        <v>#DIV/0!</v>
      </c>
      <c r="T40" s="9">
        <f t="shared" si="15"/>
        <v>0</v>
      </c>
      <c r="U40" s="9" t="e">
        <f>R40 / _xlfn.XLOOKUP(A40, Support!A:A, Support!AA:AA)</f>
        <v>#DIV/0!</v>
      </c>
    </row>
    <row r="41" spans="14:23" x14ac:dyDescent="0.25">
      <c r="N41" s="6"/>
      <c r="O41" s="7"/>
      <c r="P41" s="8">
        <f t="shared" si="12"/>
        <v>0</v>
      </c>
      <c r="Q41" s="1"/>
      <c r="R41" s="6">
        <f t="shared" si="13"/>
        <v>0</v>
      </c>
      <c r="S41" s="9" t="e">
        <f t="shared" si="14"/>
        <v>#DIV/0!</v>
      </c>
      <c r="T41" s="9">
        <f t="shared" si="15"/>
        <v>0</v>
      </c>
      <c r="U41" s="9" t="e">
        <f>R41 / _xlfn.XLOOKUP(A41, Support!A:A, Support!AA:AA)</f>
        <v>#DIV/0!</v>
      </c>
    </row>
    <row r="42" spans="14:23" x14ac:dyDescent="0.25">
      <c r="N42" s="6"/>
      <c r="O42" s="7"/>
      <c r="P42" s="8">
        <f t="shared" si="12"/>
        <v>0</v>
      </c>
      <c r="Q42" s="1"/>
      <c r="R42" s="6">
        <f t="shared" si="13"/>
        <v>0</v>
      </c>
      <c r="S42" s="9" t="e">
        <f t="shared" si="14"/>
        <v>#DIV/0!</v>
      </c>
      <c r="T42" s="9">
        <f t="shared" si="15"/>
        <v>0</v>
      </c>
      <c r="U42" s="9" t="e">
        <f>R42 / _xlfn.XLOOKUP(A42, Support!A:A, Support!AA:AA)</f>
        <v>#DIV/0!</v>
      </c>
    </row>
    <row r="43" spans="14:23" x14ac:dyDescent="0.25">
      <c r="N43" s="6"/>
      <c r="O43" s="7"/>
      <c r="P43" s="8">
        <f t="shared" si="12"/>
        <v>0</v>
      </c>
      <c r="Q43" s="1"/>
      <c r="R43" s="6">
        <f t="shared" si="13"/>
        <v>0</v>
      </c>
      <c r="S43" s="9" t="e">
        <f t="shared" si="14"/>
        <v>#DIV/0!</v>
      </c>
      <c r="T43" s="9">
        <f t="shared" si="15"/>
        <v>0</v>
      </c>
      <c r="U43" s="9" t="e">
        <f>R43 / _xlfn.XLOOKUP(A43, Support!A:A, Support!AA:AA)</f>
        <v>#DIV/0!</v>
      </c>
    </row>
    <row r="44" spans="14:23" x14ac:dyDescent="0.25">
      <c r="N44" s="6"/>
      <c r="O44" s="7"/>
      <c r="P44" s="8">
        <f t="shared" si="12"/>
        <v>0</v>
      </c>
      <c r="Q44" s="1"/>
      <c r="R44" s="6">
        <f t="shared" si="13"/>
        <v>0</v>
      </c>
      <c r="S44" s="9" t="e">
        <f t="shared" si="14"/>
        <v>#DIV/0!</v>
      </c>
      <c r="T44" s="9">
        <f t="shared" si="15"/>
        <v>0</v>
      </c>
      <c r="U44" s="9" t="e">
        <f>R44 / _xlfn.XLOOKUP(A44, Support!A:A, Support!AA:AA)</f>
        <v>#DIV/0!</v>
      </c>
    </row>
    <row r="45" spans="14:23" x14ac:dyDescent="0.25">
      <c r="N45" s="6"/>
      <c r="O45" s="7"/>
      <c r="P45" s="8">
        <f t="shared" si="12"/>
        <v>0</v>
      </c>
      <c r="Q45" s="1"/>
      <c r="R45" s="6">
        <f t="shared" si="13"/>
        <v>0</v>
      </c>
      <c r="S45" s="9" t="e">
        <f t="shared" si="14"/>
        <v>#DIV/0!</v>
      </c>
      <c r="T45" s="9">
        <f t="shared" si="15"/>
        <v>0</v>
      </c>
      <c r="U45" s="9" t="e">
        <f>R45 / _xlfn.XLOOKUP(A45, Support!A:A, Support!AA:AA)</f>
        <v>#DIV/0!</v>
      </c>
    </row>
    <row r="46" spans="14:23" x14ac:dyDescent="0.25">
      <c r="N46" s="6"/>
      <c r="O46" s="7"/>
      <c r="P46" s="8">
        <f t="shared" si="12"/>
        <v>0</v>
      </c>
      <c r="Q46" s="1"/>
      <c r="R46" s="6">
        <f t="shared" si="13"/>
        <v>0</v>
      </c>
      <c r="S46" s="9" t="e">
        <f t="shared" si="14"/>
        <v>#DIV/0!</v>
      </c>
      <c r="T46" s="9">
        <f t="shared" si="15"/>
        <v>0</v>
      </c>
      <c r="U46" s="9" t="e">
        <f>R46 / _xlfn.XLOOKUP(A46, Support!A:A, Support!AA:AA)</f>
        <v>#DIV/0!</v>
      </c>
    </row>
    <row r="47" spans="14:23" x14ac:dyDescent="0.25">
      <c r="N47" s="6"/>
      <c r="O47" s="7"/>
      <c r="P47" s="8">
        <f t="shared" si="12"/>
        <v>0</v>
      </c>
      <c r="Q47" s="1"/>
      <c r="R47" s="6">
        <f t="shared" si="13"/>
        <v>0</v>
      </c>
      <c r="S47" s="9" t="e">
        <f t="shared" si="14"/>
        <v>#DIV/0!</v>
      </c>
      <c r="T47" s="9">
        <f t="shared" si="15"/>
        <v>0</v>
      </c>
      <c r="U47" s="9" t="e">
        <f>R47 / _xlfn.XLOOKUP(A47, Support!A:A, Support!AA:AA)</f>
        <v>#DIV/0!</v>
      </c>
    </row>
    <row r="48" spans="14:23" x14ac:dyDescent="0.25">
      <c r="N48" s="6"/>
      <c r="O48" s="7"/>
      <c r="P48" s="8">
        <f t="shared" si="12"/>
        <v>0</v>
      </c>
      <c r="Q48" s="1"/>
      <c r="R48" s="6">
        <f t="shared" si="13"/>
        <v>0</v>
      </c>
      <c r="S48" s="9" t="e">
        <f t="shared" si="14"/>
        <v>#DIV/0!</v>
      </c>
      <c r="T48" s="9">
        <f t="shared" si="15"/>
        <v>0</v>
      </c>
      <c r="U48" s="9" t="e">
        <f>R48 / _xlfn.XLOOKUP(A48, Support!A:A, Support!AA:AA)</f>
        <v>#DIV/0!</v>
      </c>
    </row>
    <row r="49" spans="14:21" x14ac:dyDescent="0.25">
      <c r="N49" s="6"/>
      <c r="O49" s="7"/>
      <c r="P49" s="8">
        <f t="shared" si="12"/>
        <v>0</v>
      </c>
      <c r="Q49" s="1"/>
      <c r="R49" s="6">
        <f t="shared" si="13"/>
        <v>0</v>
      </c>
      <c r="S49" s="9" t="e">
        <f t="shared" si="14"/>
        <v>#DIV/0!</v>
      </c>
      <c r="T49" s="9">
        <f t="shared" si="15"/>
        <v>0</v>
      </c>
      <c r="U49" s="9" t="e">
        <f>R49 / _xlfn.XLOOKUP(A49, Support!A:A, Support!AA:AA)</f>
        <v>#DIV/0!</v>
      </c>
    </row>
    <row r="50" spans="14:21" x14ac:dyDescent="0.25">
      <c r="N50" s="6"/>
      <c r="O50" s="7"/>
      <c r="P50" s="8">
        <f t="shared" si="12"/>
        <v>0</v>
      </c>
      <c r="Q50" s="1"/>
      <c r="R50" s="6">
        <f t="shared" si="13"/>
        <v>0</v>
      </c>
      <c r="S50" s="9" t="e">
        <f t="shared" si="14"/>
        <v>#DIV/0!</v>
      </c>
      <c r="T50" s="9">
        <f t="shared" si="15"/>
        <v>0</v>
      </c>
      <c r="U50" s="9" t="e">
        <f>R50 / _xlfn.XLOOKUP(A50, Support!A:A, Support!AA:AA)</f>
        <v>#DIV/0!</v>
      </c>
    </row>
    <row r="51" spans="14:21" x14ac:dyDescent="0.25">
      <c r="N51" s="6"/>
      <c r="O51" s="7"/>
      <c r="P51" s="8">
        <f t="shared" si="12"/>
        <v>0</v>
      </c>
      <c r="Q51" s="1"/>
      <c r="R51" s="6">
        <f t="shared" si="13"/>
        <v>0</v>
      </c>
      <c r="S51" s="9" t="e">
        <f t="shared" si="14"/>
        <v>#DIV/0!</v>
      </c>
      <c r="T51" s="9">
        <f t="shared" si="15"/>
        <v>0</v>
      </c>
      <c r="U51" s="9" t="e">
        <f>R51 / _xlfn.XLOOKUP(A51, Support!A:A, Support!AA:AA)</f>
        <v>#DIV/0!</v>
      </c>
    </row>
    <row r="52" spans="14:21" x14ac:dyDescent="0.25">
      <c r="N52" s="6"/>
      <c r="O52" s="7"/>
      <c r="P52" s="8">
        <f t="shared" si="12"/>
        <v>0</v>
      </c>
      <c r="Q52" s="1"/>
      <c r="R52" s="6">
        <f t="shared" si="13"/>
        <v>0</v>
      </c>
      <c r="S52" s="9" t="e">
        <f t="shared" si="14"/>
        <v>#DIV/0!</v>
      </c>
      <c r="T52" s="9">
        <f t="shared" si="15"/>
        <v>0</v>
      </c>
      <c r="U52" s="9" t="e">
        <f>R52 / _xlfn.XLOOKUP(A52, Support!A:A, Support!AA:AA)</f>
        <v>#DIV/0!</v>
      </c>
    </row>
    <row r="53" spans="14:21" x14ac:dyDescent="0.25">
      <c r="N53" s="6"/>
      <c r="O53" s="7"/>
      <c r="P53" s="8">
        <f t="shared" si="12"/>
        <v>0</v>
      </c>
      <c r="Q53" s="1"/>
      <c r="R53" s="6">
        <f t="shared" si="13"/>
        <v>0</v>
      </c>
      <c r="S53" s="9" t="e">
        <f t="shared" si="14"/>
        <v>#DIV/0!</v>
      </c>
      <c r="T53" s="9">
        <f t="shared" si="15"/>
        <v>0</v>
      </c>
      <c r="U53" s="9" t="e">
        <f>R53 / _xlfn.XLOOKUP(A53, Support!A:A, Support!AA:AA)</f>
        <v>#DIV/0!</v>
      </c>
    </row>
    <row r="54" spans="14:21" x14ac:dyDescent="0.25">
      <c r="N54" s="6"/>
      <c r="O54" s="7"/>
      <c r="P54" s="8">
        <f t="shared" si="12"/>
        <v>0</v>
      </c>
      <c r="Q54" s="1"/>
      <c r="R54" s="6">
        <f t="shared" si="13"/>
        <v>0</v>
      </c>
      <c r="S54" s="9" t="e">
        <f t="shared" si="14"/>
        <v>#DIV/0!</v>
      </c>
      <c r="T54" s="9">
        <f t="shared" si="15"/>
        <v>0</v>
      </c>
      <c r="U54" s="9" t="e">
        <f>R54 / _xlfn.XLOOKUP(A54, Support!A:A, Support!AA:AA)</f>
        <v>#DIV/0!</v>
      </c>
    </row>
    <row r="55" spans="14:21" x14ac:dyDescent="0.25">
      <c r="N55" s="6"/>
      <c r="O55" s="7"/>
      <c r="P55" s="8">
        <f t="shared" si="12"/>
        <v>0</v>
      </c>
      <c r="Q55" s="1"/>
      <c r="R55" s="6">
        <f t="shared" si="13"/>
        <v>0</v>
      </c>
      <c r="S55" s="9" t="e">
        <f t="shared" si="14"/>
        <v>#DIV/0!</v>
      </c>
      <c r="T55" s="9">
        <f t="shared" si="15"/>
        <v>0</v>
      </c>
      <c r="U55" s="9" t="e">
        <f>R55 / _xlfn.XLOOKUP(A55, Support!A:A, Support!AA:AA)</f>
        <v>#DIV/0!</v>
      </c>
    </row>
    <row r="56" spans="14:21" x14ac:dyDescent="0.25">
      <c r="N56" s="6"/>
      <c r="O56" s="7"/>
      <c r="P56" s="8">
        <f t="shared" si="12"/>
        <v>0</v>
      </c>
      <c r="Q56" s="1"/>
      <c r="R56" s="6">
        <f t="shared" si="13"/>
        <v>0</v>
      </c>
      <c r="S56" s="9" t="e">
        <f t="shared" si="14"/>
        <v>#DIV/0!</v>
      </c>
      <c r="T56" s="9">
        <f t="shared" si="15"/>
        <v>0</v>
      </c>
      <c r="U56" s="9" t="e">
        <f>R56 / _xlfn.XLOOKUP(A56, Support!A:A, Support!AA:AA)</f>
        <v>#DIV/0!</v>
      </c>
    </row>
  </sheetData>
  <sortState xmlns:xlrd2="http://schemas.microsoft.com/office/spreadsheetml/2017/richdata2" ref="A3:U28">
    <sortCondition descending="1" ref="T3:T28"/>
  </sortState>
  <pageMargins left="0.7" right="0.7" top="0.78740157499999996" bottom="0.78740157499999996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1E1FB-D7FB-45F4-83D8-B24848BA4143}">
  <sheetPr>
    <tabColor theme="9" tint="0.59999389629810485"/>
  </sheetPr>
  <dimension ref="A1:W56"/>
  <sheetViews>
    <sheetView topLeftCell="A19" workbookViewId="0">
      <selection activeCell="U3" sqref="U3:U49"/>
    </sheetView>
  </sheetViews>
  <sheetFormatPr baseColWidth="10" defaultRowHeight="15" x14ac:dyDescent="0.25"/>
  <sheetData>
    <row r="1" spans="1:23" ht="15.75" x14ac:dyDescent="0.25">
      <c r="A1" s="2" t="s">
        <v>194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183</v>
      </c>
      <c r="B3" s="6"/>
      <c r="C3" s="7"/>
      <c r="D3" s="8">
        <f t="shared" ref="D3:D49" si="0">B3*C3</f>
        <v>0</v>
      </c>
      <c r="E3" s="6">
        <v>1</v>
      </c>
      <c r="F3" s="7">
        <v>1</v>
      </c>
      <c r="G3" s="8">
        <f t="shared" ref="G3:G49" si="1">E3*F3</f>
        <v>1</v>
      </c>
      <c r="H3" s="6"/>
      <c r="I3" s="7"/>
      <c r="J3" s="8">
        <f t="shared" ref="J3:J49" si="2">H3*I3</f>
        <v>0</v>
      </c>
      <c r="K3" s="6"/>
      <c r="L3" s="7"/>
      <c r="M3" s="8">
        <f t="shared" ref="M3:M49" si="3">K3*L3</f>
        <v>0</v>
      </c>
      <c r="N3" s="6"/>
      <c r="O3" s="7"/>
      <c r="P3" s="8">
        <f t="shared" ref="P3:P49" si="4">N3*O3</f>
        <v>0</v>
      </c>
      <c r="Q3" s="1"/>
      <c r="R3" s="6">
        <f t="shared" ref="R3:R49" si="5">B3+E3+H3+K3+N3</f>
        <v>1</v>
      </c>
      <c r="S3" s="9">
        <f t="shared" ref="S3:S49" si="6">(D3+G3+J3+M3+P3)/R3</f>
        <v>1</v>
      </c>
      <c r="T3" s="9">
        <f t="shared" ref="T3:T49" si="7">R3/$V$3</f>
        <v>2.1786492374727671E-3</v>
      </c>
      <c r="U3" s="9">
        <f>R3 / _xlfn.XLOOKUP(A3, Support!A:A, Support!AA:AA)</f>
        <v>1.3333333333333334E-2</v>
      </c>
      <c r="V3" s="11">
        <f>SUM(R3:R59)</f>
        <v>459</v>
      </c>
      <c r="W3" s="12">
        <f>(SUM(D3:D100)+SUM(G3:G100)+SUM(J3:J100)+SUM(M3:M100)+SUM(P3:P100)) / V3</f>
        <v>0.49055991285403044</v>
      </c>
    </row>
    <row r="4" spans="1:23" x14ac:dyDescent="0.25">
      <c r="A4" s="25" t="s">
        <v>81</v>
      </c>
      <c r="B4" s="6"/>
      <c r="C4" s="7"/>
      <c r="D4" s="8">
        <f t="shared" si="0"/>
        <v>0</v>
      </c>
      <c r="E4" s="6"/>
      <c r="F4" s="7"/>
      <c r="G4" s="8">
        <f t="shared" si="1"/>
        <v>0</v>
      </c>
      <c r="H4" s="6"/>
      <c r="I4" s="7"/>
      <c r="J4" s="8">
        <f t="shared" si="2"/>
        <v>0</v>
      </c>
      <c r="K4" s="6">
        <v>1</v>
      </c>
      <c r="L4" s="7">
        <v>1</v>
      </c>
      <c r="M4" s="8">
        <f t="shared" si="3"/>
        <v>1</v>
      </c>
      <c r="N4" s="6"/>
      <c r="O4" s="7"/>
      <c r="P4" s="8">
        <f t="shared" si="4"/>
        <v>0</v>
      </c>
      <c r="Q4" s="1"/>
      <c r="R4" s="6">
        <f t="shared" si="5"/>
        <v>1</v>
      </c>
      <c r="S4" s="9">
        <f t="shared" si="6"/>
        <v>1</v>
      </c>
      <c r="T4" s="9">
        <f t="shared" si="7"/>
        <v>2.1786492374727671E-3</v>
      </c>
      <c r="U4" s="9">
        <f>R4 / _xlfn.XLOOKUP(A4, Support!A:A, Support!AA:AA)</f>
        <v>2.2222222222222223E-2</v>
      </c>
      <c r="V4" s="6"/>
      <c r="W4" s="9"/>
    </row>
    <row r="5" spans="1:23" x14ac:dyDescent="0.25">
      <c r="A5" s="25" t="s">
        <v>93</v>
      </c>
      <c r="B5" s="6"/>
      <c r="C5" s="7"/>
      <c r="D5" s="8">
        <f t="shared" si="0"/>
        <v>0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>
        <v>1</v>
      </c>
      <c r="L5" s="7">
        <v>1</v>
      </c>
      <c r="M5" s="8">
        <f t="shared" si="3"/>
        <v>1</v>
      </c>
      <c r="N5" s="6"/>
      <c r="O5" s="7"/>
      <c r="P5" s="8">
        <f t="shared" si="4"/>
        <v>0</v>
      </c>
      <c r="Q5" s="1"/>
      <c r="R5" s="6">
        <f t="shared" si="5"/>
        <v>1</v>
      </c>
      <c r="S5" s="9">
        <f t="shared" si="6"/>
        <v>1</v>
      </c>
      <c r="T5" s="9">
        <f t="shared" si="7"/>
        <v>2.1786492374727671E-3</v>
      </c>
      <c r="U5" s="9">
        <f>R5 / _xlfn.XLOOKUP(A5, Support!A:A, Support!AA:AA)</f>
        <v>1</v>
      </c>
      <c r="W5" s="1"/>
    </row>
    <row r="6" spans="1:23" x14ac:dyDescent="0.25">
      <c r="A6" s="1" t="s">
        <v>112</v>
      </c>
      <c r="B6" s="6"/>
      <c r="C6" s="7"/>
      <c r="D6" s="8">
        <f t="shared" si="0"/>
        <v>0</v>
      </c>
      <c r="E6" s="6"/>
      <c r="F6" s="7"/>
      <c r="G6" s="8">
        <f t="shared" si="1"/>
        <v>0</v>
      </c>
      <c r="H6" s="6"/>
      <c r="I6" s="7"/>
      <c r="J6" s="8">
        <f t="shared" si="2"/>
        <v>0</v>
      </c>
      <c r="K6" s="6">
        <v>1</v>
      </c>
      <c r="L6" s="7">
        <v>1</v>
      </c>
      <c r="M6" s="8">
        <f t="shared" si="3"/>
        <v>1</v>
      </c>
      <c r="N6" s="6"/>
      <c r="O6" s="7"/>
      <c r="P6" s="8">
        <f t="shared" si="4"/>
        <v>0</v>
      </c>
      <c r="Q6" s="1"/>
      <c r="R6" s="6">
        <f t="shared" si="5"/>
        <v>1</v>
      </c>
      <c r="S6" s="9">
        <f t="shared" si="6"/>
        <v>1</v>
      </c>
      <c r="T6" s="9">
        <f t="shared" si="7"/>
        <v>2.1786492374727671E-3</v>
      </c>
      <c r="U6" s="9">
        <f>R6 / _xlfn.XLOOKUP(A6, Support!A:A, Support!AA:AA)</f>
        <v>0.14285714285714285</v>
      </c>
      <c r="W6" s="1"/>
    </row>
    <row r="7" spans="1:23" x14ac:dyDescent="0.25">
      <c r="A7" s="1" t="s">
        <v>10</v>
      </c>
      <c r="B7" s="6"/>
      <c r="C7" s="7"/>
      <c r="D7" s="8">
        <f t="shared" si="0"/>
        <v>0</v>
      </c>
      <c r="E7" s="6"/>
      <c r="F7" s="7"/>
      <c r="G7" s="8">
        <f t="shared" si="1"/>
        <v>0</v>
      </c>
      <c r="H7" s="6"/>
      <c r="I7" s="7"/>
      <c r="J7" s="8">
        <f t="shared" si="2"/>
        <v>0</v>
      </c>
      <c r="K7" s="6">
        <v>1</v>
      </c>
      <c r="L7" s="7">
        <v>1</v>
      </c>
      <c r="M7" s="8">
        <f t="shared" si="3"/>
        <v>1</v>
      </c>
      <c r="N7" s="6"/>
      <c r="O7" s="7"/>
      <c r="P7" s="8">
        <f t="shared" si="4"/>
        <v>0</v>
      </c>
      <c r="Q7" s="1"/>
      <c r="R7" s="6">
        <f t="shared" si="5"/>
        <v>1</v>
      </c>
      <c r="S7" s="9">
        <f t="shared" si="6"/>
        <v>1</v>
      </c>
      <c r="T7" s="9">
        <f t="shared" si="7"/>
        <v>2.1786492374727671E-3</v>
      </c>
      <c r="U7" s="9">
        <f>R7 / _xlfn.XLOOKUP(A7, Support!A:A, Support!AA:AA)</f>
        <v>5.5555555555555552E-2</v>
      </c>
      <c r="V7" s="1"/>
      <c r="W7" s="1"/>
    </row>
    <row r="8" spans="1:23" x14ac:dyDescent="0.25">
      <c r="A8" s="1" t="s">
        <v>23</v>
      </c>
      <c r="B8" s="6"/>
      <c r="C8" s="7"/>
      <c r="D8" s="8">
        <f t="shared" si="0"/>
        <v>0</v>
      </c>
      <c r="E8" s="6"/>
      <c r="F8" s="7"/>
      <c r="G8" s="8">
        <f t="shared" si="1"/>
        <v>0</v>
      </c>
      <c r="H8" s="6">
        <v>1</v>
      </c>
      <c r="I8" s="7">
        <v>1</v>
      </c>
      <c r="J8" s="8">
        <f t="shared" si="2"/>
        <v>1</v>
      </c>
      <c r="K8" s="6"/>
      <c r="L8" s="7"/>
      <c r="M8" s="8">
        <f t="shared" si="3"/>
        <v>0</v>
      </c>
      <c r="N8" s="6"/>
      <c r="O8" s="7"/>
      <c r="P8" s="8">
        <f t="shared" si="4"/>
        <v>0</v>
      </c>
      <c r="Q8" s="1"/>
      <c r="R8" s="6">
        <f t="shared" si="5"/>
        <v>1</v>
      </c>
      <c r="S8" s="9">
        <f t="shared" si="6"/>
        <v>1</v>
      </c>
      <c r="T8" s="9">
        <f t="shared" si="7"/>
        <v>2.1786492374727671E-3</v>
      </c>
      <c r="U8" s="9">
        <f>R8 / _xlfn.XLOOKUP(A8, Support!A:A, Support!AA:AA)</f>
        <v>8.3333333333333329E-2</v>
      </c>
      <c r="V8" s="1"/>
      <c r="W8" s="1"/>
    </row>
    <row r="9" spans="1:23" x14ac:dyDescent="0.25">
      <c r="A9" s="1" t="s">
        <v>185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>
        <v>1</v>
      </c>
      <c r="I9" s="7">
        <v>1</v>
      </c>
      <c r="J9" s="8">
        <f t="shared" si="2"/>
        <v>1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1"/>
      <c r="R9" s="6">
        <f t="shared" si="5"/>
        <v>1</v>
      </c>
      <c r="S9" s="9">
        <f t="shared" si="6"/>
        <v>1</v>
      </c>
      <c r="T9" s="9">
        <f t="shared" si="7"/>
        <v>2.1786492374727671E-3</v>
      </c>
      <c r="U9" s="9">
        <f>R9 / _xlfn.XLOOKUP(A9, Support!A:A, Support!AA:AA)</f>
        <v>0.1</v>
      </c>
      <c r="V9" s="1"/>
      <c r="W9" s="1"/>
    </row>
    <row r="10" spans="1:23" x14ac:dyDescent="0.25">
      <c r="A10" s="1" t="s">
        <v>195</v>
      </c>
      <c r="B10" s="6"/>
      <c r="C10" s="7"/>
      <c r="D10" s="8">
        <f t="shared" si="0"/>
        <v>0</v>
      </c>
      <c r="E10" s="6"/>
      <c r="F10" s="7"/>
      <c r="G10" s="8">
        <f t="shared" si="1"/>
        <v>0</v>
      </c>
      <c r="H10" s="6">
        <v>1</v>
      </c>
      <c r="I10" s="7">
        <v>1</v>
      </c>
      <c r="J10" s="8">
        <f t="shared" si="2"/>
        <v>1</v>
      </c>
      <c r="K10" s="6"/>
      <c r="L10" s="7"/>
      <c r="M10" s="8">
        <f t="shared" si="3"/>
        <v>0</v>
      </c>
      <c r="N10" s="6"/>
      <c r="O10" s="7"/>
      <c r="P10" s="8">
        <f t="shared" si="4"/>
        <v>0</v>
      </c>
      <c r="Q10" s="1"/>
      <c r="R10" s="6">
        <f t="shared" si="5"/>
        <v>1</v>
      </c>
      <c r="S10" s="9">
        <f t="shared" si="6"/>
        <v>1</v>
      </c>
      <c r="T10" s="9">
        <f t="shared" si="7"/>
        <v>2.1786492374727671E-3</v>
      </c>
      <c r="U10" s="9">
        <f>R10 / _xlfn.XLOOKUP(A10, Support!A:A, Support!AA:AA)</f>
        <v>0.5</v>
      </c>
      <c r="V10" s="1"/>
      <c r="W10" s="1"/>
    </row>
    <row r="11" spans="1:23" x14ac:dyDescent="0.25">
      <c r="A11" s="1" t="s">
        <v>14</v>
      </c>
      <c r="B11" s="6"/>
      <c r="C11" s="7"/>
      <c r="D11" s="8">
        <f t="shared" si="0"/>
        <v>0</v>
      </c>
      <c r="E11" s="6"/>
      <c r="F11" s="7"/>
      <c r="G11" s="8">
        <f t="shared" si="1"/>
        <v>0</v>
      </c>
      <c r="H11" s="6">
        <v>5</v>
      </c>
      <c r="I11" s="7">
        <v>0.8</v>
      </c>
      <c r="J11" s="8">
        <f t="shared" si="2"/>
        <v>4</v>
      </c>
      <c r="K11" s="6"/>
      <c r="L11" s="7"/>
      <c r="M11" s="8">
        <f t="shared" si="3"/>
        <v>0</v>
      </c>
      <c r="N11" s="6"/>
      <c r="O11" s="7"/>
      <c r="P11" s="8">
        <f t="shared" si="4"/>
        <v>0</v>
      </c>
      <c r="Q11" s="13"/>
      <c r="R11" s="6">
        <f t="shared" si="5"/>
        <v>5</v>
      </c>
      <c r="S11" s="9">
        <f t="shared" si="6"/>
        <v>0.8</v>
      </c>
      <c r="T11" s="9">
        <f t="shared" si="7"/>
        <v>1.0893246187363835E-2</v>
      </c>
      <c r="U11" s="9">
        <f>R11 / _xlfn.XLOOKUP(A11, Support!A:A, Support!AA:AA)</f>
        <v>0.19230769230769232</v>
      </c>
      <c r="V11" s="1"/>
      <c r="W11" s="1"/>
    </row>
    <row r="12" spans="1:23" x14ac:dyDescent="0.25">
      <c r="A12" s="1" t="s">
        <v>118</v>
      </c>
      <c r="B12" s="6"/>
      <c r="C12" s="7"/>
      <c r="D12" s="8">
        <f t="shared" si="0"/>
        <v>0</v>
      </c>
      <c r="E12" s="6"/>
      <c r="F12" s="7"/>
      <c r="G12" s="8">
        <f t="shared" si="1"/>
        <v>0</v>
      </c>
      <c r="H12" s="6">
        <v>4</v>
      </c>
      <c r="I12" s="7">
        <v>0.75</v>
      </c>
      <c r="J12" s="8">
        <f t="shared" si="2"/>
        <v>3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1"/>
      <c r="R12" s="6">
        <f t="shared" si="5"/>
        <v>4</v>
      </c>
      <c r="S12" s="9">
        <f t="shared" si="6"/>
        <v>0.75</v>
      </c>
      <c r="T12" s="9">
        <f t="shared" si="7"/>
        <v>8.7145969498910684E-3</v>
      </c>
      <c r="U12" s="9">
        <f>R12 / _xlfn.XLOOKUP(A12, Support!A:A, Support!AA:AA)</f>
        <v>0.66666666666666663</v>
      </c>
      <c r="V12" s="1"/>
      <c r="W12" s="1"/>
    </row>
    <row r="13" spans="1:23" x14ac:dyDescent="0.25">
      <c r="A13" s="1" t="s">
        <v>151</v>
      </c>
      <c r="B13" s="6"/>
      <c r="C13" s="7"/>
      <c r="D13" s="8">
        <f t="shared" si="0"/>
        <v>0</v>
      </c>
      <c r="E13" s="6">
        <v>3</v>
      </c>
      <c r="F13" s="7">
        <v>0.66700000000000004</v>
      </c>
      <c r="G13" s="8">
        <f t="shared" si="1"/>
        <v>2.0010000000000003</v>
      </c>
      <c r="H13" s="6"/>
      <c r="I13" s="7"/>
      <c r="J13" s="8">
        <f t="shared" si="2"/>
        <v>0</v>
      </c>
      <c r="K13" s="6"/>
      <c r="L13" s="7"/>
      <c r="M13" s="8">
        <f t="shared" si="3"/>
        <v>0</v>
      </c>
      <c r="N13" s="6"/>
      <c r="O13" s="7"/>
      <c r="P13" s="8">
        <f t="shared" si="4"/>
        <v>0</v>
      </c>
      <c r="Q13" s="4"/>
      <c r="R13" s="6">
        <f t="shared" si="5"/>
        <v>3</v>
      </c>
      <c r="S13" s="9">
        <f t="shared" si="6"/>
        <v>0.66700000000000015</v>
      </c>
      <c r="T13" s="9">
        <f t="shared" si="7"/>
        <v>6.5359477124183009E-3</v>
      </c>
      <c r="U13" s="9">
        <f>R13 / _xlfn.XLOOKUP(A13, Support!A:A, Support!AA:AA)</f>
        <v>0.33333333333333331</v>
      </c>
      <c r="V13" s="1"/>
      <c r="W13" s="1"/>
    </row>
    <row r="14" spans="1:23" x14ac:dyDescent="0.25">
      <c r="A14" s="1" t="s">
        <v>168</v>
      </c>
      <c r="B14" s="6">
        <v>14</v>
      </c>
      <c r="C14" s="7">
        <v>0.64300000000000002</v>
      </c>
      <c r="D14" s="8">
        <f t="shared" si="0"/>
        <v>9.0020000000000007</v>
      </c>
      <c r="E14" s="6"/>
      <c r="F14" s="7"/>
      <c r="G14" s="8">
        <f t="shared" si="1"/>
        <v>0</v>
      </c>
      <c r="H14" s="6">
        <v>2</v>
      </c>
      <c r="I14" s="7">
        <v>0.5</v>
      </c>
      <c r="J14" s="8">
        <f t="shared" si="2"/>
        <v>1</v>
      </c>
      <c r="K14" s="6">
        <v>1</v>
      </c>
      <c r="L14" s="7">
        <v>1</v>
      </c>
      <c r="M14" s="8">
        <f t="shared" si="3"/>
        <v>1</v>
      </c>
      <c r="N14" s="6"/>
      <c r="O14" s="7"/>
      <c r="P14" s="8">
        <f t="shared" si="4"/>
        <v>0</v>
      </c>
      <c r="Q14" s="4"/>
      <c r="R14" s="6">
        <f t="shared" si="5"/>
        <v>17</v>
      </c>
      <c r="S14" s="9">
        <f t="shared" si="6"/>
        <v>0.64717647058823535</v>
      </c>
      <c r="T14" s="9">
        <f t="shared" si="7"/>
        <v>3.7037037037037035E-2</v>
      </c>
      <c r="U14" s="9">
        <f>R14 / _xlfn.XLOOKUP(A14, Support!A:A, Support!AA:AA)</f>
        <v>8.9473684210526316E-2</v>
      </c>
      <c r="V14" s="1"/>
      <c r="W14" s="1"/>
    </row>
    <row r="15" spans="1:23" x14ac:dyDescent="0.25">
      <c r="A15" s="1" t="s">
        <v>182</v>
      </c>
      <c r="B15" s="6">
        <v>4</v>
      </c>
      <c r="C15" s="7">
        <v>0.75</v>
      </c>
      <c r="D15" s="8">
        <f t="shared" si="0"/>
        <v>3</v>
      </c>
      <c r="E15" s="6">
        <v>2</v>
      </c>
      <c r="F15" s="7">
        <v>0.5</v>
      </c>
      <c r="G15" s="8">
        <f t="shared" si="1"/>
        <v>1</v>
      </c>
      <c r="H15" s="6">
        <v>5</v>
      </c>
      <c r="I15" s="7">
        <v>0.6</v>
      </c>
      <c r="J15" s="8">
        <f t="shared" si="2"/>
        <v>3</v>
      </c>
      <c r="K15" s="6">
        <v>14</v>
      </c>
      <c r="L15" s="7">
        <v>0.64300000000000002</v>
      </c>
      <c r="M15" s="8">
        <f t="shared" si="3"/>
        <v>9.0020000000000007</v>
      </c>
      <c r="N15" s="6"/>
      <c r="O15" s="7"/>
      <c r="P15" s="8">
        <f t="shared" si="4"/>
        <v>0</v>
      </c>
      <c r="Q15" s="1"/>
      <c r="R15" s="6">
        <f t="shared" si="5"/>
        <v>25</v>
      </c>
      <c r="S15" s="9">
        <f t="shared" si="6"/>
        <v>0.64008000000000009</v>
      </c>
      <c r="T15" s="9">
        <f t="shared" si="7"/>
        <v>5.4466230936819175E-2</v>
      </c>
      <c r="U15" s="9">
        <f>R15 / _xlfn.XLOOKUP(A15, Support!A:A, Support!AA:AA)</f>
        <v>9.1575091575091569E-2</v>
      </c>
      <c r="V15" s="1"/>
      <c r="W15" s="1"/>
    </row>
    <row r="16" spans="1:23" x14ac:dyDescent="0.25">
      <c r="A16" s="1" t="s">
        <v>184</v>
      </c>
      <c r="B16" s="6">
        <v>6</v>
      </c>
      <c r="C16" s="7">
        <v>0.5</v>
      </c>
      <c r="D16" s="8">
        <f t="shared" si="0"/>
        <v>3</v>
      </c>
      <c r="E16" s="6">
        <v>5</v>
      </c>
      <c r="F16" s="7">
        <v>0.8</v>
      </c>
      <c r="G16" s="8">
        <f t="shared" si="1"/>
        <v>4</v>
      </c>
      <c r="H16" s="6"/>
      <c r="I16" s="7"/>
      <c r="J16" s="8">
        <f t="shared" si="2"/>
        <v>0</v>
      </c>
      <c r="K16" s="6"/>
      <c r="L16" s="7"/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11</v>
      </c>
      <c r="S16" s="9">
        <f t="shared" si="6"/>
        <v>0.63636363636363635</v>
      </c>
      <c r="T16" s="9">
        <f t="shared" si="7"/>
        <v>2.3965141612200435E-2</v>
      </c>
      <c r="U16" s="9">
        <f>R16 / _xlfn.XLOOKUP(A16, Support!A:A, Support!AA:AA)</f>
        <v>0.2</v>
      </c>
      <c r="V16" s="1"/>
      <c r="W16" s="1"/>
    </row>
    <row r="17" spans="1:23" x14ac:dyDescent="0.25">
      <c r="A17" s="1" t="s">
        <v>80</v>
      </c>
      <c r="B17" s="6">
        <v>7</v>
      </c>
      <c r="C17" s="7">
        <v>0.57099999999999995</v>
      </c>
      <c r="D17" s="8">
        <f t="shared" si="0"/>
        <v>3.9969999999999999</v>
      </c>
      <c r="E17" s="6">
        <v>11</v>
      </c>
      <c r="F17" s="7">
        <v>0.63600000000000001</v>
      </c>
      <c r="G17" s="8">
        <f t="shared" si="1"/>
        <v>6.9960000000000004</v>
      </c>
      <c r="H17" s="6">
        <v>11</v>
      </c>
      <c r="I17" s="7">
        <v>0.72699999999999998</v>
      </c>
      <c r="J17" s="8">
        <f t="shared" si="2"/>
        <v>7.9969999999999999</v>
      </c>
      <c r="K17" s="6">
        <v>11</v>
      </c>
      <c r="L17" s="7">
        <v>0.54500000000000004</v>
      </c>
      <c r="M17" s="8">
        <f t="shared" si="3"/>
        <v>5.9950000000000001</v>
      </c>
      <c r="N17" s="6"/>
      <c r="O17" s="7"/>
      <c r="P17" s="8">
        <f t="shared" si="4"/>
        <v>0</v>
      </c>
      <c r="Q17" s="1"/>
      <c r="R17" s="6">
        <f t="shared" si="5"/>
        <v>40</v>
      </c>
      <c r="S17" s="9">
        <f t="shared" si="6"/>
        <v>0.6246250000000001</v>
      </c>
      <c r="T17" s="9">
        <f t="shared" si="7"/>
        <v>8.714596949891068E-2</v>
      </c>
      <c r="U17" s="9">
        <f>R17 / _xlfn.XLOOKUP(A17, Support!A:A, Support!AA:AA)</f>
        <v>8.2135523613963035E-2</v>
      </c>
      <c r="V17" s="1"/>
      <c r="W17" s="1"/>
    </row>
    <row r="18" spans="1:23" x14ac:dyDescent="0.25">
      <c r="A18" s="1" t="s">
        <v>31</v>
      </c>
      <c r="B18" s="6"/>
      <c r="C18" s="7"/>
      <c r="D18" s="8">
        <f t="shared" si="0"/>
        <v>0</v>
      </c>
      <c r="E18" s="6"/>
      <c r="F18" s="7"/>
      <c r="G18" s="8">
        <f t="shared" si="1"/>
        <v>0</v>
      </c>
      <c r="H18" s="6">
        <v>2</v>
      </c>
      <c r="I18" s="7">
        <v>0.1</v>
      </c>
      <c r="J18" s="8">
        <f t="shared" si="2"/>
        <v>0.2</v>
      </c>
      <c r="K18" s="6">
        <v>10</v>
      </c>
      <c r="L18" s="7">
        <v>0.7</v>
      </c>
      <c r="M18" s="8">
        <f t="shared" si="3"/>
        <v>7</v>
      </c>
      <c r="N18" s="6"/>
      <c r="O18" s="7"/>
      <c r="P18" s="8">
        <f t="shared" si="4"/>
        <v>0</v>
      </c>
      <c r="Q18" s="1"/>
      <c r="R18" s="6">
        <f t="shared" si="5"/>
        <v>12</v>
      </c>
      <c r="S18" s="9">
        <f t="shared" si="6"/>
        <v>0.6</v>
      </c>
      <c r="T18" s="9">
        <f t="shared" si="7"/>
        <v>2.6143790849673203E-2</v>
      </c>
      <c r="U18" s="9">
        <f>R18 / _xlfn.XLOOKUP(A18, Support!A:A, Support!AA:AA)</f>
        <v>9.6774193548387094E-2</v>
      </c>
      <c r="V18" s="1"/>
      <c r="W18" s="1"/>
    </row>
    <row r="19" spans="1:23" x14ac:dyDescent="0.25">
      <c r="A19" s="1" t="s">
        <v>177</v>
      </c>
      <c r="B19" s="6">
        <v>7</v>
      </c>
      <c r="C19" s="7">
        <v>0.57099999999999995</v>
      </c>
      <c r="D19" s="8">
        <f t="shared" si="0"/>
        <v>3.9969999999999999</v>
      </c>
      <c r="E19" s="6"/>
      <c r="F19" s="7"/>
      <c r="G19" s="8">
        <f t="shared" si="1"/>
        <v>0</v>
      </c>
      <c r="H19" s="6"/>
      <c r="I19" s="7"/>
      <c r="J19" s="8">
        <f t="shared" si="2"/>
        <v>0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1"/>
      <c r="R19" s="6">
        <f t="shared" si="5"/>
        <v>7</v>
      </c>
      <c r="S19" s="9">
        <f t="shared" si="6"/>
        <v>0.57099999999999995</v>
      </c>
      <c r="T19" s="9">
        <f t="shared" si="7"/>
        <v>1.5250544662309368E-2</v>
      </c>
      <c r="U19" s="9">
        <f>R19 / _xlfn.XLOOKUP(A19, Support!A:A, Support!AA:AA)</f>
        <v>0.14583333333333334</v>
      </c>
      <c r="V19" s="1"/>
      <c r="W19" s="1"/>
    </row>
    <row r="20" spans="1:23" x14ac:dyDescent="0.25">
      <c r="A20" s="1" t="s">
        <v>181</v>
      </c>
      <c r="B20" s="6">
        <v>1</v>
      </c>
      <c r="C20" s="7">
        <v>1</v>
      </c>
      <c r="D20" s="8">
        <f t="shared" si="0"/>
        <v>1</v>
      </c>
      <c r="E20" s="6"/>
      <c r="F20" s="7"/>
      <c r="G20" s="8">
        <f t="shared" si="1"/>
        <v>0</v>
      </c>
      <c r="H20" s="6"/>
      <c r="I20" s="7"/>
      <c r="J20" s="8">
        <f t="shared" si="2"/>
        <v>0</v>
      </c>
      <c r="K20" s="6">
        <v>8</v>
      </c>
      <c r="L20" s="7">
        <v>0.5</v>
      </c>
      <c r="M20" s="8">
        <f t="shared" si="3"/>
        <v>4</v>
      </c>
      <c r="N20" s="6"/>
      <c r="O20" s="7"/>
      <c r="P20" s="8">
        <f t="shared" si="4"/>
        <v>0</v>
      </c>
      <c r="Q20" s="1"/>
      <c r="R20" s="6">
        <f t="shared" si="5"/>
        <v>9</v>
      </c>
      <c r="S20" s="9">
        <f t="shared" si="6"/>
        <v>0.55555555555555558</v>
      </c>
      <c r="T20" s="9">
        <f t="shared" si="7"/>
        <v>1.9607843137254902E-2</v>
      </c>
      <c r="U20" s="9">
        <f>R20 / _xlfn.XLOOKUP(A20, Support!A:A, Support!AA:AA)</f>
        <v>8.3333333333333329E-2</v>
      </c>
      <c r="V20" s="1"/>
      <c r="W20" s="1"/>
    </row>
    <row r="21" spans="1:23" x14ac:dyDescent="0.25">
      <c r="A21" s="1" t="s">
        <v>30</v>
      </c>
      <c r="B21" s="6"/>
      <c r="C21" s="7"/>
      <c r="D21" s="8">
        <f t="shared" si="0"/>
        <v>0</v>
      </c>
      <c r="E21" s="6">
        <v>5</v>
      </c>
      <c r="F21" s="7">
        <v>0.2</v>
      </c>
      <c r="G21" s="8">
        <f t="shared" si="1"/>
        <v>1</v>
      </c>
      <c r="H21" s="6">
        <v>3</v>
      </c>
      <c r="I21" s="7">
        <v>0.66700000000000004</v>
      </c>
      <c r="J21" s="8">
        <f t="shared" si="2"/>
        <v>2.0010000000000003</v>
      </c>
      <c r="K21" s="6">
        <v>3</v>
      </c>
      <c r="L21" s="7">
        <v>1</v>
      </c>
      <c r="M21" s="8">
        <f t="shared" si="3"/>
        <v>3</v>
      </c>
      <c r="N21" s="6"/>
      <c r="O21" s="7"/>
      <c r="P21" s="8">
        <f t="shared" si="4"/>
        <v>0</v>
      </c>
      <c r="Q21" s="1"/>
      <c r="R21" s="6">
        <f t="shared" si="5"/>
        <v>11</v>
      </c>
      <c r="S21" s="9">
        <f t="shared" si="6"/>
        <v>0.54554545454545456</v>
      </c>
      <c r="T21" s="9">
        <f t="shared" si="7"/>
        <v>2.3965141612200435E-2</v>
      </c>
      <c r="U21" s="9">
        <f>R21 / _xlfn.XLOOKUP(A21, Support!A:A, Support!AA:AA)</f>
        <v>0.25</v>
      </c>
      <c r="V21" s="1"/>
      <c r="W21" s="1"/>
    </row>
    <row r="22" spans="1:23" x14ac:dyDescent="0.25">
      <c r="A22" s="1" t="s">
        <v>29</v>
      </c>
      <c r="B22" s="6">
        <v>5</v>
      </c>
      <c r="C22" s="7">
        <v>0.6</v>
      </c>
      <c r="D22" s="8">
        <f t="shared" si="0"/>
        <v>3</v>
      </c>
      <c r="E22" s="6">
        <v>5</v>
      </c>
      <c r="F22" s="7">
        <v>0.4</v>
      </c>
      <c r="G22" s="8">
        <f t="shared" si="1"/>
        <v>2</v>
      </c>
      <c r="H22" s="6">
        <v>1</v>
      </c>
      <c r="I22" s="7">
        <v>0</v>
      </c>
      <c r="J22" s="8">
        <f t="shared" si="2"/>
        <v>0</v>
      </c>
      <c r="K22" s="6">
        <v>6</v>
      </c>
      <c r="L22" s="7">
        <v>0.66700000000000004</v>
      </c>
      <c r="M22" s="8">
        <f t="shared" si="3"/>
        <v>4.0020000000000007</v>
      </c>
      <c r="N22" s="6"/>
      <c r="O22" s="7"/>
      <c r="P22" s="8">
        <f t="shared" si="4"/>
        <v>0</v>
      </c>
      <c r="Q22" s="1"/>
      <c r="R22" s="6">
        <f t="shared" si="5"/>
        <v>17</v>
      </c>
      <c r="S22" s="9">
        <f t="shared" si="6"/>
        <v>0.52952941176470592</v>
      </c>
      <c r="T22" s="9">
        <f t="shared" si="7"/>
        <v>3.7037037037037035E-2</v>
      </c>
      <c r="U22" s="9">
        <f>R22 / _xlfn.XLOOKUP(A22, Support!A:A, Support!AA:AA)</f>
        <v>8.5000000000000006E-2</v>
      </c>
      <c r="V22" s="1"/>
      <c r="W22" s="1"/>
    </row>
    <row r="23" spans="1:23" x14ac:dyDescent="0.25">
      <c r="A23" s="1" t="s">
        <v>178</v>
      </c>
      <c r="B23" s="6">
        <v>14</v>
      </c>
      <c r="C23" s="7">
        <v>0.57099999999999995</v>
      </c>
      <c r="D23" s="8">
        <f t="shared" si="0"/>
        <v>7.9939999999999998</v>
      </c>
      <c r="E23" s="6">
        <v>5</v>
      </c>
      <c r="F23" s="7">
        <v>0</v>
      </c>
      <c r="G23" s="8">
        <f t="shared" si="1"/>
        <v>0</v>
      </c>
      <c r="H23" s="6">
        <v>12</v>
      </c>
      <c r="I23" s="7">
        <v>0.58299999999999996</v>
      </c>
      <c r="J23" s="8">
        <f t="shared" si="2"/>
        <v>6.9959999999999996</v>
      </c>
      <c r="K23" s="6">
        <v>13</v>
      </c>
      <c r="L23" s="7">
        <v>0.61499999999999999</v>
      </c>
      <c r="M23" s="8">
        <f t="shared" si="3"/>
        <v>7.9950000000000001</v>
      </c>
      <c r="N23" s="6"/>
      <c r="O23" s="7"/>
      <c r="P23" s="8">
        <f t="shared" si="4"/>
        <v>0</v>
      </c>
      <c r="Q23" s="4"/>
      <c r="R23" s="6">
        <f t="shared" si="5"/>
        <v>44</v>
      </c>
      <c r="S23" s="9">
        <f t="shared" si="6"/>
        <v>0.52238636363636359</v>
      </c>
      <c r="T23" s="9">
        <f t="shared" si="7"/>
        <v>9.586056644880174E-2</v>
      </c>
      <c r="U23" s="9">
        <f>R23 / _xlfn.XLOOKUP(A23, Support!A:A, Support!AA:AA)</f>
        <v>8.8353413654618476E-2</v>
      </c>
      <c r="V23" s="1"/>
      <c r="W23" s="1"/>
    </row>
    <row r="24" spans="1:23" x14ac:dyDescent="0.25">
      <c r="A24" s="1" t="s">
        <v>91</v>
      </c>
      <c r="B24" s="6"/>
      <c r="C24" s="7"/>
      <c r="D24" s="8">
        <f t="shared" si="0"/>
        <v>0</v>
      </c>
      <c r="E24" s="6"/>
      <c r="F24" s="7"/>
      <c r="G24" s="8">
        <f t="shared" si="1"/>
        <v>0</v>
      </c>
      <c r="H24" s="6">
        <v>4</v>
      </c>
      <c r="I24" s="7">
        <v>0.75</v>
      </c>
      <c r="J24" s="8">
        <f t="shared" si="2"/>
        <v>3</v>
      </c>
      <c r="K24" s="6">
        <v>10</v>
      </c>
      <c r="L24" s="7">
        <v>0.4</v>
      </c>
      <c r="M24" s="8">
        <f t="shared" si="3"/>
        <v>4</v>
      </c>
      <c r="N24" s="6"/>
      <c r="O24" s="7"/>
      <c r="P24" s="8">
        <f t="shared" si="4"/>
        <v>0</v>
      </c>
      <c r="Q24" s="1"/>
      <c r="R24" s="6">
        <f t="shared" si="5"/>
        <v>14</v>
      </c>
      <c r="S24" s="9">
        <f t="shared" si="6"/>
        <v>0.5</v>
      </c>
      <c r="T24" s="9">
        <f t="shared" si="7"/>
        <v>3.0501089324618737E-2</v>
      </c>
      <c r="U24" s="9">
        <f>R24 / _xlfn.XLOOKUP(A24, Support!A:A, Support!AA:AA)</f>
        <v>8.3333333333333329E-2</v>
      </c>
      <c r="V24" s="1"/>
      <c r="W24" s="1"/>
    </row>
    <row r="25" spans="1:23" x14ac:dyDescent="0.25">
      <c r="A25" s="1" t="s">
        <v>147</v>
      </c>
      <c r="B25" s="6">
        <v>1</v>
      </c>
      <c r="C25" s="7">
        <v>1</v>
      </c>
      <c r="D25" s="8">
        <f t="shared" si="0"/>
        <v>1</v>
      </c>
      <c r="E25" s="6">
        <v>3</v>
      </c>
      <c r="F25" s="7">
        <v>0</v>
      </c>
      <c r="G25" s="8">
        <f t="shared" si="1"/>
        <v>0</v>
      </c>
      <c r="H25" s="6">
        <v>4</v>
      </c>
      <c r="I25" s="7">
        <v>0.75</v>
      </c>
      <c r="J25" s="8">
        <f t="shared" si="2"/>
        <v>3</v>
      </c>
      <c r="K25" s="6"/>
      <c r="L25" s="7"/>
      <c r="M25" s="8">
        <f t="shared" si="3"/>
        <v>0</v>
      </c>
      <c r="N25" s="6"/>
      <c r="O25" s="7"/>
      <c r="P25" s="8">
        <f t="shared" si="4"/>
        <v>0</v>
      </c>
      <c r="Q25" s="1"/>
      <c r="R25" s="6">
        <f t="shared" si="5"/>
        <v>8</v>
      </c>
      <c r="S25" s="9">
        <f t="shared" si="6"/>
        <v>0.5</v>
      </c>
      <c r="T25" s="9">
        <f t="shared" si="7"/>
        <v>1.7429193899782137E-2</v>
      </c>
      <c r="U25" s="9">
        <f>R25 / _xlfn.XLOOKUP(A25, Support!A:A, Support!AA:AA)</f>
        <v>9.8765432098765427E-2</v>
      </c>
      <c r="V25" s="1"/>
      <c r="W25" s="1"/>
    </row>
    <row r="26" spans="1:23" x14ac:dyDescent="0.25">
      <c r="A26" s="1" t="s">
        <v>190</v>
      </c>
      <c r="B26" s="6"/>
      <c r="C26" s="7"/>
      <c r="D26" s="8">
        <f t="shared" si="0"/>
        <v>0</v>
      </c>
      <c r="E26" s="6"/>
      <c r="F26" s="7"/>
      <c r="G26" s="8">
        <f t="shared" si="1"/>
        <v>0</v>
      </c>
      <c r="H26" s="6"/>
      <c r="I26" s="7"/>
      <c r="J26" s="8">
        <f t="shared" si="2"/>
        <v>0</v>
      </c>
      <c r="K26" s="6">
        <v>2</v>
      </c>
      <c r="L26" s="7">
        <v>0.5</v>
      </c>
      <c r="M26" s="8">
        <f t="shared" si="3"/>
        <v>1</v>
      </c>
      <c r="N26" s="6"/>
      <c r="O26" s="7"/>
      <c r="P26" s="8">
        <f t="shared" si="4"/>
        <v>0</v>
      </c>
      <c r="Q26" s="1"/>
      <c r="R26" s="6">
        <f t="shared" si="5"/>
        <v>2</v>
      </c>
      <c r="S26" s="9">
        <f t="shared" si="6"/>
        <v>0.5</v>
      </c>
      <c r="T26" s="9">
        <f t="shared" si="7"/>
        <v>4.3572984749455342E-3</v>
      </c>
      <c r="U26" s="9">
        <f>R26 / _xlfn.XLOOKUP(A26, Support!A:A, Support!AA:AA)</f>
        <v>0.33333333333333331</v>
      </c>
      <c r="V26" s="1"/>
      <c r="W26" s="1"/>
    </row>
    <row r="27" spans="1:23" x14ac:dyDescent="0.25">
      <c r="A27" s="1" t="s">
        <v>143</v>
      </c>
      <c r="B27" s="6">
        <v>1</v>
      </c>
      <c r="C27" s="7">
        <v>1</v>
      </c>
      <c r="D27" s="8">
        <f t="shared" si="0"/>
        <v>1</v>
      </c>
      <c r="E27" s="6"/>
      <c r="F27" s="7"/>
      <c r="G27" s="8">
        <f t="shared" si="1"/>
        <v>0</v>
      </c>
      <c r="H27" s="6">
        <v>1</v>
      </c>
      <c r="I27" s="7">
        <v>0</v>
      </c>
      <c r="J27" s="8">
        <f t="shared" si="2"/>
        <v>0</v>
      </c>
      <c r="K27" s="6"/>
      <c r="L27" s="7"/>
      <c r="M27" s="8">
        <f t="shared" si="3"/>
        <v>0</v>
      </c>
      <c r="N27" s="6"/>
      <c r="O27" s="7"/>
      <c r="P27" s="8">
        <f t="shared" si="4"/>
        <v>0</v>
      </c>
      <c r="Q27" s="1"/>
      <c r="R27" s="6">
        <f t="shared" si="5"/>
        <v>2</v>
      </c>
      <c r="S27" s="9">
        <f t="shared" si="6"/>
        <v>0.5</v>
      </c>
      <c r="T27" s="9">
        <f t="shared" si="7"/>
        <v>4.3572984749455342E-3</v>
      </c>
      <c r="U27" s="9">
        <f>R27 / _xlfn.XLOOKUP(A27, Support!A:A, Support!AA:AA)</f>
        <v>2.5974025974025976E-2</v>
      </c>
      <c r="V27" s="1"/>
      <c r="W27" s="1"/>
    </row>
    <row r="28" spans="1:23" x14ac:dyDescent="0.25">
      <c r="A28" s="1" t="s">
        <v>90</v>
      </c>
      <c r="B28" s="6">
        <v>10</v>
      </c>
      <c r="C28" s="7">
        <v>0.4</v>
      </c>
      <c r="D28" s="8">
        <f t="shared" si="0"/>
        <v>4</v>
      </c>
      <c r="E28" s="6">
        <v>2</v>
      </c>
      <c r="F28" s="7">
        <v>0</v>
      </c>
      <c r="G28" s="8">
        <f t="shared" si="1"/>
        <v>0</v>
      </c>
      <c r="H28" s="6">
        <v>16</v>
      </c>
      <c r="I28" s="7">
        <v>0.5</v>
      </c>
      <c r="J28" s="8">
        <f t="shared" si="2"/>
        <v>8</v>
      </c>
      <c r="K28" s="6">
        <v>12</v>
      </c>
      <c r="L28" s="7">
        <v>0.58299999999999996</v>
      </c>
      <c r="M28" s="8">
        <f t="shared" si="3"/>
        <v>6.9959999999999996</v>
      </c>
      <c r="N28" s="6"/>
      <c r="O28" s="7"/>
      <c r="P28" s="8">
        <f t="shared" si="4"/>
        <v>0</v>
      </c>
      <c r="Q28" s="1"/>
      <c r="R28" s="6">
        <f t="shared" si="5"/>
        <v>40</v>
      </c>
      <c r="S28" s="9">
        <f t="shared" si="6"/>
        <v>0.47489999999999999</v>
      </c>
      <c r="T28" s="9">
        <f t="shared" si="7"/>
        <v>8.714596949891068E-2</v>
      </c>
      <c r="U28" s="9">
        <f>R28 / _xlfn.XLOOKUP(A28, Support!A:A, Support!AA:AA)</f>
        <v>6.535947712418301E-2</v>
      </c>
      <c r="V28" s="1"/>
      <c r="W28" s="1"/>
    </row>
    <row r="29" spans="1:23" x14ac:dyDescent="0.25">
      <c r="A29" s="1" t="s">
        <v>170</v>
      </c>
      <c r="B29" s="6">
        <v>4</v>
      </c>
      <c r="C29" s="7">
        <v>0.75</v>
      </c>
      <c r="D29" s="8">
        <f t="shared" si="0"/>
        <v>3</v>
      </c>
      <c r="E29" s="6">
        <v>5</v>
      </c>
      <c r="F29" s="7">
        <v>0.2</v>
      </c>
      <c r="G29" s="8">
        <f t="shared" si="1"/>
        <v>1</v>
      </c>
      <c r="H29" s="6"/>
      <c r="I29" s="7"/>
      <c r="J29" s="8">
        <f t="shared" si="2"/>
        <v>0</v>
      </c>
      <c r="K29" s="6"/>
      <c r="L29" s="7"/>
      <c r="M29" s="8">
        <f t="shared" si="3"/>
        <v>0</v>
      </c>
      <c r="N29" s="6"/>
      <c r="O29" s="7"/>
      <c r="P29" s="8">
        <f t="shared" si="4"/>
        <v>0</v>
      </c>
      <c r="Q29" s="1"/>
      <c r="R29" s="6">
        <f t="shared" si="5"/>
        <v>9</v>
      </c>
      <c r="S29" s="9">
        <f t="shared" si="6"/>
        <v>0.44444444444444442</v>
      </c>
      <c r="T29" s="9">
        <f t="shared" si="7"/>
        <v>1.9607843137254902E-2</v>
      </c>
      <c r="U29" s="9">
        <f>R29 / _xlfn.XLOOKUP(A29, Support!A:A, Support!AA:AA)</f>
        <v>5.3571428571428568E-2</v>
      </c>
      <c r="V29" s="1"/>
      <c r="W29" s="1"/>
    </row>
    <row r="30" spans="1:23" x14ac:dyDescent="0.25">
      <c r="A30" s="1" t="s">
        <v>169</v>
      </c>
      <c r="B30" s="6">
        <v>13</v>
      </c>
      <c r="C30" s="7">
        <v>0.53800000000000003</v>
      </c>
      <c r="D30" s="8">
        <f t="shared" si="0"/>
        <v>6.9940000000000007</v>
      </c>
      <c r="E30" s="6">
        <v>2</v>
      </c>
      <c r="F30" s="7">
        <v>0.5</v>
      </c>
      <c r="G30" s="8">
        <f t="shared" si="1"/>
        <v>1</v>
      </c>
      <c r="H30" s="6">
        <v>2</v>
      </c>
      <c r="I30" s="7">
        <v>0</v>
      </c>
      <c r="J30" s="8">
        <f t="shared" si="2"/>
        <v>0</v>
      </c>
      <c r="K30" s="6">
        <v>6</v>
      </c>
      <c r="L30" s="7">
        <v>0.33300000000000002</v>
      </c>
      <c r="M30" s="8">
        <f t="shared" si="3"/>
        <v>1.9980000000000002</v>
      </c>
      <c r="N30" s="6"/>
      <c r="O30" s="7"/>
      <c r="P30" s="8">
        <f t="shared" si="4"/>
        <v>0</v>
      </c>
      <c r="Q30" s="1"/>
      <c r="R30" s="6">
        <f t="shared" si="5"/>
        <v>23</v>
      </c>
      <c r="S30" s="9">
        <f t="shared" si="6"/>
        <v>0.43443478260869567</v>
      </c>
      <c r="T30" s="9">
        <f t="shared" si="7"/>
        <v>5.0108932461873638E-2</v>
      </c>
      <c r="U30" s="9">
        <f>R30 / _xlfn.XLOOKUP(A30, Support!A:A, Support!AA:AA)</f>
        <v>7.4193548387096769E-2</v>
      </c>
      <c r="V30" s="1"/>
      <c r="W30" s="1"/>
    </row>
    <row r="31" spans="1:23" x14ac:dyDescent="0.25">
      <c r="A31" s="1" t="s">
        <v>176</v>
      </c>
      <c r="B31" s="6">
        <v>10</v>
      </c>
      <c r="C31" s="7">
        <v>0.6</v>
      </c>
      <c r="D31" s="8">
        <f t="shared" si="0"/>
        <v>6</v>
      </c>
      <c r="E31" s="6">
        <v>11</v>
      </c>
      <c r="F31" s="7">
        <v>0.45500000000000002</v>
      </c>
      <c r="G31" s="8">
        <f t="shared" si="1"/>
        <v>5.0049999999999999</v>
      </c>
      <c r="H31" s="6">
        <v>4</v>
      </c>
      <c r="I31" s="7">
        <v>0</v>
      </c>
      <c r="J31" s="8">
        <f t="shared" si="2"/>
        <v>0</v>
      </c>
      <c r="K31" s="6">
        <v>10</v>
      </c>
      <c r="L31" s="7">
        <v>0.4</v>
      </c>
      <c r="M31" s="8">
        <f t="shared" si="3"/>
        <v>4</v>
      </c>
      <c r="N31" s="6"/>
      <c r="O31" s="7"/>
      <c r="P31" s="8">
        <f t="shared" si="4"/>
        <v>0</v>
      </c>
      <c r="Q31" s="1"/>
      <c r="R31" s="6">
        <f t="shared" si="5"/>
        <v>35</v>
      </c>
      <c r="S31" s="9">
        <f t="shared" si="6"/>
        <v>0.42871428571428566</v>
      </c>
      <c r="T31" s="9">
        <f t="shared" si="7"/>
        <v>7.6252723311546838E-2</v>
      </c>
      <c r="U31" s="9">
        <f>R31 / _xlfn.XLOOKUP(A31, Support!A:A, Support!AA:AA)</f>
        <v>5.5467511885895403E-2</v>
      </c>
      <c r="V31" s="1"/>
      <c r="W31" s="1"/>
    </row>
    <row r="32" spans="1:23" x14ac:dyDescent="0.25">
      <c r="A32" s="1" t="s">
        <v>180</v>
      </c>
      <c r="B32" s="6">
        <v>3</v>
      </c>
      <c r="C32" s="7">
        <v>0.66700000000000004</v>
      </c>
      <c r="D32" s="8">
        <f t="shared" si="0"/>
        <v>2.0010000000000003</v>
      </c>
      <c r="E32" s="6">
        <v>2</v>
      </c>
      <c r="F32" s="7">
        <v>0</v>
      </c>
      <c r="G32" s="8">
        <f t="shared" si="1"/>
        <v>0</v>
      </c>
      <c r="H32" s="6"/>
      <c r="I32" s="7"/>
      <c r="J32" s="8">
        <f t="shared" si="2"/>
        <v>0</v>
      </c>
      <c r="K32" s="6"/>
      <c r="L32" s="7"/>
      <c r="M32" s="8">
        <f t="shared" si="3"/>
        <v>0</v>
      </c>
      <c r="N32" s="6"/>
      <c r="O32" s="7"/>
      <c r="P32" s="8">
        <f t="shared" si="4"/>
        <v>0</v>
      </c>
      <c r="Q32" s="1"/>
      <c r="R32" s="6">
        <f t="shared" si="5"/>
        <v>5</v>
      </c>
      <c r="S32" s="9">
        <f t="shared" si="6"/>
        <v>0.40020000000000006</v>
      </c>
      <c r="T32" s="9">
        <f t="shared" si="7"/>
        <v>1.0893246187363835E-2</v>
      </c>
      <c r="U32" s="9">
        <f>R32 / _xlfn.XLOOKUP(A32, Support!A:A, Support!AA:AA)</f>
        <v>0.19230769230769232</v>
      </c>
      <c r="V32" s="1"/>
      <c r="W32" s="1"/>
    </row>
    <row r="33" spans="1:23" x14ac:dyDescent="0.25">
      <c r="A33" s="1" t="s">
        <v>173</v>
      </c>
      <c r="B33" s="6">
        <v>12</v>
      </c>
      <c r="C33" s="7">
        <v>0.5</v>
      </c>
      <c r="D33" s="8">
        <f t="shared" si="0"/>
        <v>6</v>
      </c>
      <c r="E33" s="6">
        <v>9</v>
      </c>
      <c r="F33" s="7">
        <v>0.222</v>
      </c>
      <c r="G33" s="8">
        <f t="shared" si="1"/>
        <v>1.998</v>
      </c>
      <c r="H33" s="6">
        <v>2</v>
      </c>
      <c r="I33" s="7">
        <v>0</v>
      </c>
      <c r="J33" s="8">
        <f t="shared" si="2"/>
        <v>0</v>
      </c>
      <c r="K33" s="6">
        <v>3</v>
      </c>
      <c r="L33" s="7">
        <v>0.66700000000000004</v>
      </c>
      <c r="M33" s="8">
        <f t="shared" si="3"/>
        <v>2.0010000000000003</v>
      </c>
      <c r="N33" s="6"/>
      <c r="O33" s="7"/>
      <c r="P33" s="8">
        <f t="shared" si="4"/>
        <v>0</v>
      </c>
      <c r="Q33" s="1"/>
      <c r="R33" s="6">
        <f t="shared" si="5"/>
        <v>26</v>
      </c>
      <c r="S33" s="9">
        <f t="shared" si="6"/>
        <v>0.38457692307692309</v>
      </c>
      <c r="T33" s="9">
        <f t="shared" si="7"/>
        <v>5.6644880174291937E-2</v>
      </c>
      <c r="U33" s="9">
        <f>R33 / _xlfn.XLOOKUP(A33, Support!A:A, Support!AA:AA)</f>
        <v>8.4415584415584416E-2</v>
      </c>
      <c r="V33" s="1"/>
      <c r="W33" s="1"/>
    </row>
    <row r="34" spans="1:23" x14ac:dyDescent="0.25">
      <c r="A34" s="1" t="s">
        <v>179</v>
      </c>
      <c r="B34" s="6">
        <v>2</v>
      </c>
      <c r="C34" s="7">
        <v>0.5</v>
      </c>
      <c r="D34" s="8">
        <f t="shared" si="0"/>
        <v>1</v>
      </c>
      <c r="E34" s="6">
        <v>7</v>
      </c>
      <c r="F34" s="7">
        <v>0.14299999999999999</v>
      </c>
      <c r="G34" s="8">
        <f t="shared" si="1"/>
        <v>1.0009999999999999</v>
      </c>
      <c r="H34" s="6">
        <v>11</v>
      </c>
      <c r="I34" s="7">
        <v>0.27300000000000002</v>
      </c>
      <c r="J34" s="8">
        <f t="shared" si="2"/>
        <v>3.0030000000000001</v>
      </c>
      <c r="K34" s="6">
        <v>12</v>
      </c>
      <c r="L34" s="7">
        <v>0.58299999999999996</v>
      </c>
      <c r="M34" s="8">
        <f t="shared" si="3"/>
        <v>6.9959999999999996</v>
      </c>
      <c r="N34" s="6"/>
      <c r="O34" s="7"/>
      <c r="P34" s="8">
        <f t="shared" si="4"/>
        <v>0</v>
      </c>
      <c r="Q34" s="4"/>
      <c r="R34" s="6">
        <f t="shared" si="5"/>
        <v>32</v>
      </c>
      <c r="S34" s="9">
        <f t="shared" si="6"/>
        <v>0.375</v>
      </c>
      <c r="T34" s="9">
        <f t="shared" si="7"/>
        <v>6.9716775599128547E-2</v>
      </c>
      <c r="U34" s="9">
        <f>R34 / _xlfn.XLOOKUP(A34, Support!A:A, Support!AA:AA)</f>
        <v>6.7510548523206745E-2</v>
      </c>
      <c r="V34" s="1"/>
      <c r="W34" s="1"/>
    </row>
    <row r="35" spans="1:23" x14ac:dyDescent="0.25">
      <c r="A35" s="1" t="s">
        <v>175</v>
      </c>
      <c r="B35" s="6">
        <v>4</v>
      </c>
      <c r="C35" s="7">
        <v>0.5</v>
      </c>
      <c r="D35" s="8">
        <f t="shared" si="0"/>
        <v>2</v>
      </c>
      <c r="E35" s="6">
        <v>2</v>
      </c>
      <c r="F35" s="7">
        <v>0</v>
      </c>
      <c r="G35" s="8">
        <f t="shared" si="1"/>
        <v>0</v>
      </c>
      <c r="H35" s="6"/>
      <c r="I35" s="7"/>
      <c r="J35" s="8">
        <f t="shared" si="2"/>
        <v>0</v>
      </c>
      <c r="K35" s="6"/>
      <c r="L35" s="7"/>
      <c r="M35" s="8">
        <f t="shared" si="3"/>
        <v>0</v>
      </c>
      <c r="N35" s="6"/>
      <c r="O35" s="7"/>
      <c r="P35" s="8">
        <f t="shared" si="4"/>
        <v>0</v>
      </c>
      <c r="Q35" s="1"/>
      <c r="R35" s="6">
        <f t="shared" si="5"/>
        <v>6</v>
      </c>
      <c r="S35" s="9">
        <f t="shared" si="6"/>
        <v>0.33333333333333331</v>
      </c>
      <c r="T35" s="9">
        <f t="shared" si="7"/>
        <v>1.3071895424836602E-2</v>
      </c>
      <c r="U35" s="9">
        <f>R35 / _xlfn.XLOOKUP(A35, Support!A:A, Support!AA:AA)</f>
        <v>0.10344827586206896</v>
      </c>
      <c r="V35" s="1"/>
      <c r="W35" s="1"/>
    </row>
    <row r="36" spans="1:23" x14ac:dyDescent="0.25">
      <c r="A36" s="1" t="s">
        <v>171</v>
      </c>
      <c r="B36" s="6">
        <v>3</v>
      </c>
      <c r="C36" s="7">
        <v>0.33300000000000002</v>
      </c>
      <c r="D36" s="8">
        <f t="shared" si="0"/>
        <v>0.99900000000000011</v>
      </c>
      <c r="E36" s="6"/>
      <c r="F36" s="7"/>
      <c r="G36" s="8">
        <f t="shared" si="1"/>
        <v>0</v>
      </c>
      <c r="H36" s="6"/>
      <c r="I36" s="7"/>
      <c r="J36" s="8">
        <f t="shared" si="2"/>
        <v>0</v>
      </c>
      <c r="K36" s="6"/>
      <c r="L36" s="7"/>
      <c r="M36" s="8">
        <f t="shared" si="3"/>
        <v>0</v>
      </c>
      <c r="N36" s="6"/>
      <c r="O36" s="7"/>
      <c r="P36" s="8">
        <f t="shared" si="4"/>
        <v>0</v>
      </c>
      <c r="Q36" s="1"/>
      <c r="R36" s="6">
        <f t="shared" si="5"/>
        <v>3</v>
      </c>
      <c r="S36" s="9">
        <f t="shared" si="6"/>
        <v>0.33300000000000002</v>
      </c>
      <c r="T36" s="9">
        <f t="shared" si="7"/>
        <v>6.5359477124183009E-3</v>
      </c>
      <c r="U36" s="9">
        <f>R36 / _xlfn.XLOOKUP(A36, Support!A:A, Support!AA:AA)</f>
        <v>2.9126213592233011E-2</v>
      </c>
      <c r="V36" s="1"/>
      <c r="W36" s="1"/>
    </row>
    <row r="37" spans="1:23" x14ac:dyDescent="0.25">
      <c r="A37" s="1" t="s">
        <v>127</v>
      </c>
      <c r="B37" s="6">
        <v>3</v>
      </c>
      <c r="C37" s="7">
        <v>0.33300000000000002</v>
      </c>
      <c r="D37" s="8">
        <f t="shared" si="0"/>
        <v>0.99900000000000011</v>
      </c>
      <c r="E37" s="6"/>
      <c r="F37" s="7"/>
      <c r="G37" s="8">
        <f t="shared" si="1"/>
        <v>0</v>
      </c>
      <c r="H37" s="6"/>
      <c r="I37" s="7"/>
      <c r="J37" s="8">
        <f t="shared" si="2"/>
        <v>0</v>
      </c>
      <c r="K37" s="6"/>
      <c r="L37" s="7"/>
      <c r="M37" s="8">
        <f t="shared" si="3"/>
        <v>0</v>
      </c>
      <c r="N37" s="6"/>
      <c r="O37" s="7"/>
      <c r="P37" s="8">
        <f t="shared" si="4"/>
        <v>0</v>
      </c>
      <c r="Q37" s="1"/>
      <c r="R37" s="6">
        <f t="shared" si="5"/>
        <v>3</v>
      </c>
      <c r="S37" s="9">
        <f t="shared" si="6"/>
        <v>0.33300000000000002</v>
      </c>
      <c r="T37" s="9">
        <f t="shared" si="7"/>
        <v>6.5359477124183009E-3</v>
      </c>
      <c r="U37" s="9">
        <f>R37 / _xlfn.XLOOKUP(A37, Support!A:A, Support!AA:AA)</f>
        <v>0.33333333333333331</v>
      </c>
      <c r="V37" s="1"/>
      <c r="W37" s="1"/>
    </row>
    <row r="38" spans="1:23" x14ac:dyDescent="0.25">
      <c r="A38" s="1" t="s">
        <v>186</v>
      </c>
      <c r="B38" s="6"/>
      <c r="C38" s="7"/>
      <c r="D38" s="8">
        <f t="shared" si="0"/>
        <v>0</v>
      </c>
      <c r="E38" s="6">
        <v>5</v>
      </c>
      <c r="F38" s="7">
        <v>0</v>
      </c>
      <c r="G38" s="8">
        <f t="shared" si="1"/>
        <v>0</v>
      </c>
      <c r="H38" s="6">
        <v>4</v>
      </c>
      <c r="I38" s="7">
        <v>0.75</v>
      </c>
      <c r="J38" s="8">
        <f t="shared" si="2"/>
        <v>3</v>
      </c>
      <c r="K38" s="6">
        <v>1</v>
      </c>
      <c r="L38" s="7">
        <v>0</v>
      </c>
      <c r="M38" s="8">
        <f t="shared" si="3"/>
        <v>0</v>
      </c>
      <c r="N38" s="6"/>
      <c r="O38" s="7"/>
      <c r="P38" s="8">
        <f t="shared" si="4"/>
        <v>0</v>
      </c>
      <c r="Q38" s="1"/>
      <c r="R38" s="6">
        <f t="shared" si="5"/>
        <v>10</v>
      </c>
      <c r="S38" s="9">
        <f t="shared" si="6"/>
        <v>0.3</v>
      </c>
      <c r="T38" s="9">
        <f t="shared" si="7"/>
        <v>2.178649237472767E-2</v>
      </c>
      <c r="U38" s="9">
        <f>R38 / _xlfn.XLOOKUP(A38, Support!A:A, Support!AA:AA)</f>
        <v>9.4339622641509441E-2</v>
      </c>
      <c r="V38" s="1"/>
      <c r="W38" s="1"/>
    </row>
    <row r="39" spans="1:23" x14ac:dyDescent="0.25">
      <c r="A39" s="1" t="s">
        <v>172</v>
      </c>
      <c r="B39" s="6">
        <v>4</v>
      </c>
      <c r="C39" s="7">
        <v>0.25</v>
      </c>
      <c r="D39" s="8">
        <f t="shared" si="0"/>
        <v>1</v>
      </c>
      <c r="E39" s="6">
        <v>6</v>
      </c>
      <c r="F39" s="7">
        <v>0</v>
      </c>
      <c r="G39" s="8">
        <f t="shared" si="1"/>
        <v>0</v>
      </c>
      <c r="H39" s="6">
        <v>3</v>
      </c>
      <c r="I39" s="7">
        <v>0.66700000000000004</v>
      </c>
      <c r="J39" s="8">
        <f t="shared" si="2"/>
        <v>2.0010000000000003</v>
      </c>
      <c r="K39" s="6"/>
      <c r="L39" s="7"/>
      <c r="M39" s="8">
        <f t="shared" si="3"/>
        <v>0</v>
      </c>
      <c r="N39" s="6"/>
      <c r="O39" s="7"/>
      <c r="P39" s="8">
        <f t="shared" si="4"/>
        <v>0</v>
      </c>
      <c r="Q39" s="1"/>
      <c r="R39" s="6">
        <f t="shared" si="5"/>
        <v>13</v>
      </c>
      <c r="S39" s="9">
        <f t="shared" si="6"/>
        <v>0.23084615384615387</v>
      </c>
      <c r="T39" s="9">
        <f t="shared" si="7"/>
        <v>2.8322440087145968E-2</v>
      </c>
      <c r="U39" s="9">
        <f>R39 / _xlfn.XLOOKUP(A39, Support!A:A, Support!AA:AA)</f>
        <v>4.797047970479705E-2</v>
      </c>
      <c r="V39" s="1"/>
      <c r="W39" s="1"/>
    </row>
    <row r="40" spans="1:23" x14ac:dyDescent="0.25">
      <c r="A40" s="1" t="s">
        <v>122</v>
      </c>
      <c r="B40" s="6">
        <v>1</v>
      </c>
      <c r="C40" s="7">
        <v>0</v>
      </c>
      <c r="D40" s="8">
        <f t="shared" si="0"/>
        <v>0</v>
      </c>
      <c r="E40" s="6"/>
      <c r="F40" s="7"/>
      <c r="G40" s="8">
        <f t="shared" si="1"/>
        <v>0</v>
      </c>
      <c r="H40" s="6">
        <v>4</v>
      </c>
      <c r="I40" s="7">
        <v>0</v>
      </c>
      <c r="J40" s="8">
        <f t="shared" si="2"/>
        <v>0</v>
      </c>
      <c r="K40" s="6"/>
      <c r="L40" s="7"/>
      <c r="M40" s="8">
        <f t="shared" si="3"/>
        <v>0</v>
      </c>
      <c r="N40" s="6"/>
      <c r="O40" s="7"/>
      <c r="P40" s="8">
        <f t="shared" si="4"/>
        <v>0</v>
      </c>
      <c r="Q40" s="1"/>
      <c r="R40" s="6">
        <f t="shared" si="5"/>
        <v>5</v>
      </c>
      <c r="S40" s="9">
        <f t="shared" si="6"/>
        <v>0</v>
      </c>
      <c r="T40" s="9">
        <f t="shared" si="7"/>
        <v>1.0893246187363835E-2</v>
      </c>
      <c r="U40" s="9">
        <f>R40 / _xlfn.XLOOKUP(A40, Support!A:A, Support!AA:AA)</f>
        <v>0.19230769230769232</v>
      </c>
    </row>
    <row r="41" spans="1:23" x14ac:dyDescent="0.25">
      <c r="A41" s="1" t="s">
        <v>191</v>
      </c>
      <c r="B41" s="6"/>
      <c r="C41" s="7"/>
      <c r="D41" s="8">
        <f t="shared" si="0"/>
        <v>0</v>
      </c>
      <c r="E41" s="6"/>
      <c r="F41" s="7"/>
      <c r="G41" s="8">
        <f t="shared" si="1"/>
        <v>0</v>
      </c>
      <c r="H41" s="6">
        <v>1</v>
      </c>
      <c r="I41" s="7">
        <v>0</v>
      </c>
      <c r="J41" s="8">
        <f t="shared" si="2"/>
        <v>0</v>
      </c>
      <c r="K41" s="6">
        <v>1</v>
      </c>
      <c r="L41" s="7">
        <v>0</v>
      </c>
      <c r="M41" s="8">
        <f t="shared" si="3"/>
        <v>0</v>
      </c>
      <c r="N41" s="6"/>
      <c r="O41" s="7"/>
      <c r="P41" s="8">
        <f t="shared" si="4"/>
        <v>0</v>
      </c>
      <c r="Q41" s="1"/>
      <c r="R41" s="6">
        <f t="shared" si="5"/>
        <v>2</v>
      </c>
      <c r="S41" s="9">
        <f t="shared" si="6"/>
        <v>0</v>
      </c>
      <c r="T41" s="9">
        <f t="shared" si="7"/>
        <v>4.3572984749455342E-3</v>
      </c>
      <c r="U41" s="9">
        <f>R41 / _xlfn.XLOOKUP(A41, Support!A:A, Support!AA:AA)</f>
        <v>8.6956521739130432E-2</v>
      </c>
    </row>
    <row r="42" spans="1:23" x14ac:dyDescent="0.25">
      <c r="A42" s="1" t="s">
        <v>113</v>
      </c>
      <c r="B42" s="6"/>
      <c r="C42" s="7"/>
      <c r="D42" s="8">
        <f t="shared" si="0"/>
        <v>0</v>
      </c>
      <c r="E42" s="6">
        <v>1</v>
      </c>
      <c r="F42" s="7">
        <v>0</v>
      </c>
      <c r="G42" s="8">
        <f t="shared" si="1"/>
        <v>0</v>
      </c>
      <c r="H42" s="6"/>
      <c r="I42" s="7"/>
      <c r="J42" s="8">
        <f t="shared" si="2"/>
        <v>0</v>
      </c>
      <c r="K42" s="6"/>
      <c r="L42" s="7"/>
      <c r="M42" s="8">
        <f t="shared" si="3"/>
        <v>0</v>
      </c>
      <c r="N42" s="6"/>
      <c r="O42" s="7"/>
      <c r="P42" s="8">
        <f t="shared" si="4"/>
        <v>0</v>
      </c>
      <c r="Q42" s="1"/>
      <c r="R42" s="6">
        <f t="shared" si="5"/>
        <v>1</v>
      </c>
      <c r="S42" s="9">
        <f t="shared" si="6"/>
        <v>0</v>
      </c>
      <c r="T42" s="9">
        <f t="shared" si="7"/>
        <v>2.1786492374727671E-3</v>
      </c>
      <c r="U42" s="9">
        <f>R42 / _xlfn.XLOOKUP(A42, Support!A:A, Support!AA:AA)</f>
        <v>7.6923076923076927E-2</v>
      </c>
    </row>
    <row r="43" spans="1:23" x14ac:dyDescent="0.25">
      <c r="A43" s="1" t="s">
        <v>19</v>
      </c>
      <c r="B43" s="6"/>
      <c r="C43" s="7"/>
      <c r="D43" s="8">
        <f t="shared" si="0"/>
        <v>0</v>
      </c>
      <c r="E43" s="6"/>
      <c r="F43" s="7"/>
      <c r="G43" s="8">
        <f t="shared" si="1"/>
        <v>0</v>
      </c>
      <c r="H43" s="6"/>
      <c r="I43" s="7"/>
      <c r="J43" s="8">
        <f t="shared" si="2"/>
        <v>0</v>
      </c>
      <c r="K43" s="6">
        <v>1</v>
      </c>
      <c r="L43" s="7">
        <v>0</v>
      </c>
      <c r="M43" s="8">
        <f t="shared" si="3"/>
        <v>0</v>
      </c>
      <c r="N43" s="6"/>
      <c r="O43" s="7"/>
      <c r="P43" s="8">
        <f t="shared" si="4"/>
        <v>0</v>
      </c>
      <c r="Q43" s="1"/>
      <c r="R43" s="6">
        <f t="shared" si="5"/>
        <v>1</v>
      </c>
      <c r="S43" s="9">
        <f t="shared" si="6"/>
        <v>0</v>
      </c>
      <c r="T43" s="9">
        <f t="shared" si="7"/>
        <v>2.1786492374727671E-3</v>
      </c>
      <c r="U43" s="9">
        <f>R43 / _xlfn.XLOOKUP(A43, Support!A:A, Support!AA:AA)</f>
        <v>0.125</v>
      </c>
    </row>
    <row r="44" spans="1:23" x14ac:dyDescent="0.25">
      <c r="A44" s="25" t="s">
        <v>161</v>
      </c>
      <c r="B44" s="6"/>
      <c r="C44" s="7"/>
      <c r="D44" s="8">
        <f t="shared" si="0"/>
        <v>0</v>
      </c>
      <c r="E44" s="6"/>
      <c r="F44" s="7"/>
      <c r="G44" s="8">
        <f t="shared" si="1"/>
        <v>0</v>
      </c>
      <c r="H44" s="6"/>
      <c r="I44" s="7"/>
      <c r="J44" s="8">
        <f t="shared" si="2"/>
        <v>0</v>
      </c>
      <c r="K44" s="6">
        <v>1</v>
      </c>
      <c r="L44" s="7">
        <v>0</v>
      </c>
      <c r="M44" s="8">
        <f t="shared" si="3"/>
        <v>0</v>
      </c>
      <c r="N44" s="6"/>
      <c r="O44" s="7"/>
      <c r="P44" s="8">
        <f t="shared" si="4"/>
        <v>0</v>
      </c>
      <c r="Q44" s="1"/>
      <c r="R44" s="6">
        <f t="shared" si="5"/>
        <v>1</v>
      </c>
      <c r="S44" s="9">
        <f t="shared" si="6"/>
        <v>0</v>
      </c>
      <c r="T44" s="9">
        <f t="shared" si="7"/>
        <v>2.1786492374727671E-3</v>
      </c>
      <c r="U44" s="9">
        <f>R44 / _xlfn.XLOOKUP(A44, Support!A:A, Support!AA:AA)</f>
        <v>1</v>
      </c>
    </row>
    <row r="45" spans="1:23" x14ac:dyDescent="0.25">
      <c r="A45" s="1" t="s">
        <v>77</v>
      </c>
      <c r="B45" s="6"/>
      <c r="C45" s="7"/>
      <c r="D45" s="8">
        <f t="shared" si="0"/>
        <v>0</v>
      </c>
      <c r="E45" s="6"/>
      <c r="F45" s="7"/>
      <c r="G45" s="8">
        <f t="shared" si="1"/>
        <v>0</v>
      </c>
      <c r="H45" s="6"/>
      <c r="I45" s="7"/>
      <c r="J45" s="8">
        <f t="shared" si="2"/>
        <v>0</v>
      </c>
      <c r="K45" s="6">
        <v>1</v>
      </c>
      <c r="L45" s="7">
        <v>0</v>
      </c>
      <c r="M45" s="8">
        <f t="shared" si="3"/>
        <v>0</v>
      </c>
      <c r="N45" s="6"/>
      <c r="O45" s="7"/>
      <c r="P45" s="8">
        <f t="shared" si="4"/>
        <v>0</v>
      </c>
      <c r="Q45" s="1"/>
      <c r="R45" s="6">
        <f t="shared" si="5"/>
        <v>1</v>
      </c>
      <c r="S45" s="9">
        <f t="shared" si="6"/>
        <v>0</v>
      </c>
      <c r="T45" s="9">
        <f t="shared" si="7"/>
        <v>2.1786492374727671E-3</v>
      </c>
      <c r="U45" s="9">
        <f>R45 / _xlfn.XLOOKUP(A45, Support!A:A, Support!AA:AA)</f>
        <v>6.25E-2</v>
      </c>
    </row>
    <row r="46" spans="1:23" x14ac:dyDescent="0.25">
      <c r="A46" s="1" t="s">
        <v>174</v>
      </c>
      <c r="B46" s="6"/>
      <c r="C46" s="7"/>
      <c r="D46" s="8">
        <f t="shared" si="0"/>
        <v>0</v>
      </c>
      <c r="E46" s="6"/>
      <c r="F46" s="7"/>
      <c r="G46" s="8">
        <f t="shared" si="1"/>
        <v>0</v>
      </c>
      <c r="H46" s="6">
        <v>1</v>
      </c>
      <c r="I46" s="7">
        <v>0</v>
      </c>
      <c r="J46" s="8">
        <f t="shared" si="2"/>
        <v>0</v>
      </c>
      <c r="K46" s="6"/>
      <c r="L46" s="7"/>
      <c r="M46" s="8">
        <f t="shared" si="3"/>
        <v>0</v>
      </c>
      <c r="N46" s="6"/>
      <c r="O46" s="7"/>
      <c r="P46" s="8">
        <f t="shared" si="4"/>
        <v>0</v>
      </c>
      <c r="Q46" s="1"/>
      <c r="R46" s="6">
        <f t="shared" si="5"/>
        <v>1</v>
      </c>
      <c r="S46" s="9">
        <f t="shared" si="6"/>
        <v>0</v>
      </c>
      <c r="T46" s="9">
        <f t="shared" si="7"/>
        <v>2.1786492374727671E-3</v>
      </c>
      <c r="U46" s="9">
        <f>R46 / _xlfn.XLOOKUP(A46, Support!A:A, Support!AA:AA)</f>
        <v>2.9411764705882353E-2</v>
      </c>
    </row>
    <row r="47" spans="1:23" x14ac:dyDescent="0.25">
      <c r="A47" s="25" t="s">
        <v>99</v>
      </c>
      <c r="B47" s="6"/>
      <c r="C47" s="7"/>
      <c r="D47" s="8">
        <f t="shared" si="0"/>
        <v>0</v>
      </c>
      <c r="E47" s="6"/>
      <c r="F47" s="7"/>
      <c r="G47" s="8">
        <f t="shared" si="1"/>
        <v>0</v>
      </c>
      <c r="H47" s="6"/>
      <c r="I47" s="7"/>
      <c r="J47" s="8">
        <f t="shared" si="2"/>
        <v>0</v>
      </c>
      <c r="K47" s="6">
        <v>1</v>
      </c>
      <c r="L47" s="7">
        <v>0</v>
      </c>
      <c r="M47" s="8">
        <f t="shared" si="3"/>
        <v>0</v>
      </c>
      <c r="N47" s="6"/>
      <c r="O47" s="7"/>
      <c r="P47" s="8">
        <f t="shared" si="4"/>
        <v>0</v>
      </c>
      <c r="Q47" s="1"/>
      <c r="R47" s="6">
        <f t="shared" si="5"/>
        <v>1</v>
      </c>
      <c r="S47" s="9">
        <f t="shared" si="6"/>
        <v>0</v>
      </c>
      <c r="T47" s="9">
        <f t="shared" si="7"/>
        <v>2.1786492374727671E-3</v>
      </c>
      <c r="U47" s="9">
        <f>R47 / _xlfn.XLOOKUP(A47, Support!A:A, Support!AA:AA)</f>
        <v>1</v>
      </c>
    </row>
    <row r="48" spans="1:23" x14ac:dyDescent="0.25">
      <c r="A48" s="1" t="s">
        <v>187</v>
      </c>
      <c r="B48" s="6">
        <v>1</v>
      </c>
      <c r="C48" s="7">
        <v>0</v>
      </c>
      <c r="D48" s="8">
        <f t="shared" si="0"/>
        <v>0</v>
      </c>
      <c r="E48" s="6"/>
      <c r="F48" s="7"/>
      <c r="G48" s="8">
        <f t="shared" si="1"/>
        <v>0</v>
      </c>
      <c r="H48" s="6"/>
      <c r="I48" s="7"/>
      <c r="J48" s="8">
        <f t="shared" si="2"/>
        <v>0</v>
      </c>
      <c r="K48" s="6"/>
      <c r="L48" s="7"/>
      <c r="M48" s="8">
        <f t="shared" si="3"/>
        <v>0</v>
      </c>
      <c r="N48" s="6"/>
      <c r="O48" s="7"/>
      <c r="P48" s="8">
        <f t="shared" si="4"/>
        <v>0</v>
      </c>
      <c r="Q48" s="1"/>
      <c r="R48" s="6">
        <f t="shared" si="5"/>
        <v>1</v>
      </c>
      <c r="S48" s="9">
        <f t="shared" si="6"/>
        <v>0</v>
      </c>
      <c r="T48" s="9">
        <f t="shared" si="7"/>
        <v>2.1786492374727671E-3</v>
      </c>
      <c r="U48" s="9">
        <f>R48 / _xlfn.XLOOKUP(A48, Support!A:A, Support!AA:AA)</f>
        <v>0.1111111111111111</v>
      </c>
    </row>
    <row r="49" spans="1:21" x14ac:dyDescent="0.25">
      <c r="A49" s="1" t="s">
        <v>144</v>
      </c>
      <c r="B49" s="6"/>
      <c r="C49" s="7"/>
      <c r="D49" s="8">
        <f t="shared" si="0"/>
        <v>0</v>
      </c>
      <c r="E49" s="6">
        <v>1</v>
      </c>
      <c r="F49" s="7">
        <v>0</v>
      </c>
      <c r="G49" s="8">
        <f t="shared" si="1"/>
        <v>0</v>
      </c>
      <c r="H49" s="6"/>
      <c r="I49" s="7"/>
      <c r="J49" s="8">
        <f t="shared" si="2"/>
        <v>0</v>
      </c>
      <c r="K49" s="6"/>
      <c r="L49" s="7"/>
      <c r="M49" s="8">
        <f t="shared" si="3"/>
        <v>0</v>
      </c>
      <c r="N49" s="6"/>
      <c r="O49" s="7"/>
      <c r="P49" s="8">
        <f t="shared" si="4"/>
        <v>0</v>
      </c>
      <c r="Q49" s="1"/>
      <c r="R49" s="6">
        <f t="shared" si="5"/>
        <v>1</v>
      </c>
      <c r="S49" s="9">
        <f t="shared" si="6"/>
        <v>0</v>
      </c>
      <c r="T49" s="9">
        <f t="shared" si="7"/>
        <v>2.1786492374727671E-3</v>
      </c>
      <c r="U49" s="9">
        <f>R49 / _xlfn.XLOOKUP(A49, Support!A:A, Support!AA:AA)</f>
        <v>0.5</v>
      </c>
    </row>
    <row r="50" spans="1:21" x14ac:dyDescent="0.25">
      <c r="U50" s="9" t="e">
        <f>R50 / _xlfn.XLOOKUP(A50, Support!A:A, Support!AA:AA)</f>
        <v>#DIV/0!</v>
      </c>
    </row>
    <row r="51" spans="1:21" x14ac:dyDescent="0.25">
      <c r="U51" s="9" t="e">
        <f>R51 / _xlfn.XLOOKUP(A51, Support!A:A, Support!AA:AA)</f>
        <v>#DIV/0!</v>
      </c>
    </row>
    <row r="52" spans="1:21" x14ac:dyDescent="0.25">
      <c r="U52" s="9" t="e">
        <f>R52 / _xlfn.XLOOKUP(A52, Support!A:A, Support!AA:AA)</f>
        <v>#DIV/0!</v>
      </c>
    </row>
    <row r="53" spans="1:21" x14ac:dyDescent="0.25">
      <c r="U53" s="9" t="e">
        <f>R53 / _xlfn.XLOOKUP(A53, Support!A:A, Support!AA:AA)</f>
        <v>#DIV/0!</v>
      </c>
    </row>
    <row r="54" spans="1:21" x14ac:dyDescent="0.25">
      <c r="U54" s="9" t="e">
        <f>R54 / _xlfn.XLOOKUP(A54, Support!A:A, Support!AA:AA)</f>
        <v>#DIV/0!</v>
      </c>
    </row>
    <row r="55" spans="1:21" x14ac:dyDescent="0.25">
      <c r="U55" s="9" t="e">
        <f>R55 / _xlfn.XLOOKUP(A55, Support!A:A, Support!AA:AA)</f>
        <v>#DIV/0!</v>
      </c>
    </row>
    <row r="56" spans="1:21" x14ac:dyDescent="0.25">
      <c r="U56" s="9" t="e">
        <f>R56 / _xlfn.XLOOKUP(A56, Support!A:A, Support!AA:AA)</f>
        <v>#DIV/0!</v>
      </c>
    </row>
  </sheetData>
  <sortState xmlns:xlrd2="http://schemas.microsoft.com/office/spreadsheetml/2017/richdata2" ref="A3:U49">
    <sortCondition descending="1" ref="S3:S49"/>
  </sortState>
  <pageMargins left="0.7" right="0.7" top="0.78740157499999996" bottom="0.78740157499999996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A1D76-B37A-4ABC-B01E-726B1D82A330}">
  <sheetPr>
    <tabColor theme="9" tint="0.59999389629810485"/>
  </sheetPr>
  <dimension ref="A1:W56"/>
  <sheetViews>
    <sheetView topLeftCell="A2" workbookViewId="0">
      <selection activeCell="U3" sqref="U3:U37"/>
    </sheetView>
  </sheetViews>
  <sheetFormatPr baseColWidth="10" defaultRowHeight="15" x14ac:dyDescent="0.25"/>
  <sheetData>
    <row r="1" spans="1:23" ht="15.75" x14ac:dyDescent="0.25">
      <c r="A1" s="2" t="s">
        <v>193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10</v>
      </c>
      <c r="B3" s="6"/>
      <c r="C3" s="7"/>
      <c r="D3" s="8">
        <f t="shared" ref="D3:D37" si="0">B3*C3</f>
        <v>0</v>
      </c>
      <c r="E3" s="6">
        <v>1</v>
      </c>
      <c r="F3" s="7">
        <v>1</v>
      </c>
      <c r="G3" s="8">
        <f t="shared" ref="G3:G37" si="1">E3*F3</f>
        <v>1</v>
      </c>
      <c r="H3" s="6"/>
      <c r="I3" s="7"/>
      <c r="J3" s="8">
        <f t="shared" ref="J3:J37" si="2">H3*I3</f>
        <v>0</v>
      </c>
      <c r="K3" s="6">
        <v>2</v>
      </c>
      <c r="L3" s="7">
        <v>1</v>
      </c>
      <c r="M3" s="8">
        <f t="shared" ref="M3:M37" si="3">K3*L3</f>
        <v>2</v>
      </c>
      <c r="N3" s="6"/>
      <c r="O3" s="7"/>
      <c r="P3" s="8">
        <f t="shared" ref="P3:P37" si="4">N3*O3</f>
        <v>0</v>
      </c>
      <c r="Q3" s="1"/>
      <c r="R3" s="6">
        <f t="shared" ref="R3:R37" si="5">B3+E3+H3+K3+N3</f>
        <v>3</v>
      </c>
      <c r="S3" s="9">
        <f t="shared" ref="S3:S37" si="6">(D3+G3+J3+M3+P3)/R3</f>
        <v>1</v>
      </c>
      <c r="T3" s="9">
        <f t="shared" ref="T3:T37" si="7">R3/$V$3</f>
        <v>6.1099796334012219E-3</v>
      </c>
      <c r="U3" s="9">
        <f>R3 / _xlfn.XLOOKUP(A3, Support!A:A, Support!AA:AA)</f>
        <v>0.16666666666666666</v>
      </c>
      <c r="V3" s="11">
        <f>SUM(R3:R50)</f>
        <v>491</v>
      </c>
      <c r="W3" s="12">
        <f>(SUM(D3:D100)+SUM(G3:G100)+SUM(J3:J100)+SUM(M3:M100)+SUM(P3:P100)) / V3</f>
        <v>0.62323625254582493</v>
      </c>
    </row>
    <row r="4" spans="1:23" x14ac:dyDescent="0.25">
      <c r="A4" s="1" t="s">
        <v>175</v>
      </c>
      <c r="B4" s="6">
        <v>1</v>
      </c>
      <c r="C4" s="7">
        <v>1</v>
      </c>
      <c r="D4" s="8">
        <f t="shared" si="0"/>
        <v>1</v>
      </c>
      <c r="E4" s="6">
        <v>1</v>
      </c>
      <c r="F4" s="7">
        <v>1</v>
      </c>
      <c r="G4" s="8">
        <f t="shared" si="1"/>
        <v>1</v>
      </c>
      <c r="H4" s="6"/>
      <c r="I4" s="7"/>
      <c r="J4" s="8">
        <f t="shared" si="2"/>
        <v>0</v>
      </c>
      <c r="K4" s="6">
        <v>1</v>
      </c>
      <c r="L4" s="7">
        <v>1</v>
      </c>
      <c r="M4" s="8">
        <f t="shared" si="3"/>
        <v>1</v>
      </c>
      <c r="N4" s="6"/>
      <c r="O4" s="7"/>
      <c r="P4" s="8">
        <f t="shared" si="4"/>
        <v>0</v>
      </c>
      <c r="Q4" s="1"/>
      <c r="R4" s="6">
        <f t="shared" si="5"/>
        <v>3</v>
      </c>
      <c r="S4" s="9">
        <f t="shared" si="6"/>
        <v>1</v>
      </c>
      <c r="T4" s="9">
        <f t="shared" si="7"/>
        <v>6.1099796334012219E-3</v>
      </c>
      <c r="U4" s="9">
        <f>R4 / _xlfn.XLOOKUP(A4, Support!A:A, Support!AA:AA)</f>
        <v>5.1724137931034482E-2</v>
      </c>
      <c r="V4" s="6"/>
      <c r="W4" s="9"/>
    </row>
    <row r="5" spans="1:23" x14ac:dyDescent="0.25">
      <c r="A5" s="1" t="s">
        <v>113</v>
      </c>
      <c r="B5" s="6"/>
      <c r="C5" s="7"/>
      <c r="D5" s="8">
        <f t="shared" si="0"/>
        <v>0</v>
      </c>
      <c r="E5" s="6">
        <v>1</v>
      </c>
      <c r="F5" s="7">
        <v>1</v>
      </c>
      <c r="G5" s="8">
        <f t="shared" si="1"/>
        <v>1</v>
      </c>
      <c r="H5" s="6"/>
      <c r="I5" s="7"/>
      <c r="J5" s="8">
        <f t="shared" si="2"/>
        <v>0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1</v>
      </c>
      <c r="S5" s="9">
        <f t="shared" si="6"/>
        <v>1</v>
      </c>
      <c r="T5" s="9">
        <f t="shared" si="7"/>
        <v>2.0366598778004071E-3</v>
      </c>
      <c r="U5" s="9">
        <f>R5 / _xlfn.XLOOKUP(A5, Support!A:A, Support!AA:AA)</f>
        <v>7.6923076923076927E-2</v>
      </c>
      <c r="W5" s="1"/>
    </row>
    <row r="6" spans="1:23" x14ac:dyDescent="0.25">
      <c r="A6" s="1" t="s">
        <v>45</v>
      </c>
      <c r="B6" s="6"/>
      <c r="C6" s="7"/>
      <c r="D6" s="8">
        <f t="shared" si="0"/>
        <v>0</v>
      </c>
      <c r="E6" s="6">
        <v>1</v>
      </c>
      <c r="F6" s="7">
        <v>1</v>
      </c>
      <c r="G6" s="8">
        <f t="shared" si="1"/>
        <v>1</v>
      </c>
      <c r="H6" s="6"/>
      <c r="I6" s="7"/>
      <c r="J6" s="8">
        <f t="shared" si="2"/>
        <v>0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1"/>
      <c r="R6" s="6">
        <f t="shared" si="5"/>
        <v>1</v>
      </c>
      <c r="S6" s="9">
        <f t="shared" si="6"/>
        <v>1</v>
      </c>
      <c r="T6" s="9">
        <f t="shared" si="7"/>
        <v>2.0366598778004071E-3</v>
      </c>
      <c r="U6" s="9">
        <f>R6 / _xlfn.XLOOKUP(A6, Support!A:A, Support!AA:AA)</f>
        <v>0.2</v>
      </c>
      <c r="W6" s="1"/>
    </row>
    <row r="7" spans="1:23" x14ac:dyDescent="0.25">
      <c r="A7" s="1" t="s">
        <v>30</v>
      </c>
      <c r="B7" s="6"/>
      <c r="C7" s="7"/>
      <c r="D7" s="8">
        <f t="shared" si="0"/>
        <v>0</v>
      </c>
      <c r="E7" s="6">
        <v>1</v>
      </c>
      <c r="F7" s="7">
        <v>1</v>
      </c>
      <c r="G7" s="8">
        <f t="shared" si="1"/>
        <v>1</v>
      </c>
      <c r="H7" s="6"/>
      <c r="I7" s="7"/>
      <c r="J7" s="8">
        <f t="shared" si="2"/>
        <v>0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1</v>
      </c>
      <c r="S7" s="9">
        <f t="shared" si="6"/>
        <v>1</v>
      </c>
      <c r="T7" s="9">
        <f t="shared" si="7"/>
        <v>2.0366598778004071E-3</v>
      </c>
      <c r="U7" s="9">
        <f>R7 / _xlfn.XLOOKUP(A7, Support!A:A, Support!AA:AA)</f>
        <v>2.2727272727272728E-2</v>
      </c>
      <c r="V7" s="1"/>
      <c r="W7" s="1"/>
    </row>
    <row r="8" spans="1:23" x14ac:dyDescent="0.25">
      <c r="A8" s="1" t="s">
        <v>180</v>
      </c>
      <c r="B8" s="6"/>
      <c r="C8" s="7"/>
      <c r="D8" s="8">
        <f t="shared" si="0"/>
        <v>0</v>
      </c>
      <c r="E8" s="6"/>
      <c r="F8" s="7"/>
      <c r="G8" s="8">
        <f t="shared" si="1"/>
        <v>0</v>
      </c>
      <c r="H8" s="6"/>
      <c r="I8" s="7"/>
      <c r="J8" s="8">
        <f t="shared" si="2"/>
        <v>0</v>
      </c>
      <c r="K8" s="6">
        <v>1</v>
      </c>
      <c r="L8" s="7">
        <v>1</v>
      </c>
      <c r="M8" s="8">
        <f t="shared" si="3"/>
        <v>1</v>
      </c>
      <c r="N8" s="6"/>
      <c r="O8" s="7"/>
      <c r="P8" s="8">
        <f t="shared" si="4"/>
        <v>0</v>
      </c>
      <c r="Q8" s="1"/>
      <c r="R8" s="6">
        <f t="shared" si="5"/>
        <v>1</v>
      </c>
      <c r="S8" s="9">
        <f t="shared" si="6"/>
        <v>1</v>
      </c>
      <c r="T8" s="9">
        <f t="shared" si="7"/>
        <v>2.0366598778004071E-3</v>
      </c>
      <c r="U8" s="9">
        <f>R8 / _xlfn.XLOOKUP(A8, Support!A:A, Support!AA:AA)</f>
        <v>3.8461538461538464E-2</v>
      </c>
      <c r="V8" s="1"/>
      <c r="W8" s="1"/>
    </row>
    <row r="9" spans="1:23" x14ac:dyDescent="0.25">
      <c r="A9" s="1" t="s">
        <v>183</v>
      </c>
      <c r="B9" s="6"/>
      <c r="C9" s="7"/>
      <c r="D9" s="8">
        <f t="shared" si="0"/>
        <v>0</v>
      </c>
      <c r="E9" s="6">
        <v>4</v>
      </c>
      <c r="F9" s="7">
        <v>1</v>
      </c>
      <c r="G9" s="8">
        <f t="shared" si="1"/>
        <v>4</v>
      </c>
      <c r="H9" s="6">
        <v>2</v>
      </c>
      <c r="I9" s="7">
        <v>1</v>
      </c>
      <c r="J9" s="8">
        <f t="shared" si="2"/>
        <v>2</v>
      </c>
      <c r="K9" s="6">
        <v>3</v>
      </c>
      <c r="L9" s="7">
        <v>0.66700000000000004</v>
      </c>
      <c r="M9" s="8">
        <f t="shared" si="3"/>
        <v>2.0010000000000003</v>
      </c>
      <c r="N9" s="6"/>
      <c r="O9" s="7"/>
      <c r="P9" s="8">
        <f t="shared" si="4"/>
        <v>0</v>
      </c>
      <c r="Q9" s="1"/>
      <c r="R9" s="6">
        <f t="shared" si="5"/>
        <v>9</v>
      </c>
      <c r="S9" s="9">
        <f t="shared" si="6"/>
        <v>0.88900000000000012</v>
      </c>
      <c r="T9" s="9">
        <f t="shared" si="7"/>
        <v>1.8329938900203666E-2</v>
      </c>
      <c r="U9" s="9">
        <f>R9 / _xlfn.XLOOKUP(A9, Support!A:A, Support!AA:AA)</f>
        <v>0.12</v>
      </c>
      <c r="V9" s="1"/>
      <c r="W9" s="1"/>
    </row>
    <row r="10" spans="1:23" x14ac:dyDescent="0.25">
      <c r="A10" s="1" t="s">
        <v>91</v>
      </c>
      <c r="B10" s="6"/>
      <c r="C10" s="7"/>
      <c r="D10" s="8">
        <f t="shared" si="0"/>
        <v>0</v>
      </c>
      <c r="E10" s="6"/>
      <c r="F10" s="7"/>
      <c r="G10" s="8">
        <f t="shared" si="1"/>
        <v>0</v>
      </c>
      <c r="H10" s="6"/>
      <c r="I10" s="7"/>
      <c r="J10" s="8">
        <f t="shared" si="2"/>
        <v>0</v>
      </c>
      <c r="K10" s="6">
        <v>6</v>
      </c>
      <c r="L10" s="7">
        <v>0.83299999999999996</v>
      </c>
      <c r="M10" s="8">
        <f t="shared" si="3"/>
        <v>4.9979999999999993</v>
      </c>
      <c r="N10" s="6"/>
      <c r="O10" s="7"/>
      <c r="P10" s="8">
        <f t="shared" si="4"/>
        <v>0</v>
      </c>
      <c r="Q10" s="1"/>
      <c r="R10" s="6">
        <f t="shared" si="5"/>
        <v>6</v>
      </c>
      <c r="S10" s="9">
        <f t="shared" si="6"/>
        <v>0.83299999999999985</v>
      </c>
      <c r="T10" s="9">
        <f t="shared" si="7"/>
        <v>1.2219959266802444E-2</v>
      </c>
      <c r="U10" s="9">
        <f>R10 / _xlfn.XLOOKUP(A10, Support!A:A, Support!AA:AA)</f>
        <v>3.5714285714285712E-2</v>
      </c>
      <c r="V10" s="1"/>
      <c r="W10" s="1"/>
    </row>
    <row r="11" spans="1:23" x14ac:dyDescent="0.25">
      <c r="A11" s="1" t="s">
        <v>179</v>
      </c>
      <c r="B11" s="6">
        <v>2</v>
      </c>
      <c r="C11" s="7">
        <v>0.5</v>
      </c>
      <c r="D11" s="8">
        <f t="shared" si="0"/>
        <v>1</v>
      </c>
      <c r="E11" s="6">
        <v>9</v>
      </c>
      <c r="F11" s="7">
        <v>0.77800000000000002</v>
      </c>
      <c r="G11" s="8">
        <f t="shared" si="1"/>
        <v>7.0020000000000007</v>
      </c>
      <c r="H11" s="6">
        <v>22</v>
      </c>
      <c r="I11" s="7">
        <v>0.86399999999999999</v>
      </c>
      <c r="J11" s="8">
        <f t="shared" si="2"/>
        <v>19.007999999999999</v>
      </c>
      <c r="K11" s="6">
        <v>20</v>
      </c>
      <c r="L11" s="7">
        <v>0.65</v>
      </c>
      <c r="M11" s="8">
        <f t="shared" si="3"/>
        <v>13</v>
      </c>
      <c r="N11" s="6"/>
      <c r="O11" s="7"/>
      <c r="P11" s="8">
        <f t="shared" si="4"/>
        <v>0</v>
      </c>
      <c r="Q11" s="4"/>
      <c r="R11" s="6">
        <f t="shared" si="5"/>
        <v>53</v>
      </c>
      <c r="S11" s="9">
        <f t="shared" si="6"/>
        <v>0.7549056603773584</v>
      </c>
      <c r="T11" s="9">
        <f t="shared" si="7"/>
        <v>0.1079429735234216</v>
      </c>
      <c r="U11" s="9">
        <f>R11 / _xlfn.XLOOKUP(A11, Support!A:A, Support!AA:AA)</f>
        <v>0.11181434599156118</v>
      </c>
      <c r="V11" s="1"/>
      <c r="W11" s="1"/>
    </row>
    <row r="12" spans="1:23" x14ac:dyDescent="0.25">
      <c r="A12" s="1" t="s">
        <v>170</v>
      </c>
      <c r="B12" s="6">
        <v>2</v>
      </c>
      <c r="C12" s="7">
        <v>0.5</v>
      </c>
      <c r="D12" s="8">
        <f t="shared" si="0"/>
        <v>1</v>
      </c>
      <c r="E12" s="6">
        <v>6</v>
      </c>
      <c r="F12" s="7">
        <v>0.83299999999999996</v>
      </c>
      <c r="G12" s="8">
        <f t="shared" si="1"/>
        <v>4.9979999999999993</v>
      </c>
      <c r="H12" s="6"/>
      <c r="I12" s="7"/>
      <c r="J12" s="8">
        <f t="shared" si="2"/>
        <v>0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1"/>
      <c r="R12" s="6">
        <f t="shared" si="5"/>
        <v>8</v>
      </c>
      <c r="S12" s="9">
        <f t="shared" si="6"/>
        <v>0.74974999999999992</v>
      </c>
      <c r="T12" s="9">
        <f t="shared" si="7"/>
        <v>1.6293279022403257E-2</v>
      </c>
      <c r="U12" s="9">
        <f>R12 / _xlfn.XLOOKUP(A12, Support!A:A, Support!AA:AA)</f>
        <v>4.7619047619047616E-2</v>
      </c>
      <c r="V12" s="1"/>
      <c r="W12" s="1"/>
    </row>
    <row r="13" spans="1:23" x14ac:dyDescent="0.25">
      <c r="A13" s="1" t="s">
        <v>31</v>
      </c>
      <c r="B13" s="6"/>
      <c r="C13" s="7"/>
      <c r="D13" s="8">
        <f t="shared" si="0"/>
        <v>0</v>
      </c>
      <c r="E13" s="6"/>
      <c r="F13" s="7"/>
      <c r="G13" s="8">
        <f t="shared" si="1"/>
        <v>0</v>
      </c>
      <c r="H13" s="6">
        <v>7</v>
      </c>
      <c r="I13" s="7">
        <v>0.71399999999999997</v>
      </c>
      <c r="J13" s="8">
        <f t="shared" si="2"/>
        <v>4.9979999999999993</v>
      </c>
      <c r="K13" s="6">
        <v>11</v>
      </c>
      <c r="L13" s="7">
        <v>0.72699999999999998</v>
      </c>
      <c r="M13" s="8">
        <f t="shared" si="3"/>
        <v>7.9969999999999999</v>
      </c>
      <c r="N13" s="6"/>
      <c r="O13" s="7"/>
      <c r="P13" s="8">
        <f t="shared" si="4"/>
        <v>0</v>
      </c>
      <c r="Q13" s="13"/>
      <c r="R13" s="6">
        <f t="shared" si="5"/>
        <v>18</v>
      </c>
      <c r="S13" s="9">
        <f t="shared" si="6"/>
        <v>0.72194444444444439</v>
      </c>
      <c r="T13" s="9">
        <f t="shared" si="7"/>
        <v>3.6659877800407331E-2</v>
      </c>
      <c r="U13" s="9">
        <f>R13 / _xlfn.XLOOKUP(A13, Support!A:A, Support!AA:AA)</f>
        <v>0.14516129032258066</v>
      </c>
      <c r="V13" s="1"/>
      <c r="W13" s="1"/>
    </row>
    <row r="14" spans="1:23" x14ac:dyDescent="0.25">
      <c r="A14" s="1" t="s">
        <v>147</v>
      </c>
      <c r="B14" s="6"/>
      <c r="C14" s="7"/>
      <c r="D14" s="8">
        <f t="shared" si="0"/>
        <v>0</v>
      </c>
      <c r="E14" s="6">
        <v>3</v>
      </c>
      <c r="F14" s="7">
        <v>0.66700000000000004</v>
      </c>
      <c r="G14" s="8">
        <f t="shared" si="1"/>
        <v>2.0010000000000003</v>
      </c>
      <c r="H14" s="6"/>
      <c r="I14" s="7"/>
      <c r="J14" s="8">
        <f t="shared" si="2"/>
        <v>0</v>
      </c>
      <c r="K14" s="6"/>
      <c r="L14" s="7"/>
      <c r="M14" s="8">
        <f t="shared" si="3"/>
        <v>0</v>
      </c>
      <c r="N14" s="6"/>
      <c r="O14" s="7"/>
      <c r="P14" s="8">
        <f t="shared" si="4"/>
        <v>0</v>
      </c>
      <c r="Q14" s="1"/>
      <c r="R14" s="6">
        <f t="shared" si="5"/>
        <v>3</v>
      </c>
      <c r="S14" s="9">
        <f t="shared" si="6"/>
        <v>0.66700000000000015</v>
      </c>
      <c r="T14" s="9">
        <f t="shared" si="7"/>
        <v>6.1099796334012219E-3</v>
      </c>
      <c r="U14" s="9">
        <f>R14 / _xlfn.XLOOKUP(A14, Support!A:A, Support!AA:AA)</f>
        <v>3.7037037037037035E-2</v>
      </c>
      <c r="V14" s="1"/>
      <c r="W14" s="1"/>
    </row>
    <row r="15" spans="1:23" x14ac:dyDescent="0.25">
      <c r="A15" s="1" t="s">
        <v>174</v>
      </c>
      <c r="B15" s="6"/>
      <c r="C15" s="7"/>
      <c r="D15" s="8">
        <f t="shared" si="0"/>
        <v>0</v>
      </c>
      <c r="E15" s="6"/>
      <c r="F15" s="7"/>
      <c r="G15" s="8">
        <f t="shared" si="1"/>
        <v>0</v>
      </c>
      <c r="H15" s="6"/>
      <c r="I15" s="7"/>
      <c r="J15" s="8">
        <f t="shared" si="2"/>
        <v>0</v>
      </c>
      <c r="K15" s="6">
        <v>3</v>
      </c>
      <c r="L15" s="7">
        <v>0.66700000000000004</v>
      </c>
      <c r="M15" s="8">
        <f t="shared" si="3"/>
        <v>2.0010000000000003</v>
      </c>
      <c r="N15" s="6"/>
      <c r="O15" s="7"/>
      <c r="P15" s="8">
        <f t="shared" si="4"/>
        <v>0</v>
      </c>
      <c r="Q15" s="1"/>
      <c r="R15" s="6">
        <f t="shared" si="5"/>
        <v>3</v>
      </c>
      <c r="S15" s="9">
        <f t="shared" si="6"/>
        <v>0.66700000000000015</v>
      </c>
      <c r="T15" s="9">
        <f t="shared" si="7"/>
        <v>6.1099796334012219E-3</v>
      </c>
      <c r="U15" s="9">
        <f>R15 / _xlfn.XLOOKUP(A15, Support!A:A, Support!AA:AA)</f>
        <v>8.8235294117647065E-2</v>
      </c>
      <c r="V15" s="1"/>
      <c r="W15" s="1"/>
    </row>
    <row r="16" spans="1:23" x14ac:dyDescent="0.25">
      <c r="A16" s="1" t="s">
        <v>176</v>
      </c>
      <c r="B16" s="6">
        <v>22</v>
      </c>
      <c r="C16" s="7">
        <v>0.5</v>
      </c>
      <c r="D16" s="8">
        <f t="shared" si="0"/>
        <v>11</v>
      </c>
      <c r="E16" s="6">
        <v>28</v>
      </c>
      <c r="F16" s="7">
        <v>0.75</v>
      </c>
      <c r="G16" s="8">
        <f t="shared" si="1"/>
        <v>21</v>
      </c>
      <c r="H16" s="6">
        <v>17</v>
      </c>
      <c r="I16" s="7">
        <v>0.58799999999999997</v>
      </c>
      <c r="J16" s="8">
        <f t="shared" si="2"/>
        <v>9.9959999999999987</v>
      </c>
      <c r="K16" s="6">
        <v>18</v>
      </c>
      <c r="L16" s="7">
        <v>0.72199999999999998</v>
      </c>
      <c r="M16" s="8">
        <f t="shared" si="3"/>
        <v>12.995999999999999</v>
      </c>
      <c r="N16" s="6"/>
      <c r="O16" s="7"/>
      <c r="P16" s="8">
        <f t="shared" si="4"/>
        <v>0</v>
      </c>
      <c r="Q16" s="1"/>
      <c r="R16" s="6">
        <f t="shared" si="5"/>
        <v>85</v>
      </c>
      <c r="S16" s="9">
        <f t="shared" si="6"/>
        <v>0.64696470588235278</v>
      </c>
      <c r="T16" s="9">
        <f t="shared" si="7"/>
        <v>0.17311608961303462</v>
      </c>
      <c r="U16" s="9">
        <f>R16 / _xlfn.XLOOKUP(A16, Support!A:A, Support!AA:AA)</f>
        <v>0.1347068145800317</v>
      </c>
      <c r="V16" s="1"/>
      <c r="W16" s="1"/>
    </row>
    <row r="17" spans="1:23" x14ac:dyDescent="0.25">
      <c r="A17" s="1" t="s">
        <v>171</v>
      </c>
      <c r="B17" s="6">
        <v>2</v>
      </c>
      <c r="C17" s="7">
        <v>0</v>
      </c>
      <c r="D17" s="8">
        <f t="shared" si="0"/>
        <v>0</v>
      </c>
      <c r="E17" s="6">
        <v>7</v>
      </c>
      <c r="F17" s="7">
        <v>0.85699999999999998</v>
      </c>
      <c r="G17" s="8">
        <f t="shared" si="1"/>
        <v>5.9989999999999997</v>
      </c>
      <c r="H17" s="6">
        <v>2</v>
      </c>
      <c r="I17" s="7">
        <v>0.5</v>
      </c>
      <c r="J17" s="8">
        <f t="shared" si="2"/>
        <v>1</v>
      </c>
      <c r="K17" s="6"/>
      <c r="L17" s="7"/>
      <c r="M17" s="8">
        <f t="shared" si="3"/>
        <v>0</v>
      </c>
      <c r="N17" s="6"/>
      <c r="O17" s="7"/>
      <c r="P17" s="8">
        <f t="shared" si="4"/>
        <v>0</v>
      </c>
      <c r="Q17" s="1"/>
      <c r="R17" s="6">
        <f t="shared" si="5"/>
        <v>11</v>
      </c>
      <c r="S17" s="9">
        <f t="shared" si="6"/>
        <v>0.63627272727272721</v>
      </c>
      <c r="T17" s="9">
        <f t="shared" si="7"/>
        <v>2.2403258655804479E-2</v>
      </c>
      <c r="U17" s="9">
        <f>R17 / _xlfn.XLOOKUP(A17, Support!A:A, Support!AA:AA)</f>
        <v>0.10679611650485436</v>
      </c>
      <c r="V17" s="1"/>
      <c r="W17" s="1"/>
    </row>
    <row r="18" spans="1:23" x14ac:dyDescent="0.25">
      <c r="A18" s="1" t="s">
        <v>80</v>
      </c>
      <c r="B18" s="6">
        <v>1</v>
      </c>
      <c r="C18" s="7">
        <v>0</v>
      </c>
      <c r="D18" s="8">
        <f t="shared" si="0"/>
        <v>0</v>
      </c>
      <c r="E18" s="6">
        <v>7</v>
      </c>
      <c r="F18" s="7">
        <v>0.57099999999999995</v>
      </c>
      <c r="G18" s="8">
        <f t="shared" si="1"/>
        <v>3.9969999999999999</v>
      </c>
      <c r="H18" s="6">
        <v>27</v>
      </c>
      <c r="I18" s="7">
        <v>0.66700000000000004</v>
      </c>
      <c r="J18" s="8">
        <f t="shared" si="2"/>
        <v>18.009</v>
      </c>
      <c r="K18" s="6">
        <v>22</v>
      </c>
      <c r="L18" s="7">
        <v>0.63700000000000001</v>
      </c>
      <c r="M18" s="8">
        <f t="shared" si="3"/>
        <v>14.013999999999999</v>
      </c>
      <c r="N18" s="6"/>
      <c r="O18" s="7"/>
      <c r="P18" s="8">
        <f t="shared" si="4"/>
        <v>0</v>
      </c>
      <c r="Q18" s="1"/>
      <c r="R18" s="6">
        <f t="shared" si="5"/>
        <v>57</v>
      </c>
      <c r="S18" s="9">
        <f t="shared" si="6"/>
        <v>0.63192982456140345</v>
      </c>
      <c r="T18" s="9">
        <f t="shared" si="7"/>
        <v>0.11608961303462322</v>
      </c>
      <c r="U18" s="9">
        <f>R18 / _xlfn.XLOOKUP(A18, Support!A:A, Support!AA:AA)</f>
        <v>0.11704312114989733</v>
      </c>
      <c r="V18" s="1"/>
      <c r="W18" s="1"/>
    </row>
    <row r="19" spans="1:23" x14ac:dyDescent="0.25">
      <c r="A19" s="1" t="s">
        <v>181</v>
      </c>
      <c r="B19" s="6"/>
      <c r="C19" s="7"/>
      <c r="D19" s="8">
        <f t="shared" si="0"/>
        <v>0</v>
      </c>
      <c r="E19" s="6"/>
      <c r="F19" s="7"/>
      <c r="G19" s="8">
        <f t="shared" si="1"/>
        <v>0</v>
      </c>
      <c r="H19" s="6">
        <v>3</v>
      </c>
      <c r="I19" s="7">
        <v>1</v>
      </c>
      <c r="J19" s="8">
        <f t="shared" si="2"/>
        <v>3</v>
      </c>
      <c r="K19" s="6">
        <v>5</v>
      </c>
      <c r="L19" s="7">
        <v>0.4</v>
      </c>
      <c r="M19" s="8">
        <f t="shared" si="3"/>
        <v>2</v>
      </c>
      <c r="N19" s="6"/>
      <c r="O19" s="7"/>
      <c r="P19" s="8">
        <f t="shared" si="4"/>
        <v>0</v>
      </c>
      <c r="Q19" s="1"/>
      <c r="R19" s="6">
        <f t="shared" si="5"/>
        <v>8</v>
      </c>
      <c r="S19" s="9">
        <f t="shared" si="6"/>
        <v>0.625</v>
      </c>
      <c r="T19" s="9">
        <f t="shared" si="7"/>
        <v>1.6293279022403257E-2</v>
      </c>
      <c r="U19" s="9">
        <f>R19 / _xlfn.XLOOKUP(A19, Support!A:A, Support!AA:AA)</f>
        <v>7.407407407407407E-2</v>
      </c>
      <c r="V19" s="1"/>
      <c r="W19" s="1"/>
    </row>
    <row r="20" spans="1:23" x14ac:dyDescent="0.25">
      <c r="A20" s="1" t="s">
        <v>184</v>
      </c>
      <c r="B20" s="6"/>
      <c r="C20" s="7"/>
      <c r="D20" s="8">
        <f t="shared" si="0"/>
        <v>0</v>
      </c>
      <c r="E20" s="6">
        <v>5</v>
      </c>
      <c r="F20" s="7">
        <v>0.6</v>
      </c>
      <c r="G20" s="8">
        <f t="shared" si="1"/>
        <v>3</v>
      </c>
      <c r="H20" s="6"/>
      <c r="I20" s="7"/>
      <c r="J20" s="8">
        <f t="shared" si="2"/>
        <v>0</v>
      </c>
      <c r="K20" s="6"/>
      <c r="L20" s="7"/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5</v>
      </c>
      <c r="S20" s="9">
        <f t="shared" si="6"/>
        <v>0.6</v>
      </c>
      <c r="T20" s="9">
        <f t="shared" si="7"/>
        <v>1.0183299389002037E-2</v>
      </c>
      <c r="U20" s="9">
        <f>R20 / _xlfn.XLOOKUP(A20, Support!A:A, Support!AA:AA)</f>
        <v>9.0909090909090912E-2</v>
      </c>
      <c r="V20" s="1"/>
      <c r="W20" s="1"/>
    </row>
    <row r="21" spans="1:23" x14ac:dyDescent="0.25">
      <c r="A21" s="1" t="s">
        <v>123</v>
      </c>
      <c r="B21" s="6">
        <v>4</v>
      </c>
      <c r="C21" s="7">
        <v>0.5</v>
      </c>
      <c r="D21" s="8">
        <f t="shared" si="0"/>
        <v>2</v>
      </c>
      <c r="E21" s="6"/>
      <c r="F21" s="7"/>
      <c r="G21" s="8">
        <f t="shared" si="1"/>
        <v>0</v>
      </c>
      <c r="H21" s="6"/>
      <c r="I21" s="7"/>
      <c r="J21" s="8">
        <f t="shared" si="2"/>
        <v>0</v>
      </c>
      <c r="K21" s="6">
        <v>1</v>
      </c>
      <c r="L21" s="7">
        <v>1</v>
      </c>
      <c r="M21" s="8">
        <f t="shared" si="3"/>
        <v>1</v>
      </c>
      <c r="N21" s="6"/>
      <c r="O21" s="7"/>
      <c r="P21" s="8">
        <f t="shared" si="4"/>
        <v>0</v>
      </c>
      <c r="Q21" s="4"/>
      <c r="R21" s="6">
        <f t="shared" si="5"/>
        <v>5</v>
      </c>
      <c r="S21" s="9">
        <f t="shared" si="6"/>
        <v>0.6</v>
      </c>
      <c r="T21" s="9">
        <f t="shared" si="7"/>
        <v>1.0183299389002037E-2</v>
      </c>
      <c r="U21" s="9">
        <f>R21 / _xlfn.XLOOKUP(A21, Support!A:A, Support!AA:AA)</f>
        <v>0.18518518518518517</v>
      </c>
      <c r="V21" s="1"/>
      <c r="W21" s="1"/>
    </row>
    <row r="22" spans="1:23" x14ac:dyDescent="0.25">
      <c r="A22" s="1" t="s">
        <v>90</v>
      </c>
      <c r="B22" s="6">
        <v>12</v>
      </c>
      <c r="C22" s="7">
        <v>0.5</v>
      </c>
      <c r="D22" s="8">
        <f t="shared" si="0"/>
        <v>6</v>
      </c>
      <c r="E22" s="6">
        <v>8</v>
      </c>
      <c r="F22" s="7">
        <v>0.625</v>
      </c>
      <c r="G22" s="8">
        <f t="shared" si="1"/>
        <v>5</v>
      </c>
      <c r="H22" s="6">
        <v>7</v>
      </c>
      <c r="I22" s="7">
        <v>0.85699999999999998</v>
      </c>
      <c r="J22" s="8">
        <f t="shared" si="2"/>
        <v>5.9989999999999997</v>
      </c>
      <c r="K22" s="6">
        <v>5</v>
      </c>
      <c r="L22" s="7">
        <v>0.4</v>
      </c>
      <c r="M22" s="8">
        <f t="shared" si="3"/>
        <v>2</v>
      </c>
      <c r="N22" s="6"/>
      <c r="O22" s="7"/>
      <c r="P22" s="8">
        <f t="shared" si="4"/>
        <v>0</v>
      </c>
      <c r="Q22" s="4"/>
      <c r="R22" s="6">
        <f t="shared" si="5"/>
        <v>32</v>
      </c>
      <c r="S22" s="9">
        <f t="shared" si="6"/>
        <v>0.59371874999999996</v>
      </c>
      <c r="T22" s="9">
        <f t="shared" si="7"/>
        <v>6.5173116089613028E-2</v>
      </c>
      <c r="U22" s="9">
        <f>R22 / _xlfn.XLOOKUP(A22, Support!A:A, Support!AA:AA)</f>
        <v>5.2287581699346407E-2</v>
      </c>
      <c r="V22" s="1"/>
      <c r="W22" s="1"/>
    </row>
    <row r="23" spans="1:23" x14ac:dyDescent="0.25">
      <c r="A23" s="1" t="s">
        <v>186</v>
      </c>
      <c r="B23" s="6"/>
      <c r="C23" s="7"/>
      <c r="D23" s="8">
        <f t="shared" si="0"/>
        <v>0</v>
      </c>
      <c r="E23" s="6">
        <v>8</v>
      </c>
      <c r="F23" s="7">
        <v>0.625</v>
      </c>
      <c r="G23" s="8">
        <f t="shared" si="1"/>
        <v>5</v>
      </c>
      <c r="H23" s="6">
        <v>4</v>
      </c>
      <c r="I23" s="7">
        <v>0.5</v>
      </c>
      <c r="J23" s="8">
        <f t="shared" si="2"/>
        <v>2</v>
      </c>
      <c r="K23" s="6"/>
      <c r="L23" s="7"/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12</v>
      </c>
      <c r="S23" s="9">
        <f t="shared" si="6"/>
        <v>0.58333333333333337</v>
      </c>
      <c r="T23" s="9">
        <f t="shared" si="7"/>
        <v>2.4439918533604887E-2</v>
      </c>
      <c r="U23" s="9">
        <f>R23 / _xlfn.XLOOKUP(A23, Support!A:A, Support!AA:AA)</f>
        <v>0.11320754716981132</v>
      </c>
      <c r="V23" s="1"/>
      <c r="W23" s="1"/>
    </row>
    <row r="24" spans="1:23" x14ac:dyDescent="0.25">
      <c r="A24" s="1" t="s">
        <v>173</v>
      </c>
      <c r="B24" s="6">
        <v>3</v>
      </c>
      <c r="C24" s="7">
        <v>0.33300000000000002</v>
      </c>
      <c r="D24" s="8">
        <f t="shared" si="0"/>
        <v>0.99900000000000011</v>
      </c>
      <c r="E24" s="6">
        <v>13</v>
      </c>
      <c r="F24" s="7">
        <v>0.76900000000000002</v>
      </c>
      <c r="G24" s="8">
        <f t="shared" si="1"/>
        <v>9.9969999999999999</v>
      </c>
      <c r="H24" s="6">
        <v>2</v>
      </c>
      <c r="I24" s="7">
        <v>0</v>
      </c>
      <c r="J24" s="8">
        <f t="shared" si="2"/>
        <v>0</v>
      </c>
      <c r="K24" s="6">
        <v>1</v>
      </c>
      <c r="L24" s="7">
        <v>0</v>
      </c>
      <c r="M24" s="8">
        <f t="shared" si="3"/>
        <v>0</v>
      </c>
      <c r="N24" s="6"/>
      <c r="O24" s="7"/>
      <c r="P24" s="8">
        <f t="shared" si="4"/>
        <v>0</v>
      </c>
      <c r="Q24" s="1"/>
      <c r="R24" s="6">
        <f t="shared" si="5"/>
        <v>19</v>
      </c>
      <c r="S24" s="9">
        <f t="shared" si="6"/>
        <v>0.57873684210526322</v>
      </c>
      <c r="T24" s="9">
        <f t="shared" si="7"/>
        <v>3.8696537678207736E-2</v>
      </c>
      <c r="U24" s="9">
        <f>R24 / _xlfn.XLOOKUP(A24, Support!A:A, Support!AA:AA)</f>
        <v>6.1688311688311688E-2</v>
      </c>
      <c r="V24" s="1"/>
      <c r="W24" s="1"/>
    </row>
    <row r="25" spans="1:23" x14ac:dyDescent="0.25">
      <c r="A25" s="1" t="s">
        <v>77</v>
      </c>
      <c r="B25" s="6"/>
      <c r="C25" s="7"/>
      <c r="D25" s="8">
        <f t="shared" si="0"/>
        <v>0</v>
      </c>
      <c r="E25" s="6">
        <v>1</v>
      </c>
      <c r="F25" s="7">
        <v>0</v>
      </c>
      <c r="G25" s="8">
        <f t="shared" si="1"/>
        <v>0</v>
      </c>
      <c r="H25" s="6"/>
      <c r="I25" s="7"/>
      <c r="J25" s="8">
        <f t="shared" si="2"/>
        <v>0</v>
      </c>
      <c r="K25" s="6">
        <v>6</v>
      </c>
      <c r="L25" s="7">
        <v>0.66700000000000004</v>
      </c>
      <c r="M25" s="8">
        <f t="shared" si="3"/>
        <v>4.0020000000000007</v>
      </c>
      <c r="N25" s="6"/>
      <c r="O25" s="7"/>
      <c r="P25" s="8">
        <f t="shared" si="4"/>
        <v>0</v>
      </c>
      <c r="Q25" s="1"/>
      <c r="R25" s="6">
        <f t="shared" si="5"/>
        <v>7</v>
      </c>
      <c r="S25" s="9">
        <f t="shared" si="6"/>
        <v>0.57171428571428584</v>
      </c>
      <c r="T25" s="9">
        <f t="shared" si="7"/>
        <v>1.4256619144602852E-2</v>
      </c>
      <c r="U25" s="9">
        <f>R25 / _xlfn.XLOOKUP(A25, Support!A:A, Support!AA:AA)</f>
        <v>0.4375</v>
      </c>
      <c r="V25" s="1"/>
      <c r="W25" s="1"/>
    </row>
    <row r="26" spans="1:23" x14ac:dyDescent="0.25">
      <c r="A26" s="1" t="s">
        <v>178</v>
      </c>
      <c r="B26" s="6">
        <v>17</v>
      </c>
      <c r="C26" s="7">
        <v>0.35299999999999998</v>
      </c>
      <c r="D26" s="8">
        <f t="shared" si="0"/>
        <v>6.0009999999999994</v>
      </c>
      <c r="E26" s="6">
        <v>8</v>
      </c>
      <c r="F26" s="7">
        <v>0.875</v>
      </c>
      <c r="G26" s="8">
        <f t="shared" si="1"/>
        <v>7</v>
      </c>
      <c r="H26" s="6">
        <v>11</v>
      </c>
      <c r="I26" s="7">
        <v>0.72699999999999998</v>
      </c>
      <c r="J26" s="8">
        <f t="shared" si="2"/>
        <v>7.9969999999999999</v>
      </c>
      <c r="K26" s="6">
        <v>10</v>
      </c>
      <c r="L26" s="7">
        <v>0.5</v>
      </c>
      <c r="M26" s="8">
        <f t="shared" si="3"/>
        <v>5</v>
      </c>
      <c r="N26" s="6"/>
      <c r="O26" s="7"/>
      <c r="P26" s="8">
        <f t="shared" si="4"/>
        <v>0</v>
      </c>
      <c r="Q26" s="1"/>
      <c r="R26" s="6">
        <f t="shared" si="5"/>
        <v>46</v>
      </c>
      <c r="S26" s="9">
        <f t="shared" si="6"/>
        <v>0.56517391304347819</v>
      </c>
      <c r="T26" s="9">
        <f t="shared" si="7"/>
        <v>9.368635437881874E-2</v>
      </c>
      <c r="U26" s="9">
        <f>R26 / _xlfn.XLOOKUP(A26, Support!A:A, Support!AA:AA)</f>
        <v>9.2369477911646583E-2</v>
      </c>
      <c r="V26" s="1"/>
      <c r="W26" s="1"/>
    </row>
    <row r="27" spans="1:23" x14ac:dyDescent="0.25">
      <c r="A27" s="1" t="s">
        <v>169</v>
      </c>
      <c r="B27" s="6">
        <v>5</v>
      </c>
      <c r="C27" s="7">
        <v>0.2</v>
      </c>
      <c r="D27" s="8">
        <f t="shared" si="0"/>
        <v>1</v>
      </c>
      <c r="E27" s="6"/>
      <c r="F27" s="7"/>
      <c r="G27" s="8">
        <f t="shared" si="1"/>
        <v>0</v>
      </c>
      <c r="H27" s="6">
        <v>4</v>
      </c>
      <c r="I27" s="7">
        <v>0.5</v>
      </c>
      <c r="J27" s="8">
        <f t="shared" si="2"/>
        <v>2</v>
      </c>
      <c r="K27" s="6">
        <v>9</v>
      </c>
      <c r="L27" s="7">
        <v>0.77800000000000002</v>
      </c>
      <c r="M27" s="8">
        <f t="shared" si="3"/>
        <v>7.0020000000000007</v>
      </c>
      <c r="N27" s="6"/>
      <c r="O27" s="7"/>
      <c r="P27" s="8">
        <f t="shared" si="4"/>
        <v>0</v>
      </c>
      <c r="Q27" s="1"/>
      <c r="R27" s="6">
        <f t="shared" si="5"/>
        <v>18</v>
      </c>
      <c r="S27" s="9">
        <f t="shared" si="6"/>
        <v>0.55566666666666675</v>
      </c>
      <c r="T27" s="9">
        <f t="shared" si="7"/>
        <v>3.6659877800407331E-2</v>
      </c>
      <c r="U27" s="9">
        <f>R27 / _xlfn.XLOOKUP(A27, Support!A:A, Support!AA:AA)</f>
        <v>5.8064516129032261E-2</v>
      </c>
      <c r="V27" s="1"/>
      <c r="W27" s="1"/>
    </row>
    <row r="28" spans="1:23" x14ac:dyDescent="0.25">
      <c r="A28" s="1" t="s">
        <v>172</v>
      </c>
      <c r="B28" s="6"/>
      <c r="C28" s="7"/>
      <c r="D28" s="8">
        <f t="shared" si="0"/>
        <v>0</v>
      </c>
      <c r="E28" s="6">
        <v>5</v>
      </c>
      <c r="F28" s="7">
        <v>0.4</v>
      </c>
      <c r="G28" s="8">
        <f t="shared" si="1"/>
        <v>2</v>
      </c>
      <c r="H28" s="6">
        <v>6</v>
      </c>
      <c r="I28" s="7">
        <v>0.66700000000000004</v>
      </c>
      <c r="J28" s="8">
        <f t="shared" si="2"/>
        <v>4.0020000000000007</v>
      </c>
      <c r="K28" s="6"/>
      <c r="L28" s="7"/>
      <c r="M28" s="8">
        <f t="shared" si="3"/>
        <v>0</v>
      </c>
      <c r="N28" s="6"/>
      <c r="O28" s="7"/>
      <c r="P28" s="8">
        <f t="shared" si="4"/>
        <v>0</v>
      </c>
      <c r="Q28" s="4"/>
      <c r="R28" s="6">
        <f t="shared" si="5"/>
        <v>11</v>
      </c>
      <c r="S28" s="9">
        <f t="shared" si="6"/>
        <v>0.5456363636363637</v>
      </c>
      <c r="T28" s="9">
        <f t="shared" si="7"/>
        <v>2.2403258655804479E-2</v>
      </c>
      <c r="U28" s="9">
        <f>R28 / _xlfn.XLOOKUP(A28, Support!A:A, Support!AA:AA)</f>
        <v>4.0590405904059039E-2</v>
      </c>
      <c r="V28" s="1"/>
      <c r="W28" s="1"/>
    </row>
    <row r="29" spans="1:23" x14ac:dyDescent="0.25">
      <c r="A29" s="1" t="s">
        <v>182</v>
      </c>
      <c r="B29" s="6">
        <v>2</v>
      </c>
      <c r="C29" s="7">
        <v>0</v>
      </c>
      <c r="D29" s="8">
        <f t="shared" si="0"/>
        <v>0</v>
      </c>
      <c r="E29" s="6">
        <v>3</v>
      </c>
      <c r="F29" s="7">
        <v>0.66700000000000004</v>
      </c>
      <c r="G29" s="8">
        <f t="shared" si="1"/>
        <v>2.0010000000000003</v>
      </c>
      <c r="H29" s="6">
        <v>4</v>
      </c>
      <c r="I29" s="7">
        <v>0.5</v>
      </c>
      <c r="J29" s="8">
        <f t="shared" si="2"/>
        <v>2</v>
      </c>
      <c r="K29" s="6">
        <v>13</v>
      </c>
      <c r="L29" s="7">
        <v>0.61499999999999999</v>
      </c>
      <c r="M29" s="8">
        <f t="shared" si="3"/>
        <v>7.9950000000000001</v>
      </c>
      <c r="N29" s="6"/>
      <c r="O29" s="7"/>
      <c r="P29" s="8">
        <f t="shared" si="4"/>
        <v>0</v>
      </c>
      <c r="Q29" s="1"/>
      <c r="R29" s="6">
        <f t="shared" si="5"/>
        <v>22</v>
      </c>
      <c r="S29" s="9">
        <f t="shared" si="6"/>
        <v>0.54527272727272724</v>
      </c>
      <c r="T29" s="9">
        <f t="shared" si="7"/>
        <v>4.4806517311608958E-2</v>
      </c>
      <c r="U29" s="9">
        <f>R29 / _xlfn.XLOOKUP(A29, Support!A:A, Support!AA:AA)</f>
        <v>8.0586080586080591E-2</v>
      </c>
      <c r="V29" s="1"/>
      <c r="W29" s="1"/>
    </row>
    <row r="30" spans="1:23" x14ac:dyDescent="0.25">
      <c r="A30" s="1" t="s">
        <v>29</v>
      </c>
      <c r="B30" s="6">
        <v>7</v>
      </c>
      <c r="C30" s="7">
        <v>0.14299999999999999</v>
      </c>
      <c r="D30" s="8">
        <f t="shared" si="0"/>
        <v>1.0009999999999999</v>
      </c>
      <c r="E30" s="6">
        <v>7</v>
      </c>
      <c r="F30" s="7">
        <v>0.85699999999999998</v>
      </c>
      <c r="G30" s="8">
        <f t="shared" si="1"/>
        <v>5.9989999999999997</v>
      </c>
      <c r="H30" s="6"/>
      <c r="I30" s="7"/>
      <c r="J30" s="8">
        <f t="shared" si="2"/>
        <v>0</v>
      </c>
      <c r="K30" s="6">
        <v>4</v>
      </c>
      <c r="L30" s="7">
        <v>0.5</v>
      </c>
      <c r="M30" s="8">
        <f t="shared" si="3"/>
        <v>2</v>
      </c>
      <c r="N30" s="6"/>
      <c r="O30" s="7"/>
      <c r="P30" s="8">
        <f t="shared" si="4"/>
        <v>0</v>
      </c>
      <c r="Q30" s="1"/>
      <c r="R30" s="6">
        <f t="shared" si="5"/>
        <v>18</v>
      </c>
      <c r="S30" s="9">
        <f t="shared" si="6"/>
        <v>0.5</v>
      </c>
      <c r="T30" s="9">
        <f t="shared" si="7"/>
        <v>3.6659877800407331E-2</v>
      </c>
      <c r="U30" s="9">
        <f>R30 / _xlfn.XLOOKUP(A30, Support!A:A, Support!AA:AA)</f>
        <v>0.09</v>
      </c>
      <c r="V30" s="1"/>
      <c r="W30" s="1"/>
    </row>
    <row r="31" spans="1:23" x14ac:dyDescent="0.25">
      <c r="A31" s="1" t="s">
        <v>177</v>
      </c>
      <c r="B31" s="6">
        <v>2</v>
      </c>
      <c r="C31" s="7">
        <v>0.5</v>
      </c>
      <c r="D31" s="8">
        <f t="shared" si="0"/>
        <v>1</v>
      </c>
      <c r="E31" s="6"/>
      <c r="F31" s="7"/>
      <c r="G31" s="8">
        <f t="shared" si="1"/>
        <v>0</v>
      </c>
      <c r="H31" s="6"/>
      <c r="I31" s="7"/>
      <c r="J31" s="8">
        <f t="shared" si="2"/>
        <v>0</v>
      </c>
      <c r="K31" s="6"/>
      <c r="L31" s="7"/>
      <c r="M31" s="8">
        <f t="shared" si="3"/>
        <v>0</v>
      </c>
      <c r="N31" s="6"/>
      <c r="O31" s="7"/>
      <c r="P31" s="8">
        <f t="shared" si="4"/>
        <v>0</v>
      </c>
      <c r="Q31" s="1"/>
      <c r="R31" s="6">
        <f t="shared" si="5"/>
        <v>2</v>
      </c>
      <c r="S31" s="9">
        <f t="shared" si="6"/>
        <v>0.5</v>
      </c>
      <c r="T31" s="9">
        <f t="shared" si="7"/>
        <v>4.0733197556008143E-3</v>
      </c>
      <c r="U31" s="9">
        <f>R31 / _xlfn.XLOOKUP(A31, Support!A:A, Support!AA:AA)</f>
        <v>4.1666666666666664E-2</v>
      </c>
      <c r="V31" s="1"/>
      <c r="W31" s="1"/>
    </row>
    <row r="32" spans="1:23" x14ac:dyDescent="0.25">
      <c r="A32" s="1" t="s">
        <v>19</v>
      </c>
      <c r="B32" s="6"/>
      <c r="C32" s="7"/>
      <c r="D32" s="8">
        <f t="shared" si="0"/>
        <v>0</v>
      </c>
      <c r="E32" s="6"/>
      <c r="F32" s="7"/>
      <c r="G32" s="8">
        <f t="shared" si="1"/>
        <v>0</v>
      </c>
      <c r="H32" s="6">
        <v>1</v>
      </c>
      <c r="I32" s="7">
        <v>0</v>
      </c>
      <c r="J32" s="8">
        <f t="shared" si="2"/>
        <v>0</v>
      </c>
      <c r="K32" s="6">
        <v>1</v>
      </c>
      <c r="L32" s="7">
        <v>1</v>
      </c>
      <c r="M32" s="8">
        <f t="shared" si="3"/>
        <v>1</v>
      </c>
      <c r="N32" s="6"/>
      <c r="O32" s="7"/>
      <c r="P32" s="8">
        <f t="shared" si="4"/>
        <v>0</v>
      </c>
      <c r="Q32" s="1"/>
      <c r="R32" s="6">
        <f t="shared" si="5"/>
        <v>2</v>
      </c>
      <c r="S32" s="9">
        <f t="shared" si="6"/>
        <v>0.5</v>
      </c>
      <c r="T32" s="9">
        <f t="shared" si="7"/>
        <v>4.0733197556008143E-3</v>
      </c>
      <c r="U32" s="9">
        <f>R32 / _xlfn.XLOOKUP(A32, Support!A:A, Support!AA:AA)</f>
        <v>0.25</v>
      </c>
      <c r="V32" s="1"/>
      <c r="W32" s="1"/>
    </row>
    <row r="33" spans="1:23" x14ac:dyDescent="0.25">
      <c r="A33" s="1" t="s">
        <v>191</v>
      </c>
      <c r="B33" s="6"/>
      <c r="C33" s="7"/>
      <c r="D33" s="8">
        <f t="shared" si="0"/>
        <v>0</v>
      </c>
      <c r="E33" s="6"/>
      <c r="F33" s="7"/>
      <c r="G33" s="8">
        <f t="shared" si="1"/>
        <v>0</v>
      </c>
      <c r="H33" s="6"/>
      <c r="I33" s="7"/>
      <c r="J33" s="8">
        <f t="shared" si="2"/>
        <v>0</v>
      </c>
      <c r="K33" s="6">
        <v>2</v>
      </c>
      <c r="L33" s="7">
        <v>0.5</v>
      </c>
      <c r="M33" s="8">
        <f t="shared" si="3"/>
        <v>1</v>
      </c>
      <c r="N33" s="6"/>
      <c r="O33" s="7"/>
      <c r="P33" s="8">
        <f t="shared" si="4"/>
        <v>0</v>
      </c>
      <c r="Q33" s="1"/>
      <c r="R33" s="6">
        <f t="shared" si="5"/>
        <v>2</v>
      </c>
      <c r="S33" s="9">
        <f t="shared" si="6"/>
        <v>0.5</v>
      </c>
      <c r="T33" s="9">
        <f t="shared" si="7"/>
        <v>4.0733197556008143E-3</v>
      </c>
      <c r="U33" s="9">
        <f>R33 / _xlfn.XLOOKUP(A33, Support!A:A, Support!AA:AA)</f>
        <v>8.6956521739130432E-2</v>
      </c>
      <c r="V33" s="1"/>
      <c r="W33" s="1"/>
    </row>
    <row r="34" spans="1:23" x14ac:dyDescent="0.25">
      <c r="A34" s="25" t="s">
        <v>81</v>
      </c>
      <c r="B34" s="6"/>
      <c r="C34" s="7"/>
      <c r="D34" s="8">
        <f t="shared" si="0"/>
        <v>0</v>
      </c>
      <c r="E34" s="6"/>
      <c r="F34" s="7"/>
      <c r="G34" s="8">
        <f t="shared" si="1"/>
        <v>0</v>
      </c>
      <c r="H34" s="6"/>
      <c r="I34" s="7"/>
      <c r="J34" s="8">
        <f t="shared" si="2"/>
        <v>0</v>
      </c>
      <c r="K34" s="6">
        <v>3</v>
      </c>
      <c r="L34" s="7">
        <v>0.33300000000000002</v>
      </c>
      <c r="M34" s="8">
        <f t="shared" si="3"/>
        <v>0.99900000000000011</v>
      </c>
      <c r="N34" s="6"/>
      <c r="O34" s="7"/>
      <c r="P34" s="8">
        <f t="shared" si="4"/>
        <v>0</v>
      </c>
      <c r="Q34" s="1"/>
      <c r="R34" s="6">
        <f t="shared" si="5"/>
        <v>3</v>
      </c>
      <c r="S34" s="9">
        <f t="shared" si="6"/>
        <v>0.33300000000000002</v>
      </c>
      <c r="T34" s="9">
        <f t="shared" si="7"/>
        <v>6.1099796334012219E-3</v>
      </c>
      <c r="U34" s="9">
        <f>R34 / _xlfn.XLOOKUP(A34, Support!A:A, Support!AA:AA)</f>
        <v>6.6666666666666666E-2</v>
      </c>
      <c r="V34" s="1"/>
      <c r="W34" s="1"/>
    </row>
    <row r="35" spans="1:23" x14ac:dyDescent="0.25">
      <c r="A35" s="1" t="s">
        <v>168</v>
      </c>
      <c r="B35" s="6">
        <v>5</v>
      </c>
      <c r="C35" s="7">
        <v>0</v>
      </c>
      <c r="D35" s="8">
        <f t="shared" si="0"/>
        <v>0</v>
      </c>
      <c r="E35" s="6">
        <v>5</v>
      </c>
      <c r="F35" s="7">
        <v>0.2</v>
      </c>
      <c r="G35" s="8">
        <f t="shared" si="1"/>
        <v>1</v>
      </c>
      <c r="H35" s="6">
        <v>4</v>
      </c>
      <c r="I35" s="7">
        <v>0.5</v>
      </c>
      <c r="J35" s="8">
        <f t="shared" si="2"/>
        <v>2</v>
      </c>
      <c r="K35" s="6"/>
      <c r="L35" s="7"/>
      <c r="M35" s="8">
        <f t="shared" si="3"/>
        <v>0</v>
      </c>
      <c r="N35" s="6"/>
      <c r="O35" s="7"/>
      <c r="P35" s="8">
        <f t="shared" si="4"/>
        <v>0</v>
      </c>
      <c r="Q35" s="1"/>
      <c r="R35" s="6">
        <f t="shared" si="5"/>
        <v>14</v>
      </c>
      <c r="S35" s="9">
        <f t="shared" si="6"/>
        <v>0.21428571428571427</v>
      </c>
      <c r="T35" s="9">
        <f t="shared" si="7"/>
        <v>2.8513238289205704E-2</v>
      </c>
      <c r="U35" s="9">
        <f>R35 / _xlfn.XLOOKUP(A35, Support!A:A, Support!AA:AA)</f>
        <v>7.3684210526315783E-2</v>
      </c>
      <c r="V35" s="1"/>
      <c r="W35" s="1"/>
    </row>
    <row r="36" spans="1:23" x14ac:dyDescent="0.25">
      <c r="A36" s="1" t="s">
        <v>149</v>
      </c>
      <c r="B36" s="6"/>
      <c r="C36" s="7"/>
      <c r="D36" s="8">
        <f t="shared" si="0"/>
        <v>0</v>
      </c>
      <c r="E36" s="6">
        <v>1</v>
      </c>
      <c r="F36" s="7">
        <v>0</v>
      </c>
      <c r="G36" s="8">
        <f t="shared" si="1"/>
        <v>0</v>
      </c>
      <c r="H36" s="6"/>
      <c r="I36" s="7"/>
      <c r="J36" s="8">
        <f t="shared" si="2"/>
        <v>0</v>
      </c>
      <c r="K36" s="6"/>
      <c r="L36" s="7"/>
      <c r="M36" s="8">
        <f t="shared" si="3"/>
        <v>0</v>
      </c>
      <c r="N36" s="6"/>
      <c r="O36" s="7"/>
      <c r="P36" s="8">
        <f t="shared" si="4"/>
        <v>0</v>
      </c>
      <c r="Q36" s="1"/>
      <c r="R36" s="6">
        <f t="shared" si="5"/>
        <v>1</v>
      </c>
      <c r="S36" s="9">
        <f t="shared" si="6"/>
        <v>0</v>
      </c>
      <c r="T36" s="9">
        <f t="shared" si="7"/>
        <v>2.0366598778004071E-3</v>
      </c>
      <c r="U36" s="9">
        <f>R36 / _xlfn.XLOOKUP(A36, Support!A:A, Support!AA:AA)</f>
        <v>9.0909090909090912E-2</v>
      </c>
    </row>
    <row r="37" spans="1:23" x14ac:dyDescent="0.25">
      <c r="A37" s="1" t="s">
        <v>14</v>
      </c>
      <c r="B37" s="6"/>
      <c r="C37" s="7"/>
      <c r="D37" s="8">
        <f t="shared" si="0"/>
        <v>0</v>
      </c>
      <c r="E37" s="6"/>
      <c r="F37" s="7"/>
      <c r="G37" s="8">
        <f t="shared" si="1"/>
        <v>0</v>
      </c>
      <c r="H37" s="6">
        <v>1</v>
      </c>
      <c r="I37" s="7">
        <v>0</v>
      </c>
      <c r="J37" s="8">
        <f t="shared" si="2"/>
        <v>0</v>
      </c>
      <c r="K37" s="6"/>
      <c r="L37" s="7"/>
      <c r="M37" s="8">
        <f t="shared" si="3"/>
        <v>0</v>
      </c>
      <c r="N37" s="6"/>
      <c r="O37" s="7"/>
      <c r="P37" s="8">
        <f t="shared" si="4"/>
        <v>0</v>
      </c>
      <c r="Q37" s="1"/>
      <c r="R37" s="6">
        <f t="shared" si="5"/>
        <v>1</v>
      </c>
      <c r="S37" s="9">
        <f t="shared" si="6"/>
        <v>0</v>
      </c>
      <c r="T37" s="9">
        <f t="shared" si="7"/>
        <v>2.0366598778004071E-3</v>
      </c>
      <c r="U37" s="9">
        <f>R37 / _xlfn.XLOOKUP(A37, Support!A:A, Support!AA:AA)</f>
        <v>3.8461538461538464E-2</v>
      </c>
    </row>
    <row r="38" spans="1:23" x14ac:dyDescent="0.25">
      <c r="A38" s="1"/>
      <c r="B38" s="6"/>
      <c r="C38" s="7"/>
      <c r="D38" s="31"/>
      <c r="E38" s="6"/>
      <c r="F38" s="7"/>
      <c r="G38" s="31"/>
      <c r="H38" s="6"/>
      <c r="I38" s="7"/>
      <c r="J38" s="31"/>
      <c r="K38" s="6"/>
      <c r="L38" s="7"/>
      <c r="M38" s="31"/>
      <c r="N38" s="1"/>
      <c r="O38" s="1"/>
      <c r="P38" s="1"/>
      <c r="Q38" s="1"/>
      <c r="R38" s="6"/>
      <c r="S38" s="9"/>
      <c r="T38" s="10"/>
      <c r="U38" s="9" t="e">
        <f>R38 / _xlfn.XLOOKUP(A38, Support!A:A, Support!AA:AA)</f>
        <v>#DIV/0!</v>
      </c>
    </row>
    <row r="39" spans="1:23" x14ac:dyDescent="0.25">
      <c r="A39" s="1"/>
      <c r="B39" s="6"/>
      <c r="C39" s="7"/>
      <c r="D39" s="31"/>
      <c r="E39" s="6"/>
      <c r="F39" s="7"/>
      <c r="G39" s="31"/>
      <c r="H39" s="6"/>
      <c r="I39" s="7"/>
      <c r="J39" s="31"/>
      <c r="K39" s="6"/>
      <c r="L39" s="7"/>
      <c r="M39" s="31"/>
      <c r="N39" s="1"/>
      <c r="O39" s="1"/>
      <c r="P39" s="1"/>
      <c r="Q39" s="4"/>
      <c r="R39" s="6"/>
      <c r="S39" s="9"/>
      <c r="T39" s="10"/>
      <c r="U39" s="9" t="e">
        <f>R39 / _xlfn.XLOOKUP(A39, Support!A:A, Support!AA:AA)</f>
        <v>#DIV/0!</v>
      </c>
    </row>
    <row r="40" spans="1:23" x14ac:dyDescent="0.25">
      <c r="B40" s="6"/>
      <c r="C40" s="7"/>
      <c r="D40" s="31"/>
      <c r="E40" s="6"/>
      <c r="F40" s="7"/>
      <c r="G40" s="31"/>
      <c r="H40" s="6"/>
      <c r="I40" s="7"/>
      <c r="J40" s="31"/>
      <c r="K40" s="6"/>
      <c r="L40" s="7"/>
      <c r="M40" s="31"/>
      <c r="N40" s="1"/>
      <c r="O40" s="1"/>
      <c r="P40" s="1"/>
      <c r="Q40" s="1"/>
      <c r="R40" s="6"/>
      <c r="S40" s="9"/>
      <c r="T40" s="10"/>
      <c r="U40" s="9" t="e">
        <f>R40 / _xlfn.XLOOKUP(A40, Support!A:A, Support!AA:AA)</f>
        <v>#DIV/0!</v>
      </c>
    </row>
    <row r="41" spans="1:23" x14ac:dyDescent="0.25">
      <c r="U41" s="9" t="e">
        <f>R41 / _xlfn.XLOOKUP(A41, Support!A:A, Support!AA:AA)</f>
        <v>#DIV/0!</v>
      </c>
    </row>
    <row r="42" spans="1:23" x14ac:dyDescent="0.25">
      <c r="U42" s="9" t="e">
        <f>R42 / _xlfn.XLOOKUP(A42, Support!A:A, Support!AA:AA)</f>
        <v>#DIV/0!</v>
      </c>
    </row>
    <row r="43" spans="1:23" x14ac:dyDescent="0.25">
      <c r="U43" s="9" t="e">
        <f>R43 / _xlfn.XLOOKUP(A43, Support!A:A, Support!AA:AA)</f>
        <v>#DIV/0!</v>
      </c>
    </row>
    <row r="44" spans="1:23" x14ac:dyDescent="0.25">
      <c r="U44" s="9" t="e">
        <f>R44 / _xlfn.XLOOKUP(A44, Support!A:A, Support!AA:AA)</f>
        <v>#DIV/0!</v>
      </c>
    </row>
    <row r="45" spans="1:23" x14ac:dyDescent="0.25">
      <c r="U45" s="9" t="e">
        <f>R45 / _xlfn.XLOOKUP(A45, Support!A:A, Support!AA:AA)</f>
        <v>#DIV/0!</v>
      </c>
    </row>
    <row r="46" spans="1:23" x14ac:dyDescent="0.25">
      <c r="U46" s="9" t="e">
        <f>R46 / _xlfn.XLOOKUP(A46, Support!A:A, Support!AA:AA)</f>
        <v>#DIV/0!</v>
      </c>
    </row>
    <row r="47" spans="1:23" x14ac:dyDescent="0.25">
      <c r="U47" s="9" t="e">
        <f>R47 / _xlfn.XLOOKUP(A47, Support!A:A, Support!AA:AA)</f>
        <v>#DIV/0!</v>
      </c>
    </row>
    <row r="48" spans="1:23" x14ac:dyDescent="0.25">
      <c r="U48" s="9" t="e">
        <f>R48 / _xlfn.XLOOKUP(A48, Support!A:A, Support!AA:AA)</f>
        <v>#DIV/0!</v>
      </c>
    </row>
    <row r="49" spans="21:21" x14ac:dyDescent="0.25">
      <c r="U49" s="9" t="e">
        <f>R49 / _xlfn.XLOOKUP(A49, Support!A:A, Support!AA:AA)</f>
        <v>#DIV/0!</v>
      </c>
    </row>
    <row r="50" spans="21:21" x14ac:dyDescent="0.25">
      <c r="U50" s="9" t="e">
        <f>R50 / _xlfn.XLOOKUP(A50, Support!A:A, Support!AA:AA)</f>
        <v>#DIV/0!</v>
      </c>
    </row>
    <row r="51" spans="21:21" x14ac:dyDescent="0.25">
      <c r="U51" s="9" t="e">
        <f>R51 / _xlfn.XLOOKUP(A51, Support!A:A, Support!AA:AA)</f>
        <v>#DIV/0!</v>
      </c>
    </row>
    <row r="52" spans="21:21" x14ac:dyDescent="0.25">
      <c r="U52" s="9" t="e">
        <f>R52 / _xlfn.XLOOKUP(A52, Support!A:A, Support!AA:AA)</f>
        <v>#DIV/0!</v>
      </c>
    </row>
    <row r="53" spans="21:21" x14ac:dyDescent="0.25">
      <c r="U53" s="9" t="e">
        <f>R53 / _xlfn.XLOOKUP(A53, Support!A:A, Support!AA:AA)</f>
        <v>#DIV/0!</v>
      </c>
    </row>
    <row r="54" spans="21:21" x14ac:dyDescent="0.25">
      <c r="U54" s="9" t="e">
        <f>R54 / _xlfn.XLOOKUP(A54, Support!A:A, Support!AA:AA)</f>
        <v>#DIV/0!</v>
      </c>
    </row>
    <row r="55" spans="21:21" x14ac:dyDescent="0.25">
      <c r="U55" s="9" t="e">
        <f>R55 / _xlfn.XLOOKUP(A55, Support!A:A, Support!AA:AA)</f>
        <v>#DIV/0!</v>
      </c>
    </row>
    <row r="56" spans="21:21" x14ac:dyDescent="0.25">
      <c r="U56" s="9" t="e">
        <f>R56 / _xlfn.XLOOKUP(A56, Support!A:A, Support!AA:AA)</f>
        <v>#DIV/0!</v>
      </c>
    </row>
  </sheetData>
  <sortState xmlns:xlrd2="http://schemas.microsoft.com/office/spreadsheetml/2017/richdata2" ref="A3:U37">
    <sortCondition descending="1" ref="S3:S37"/>
  </sortState>
  <pageMargins left="0.7" right="0.7" top="0.78740157499999996" bottom="0.78740157499999996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55B3F-3029-4A13-891C-F786A7E8AB7F}">
  <sheetPr>
    <tabColor theme="9" tint="0.59999389629810485"/>
  </sheetPr>
  <dimension ref="A1:W44"/>
  <sheetViews>
    <sheetView workbookViewId="0">
      <selection activeCell="U3" sqref="U3:U26"/>
    </sheetView>
  </sheetViews>
  <sheetFormatPr baseColWidth="10" defaultRowHeight="15" x14ac:dyDescent="0.25"/>
  <sheetData>
    <row r="1" spans="1:23" ht="15.75" x14ac:dyDescent="0.25">
      <c r="A1" s="2" t="s">
        <v>241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177</v>
      </c>
      <c r="B3" s="6"/>
      <c r="C3" s="7"/>
      <c r="D3" s="8">
        <f t="shared" ref="D3:D26" si="0">B3*C3</f>
        <v>0</v>
      </c>
      <c r="E3" s="6"/>
      <c r="F3" s="7"/>
      <c r="G3" s="8">
        <f t="shared" ref="G3:G26" si="1">E3*F3</f>
        <v>0</v>
      </c>
      <c r="H3" s="6"/>
      <c r="I3" s="7"/>
      <c r="J3" s="8">
        <f t="shared" ref="J3:J26" si="2">H3*I3</f>
        <v>0</v>
      </c>
      <c r="K3" s="6"/>
      <c r="L3" s="7"/>
      <c r="M3" s="8">
        <f t="shared" ref="M3:M26" si="3">K3*L3</f>
        <v>0</v>
      </c>
      <c r="N3" s="6"/>
      <c r="O3" s="7"/>
      <c r="P3" s="8">
        <f t="shared" ref="P3:P26" si="4">N3*O3</f>
        <v>0</v>
      </c>
      <c r="Q3" s="1"/>
      <c r="R3" s="6">
        <f t="shared" ref="R3:R26" si="5">B3+E3+H3+K3+N3</f>
        <v>0</v>
      </c>
      <c r="S3" s="9" t="e">
        <f t="shared" ref="S3:S26" si="6">(D3+G3+J3+M3+P3)/R3</f>
        <v>#DIV/0!</v>
      </c>
      <c r="T3" s="9">
        <f t="shared" ref="T3:T26" si="7">R3/$V$3</f>
        <v>0</v>
      </c>
      <c r="U3" s="9">
        <f>R3 / _xlfn.XLOOKUP(A3, Support!A:A, Support!AA:AA)</f>
        <v>0</v>
      </c>
      <c r="V3" s="11">
        <f>SUM(R3:R38)</f>
        <v>190</v>
      </c>
      <c r="W3" s="12">
        <f>(SUM(D3:D88)+SUM(G3:G88)+SUM(J3:J88)+SUM(M3:M88)+SUM(P3:P88)) / V3</f>
        <v>0.66323999999999994</v>
      </c>
    </row>
    <row r="4" spans="1:23" x14ac:dyDescent="0.25">
      <c r="A4" s="1" t="s">
        <v>174</v>
      </c>
      <c r="B4" s="6"/>
      <c r="C4" s="7"/>
      <c r="D4" s="8">
        <f t="shared" si="0"/>
        <v>0</v>
      </c>
      <c r="E4" s="6"/>
      <c r="F4" s="7"/>
      <c r="G4" s="8">
        <f t="shared" si="1"/>
        <v>0</v>
      </c>
      <c r="H4" s="6"/>
      <c r="I4" s="7"/>
      <c r="J4" s="8">
        <f t="shared" si="2"/>
        <v>0</v>
      </c>
      <c r="K4" s="6">
        <v>2</v>
      </c>
      <c r="L4" s="7">
        <v>1</v>
      </c>
      <c r="M4" s="8">
        <f t="shared" si="3"/>
        <v>2</v>
      </c>
      <c r="N4" s="6"/>
      <c r="O4" s="7"/>
      <c r="P4" s="8">
        <f t="shared" si="4"/>
        <v>0</v>
      </c>
      <c r="Q4" s="1"/>
      <c r="R4" s="6">
        <f t="shared" si="5"/>
        <v>2</v>
      </c>
      <c r="S4" s="9">
        <f t="shared" si="6"/>
        <v>1</v>
      </c>
      <c r="T4" s="9">
        <f t="shared" si="7"/>
        <v>1.0526315789473684E-2</v>
      </c>
      <c r="U4" s="9">
        <f>R4 / _xlfn.XLOOKUP(A4, Support!A:A, Support!AA:AA)</f>
        <v>5.8823529411764705E-2</v>
      </c>
      <c r="V4" s="1"/>
      <c r="W4" s="1"/>
    </row>
    <row r="5" spans="1:23" x14ac:dyDescent="0.25">
      <c r="A5" s="1" t="s">
        <v>19</v>
      </c>
      <c r="B5" s="6"/>
      <c r="C5" s="7"/>
      <c r="D5" s="8">
        <f t="shared" si="0"/>
        <v>0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>
        <v>1</v>
      </c>
      <c r="L5" s="7">
        <v>1</v>
      </c>
      <c r="M5" s="8">
        <f t="shared" si="3"/>
        <v>1</v>
      </c>
      <c r="N5" s="6"/>
      <c r="O5" s="7"/>
      <c r="P5" s="8">
        <f t="shared" si="4"/>
        <v>0</v>
      </c>
      <c r="Q5" s="1"/>
      <c r="R5" s="6">
        <f t="shared" si="5"/>
        <v>1</v>
      </c>
      <c r="S5" s="9">
        <f t="shared" si="6"/>
        <v>1</v>
      </c>
      <c r="T5" s="9">
        <f t="shared" si="7"/>
        <v>5.263157894736842E-3</v>
      </c>
      <c r="U5" s="9">
        <f>R5 / _xlfn.XLOOKUP(A5, Support!A:A, Support!AA:AA)</f>
        <v>0.125</v>
      </c>
      <c r="V5" s="1"/>
      <c r="W5" s="1"/>
    </row>
    <row r="6" spans="1:23" x14ac:dyDescent="0.25">
      <c r="A6" s="1" t="s">
        <v>30</v>
      </c>
      <c r="B6" s="6"/>
      <c r="C6" s="7"/>
      <c r="D6" s="8">
        <f t="shared" si="0"/>
        <v>0</v>
      </c>
      <c r="E6" s="6"/>
      <c r="F6" s="7"/>
      <c r="G6" s="8">
        <f t="shared" si="1"/>
        <v>0</v>
      </c>
      <c r="H6" s="6">
        <v>1</v>
      </c>
      <c r="I6" s="7">
        <v>1</v>
      </c>
      <c r="J6" s="8">
        <f t="shared" si="2"/>
        <v>1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1"/>
      <c r="R6" s="6">
        <f t="shared" si="5"/>
        <v>1</v>
      </c>
      <c r="S6" s="9">
        <f t="shared" si="6"/>
        <v>1</v>
      </c>
      <c r="T6" s="9">
        <f t="shared" si="7"/>
        <v>5.263157894736842E-3</v>
      </c>
      <c r="U6" s="9">
        <f>R6 / _xlfn.XLOOKUP(A6, Support!A:A, Support!AA:AA)</f>
        <v>2.2727272727272728E-2</v>
      </c>
      <c r="V6" s="1"/>
      <c r="W6" s="1"/>
    </row>
    <row r="7" spans="1:23" x14ac:dyDescent="0.25">
      <c r="A7" s="1" t="s">
        <v>14</v>
      </c>
      <c r="B7" s="6"/>
      <c r="C7" s="7"/>
      <c r="D7" s="8">
        <f t="shared" si="0"/>
        <v>0</v>
      </c>
      <c r="E7" s="6"/>
      <c r="F7" s="7"/>
      <c r="G7" s="8">
        <f t="shared" si="1"/>
        <v>0</v>
      </c>
      <c r="H7" s="6">
        <v>1</v>
      </c>
      <c r="I7" s="7">
        <v>1</v>
      </c>
      <c r="J7" s="8">
        <f t="shared" si="2"/>
        <v>1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1</v>
      </c>
      <c r="S7" s="9">
        <f t="shared" si="6"/>
        <v>1</v>
      </c>
      <c r="T7" s="9">
        <f t="shared" si="7"/>
        <v>5.263157894736842E-3</v>
      </c>
      <c r="U7" s="9">
        <f>R7 / _xlfn.XLOOKUP(A7, Support!A:A, Support!AA:AA)</f>
        <v>3.8461538461538464E-2</v>
      </c>
      <c r="V7" s="1"/>
      <c r="W7" s="1"/>
    </row>
    <row r="8" spans="1:23" x14ac:dyDescent="0.25">
      <c r="A8" s="1" t="s">
        <v>168</v>
      </c>
      <c r="B8" s="6"/>
      <c r="C8" s="7"/>
      <c r="D8" s="8">
        <f t="shared" si="0"/>
        <v>0</v>
      </c>
      <c r="E8" s="6"/>
      <c r="F8" s="7"/>
      <c r="G8" s="8">
        <f t="shared" si="1"/>
        <v>0</v>
      </c>
      <c r="H8" s="6"/>
      <c r="I8" s="7"/>
      <c r="J8" s="8">
        <f t="shared" si="2"/>
        <v>0</v>
      </c>
      <c r="K8" s="6">
        <v>1</v>
      </c>
      <c r="L8" s="7">
        <v>1</v>
      </c>
      <c r="M8" s="8">
        <f t="shared" si="3"/>
        <v>1</v>
      </c>
      <c r="N8" s="6"/>
      <c r="O8" s="7"/>
      <c r="P8" s="8">
        <f t="shared" si="4"/>
        <v>0</v>
      </c>
      <c r="Q8" s="1"/>
      <c r="R8" s="6">
        <f t="shared" si="5"/>
        <v>1</v>
      </c>
      <c r="S8" s="9">
        <f t="shared" si="6"/>
        <v>1</v>
      </c>
      <c r="T8" s="9">
        <f t="shared" si="7"/>
        <v>5.263157894736842E-3</v>
      </c>
      <c r="U8" s="9">
        <f>R8 / _xlfn.XLOOKUP(A8, Support!A:A, Support!AA:AA)</f>
        <v>5.263157894736842E-3</v>
      </c>
      <c r="V8" s="1"/>
      <c r="W8" s="1"/>
    </row>
    <row r="9" spans="1:23" x14ac:dyDescent="0.25">
      <c r="A9" s="1" t="s">
        <v>170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/>
      <c r="I9" s="7"/>
      <c r="J9" s="8">
        <f t="shared" si="2"/>
        <v>0</v>
      </c>
      <c r="K9" s="6">
        <v>1</v>
      </c>
      <c r="L9" s="7">
        <v>1</v>
      </c>
      <c r="M9" s="8">
        <f t="shared" si="3"/>
        <v>1</v>
      </c>
      <c r="N9" s="6"/>
      <c r="O9" s="7"/>
      <c r="P9" s="8">
        <f t="shared" si="4"/>
        <v>0</v>
      </c>
      <c r="Q9" s="1"/>
      <c r="R9" s="6">
        <f t="shared" si="5"/>
        <v>1</v>
      </c>
      <c r="S9" s="9">
        <f t="shared" si="6"/>
        <v>1</v>
      </c>
      <c r="T9" s="9">
        <f t="shared" si="7"/>
        <v>5.263157894736842E-3</v>
      </c>
      <c r="U9" s="9">
        <f>R9 / _xlfn.XLOOKUP(A9, Support!A:A, Support!AA:AA)</f>
        <v>5.9523809523809521E-3</v>
      </c>
      <c r="V9" s="1"/>
      <c r="W9" s="1"/>
    </row>
    <row r="10" spans="1:23" x14ac:dyDescent="0.25">
      <c r="A10" s="1" t="s">
        <v>31</v>
      </c>
      <c r="B10" s="6"/>
      <c r="C10" s="7"/>
      <c r="D10" s="8">
        <f t="shared" si="0"/>
        <v>0</v>
      </c>
      <c r="E10" s="6"/>
      <c r="F10" s="7"/>
      <c r="G10" s="8">
        <f t="shared" si="1"/>
        <v>0</v>
      </c>
      <c r="H10" s="6">
        <v>1</v>
      </c>
      <c r="I10" s="7">
        <v>0</v>
      </c>
      <c r="J10" s="8">
        <f t="shared" si="2"/>
        <v>0</v>
      </c>
      <c r="K10" s="6">
        <v>6</v>
      </c>
      <c r="L10" s="7">
        <v>1</v>
      </c>
      <c r="M10" s="8">
        <f t="shared" si="3"/>
        <v>6</v>
      </c>
      <c r="N10" s="6"/>
      <c r="O10" s="7"/>
      <c r="P10" s="8">
        <f t="shared" si="4"/>
        <v>0</v>
      </c>
      <c r="Q10" s="13"/>
      <c r="R10" s="6">
        <f t="shared" si="5"/>
        <v>7</v>
      </c>
      <c r="S10" s="9">
        <f t="shared" si="6"/>
        <v>0.8571428571428571</v>
      </c>
      <c r="T10" s="9">
        <f t="shared" si="7"/>
        <v>3.6842105263157891E-2</v>
      </c>
      <c r="U10" s="9">
        <f>R10 / _xlfn.XLOOKUP(A10, Support!A:A, Support!AA:AA)</f>
        <v>5.6451612903225805E-2</v>
      </c>
      <c r="V10" s="1"/>
      <c r="W10" s="1"/>
    </row>
    <row r="11" spans="1:23" x14ac:dyDescent="0.25">
      <c r="A11" s="1" t="s">
        <v>183</v>
      </c>
      <c r="B11" s="6"/>
      <c r="C11" s="7"/>
      <c r="D11" s="8">
        <f t="shared" si="0"/>
        <v>0</v>
      </c>
      <c r="E11" s="6"/>
      <c r="F11" s="7"/>
      <c r="G11" s="8">
        <f t="shared" si="1"/>
        <v>0</v>
      </c>
      <c r="H11" s="6"/>
      <c r="I11" s="7"/>
      <c r="J11" s="8">
        <f t="shared" si="2"/>
        <v>0</v>
      </c>
      <c r="K11" s="6">
        <v>7</v>
      </c>
      <c r="L11" s="7">
        <v>0.85699999999999998</v>
      </c>
      <c r="M11" s="8">
        <f t="shared" si="3"/>
        <v>5.9989999999999997</v>
      </c>
      <c r="N11" s="6"/>
      <c r="O11" s="7"/>
      <c r="P11" s="8">
        <f t="shared" si="4"/>
        <v>0</v>
      </c>
      <c r="Q11" s="1"/>
      <c r="R11" s="6">
        <f t="shared" si="5"/>
        <v>7</v>
      </c>
      <c r="S11" s="9">
        <f t="shared" si="6"/>
        <v>0.85699999999999998</v>
      </c>
      <c r="T11" s="9">
        <f t="shared" si="7"/>
        <v>3.6842105263157891E-2</v>
      </c>
      <c r="U11" s="9">
        <f>R11 / _xlfn.XLOOKUP(A11, Support!A:A, Support!AA:AA)</f>
        <v>9.3333333333333338E-2</v>
      </c>
      <c r="V11" s="1"/>
      <c r="W11" s="1"/>
    </row>
    <row r="12" spans="1:23" x14ac:dyDescent="0.25">
      <c r="A12" s="1" t="s">
        <v>91</v>
      </c>
      <c r="B12" s="6"/>
      <c r="C12" s="7"/>
      <c r="D12" s="8">
        <f t="shared" si="0"/>
        <v>0</v>
      </c>
      <c r="E12" s="6"/>
      <c r="F12" s="7"/>
      <c r="G12" s="8">
        <f t="shared" si="1"/>
        <v>0</v>
      </c>
      <c r="H12" s="6"/>
      <c r="I12" s="7"/>
      <c r="J12" s="8">
        <f t="shared" si="2"/>
        <v>0</v>
      </c>
      <c r="K12" s="6">
        <v>12</v>
      </c>
      <c r="L12" s="7">
        <v>0.83299999999999996</v>
      </c>
      <c r="M12" s="8">
        <f t="shared" si="3"/>
        <v>9.9959999999999987</v>
      </c>
      <c r="N12" s="6"/>
      <c r="O12" s="7"/>
      <c r="P12" s="8">
        <f t="shared" si="4"/>
        <v>0</v>
      </c>
      <c r="Q12" s="1"/>
      <c r="R12" s="6">
        <f t="shared" si="5"/>
        <v>12</v>
      </c>
      <c r="S12" s="9">
        <f t="shared" si="6"/>
        <v>0.83299999999999985</v>
      </c>
      <c r="T12" s="9">
        <f t="shared" si="7"/>
        <v>6.3157894736842107E-2</v>
      </c>
      <c r="U12" s="9">
        <f>R12 / _xlfn.XLOOKUP(A12, Support!A:A, Support!AA:AA)</f>
        <v>7.1428571428571425E-2</v>
      </c>
      <c r="V12" s="1"/>
      <c r="W12" s="1"/>
    </row>
    <row r="13" spans="1:23" x14ac:dyDescent="0.25">
      <c r="A13" s="1" t="s">
        <v>176</v>
      </c>
      <c r="B13" s="6"/>
      <c r="C13" s="7"/>
      <c r="D13" s="8">
        <f t="shared" si="0"/>
        <v>0</v>
      </c>
      <c r="E13" s="6"/>
      <c r="F13" s="7"/>
      <c r="G13" s="8">
        <f t="shared" si="1"/>
        <v>0</v>
      </c>
      <c r="H13" s="6">
        <v>10</v>
      </c>
      <c r="I13" s="7">
        <v>0.7</v>
      </c>
      <c r="J13" s="8">
        <f t="shared" si="2"/>
        <v>7</v>
      </c>
      <c r="K13" s="6">
        <v>23</v>
      </c>
      <c r="L13" s="7">
        <v>0.78300000000000003</v>
      </c>
      <c r="M13" s="8">
        <f t="shared" si="3"/>
        <v>18.009</v>
      </c>
      <c r="N13" s="6"/>
      <c r="O13" s="7"/>
      <c r="P13" s="8">
        <f t="shared" si="4"/>
        <v>0</v>
      </c>
      <c r="Q13" s="1"/>
      <c r="R13" s="6">
        <f t="shared" si="5"/>
        <v>33</v>
      </c>
      <c r="S13" s="9">
        <f t="shared" si="6"/>
        <v>0.75784848484848488</v>
      </c>
      <c r="T13" s="9">
        <f t="shared" si="7"/>
        <v>0.1736842105263158</v>
      </c>
      <c r="U13" s="9">
        <f>R13 / _xlfn.XLOOKUP(A13, Support!A:A, Support!AA:AA)</f>
        <v>5.2297939778129951E-2</v>
      </c>
      <c r="V13" s="1"/>
      <c r="W13" s="1"/>
    </row>
    <row r="14" spans="1:23" x14ac:dyDescent="0.25">
      <c r="A14" s="1" t="s">
        <v>182</v>
      </c>
      <c r="B14" s="6"/>
      <c r="C14" s="7"/>
      <c r="D14" s="8">
        <f t="shared" si="0"/>
        <v>0</v>
      </c>
      <c r="E14" s="6"/>
      <c r="F14" s="7"/>
      <c r="G14" s="8">
        <f t="shared" si="1"/>
        <v>0</v>
      </c>
      <c r="H14" s="6"/>
      <c r="I14" s="7"/>
      <c r="J14" s="8">
        <f t="shared" si="2"/>
        <v>0</v>
      </c>
      <c r="K14" s="6">
        <v>16</v>
      </c>
      <c r="L14" s="7">
        <v>0.68799999999999994</v>
      </c>
      <c r="M14" s="8">
        <f t="shared" si="3"/>
        <v>11.007999999999999</v>
      </c>
      <c r="N14" s="6"/>
      <c r="O14" s="7"/>
      <c r="P14" s="8">
        <f t="shared" si="4"/>
        <v>0</v>
      </c>
      <c r="Q14" s="1"/>
      <c r="R14" s="6">
        <f t="shared" si="5"/>
        <v>16</v>
      </c>
      <c r="S14" s="9">
        <f t="shared" si="6"/>
        <v>0.68799999999999994</v>
      </c>
      <c r="T14" s="9">
        <f t="shared" si="7"/>
        <v>8.4210526315789472E-2</v>
      </c>
      <c r="U14" s="9">
        <f>R14 / _xlfn.XLOOKUP(A14, Support!A:A, Support!AA:AA)</f>
        <v>5.8608058608058608E-2</v>
      </c>
      <c r="V14" s="1"/>
      <c r="W14" s="1"/>
    </row>
    <row r="15" spans="1:23" x14ac:dyDescent="0.25">
      <c r="A15" s="1" t="s">
        <v>90</v>
      </c>
      <c r="B15" s="6"/>
      <c r="C15" s="7"/>
      <c r="D15" s="8">
        <f t="shared" si="0"/>
        <v>0</v>
      </c>
      <c r="E15" s="6"/>
      <c r="F15" s="7"/>
      <c r="G15" s="8">
        <f t="shared" si="1"/>
        <v>0</v>
      </c>
      <c r="H15" s="6">
        <v>4</v>
      </c>
      <c r="I15" s="7">
        <v>0.25</v>
      </c>
      <c r="J15" s="8">
        <f t="shared" si="2"/>
        <v>1</v>
      </c>
      <c r="K15" s="6">
        <v>15</v>
      </c>
      <c r="L15" s="7">
        <v>0.8</v>
      </c>
      <c r="M15" s="8">
        <f t="shared" si="3"/>
        <v>12</v>
      </c>
      <c r="N15" s="6"/>
      <c r="O15" s="7"/>
      <c r="P15" s="8">
        <f t="shared" si="4"/>
        <v>0</v>
      </c>
      <c r="Q15" s="4"/>
      <c r="R15" s="6">
        <f t="shared" si="5"/>
        <v>19</v>
      </c>
      <c r="S15" s="9">
        <f t="shared" si="6"/>
        <v>0.68421052631578949</v>
      </c>
      <c r="T15" s="9">
        <f t="shared" si="7"/>
        <v>0.1</v>
      </c>
      <c r="U15" s="9">
        <f>R15 / _xlfn.XLOOKUP(A15, Support!A:A, Support!AA:AA)</f>
        <v>3.1045751633986929E-2</v>
      </c>
      <c r="V15" s="1"/>
      <c r="W15" s="1"/>
    </row>
    <row r="16" spans="1:23" x14ac:dyDescent="0.25">
      <c r="A16" s="1" t="s">
        <v>80</v>
      </c>
      <c r="B16" s="6"/>
      <c r="C16" s="7"/>
      <c r="D16" s="8">
        <f t="shared" si="0"/>
        <v>0</v>
      </c>
      <c r="E16" s="6"/>
      <c r="F16" s="7"/>
      <c r="G16" s="8">
        <f t="shared" si="1"/>
        <v>0</v>
      </c>
      <c r="H16" s="6">
        <v>4</v>
      </c>
      <c r="I16" s="7">
        <v>0.5</v>
      </c>
      <c r="J16" s="8">
        <f t="shared" si="2"/>
        <v>2</v>
      </c>
      <c r="K16" s="6">
        <v>18</v>
      </c>
      <c r="L16" s="7">
        <v>0.72219999999999995</v>
      </c>
      <c r="M16" s="8">
        <f t="shared" si="3"/>
        <v>12.999599999999999</v>
      </c>
      <c r="N16" s="6"/>
      <c r="O16" s="7"/>
      <c r="P16" s="8">
        <f t="shared" si="4"/>
        <v>0</v>
      </c>
      <c r="Q16" s="1"/>
      <c r="R16" s="6">
        <f t="shared" si="5"/>
        <v>22</v>
      </c>
      <c r="S16" s="9">
        <f t="shared" si="6"/>
        <v>0.68179999999999996</v>
      </c>
      <c r="T16" s="9">
        <f t="shared" si="7"/>
        <v>0.11578947368421053</v>
      </c>
      <c r="U16" s="9">
        <f>R16 / _xlfn.XLOOKUP(A16, Support!A:A, Support!AA:AA)</f>
        <v>4.5174537987679675E-2</v>
      </c>
      <c r="V16" s="1"/>
      <c r="W16" s="1"/>
    </row>
    <row r="17" spans="1:23" x14ac:dyDescent="0.25">
      <c r="A17" s="1" t="s">
        <v>181</v>
      </c>
      <c r="B17" s="6"/>
      <c r="C17" s="7"/>
      <c r="D17" s="8">
        <f t="shared" si="0"/>
        <v>0</v>
      </c>
      <c r="E17" s="6"/>
      <c r="F17" s="7"/>
      <c r="G17" s="8">
        <f t="shared" si="1"/>
        <v>0</v>
      </c>
      <c r="H17" s="6"/>
      <c r="I17" s="7"/>
      <c r="J17" s="8">
        <f t="shared" si="2"/>
        <v>0</v>
      </c>
      <c r="K17" s="6">
        <v>6</v>
      </c>
      <c r="L17" s="7">
        <v>0.66700000000000004</v>
      </c>
      <c r="M17" s="8">
        <f t="shared" si="3"/>
        <v>4.0020000000000007</v>
      </c>
      <c r="N17" s="6"/>
      <c r="O17" s="7"/>
      <c r="P17" s="8">
        <f t="shared" si="4"/>
        <v>0</v>
      </c>
      <c r="Q17" s="1"/>
      <c r="R17" s="6">
        <f t="shared" si="5"/>
        <v>6</v>
      </c>
      <c r="S17" s="9">
        <f t="shared" si="6"/>
        <v>0.66700000000000015</v>
      </c>
      <c r="T17" s="9">
        <f t="shared" si="7"/>
        <v>3.1578947368421054E-2</v>
      </c>
      <c r="U17" s="9">
        <f>R17 / _xlfn.XLOOKUP(A17, Support!A:A, Support!AA:AA)</f>
        <v>5.5555555555555552E-2</v>
      </c>
      <c r="V17" s="1"/>
      <c r="W17" s="1"/>
    </row>
    <row r="18" spans="1:23" x14ac:dyDescent="0.25">
      <c r="A18" s="1" t="s">
        <v>169</v>
      </c>
      <c r="B18" s="6"/>
      <c r="C18" s="7"/>
      <c r="D18" s="8">
        <f t="shared" si="0"/>
        <v>0</v>
      </c>
      <c r="E18" s="6"/>
      <c r="F18" s="7"/>
      <c r="G18" s="8">
        <f t="shared" si="1"/>
        <v>0</v>
      </c>
      <c r="H18" s="6"/>
      <c r="I18" s="7"/>
      <c r="J18" s="8">
        <f t="shared" si="2"/>
        <v>0</v>
      </c>
      <c r="K18" s="6">
        <v>6</v>
      </c>
      <c r="L18" s="32">
        <v>0.66700000000000004</v>
      </c>
      <c r="M18" s="8">
        <f t="shared" si="3"/>
        <v>4.0020000000000007</v>
      </c>
      <c r="N18" s="6"/>
      <c r="O18" s="7"/>
      <c r="P18" s="8">
        <f t="shared" si="4"/>
        <v>0</v>
      </c>
      <c r="Q18" s="1"/>
      <c r="R18" s="6">
        <f t="shared" si="5"/>
        <v>6</v>
      </c>
      <c r="S18" s="9">
        <f t="shared" si="6"/>
        <v>0.66700000000000015</v>
      </c>
      <c r="T18" s="9">
        <f t="shared" si="7"/>
        <v>3.1578947368421054E-2</v>
      </c>
      <c r="U18" s="9">
        <f>R18 / _xlfn.XLOOKUP(A18, Support!A:A, Support!AA:AA)</f>
        <v>1.935483870967742E-2</v>
      </c>
      <c r="V18" s="1"/>
      <c r="W18" s="1"/>
    </row>
    <row r="19" spans="1:23" x14ac:dyDescent="0.25">
      <c r="A19" s="1" t="s">
        <v>179</v>
      </c>
      <c r="B19" s="6"/>
      <c r="C19" s="7"/>
      <c r="D19" s="8">
        <f t="shared" si="0"/>
        <v>0</v>
      </c>
      <c r="E19" s="6"/>
      <c r="F19" s="7"/>
      <c r="G19" s="8">
        <f t="shared" si="1"/>
        <v>0</v>
      </c>
      <c r="H19" s="6">
        <v>10</v>
      </c>
      <c r="I19" s="7">
        <v>0.3</v>
      </c>
      <c r="J19" s="8">
        <f t="shared" si="2"/>
        <v>3</v>
      </c>
      <c r="K19" s="6">
        <v>20</v>
      </c>
      <c r="L19" s="7">
        <v>0.7</v>
      </c>
      <c r="M19" s="8">
        <f t="shared" si="3"/>
        <v>14</v>
      </c>
      <c r="N19" s="6"/>
      <c r="O19" s="7"/>
      <c r="P19" s="8">
        <f t="shared" si="4"/>
        <v>0</v>
      </c>
      <c r="Q19" s="4"/>
      <c r="R19" s="6">
        <f t="shared" si="5"/>
        <v>30</v>
      </c>
      <c r="S19" s="9">
        <f t="shared" si="6"/>
        <v>0.56666666666666665</v>
      </c>
      <c r="T19" s="9">
        <f t="shared" si="7"/>
        <v>0.15789473684210525</v>
      </c>
      <c r="U19" s="9">
        <f>R19 / _xlfn.XLOOKUP(A19, Support!A:A, Support!AA:AA)</f>
        <v>6.3291139240506333E-2</v>
      </c>
      <c r="V19" s="1"/>
      <c r="W19" s="1"/>
    </row>
    <row r="20" spans="1:23" x14ac:dyDescent="0.25">
      <c r="A20" s="1" t="s">
        <v>173</v>
      </c>
      <c r="B20" s="6"/>
      <c r="C20" s="7"/>
      <c r="D20" s="8">
        <f t="shared" si="0"/>
        <v>0</v>
      </c>
      <c r="E20" s="6"/>
      <c r="F20" s="7"/>
      <c r="G20" s="8">
        <f t="shared" si="1"/>
        <v>0</v>
      </c>
      <c r="H20" s="6"/>
      <c r="I20" s="7"/>
      <c r="J20" s="8">
        <f t="shared" si="2"/>
        <v>0</v>
      </c>
      <c r="K20" s="6">
        <v>4</v>
      </c>
      <c r="L20" s="7">
        <v>0.5</v>
      </c>
      <c r="M20" s="8">
        <f t="shared" si="3"/>
        <v>2</v>
      </c>
      <c r="N20" s="6"/>
      <c r="O20" s="7"/>
      <c r="P20" s="8">
        <f t="shared" si="4"/>
        <v>0</v>
      </c>
      <c r="Q20" s="1"/>
      <c r="R20" s="6">
        <f t="shared" si="5"/>
        <v>4</v>
      </c>
      <c r="S20" s="9">
        <f t="shared" si="6"/>
        <v>0.5</v>
      </c>
      <c r="T20" s="9">
        <f t="shared" si="7"/>
        <v>2.1052631578947368E-2</v>
      </c>
      <c r="U20" s="9">
        <f>R20 / _xlfn.XLOOKUP(A20, Support!A:A, Support!AA:AA)</f>
        <v>1.2987012987012988E-2</v>
      </c>
      <c r="V20" s="1"/>
      <c r="W20" s="1"/>
    </row>
    <row r="21" spans="1:23" x14ac:dyDescent="0.25">
      <c r="A21" s="1" t="s">
        <v>178</v>
      </c>
      <c r="B21" s="6"/>
      <c r="C21" s="7"/>
      <c r="D21" s="8">
        <f t="shared" si="0"/>
        <v>0</v>
      </c>
      <c r="E21" s="6"/>
      <c r="F21" s="7"/>
      <c r="G21" s="8">
        <f t="shared" si="1"/>
        <v>0</v>
      </c>
      <c r="H21" s="6">
        <v>5</v>
      </c>
      <c r="I21" s="7">
        <v>0.2</v>
      </c>
      <c r="J21" s="8">
        <f t="shared" si="2"/>
        <v>1</v>
      </c>
      <c r="K21" s="6">
        <v>10</v>
      </c>
      <c r="L21" s="7">
        <v>0.5</v>
      </c>
      <c r="M21" s="8">
        <f t="shared" si="3"/>
        <v>5</v>
      </c>
      <c r="N21" s="6"/>
      <c r="O21" s="7"/>
      <c r="P21" s="8">
        <f t="shared" si="4"/>
        <v>0</v>
      </c>
      <c r="Q21" s="1"/>
      <c r="R21" s="6">
        <f t="shared" si="5"/>
        <v>15</v>
      </c>
      <c r="S21" s="9">
        <f t="shared" si="6"/>
        <v>0.4</v>
      </c>
      <c r="T21" s="9">
        <f t="shared" si="7"/>
        <v>7.8947368421052627E-2</v>
      </c>
      <c r="U21" s="9">
        <f>R21 / _xlfn.XLOOKUP(A21, Support!A:A, Support!AA:AA)</f>
        <v>3.0120481927710843E-2</v>
      </c>
      <c r="V21" s="1"/>
      <c r="W21" s="1"/>
    </row>
    <row r="22" spans="1:23" x14ac:dyDescent="0.25">
      <c r="A22" s="1" t="s">
        <v>29</v>
      </c>
      <c r="B22" s="6"/>
      <c r="C22" s="7"/>
      <c r="D22" s="8">
        <f t="shared" si="0"/>
        <v>0</v>
      </c>
      <c r="E22" s="6"/>
      <c r="F22" s="7"/>
      <c r="G22" s="8">
        <f t="shared" si="1"/>
        <v>0</v>
      </c>
      <c r="H22" s="6"/>
      <c r="I22" s="7"/>
      <c r="J22" s="8">
        <f t="shared" si="2"/>
        <v>0</v>
      </c>
      <c r="K22" s="6">
        <v>2</v>
      </c>
      <c r="L22" s="7">
        <v>0</v>
      </c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2</v>
      </c>
      <c r="S22" s="9">
        <f t="shared" si="6"/>
        <v>0</v>
      </c>
      <c r="T22" s="9">
        <f t="shared" si="7"/>
        <v>1.0526315789473684E-2</v>
      </c>
      <c r="U22" s="9">
        <f>R22 / _xlfn.XLOOKUP(A22, Support!A:A, Support!AA:AA)</f>
        <v>0.01</v>
      </c>
      <c r="V22" s="1"/>
      <c r="W22" s="1"/>
    </row>
    <row r="23" spans="1:23" x14ac:dyDescent="0.25">
      <c r="A23" s="25" t="s">
        <v>81</v>
      </c>
      <c r="B23" s="6"/>
      <c r="C23" s="7"/>
      <c r="D23" s="8">
        <f t="shared" si="0"/>
        <v>0</v>
      </c>
      <c r="E23" s="6"/>
      <c r="F23" s="7"/>
      <c r="G23" s="8">
        <f t="shared" si="1"/>
        <v>0</v>
      </c>
      <c r="H23" s="6"/>
      <c r="I23" s="7"/>
      <c r="J23" s="8">
        <f t="shared" si="2"/>
        <v>0</v>
      </c>
      <c r="K23" s="6">
        <v>1</v>
      </c>
      <c r="L23" s="7">
        <v>0</v>
      </c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1</v>
      </c>
      <c r="S23" s="9">
        <f t="shared" si="6"/>
        <v>0</v>
      </c>
      <c r="T23" s="9">
        <f t="shared" si="7"/>
        <v>5.263157894736842E-3</v>
      </c>
      <c r="U23" s="9">
        <f>R23 / _xlfn.XLOOKUP(A23, Support!A:A, Support!AA:AA)</f>
        <v>2.2222222222222223E-2</v>
      </c>
      <c r="V23" s="1"/>
      <c r="W23" s="1"/>
    </row>
    <row r="24" spans="1:23" x14ac:dyDescent="0.25">
      <c r="A24" s="1" t="s">
        <v>77</v>
      </c>
      <c r="B24" s="6"/>
      <c r="C24" s="7"/>
      <c r="D24" s="8">
        <f t="shared" si="0"/>
        <v>0</v>
      </c>
      <c r="E24" s="6"/>
      <c r="F24" s="7"/>
      <c r="G24" s="8">
        <f t="shared" si="1"/>
        <v>0</v>
      </c>
      <c r="H24" s="6"/>
      <c r="I24" s="7"/>
      <c r="J24" s="8">
        <f t="shared" si="2"/>
        <v>0</v>
      </c>
      <c r="K24" s="6">
        <v>1</v>
      </c>
      <c r="L24" s="7">
        <v>0</v>
      </c>
      <c r="M24" s="8">
        <f t="shared" si="3"/>
        <v>0</v>
      </c>
      <c r="N24" s="6"/>
      <c r="O24" s="7"/>
      <c r="P24" s="8">
        <f t="shared" si="4"/>
        <v>0</v>
      </c>
      <c r="Q24" s="1"/>
      <c r="R24" s="6">
        <f t="shared" si="5"/>
        <v>1</v>
      </c>
      <c r="S24" s="9">
        <f t="shared" si="6"/>
        <v>0</v>
      </c>
      <c r="T24" s="9">
        <f t="shared" si="7"/>
        <v>5.263157894736842E-3</v>
      </c>
      <c r="U24" s="9">
        <f>R24 / _xlfn.XLOOKUP(A24, Support!A:A, Support!AA:AA)</f>
        <v>6.25E-2</v>
      </c>
    </row>
    <row r="25" spans="1:23" x14ac:dyDescent="0.25">
      <c r="A25" s="25" t="s">
        <v>122</v>
      </c>
      <c r="B25" s="6"/>
      <c r="C25" s="7"/>
      <c r="D25" s="8">
        <f t="shared" si="0"/>
        <v>0</v>
      </c>
      <c r="E25" s="6"/>
      <c r="F25" s="7"/>
      <c r="G25" s="8">
        <f t="shared" si="1"/>
        <v>0</v>
      </c>
      <c r="H25" s="6">
        <v>1</v>
      </c>
      <c r="I25" s="7">
        <v>0</v>
      </c>
      <c r="J25" s="8">
        <f t="shared" si="2"/>
        <v>0</v>
      </c>
      <c r="K25" s="6"/>
      <c r="L25" s="7"/>
      <c r="M25" s="8">
        <f t="shared" si="3"/>
        <v>0</v>
      </c>
      <c r="N25" s="6"/>
      <c r="O25" s="7"/>
      <c r="P25" s="8">
        <f t="shared" si="4"/>
        <v>0</v>
      </c>
      <c r="Q25" s="1"/>
      <c r="R25" s="6">
        <f t="shared" si="5"/>
        <v>1</v>
      </c>
      <c r="S25" s="9">
        <f t="shared" si="6"/>
        <v>0</v>
      </c>
      <c r="T25" s="9">
        <f t="shared" si="7"/>
        <v>5.263157894736842E-3</v>
      </c>
      <c r="U25" s="9">
        <f>R25 / _xlfn.XLOOKUP(A25, Support!A:A, Support!AA:AA)</f>
        <v>3.8461538461538464E-2</v>
      </c>
    </row>
    <row r="26" spans="1:23" x14ac:dyDescent="0.25">
      <c r="A26" s="1" t="s">
        <v>171</v>
      </c>
      <c r="B26" s="6"/>
      <c r="C26" s="7"/>
      <c r="D26" s="8">
        <f t="shared" si="0"/>
        <v>0</v>
      </c>
      <c r="E26" s="6"/>
      <c r="F26" s="7"/>
      <c r="G26" s="8">
        <f t="shared" si="1"/>
        <v>0</v>
      </c>
      <c r="H26" s="6"/>
      <c r="I26" s="7"/>
      <c r="J26" s="8">
        <f t="shared" si="2"/>
        <v>0</v>
      </c>
      <c r="K26" s="6">
        <v>1</v>
      </c>
      <c r="L26" s="7">
        <v>0</v>
      </c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1</v>
      </c>
      <c r="S26" s="9">
        <f t="shared" si="6"/>
        <v>0</v>
      </c>
      <c r="T26" s="9">
        <f t="shared" si="7"/>
        <v>5.263157894736842E-3</v>
      </c>
      <c r="U26" s="9">
        <f>R26 / _xlfn.XLOOKUP(A26, Support!A:A, Support!AA:AA)</f>
        <v>9.7087378640776691E-3</v>
      </c>
    </row>
    <row r="27" spans="1:23" x14ac:dyDescent="0.25">
      <c r="A27" s="1"/>
      <c r="B27" s="6"/>
      <c r="C27" s="7"/>
      <c r="D27" s="31"/>
      <c r="E27" s="6"/>
      <c r="F27" s="7"/>
      <c r="G27" s="31"/>
      <c r="H27" s="6"/>
      <c r="I27" s="7"/>
      <c r="J27" s="31"/>
      <c r="K27" s="6"/>
      <c r="L27" s="7"/>
      <c r="M27" s="31"/>
      <c r="N27" s="1"/>
      <c r="O27" s="1"/>
      <c r="P27" s="1"/>
      <c r="Q27" s="4"/>
      <c r="R27" s="6"/>
      <c r="S27" s="9"/>
      <c r="T27" s="10"/>
      <c r="U27" s="9" t="e">
        <f>R27 / _xlfn.XLOOKUP(A27, Support!A:A, Support!AA:AA)</f>
        <v>#DIV/0!</v>
      </c>
    </row>
    <row r="28" spans="1:23" x14ac:dyDescent="0.25">
      <c r="B28" s="6"/>
      <c r="C28" s="7"/>
      <c r="D28" s="31"/>
      <c r="E28" s="6"/>
      <c r="F28" s="7"/>
      <c r="G28" s="31"/>
      <c r="H28" s="6"/>
      <c r="I28" s="7"/>
      <c r="J28" s="31"/>
      <c r="K28" s="6"/>
      <c r="L28" s="7"/>
      <c r="M28" s="31"/>
      <c r="N28" s="1"/>
      <c r="O28" s="1"/>
      <c r="P28" s="1"/>
      <c r="Q28" s="1"/>
      <c r="R28" s="6"/>
      <c r="S28" s="9"/>
      <c r="T28" s="10"/>
      <c r="U28" s="9" t="e">
        <f>R28 / _xlfn.XLOOKUP(A28, Support!A:A, Support!AA:AA)</f>
        <v>#DIV/0!</v>
      </c>
    </row>
    <row r="29" spans="1:23" x14ac:dyDescent="0.25">
      <c r="U29" s="9" t="e">
        <f>R29 / _xlfn.XLOOKUP(A29, Support!A:A, Support!AA:AA)</f>
        <v>#DIV/0!</v>
      </c>
    </row>
    <row r="30" spans="1:23" x14ac:dyDescent="0.25">
      <c r="U30" s="9" t="e">
        <f>R30 / _xlfn.XLOOKUP(A30, Support!A:A, Support!AA:AA)</f>
        <v>#DIV/0!</v>
      </c>
    </row>
    <row r="31" spans="1:23" x14ac:dyDescent="0.25">
      <c r="U31" s="9" t="e">
        <f>R31 / _xlfn.XLOOKUP(A31, Support!A:A, Support!AA:AA)</f>
        <v>#DIV/0!</v>
      </c>
    </row>
    <row r="32" spans="1:23" x14ac:dyDescent="0.25">
      <c r="U32" s="9" t="e">
        <f>R32 / _xlfn.XLOOKUP(A32, Support!A:A, Support!AA:AA)</f>
        <v>#DIV/0!</v>
      </c>
    </row>
    <row r="33" spans="21:21" x14ac:dyDescent="0.25">
      <c r="U33" s="9" t="e">
        <f>R33 / _xlfn.XLOOKUP(A33, Support!A:A, Support!AA:AA)</f>
        <v>#DIV/0!</v>
      </c>
    </row>
    <row r="34" spans="21:21" x14ac:dyDescent="0.25">
      <c r="U34" s="9" t="e">
        <f>R34 / _xlfn.XLOOKUP(A34, Support!A:A, Support!AA:AA)</f>
        <v>#DIV/0!</v>
      </c>
    </row>
    <row r="35" spans="21:21" x14ac:dyDescent="0.25">
      <c r="U35" s="9" t="e">
        <f>R35 / _xlfn.XLOOKUP(A35, Support!A:A, Support!AA:AA)</f>
        <v>#DIV/0!</v>
      </c>
    </row>
    <row r="36" spans="21:21" x14ac:dyDescent="0.25">
      <c r="U36" s="9" t="e">
        <f>R36 / _xlfn.XLOOKUP(A36, Support!A:A, Support!AA:AA)</f>
        <v>#DIV/0!</v>
      </c>
    </row>
    <row r="37" spans="21:21" x14ac:dyDescent="0.25">
      <c r="U37" s="9" t="e">
        <f>R37 / _xlfn.XLOOKUP(A37, Support!A:A, Support!AA:AA)</f>
        <v>#DIV/0!</v>
      </c>
    </row>
    <row r="38" spans="21:21" x14ac:dyDescent="0.25">
      <c r="U38" s="9" t="e">
        <f>R38 / _xlfn.XLOOKUP(A38, Support!A:A, Support!AA:AA)</f>
        <v>#DIV/0!</v>
      </c>
    </row>
    <row r="39" spans="21:21" x14ac:dyDescent="0.25">
      <c r="U39" s="9" t="e">
        <f>R39 / _xlfn.XLOOKUP(A39, Support!A:A, Support!AA:AA)</f>
        <v>#DIV/0!</v>
      </c>
    </row>
    <row r="40" spans="21:21" x14ac:dyDescent="0.25">
      <c r="U40" s="9" t="e">
        <f>R40 / _xlfn.XLOOKUP(A40, Support!A:A, Support!AA:AA)</f>
        <v>#DIV/0!</v>
      </c>
    </row>
    <row r="41" spans="21:21" x14ac:dyDescent="0.25">
      <c r="U41" s="9" t="e">
        <f>R41 / _xlfn.XLOOKUP(A41, Support!A:A, Support!AA:AA)</f>
        <v>#DIV/0!</v>
      </c>
    </row>
    <row r="42" spans="21:21" x14ac:dyDescent="0.25">
      <c r="U42" s="9" t="e">
        <f>R42 / _xlfn.XLOOKUP(A42, Support!A:A, Support!AA:AA)</f>
        <v>#DIV/0!</v>
      </c>
    </row>
    <row r="43" spans="21:21" x14ac:dyDescent="0.25">
      <c r="U43" s="9" t="e">
        <f>R43 / _xlfn.XLOOKUP(A43, Support!A:A, Support!AA:AA)</f>
        <v>#DIV/0!</v>
      </c>
    </row>
    <row r="44" spans="21:21" x14ac:dyDescent="0.25">
      <c r="U44" s="9" t="e">
        <f>R44 / _xlfn.XLOOKUP(A44, Support!A:A, Support!AA:AA)</f>
        <v>#DIV/0!</v>
      </c>
    </row>
  </sheetData>
  <sortState xmlns:xlrd2="http://schemas.microsoft.com/office/spreadsheetml/2017/richdata2" ref="A3:U26">
    <sortCondition descending="1" ref="S3:S26"/>
  </sortState>
  <pageMargins left="0.7" right="0.7" top="0.78740157499999996" bottom="0.78740157499999996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44172-8BC1-4826-876E-A05E950AF331}">
  <sheetPr>
    <tabColor theme="9" tint="0.59999389629810485"/>
  </sheetPr>
  <dimension ref="A1:W31"/>
  <sheetViews>
    <sheetView workbookViewId="0">
      <selection activeCell="A21" sqref="A21"/>
    </sheetView>
  </sheetViews>
  <sheetFormatPr baseColWidth="10" defaultRowHeight="15" x14ac:dyDescent="0.25"/>
  <sheetData>
    <row r="1" spans="1:23" ht="15.75" x14ac:dyDescent="0.25">
      <c r="A1" s="2" t="s">
        <v>198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147</v>
      </c>
      <c r="B3" s="6"/>
      <c r="C3" s="7"/>
      <c r="D3" s="8">
        <f t="shared" ref="D3:D27" si="0">B3*C3</f>
        <v>0</v>
      </c>
      <c r="E3" s="6"/>
      <c r="F3" s="7"/>
      <c r="G3" s="8">
        <f t="shared" ref="G3:G27" si="1">E3*F3</f>
        <v>0</v>
      </c>
      <c r="H3" s="6"/>
      <c r="I3" s="7"/>
      <c r="J3" s="8">
        <f t="shared" ref="J3:J27" si="2">H3*I3</f>
        <v>0</v>
      </c>
      <c r="K3" s="6"/>
      <c r="L3" s="7"/>
      <c r="M3" s="8">
        <f t="shared" ref="M3:M27" si="3">K3*L3</f>
        <v>0</v>
      </c>
      <c r="N3" s="6"/>
      <c r="O3" s="7"/>
      <c r="P3" s="8">
        <f t="shared" ref="P3:P27" si="4">N3*O3</f>
        <v>0</v>
      </c>
      <c r="Q3" s="1"/>
      <c r="R3" s="6">
        <f t="shared" ref="R3:R27" si="5">B3+E3+H3+K3+N3</f>
        <v>0</v>
      </c>
      <c r="S3" s="9" t="e">
        <f t="shared" ref="S3:S27" si="6">(D3+G3+J3+M3+P3)/R3</f>
        <v>#DIV/0!</v>
      </c>
      <c r="T3" s="9">
        <f t="shared" ref="T3:T27" si="7">R3/$V$3</f>
        <v>0</v>
      </c>
      <c r="U3" s="9">
        <f>R3 / _xlfn.XLOOKUP(A3, Support!A:A, Support!AA:AA)</f>
        <v>0</v>
      </c>
      <c r="V3" s="11">
        <f>SUM(R3:R41)</f>
        <v>139</v>
      </c>
      <c r="W3" s="12">
        <f>(SUM(D3:D71)+SUM(G3:G71)+SUM(J3:J71)+SUM(M3:M71)+SUM(P3:P71)) / V3</f>
        <v>0.28061870503597125</v>
      </c>
    </row>
    <row r="4" spans="1:23" x14ac:dyDescent="0.25">
      <c r="A4" s="1" t="s">
        <v>176</v>
      </c>
      <c r="B4" s="6">
        <v>6</v>
      </c>
      <c r="C4" s="7">
        <v>0.66700000000000004</v>
      </c>
      <c r="D4" s="8">
        <f t="shared" si="0"/>
        <v>4.0020000000000007</v>
      </c>
      <c r="E4" s="6">
        <v>10</v>
      </c>
      <c r="F4" s="7">
        <v>0.5</v>
      </c>
      <c r="G4" s="8">
        <f t="shared" si="1"/>
        <v>5</v>
      </c>
      <c r="H4" s="6">
        <v>3</v>
      </c>
      <c r="I4" s="7">
        <v>0.33300000000000002</v>
      </c>
      <c r="J4" s="8">
        <f t="shared" si="2"/>
        <v>0.99900000000000011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19</v>
      </c>
      <c r="S4" s="9">
        <f t="shared" si="6"/>
        <v>0.5263684210526316</v>
      </c>
      <c r="T4" s="9">
        <f t="shared" si="7"/>
        <v>0.1366906474820144</v>
      </c>
      <c r="U4" s="9">
        <f>R4 / _xlfn.XLOOKUP(A4, Support!A:A, Support!AA:AA)</f>
        <v>3.0110935023771792E-2</v>
      </c>
      <c r="V4" s="1"/>
      <c r="W4" s="1"/>
    </row>
    <row r="5" spans="1:23" x14ac:dyDescent="0.25">
      <c r="A5" s="1" t="s">
        <v>30</v>
      </c>
      <c r="B5" s="6"/>
      <c r="C5" s="7"/>
      <c r="D5" s="8">
        <f t="shared" si="0"/>
        <v>0</v>
      </c>
      <c r="E5" s="6">
        <v>2</v>
      </c>
      <c r="F5" s="7">
        <v>0.5</v>
      </c>
      <c r="G5" s="8">
        <f t="shared" si="1"/>
        <v>1</v>
      </c>
      <c r="H5" s="6"/>
      <c r="I5" s="7"/>
      <c r="J5" s="8">
        <f t="shared" si="2"/>
        <v>0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2</v>
      </c>
      <c r="S5" s="9">
        <f t="shared" si="6"/>
        <v>0.5</v>
      </c>
      <c r="T5" s="9">
        <f t="shared" si="7"/>
        <v>1.4388489208633094E-2</v>
      </c>
      <c r="U5" s="9">
        <f>R5 / _xlfn.XLOOKUP(A5, Support!A:A, Support!AA:AA)</f>
        <v>4.5454545454545456E-2</v>
      </c>
      <c r="V5" s="1"/>
      <c r="W5" s="1"/>
    </row>
    <row r="6" spans="1:23" x14ac:dyDescent="0.25">
      <c r="A6" s="1" t="s">
        <v>186</v>
      </c>
      <c r="B6" s="6"/>
      <c r="C6" s="7"/>
      <c r="D6" s="8">
        <f t="shared" si="0"/>
        <v>0</v>
      </c>
      <c r="E6" s="6">
        <v>8</v>
      </c>
      <c r="F6" s="7">
        <v>0.5</v>
      </c>
      <c r="G6" s="8">
        <f t="shared" si="1"/>
        <v>4</v>
      </c>
      <c r="H6" s="6">
        <v>1</v>
      </c>
      <c r="I6" s="7">
        <v>0</v>
      </c>
      <c r="J6" s="8">
        <f t="shared" si="2"/>
        <v>0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4"/>
      <c r="R6" s="6">
        <f t="shared" si="5"/>
        <v>9</v>
      </c>
      <c r="S6" s="9">
        <f t="shared" si="6"/>
        <v>0.44444444444444442</v>
      </c>
      <c r="T6" s="9">
        <f t="shared" si="7"/>
        <v>6.4748201438848921E-2</v>
      </c>
      <c r="U6" s="9">
        <f>R6 / _xlfn.XLOOKUP(A6, Support!A:A, Support!AA:AA)</f>
        <v>8.4905660377358486E-2</v>
      </c>
      <c r="V6" s="1"/>
      <c r="W6" s="1"/>
    </row>
    <row r="7" spans="1:23" x14ac:dyDescent="0.25">
      <c r="A7" s="1" t="s">
        <v>178</v>
      </c>
      <c r="B7" s="6">
        <v>5</v>
      </c>
      <c r="C7" s="7">
        <v>0.4</v>
      </c>
      <c r="D7" s="8">
        <f t="shared" si="0"/>
        <v>2</v>
      </c>
      <c r="E7" s="6">
        <v>2</v>
      </c>
      <c r="F7" s="7">
        <v>0.5</v>
      </c>
      <c r="G7" s="8">
        <f t="shared" si="1"/>
        <v>1</v>
      </c>
      <c r="H7" s="6">
        <v>1</v>
      </c>
      <c r="I7" s="7">
        <v>0</v>
      </c>
      <c r="J7" s="8">
        <f t="shared" si="2"/>
        <v>0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8</v>
      </c>
      <c r="S7" s="9">
        <f t="shared" si="6"/>
        <v>0.375</v>
      </c>
      <c r="T7" s="9">
        <f t="shared" si="7"/>
        <v>5.7553956834532377E-2</v>
      </c>
      <c r="U7" s="9">
        <f>R7 / _xlfn.XLOOKUP(A7, Support!A:A, Support!AA:AA)</f>
        <v>1.6064257028112448E-2</v>
      </c>
      <c r="V7" s="1"/>
      <c r="W7" s="1"/>
    </row>
    <row r="8" spans="1:23" x14ac:dyDescent="0.25">
      <c r="A8" s="1" t="s">
        <v>173</v>
      </c>
      <c r="B8" s="6"/>
      <c r="C8" s="7"/>
      <c r="D8" s="8">
        <f t="shared" si="0"/>
        <v>0</v>
      </c>
      <c r="E8" s="6">
        <v>11</v>
      </c>
      <c r="F8" s="7">
        <v>0.36399999999999999</v>
      </c>
      <c r="G8" s="8">
        <f t="shared" si="1"/>
        <v>4.0039999999999996</v>
      </c>
      <c r="H8" s="6">
        <v>1</v>
      </c>
      <c r="I8" s="7">
        <v>0</v>
      </c>
      <c r="J8" s="8">
        <f t="shared" si="2"/>
        <v>0</v>
      </c>
      <c r="K8" s="6"/>
      <c r="L8" s="7"/>
      <c r="M8" s="8">
        <f t="shared" si="3"/>
        <v>0</v>
      </c>
      <c r="N8" s="6"/>
      <c r="O8" s="7"/>
      <c r="P8" s="8">
        <f t="shared" si="4"/>
        <v>0</v>
      </c>
      <c r="Q8" s="1"/>
      <c r="R8" s="6">
        <f t="shared" si="5"/>
        <v>12</v>
      </c>
      <c r="S8" s="9">
        <f t="shared" si="6"/>
        <v>0.33366666666666661</v>
      </c>
      <c r="T8" s="9">
        <f t="shared" si="7"/>
        <v>8.6330935251798566E-2</v>
      </c>
      <c r="U8" s="9">
        <f>R8 / _xlfn.XLOOKUP(A8, Support!A:A, Support!AA:AA)</f>
        <v>3.896103896103896E-2</v>
      </c>
      <c r="V8" s="1"/>
      <c r="W8" s="1"/>
    </row>
    <row r="9" spans="1:23" x14ac:dyDescent="0.25">
      <c r="A9" s="1" t="s">
        <v>172</v>
      </c>
      <c r="B9" s="6">
        <v>4</v>
      </c>
      <c r="C9" s="7">
        <v>0</v>
      </c>
      <c r="D9" s="8">
        <f t="shared" si="0"/>
        <v>0</v>
      </c>
      <c r="E9" s="6">
        <v>10</v>
      </c>
      <c r="F9" s="7">
        <v>0.5</v>
      </c>
      <c r="G9" s="8">
        <f t="shared" si="1"/>
        <v>5</v>
      </c>
      <c r="H9" s="6">
        <v>1</v>
      </c>
      <c r="I9" s="7">
        <v>0</v>
      </c>
      <c r="J9" s="8">
        <f t="shared" si="2"/>
        <v>0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4"/>
      <c r="R9" s="6">
        <f t="shared" si="5"/>
        <v>15</v>
      </c>
      <c r="S9" s="9">
        <f t="shared" si="6"/>
        <v>0.33333333333333331</v>
      </c>
      <c r="T9" s="9">
        <f t="shared" si="7"/>
        <v>0.1079136690647482</v>
      </c>
      <c r="U9" s="9">
        <f>R9 / _xlfn.XLOOKUP(A9, Support!A:A, Support!AA:AA)</f>
        <v>5.5350553505535055E-2</v>
      </c>
      <c r="V9" s="1"/>
      <c r="W9" s="1"/>
    </row>
    <row r="10" spans="1:23" x14ac:dyDescent="0.25">
      <c r="A10" s="1" t="s">
        <v>182</v>
      </c>
      <c r="B10" s="6">
        <v>1</v>
      </c>
      <c r="C10" s="7">
        <v>0</v>
      </c>
      <c r="D10" s="8">
        <f t="shared" si="0"/>
        <v>0</v>
      </c>
      <c r="E10" s="6">
        <v>2</v>
      </c>
      <c r="F10" s="7">
        <v>0.5</v>
      </c>
      <c r="G10" s="8">
        <f t="shared" si="1"/>
        <v>1</v>
      </c>
      <c r="H10" s="6"/>
      <c r="I10" s="7"/>
      <c r="J10" s="8">
        <f t="shared" si="2"/>
        <v>0</v>
      </c>
      <c r="K10" s="6"/>
      <c r="L10" s="7"/>
      <c r="M10" s="8">
        <f t="shared" si="3"/>
        <v>0</v>
      </c>
      <c r="N10" s="6"/>
      <c r="O10" s="7"/>
      <c r="P10" s="8">
        <f t="shared" si="4"/>
        <v>0</v>
      </c>
      <c r="Q10" s="1"/>
      <c r="R10" s="6">
        <f t="shared" si="5"/>
        <v>3</v>
      </c>
      <c r="S10" s="9">
        <f t="shared" si="6"/>
        <v>0.33333333333333331</v>
      </c>
      <c r="T10" s="9">
        <f t="shared" si="7"/>
        <v>2.1582733812949641E-2</v>
      </c>
      <c r="U10" s="9">
        <f>R10 / _xlfn.XLOOKUP(A10, Support!A:A, Support!AA:AA)</f>
        <v>1.098901098901099E-2</v>
      </c>
      <c r="V10" s="1"/>
      <c r="W10" s="1"/>
    </row>
    <row r="11" spans="1:23" x14ac:dyDescent="0.25">
      <c r="A11" s="1" t="s">
        <v>90</v>
      </c>
      <c r="B11" s="6">
        <v>10</v>
      </c>
      <c r="C11" s="7">
        <v>0.3</v>
      </c>
      <c r="D11" s="8">
        <f t="shared" si="0"/>
        <v>3</v>
      </c>
      <c r="E11" s="6">
        <v>6</v>
      </c>
      <c r="F11" s="7">
        <v>0.33300000000000002</v>
      </c>
      <c r="G11" s="8">
        <f t="shared" si="1"/>
        <v>1.9980000000000002</v>
      </c>
      <c r="H11" s="6"/>
      <c r="I11" s="7"/>
      <c r="J11" s="8">
        <f t="shared" si="2"/>
        <v>0</v>
      </c>
      <c r="K11" s="6"/>
      <c r="L11" s="7"/>
      <c r="M11" s="8">
        <f t="shared" si="3"/>
        <v>0</v>
      </c>
      <c r="N11" s="6"/>
      <c r="O11" s="7"/>
      <c r="P11" s="8">
        <f t="shared" si="4"/>
        <v>0</v>
      </c>
      <c r="Q11" s="1"/>
      <c r="R11" s="6">
        <f t="shared" si="5"/>
        <v>16</v>
      </c>
      <c r="S11" s="9">
        <f t="shared" si="6"/>
        <v>0.31237500000000001</v>
      </c>
      <c r="T11" s="9">
        <f t="shared" si="7"/>
        <v>0.11510791366906475</v>
      </c>
      <c r="U11" s="9">
        <f>R11 / _xlfn.XLOOKUP(A11, Support!A:A, Support!AA:AA)</f>
        <v>2.6143790849673203E-2</v>
      </c>
    </row>
    <row r="12" spans="1:23" x14ac:dyDescent="0.25">
      <c r="A12" s="1" t="s">
        <v>184</v>
      </c>
      <c r="B12" s="6"/>
      <c r="C12" s="7"/>
      <c r="D12" s="8">
        <f t="shared" si="0"/>
        <v>0</v>
      </c>
      <c r="E12" s="6">
        <v>4</v>
      </c>
      <c r="F12" s="7">
        <v>0.25</v>
      </c>
      <c r="G12" s="8">
        <f t="shared" si="1"/>
        <v>1</v>
      </c>
      <c r="H12" s="6"/>
      <c r="I12" s="7"/>
      <c r="J12" s="8">
        <f t="shared" si="2"/>
        <v>0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4"/>
      <c r="R12" s="6">
        <f t="shared" si="5"/>
        <v>4</v>
      </c>
      <c r="S12" s="9">
        <f t="shared" si="6"/>
        <v>0.25</v>
      </c>
      <c r="T12" s="9">
        <f t="shared" si="7"/>
        <v>2.8776978417266189E-2</v>
      </c>
      <c r="U12" s="9">
        <f>R12 / _xlfn.XLOOKUP(A12, Support!A:A, Support!AA:AA)</f>
        <v>7.2727272727272724E-2</v>
      </c>
    </row>
    <row r="13" spans="1:23" x14ac:dyDescent="0.25">
      <c r="A13" s="1" t="s">
        <v>170</v>
      </c>
      <c r="B13" s="6"/>
      <c r="C13" s="7"/>
      <c r="D13" s="8">
        <f t="shared" si="0"/>
        <v>0</v>
      </c>
      <c r="E13" s="6">
        <v>5</v>
      </c>
      <c r="F13" s="7">
        <v>0.2</v>
      </c>
      <c r="G13" s="8">
        <f t="shared" si="1"/>
        <v>1</v>
      </c>
      <c r="H13" s="6"/>
      <c r="I13" s="7"/>
      <c r="J13" s="8">
        <f t="shared" si="2"/>
        <v>0</v>
      </c>
      <c r="K13" s="6"/>
      <c r="L13" s="7"/>
      <c r="M13" s="8">
        <f t="shared" si="3"/>
        <v>0</v>
      </c>
      <c r="N13" s="6"/>
      <c r="O13" s="7"/>
      <c r="P13" s="8">
        <f t="shared" si="4"/>
        <v>0</v>
      </c>
      <c r="Q13" s="1"/>
      <c r="R13" s="6">
        <f t="shared" si="5"/>
        <v>5</v>
      </c>
      <c r="S13" s="9">
        <f t="shared" si="6"/>
        <v>0.2</v>
      </c>
      <c r="T13" s="9">
        <f t="shared" si="7"/>
        <v>3.5971223021582732E-2</v>
      </c>
      <c r="U13" s="9">
        <f>R13 / _xlfn.XLOOKUP(A13, Support!A:A, Support!AA:AA)</f>
        <v>2.976190476190476E-2</v>
      </c>
    </row>
    <row r="14" spans="1:23" x14ac:dyDescent="0.25">
      <c r="A14" s="1" t="s">
        <v>80</v>
      </c>
      <c r="B14" s="6"/>
      <c r="C14" s="7"/>
      <c r="D14" s="8">
        <f t="shared" si="0"/>
        <v>0</v>
      </c>
      <c r="E14" s="6">
        <v>5</v>
      </c>
      <c r="F14" s="7">
        <v>0.2</v>
      </c>
      <c r="G14" s="8">
        <f t="shared" si="1"/>
        <v>1</v>
      </c>
      <c r="H14" s="6">
        <v>1</v>
      </c>
      <c r="I14" s="7">
        <v>0</v>
      </c>
      <c r="J14" s="8">
        <f t="shared" si="2"/>
        <v>0</v>
      </c>
      <c r="K14" s="6"/>
      <c r="L14" s="7"/>
      <c r="M14" s="8">
        <f t="shared" si="3"/>
        <v>0</v>
      </c>
      <c r="N14" s="6"/>
      <c r="O14" s="7"/>
      <c r="P14" s="8">
        <f t="shared" si="4"/>
        <v>0</v>
      </c>
      <c r="Q14" s="13"/>
      <c r="R14" s="6">
        <f t="shared" si="5"/>
        <v>6</v>
      </c>
      <c r="S14" s="9">
        <f t="shared" si="6"/>
        <v>0.16666666666666666</v>
      </c>
      <c r="T14" s="9">
        <f t="shared" si="7"/>
        <v>4.3165467625899283E-2</v>
      </c>
      <c r="U14" s="9">
        <f>R14 / _xlfn.XLOOKUP(A14, Support!A:A, Support!AA:AA)</f>
        <v>1.2320328542094456E-2</v>
      </c>
    </row>
    <row r="15" spans="1:23" x14ac:dyDescent="0.25">
      <c r="A15" s="1" t="s">
        <v>179</v>
      </c>
      <c r="B15" s="6">
        <v>1</v>
      </c>
      <c r="C15" s="7">
        <v>0</v>
      </c>
      <c r="D15" s="8">
        <f t="shared" si="0"/>
        <v>0</v>
      </c>
      <c r="E15" s="6">
        <v>7</v>
      </c>
      <c r="F15" s="7">
        <v>0.14299999999999999</v>
      </c>
      <c r="G15" s="8">
        <f t="shared" si="1"/>
        <v>1.0009999999999999</v>
      </c>
      <c r="H15" s="6"/>
      <c r="I15" s="7"/>
      <c r="J15" s="8">
        <f t="shared" si="2"/>
        <v>0</v>
      </c>
      <c r="K15" s="6"/>
      <c r="L15" s="7"/>
      <c r="M15" s="8">
        <f t="shared" si="3"/>
        <v>0</v>
      </c>
      <c r="N15" s="6"/>
      <c r="O15" s="7"/>
      <c r="P15" s="8">
        <f t="shared" si="4"/>
        <v>0</v>
      </c>
      <c r="Q15" s="1"/>
      <c r="R15" s="6">
        <f t="shared" si="5"/>
        <v>8</v>
      </c>
      <c r="S15" s="9">
        <f t="shared" si="6"/>
        <v>0.12512499999999999</v>
      </c>
      <c r="T15" s="9">
        <f t="shared" si="7"/>
        <v>5.7553956834532377E-2</v>
      </c>
      <c r="U15" s="9">
        <f>R15 / _xlfn.XLOOKUP(A15, Support!A:A, Support!AA:AA)</f>
        <v>1.6877637130801686E-2</v>
      </c>
    </row>
    <row r="16" spans="1:23" x14ac:dyDescent="0.25">
      <c r="A16" s="1" t="s">
        <v>29</v>
      </c>
      <c r="B16" s="6"/>
      <c r="C16" s="7"/>
      <c r="D16" s="8">
        <f t="shared" si="0"/>
        <v>0</v>
      </c>
      <c r="E16" s="6">
        <v>8</v>
      </c>
      <c r="F16" s="7">
        <v>0.125</v>
      </c>
      <c r="G16" s="8">
        <f t="shared" si="1"/>
        <v>1</v>
      </c>
      <c r="H16" s="6"/>
      <c r="I16" s="7"/>
      <c r="J16" s="8">
        <f t="shared" si="2"/>
        <v>0</v>
      </c>
      <c r="K16" s="6"/>
      <c r="L16" s="7"/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8</v>
      </c>
      <c r="S16" s="9">
        <f t="shared" si="6"/>
        <v>0.125</v>
      </c>
      <c r="T16" s="9">
        <f t="shared" si="7"/>
        <v>5.7553956834532377E-2</v>
      </c>
      <c r="U16" s="9">
        <f>R16 / _xlfn.XLOOKUP(A16, Support!A:A, Support!AA:AA)</f>
        <v>0.04</v>
      </c>
    </row>
    <row r="17" spans="1:21" x14ac:dyDescent="0.25">
      <c r="A17" s="1" t="s">
        <v>168</v>
      </c>
      <c r="B17" s="6">
        <v>6</v>
      </c>
      <c r="C17" s="7">
        <v>0.16700000000000001</v>
      </c>
      <c r="D17" s="8">
        <f t="shared" si="0"/>
        <v>1.002</v>
      </c>
      <c r="E17" s="6">
        <v>2</v>
      </c>
      <c r="F17" s="7">
        <v>0</v>
      </c>
      <c r="G17" s="8">
        <f t="shared" si="1"/>
        <v>0</v>
      </c>
      <c r="H17" s="6">
        <v>1</v>
      </c>
      <c r="I17" s="7">
        <v>0</v>
      </c>
      <c r="J17" s="8">
        <f t="shared" si="2"/>
        <v>0</v>
      </c>
      <c r="K17" s="6"/>
      <c r="L17" s="7"/>
      <c r="M17" s="8">
        <f t="shared" si="3"/>
        <v>0</v>
      </c>
      <c r="N17" s="6"/>
      <c r="O17" s="7"/>
      <c r="P17" s="8">
        <f t="shared" si="4"/>
        <v>0</v>
      </c>
      <c r="Q17" s="1"/>
      <c r="R17" s="6">
        <f t="shared" si="5"/>
        <v>9</v>
      </c>
      <c r="S17" s="9">
        <f t="shared" si="6"/>
        <v>0.11133333333333334</v>
      </c>
      <c r="T17" s="9">
        <f t="shared" si="7"/>
        <v>6.4748201438848921E-2</v>
      </c>
      <c r="U17" s="9">
        <f>R17 / _xlfn.XLOOKUP(A17, Support!A:A, Support!AA:AA)</f>
        <v>4.736842105263158E-2</v>
      </c>
    </row>
    <row r="18" spans="1:21" x14ac:dyDescent="0.25">
      <c r="A18" s="1" t="s">
        <v>177</v>
      </c>
      <c r="B18" s="6">
        <v>1</v>
      </c>
      <c r="C18" s="7">
        <v>0</v>
      </c>
      <c r="D18" s="8">
        <f t="shared" si="0"/>
        <v>0</v>
      </c>
      <c r="E18" s="6"/>
      <c r="F18" s="7"/>
      <c r="G18" s="8">
        <f t="shared" si="1"/>
        <v>0</v>
      </c>
      <c r="H18" s="6"/>
      <c r="I18" s="7"/>
      <c r="J18" s="8">
        <f t="shared" si="2"/>
        <v>0</v>
      </c>
      <c r="K18" s="6"/>
      <c r="L18" s="7"/>
      <c r="M18" s="8">
        <f t="shared" si="3"/>
        <v>0</v>
      </c>
      <c r="N18" s="6"/>
      <c r="O18" s="7"/>
      <c r="P18" s="8">
        <f t="shared" si="4"/>
        <v>0</v>
      </c>
      <c r="Q18" s="1"/>
      <c r="R18" s="6">
        <f t="shared" si="5"/>
        <v>1</v>
      </c>
      <c r="S18" s="9">
        <f t="shared" si="6"/>
        <v>0</v>
      </c>
      <c r="T18" s="9">
        <f t="shared" si="7"/>
        <v>7.1942446043165471E-3</v>
      </c>
      <c r="U18" s="9">
        <f>R18 / _xlfn.XLOOKUP(A18, Support!A:A, Support!AA:AA)</f>
        <v>2.0833333333333332E-2</v>
      </c>
    </row>
    <row r="19" spans="1:21" x14ac:dyDescent="0.25">
      <c r="A19" s="1" t="s">
        <v>113</v>
      </c>
      <c r="B19" s="6"/>
      <c r="C19" s="7"/>
      <c r="D19" s="8">
        <f t="shared" si="0"/>
        <v>0</v>
      </c>
      <c r="E19" s="6">
        <v>1</v>
      </c>
      <c r="F19" s="7">
        <v>0</v>
      </c>
      <c r="G19" s="8">
        <f t="shared" si="1"/>
        <v>0</v>
      </c>
      <c r="H19" s="6"/>
      <c r="I19" s="7"/>
      <c r="J19" s="8">
        <f t="shared" si="2"/>
        <v>0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1"/>
      <c r="R19" s="6">
        <f t="shared" si="5"/>
        <v>1</v>
      </c>
      <c r="S19" s="9">
        <f t="shared" si="6"/>
        <v>0</v>
      </c>
      <c r="T19" s="9">
        <f t="shared" si="7"/>
        <v>7.1942446043165471E-3</v>
      </c>
      <c r="U19" s="9">
        <f>R19 / _xlfn.XLOOKUP(A19, Support!A:A, Support!AA:AA)</f>
        <v>7.6923076923076927E-2</v>
      </c>
    </row>
    <row r="20" spans="1:21" x14ac:dyDescent="0.25">
      <c r="A20" s="1" t="s">
        <v>181</v>
      </c>
      <c r="B20" s="6"/>
      <c r="C20" s="7"/>
      <c r="D20" s="8">
        <f t="shared" si="0"/>
        <v>0</v>
      </c>
      <c r="E20" s="6"/>
      <c r="F20" s="7"/>
      <c r="G20" s="8">
        <f t="shared" si="1"/>
        <v>0</v>
      </c>
      <c r="H20" s="6">
        <v>2</v>
      </c>
      <c r="I20" s="7">
        <v>0</v>
      </c>
      <c r="J20" s="8">
        <f t="shared" si="2"/>
        <v>0</v>
      </c>
      <c r="K20" s="6"/>
      <c r="L20" s="7"/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2</v>
      </c>
      <c r="S20" s="9">
        <f t="shared" si="6"/>
        <v>0</v>
      </c>
      <c r="T20" s="9">
        <f t="shared" si="7"/>
        <v>1.4388489208633094E-2</v>
      </c>
      <c r="U20" s="9">
        <f>R20 / _xlfn.XLOOKUP(A20, Support!A:A, Support!AA:AA)</f>
        <v>1.8518518518518517E-2</v>
      </c>
    </row>
    <row r="21" spans="1:21" x14ac:dyDescent="0.25">
      <c r="A21" s="1" t="s">
        <v>183</v>
      </c>
      <c r="B21" s="6"/>
      <c r="C21" s="7"/>
      <c r="D21" s="8">
        <f t="shared" si="0"/>
        <v>0</v>
      </c>
      <c r="E21" s="6">
        <v>1</v>
      </c>
      <c r="F21" s="7">
        <v>0</v>
      </c>
      <c r="G21" s="8">
        <f t="shared" si="1"/>
        <v>0</v>
      </c>
      <c r="H21" s="6"/>
      <c r="I21" s="7"/>
      <c r="J21" s="8">
        <f t="shared" si="2"/>
        <v>0</v>
      </c>
      <c r="K21" s="6"/>
      <c r="L21" s="7"/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1</v>
      </c>
      <c r="S21" s="9">
        <f t="shared" si="6"/>
        <v>0</v>
      </c>
      <c r="T21" s="9">
        <f t="shared" si="7"/>
        <v>7.1942446043165471E-3</v>
      </c>
      <c r="U21" s="9">
        <f>R21 / _xlfn.XLOOKUP(A21, Support!A:A, Support!AA:AA)</f>
        <v>1.3333333333333334E-2</v>
      </c>
    </row>
    <row r="22" spans="1:21" x14ac:dyDescent="0.25">
      <c r="A22" s="1" t="s">
        <v>174</v>
      </c>
      <c r="B22" s="6">
        <v>1</v>
      </c>
      <c r="C22" s="7">
        <v>0</v>
      </c>
      <c r="D22" s="8">
        <f t="shared" si="0"/>
        <v>0</v>
      </c>
      <c r="E22" s="6"/>
      <c r="F22" s="7"/>
      <c r="G22" s="8">
        <f t="shared" si="1"/>
        <v>0</v>
      </c>
      <c r="H22" s="6"/>
      <c r="I22" s="7"/>
      <c r="J22" s="8">
        <f t="shared" si="2"/>
        <v>0</v>
      </c>
      <c r="K22" s="6"/>
      <c r="L22" s="7"/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1</v>
      </c>
      <c r="S22" s="9">
        <f t="shared" si="6"/>
        <v>0</v>
      </c>
      <c r="T22" s="9">
        <f t="shared" si="7"/>
        <v>7.1942446043165471E-3</v>
      </c>
      <c r="U22" s="9">
        <f>R22 / _xlfn.XLOOKUP(A22, Support!A:A, Support!AA:AA)</f>
        <v>2.9411764705882353E-2</v>
      </c>
    </row>
    <row r="23" spans="1:21" x14ac:dyDescent="0.25">
      <c r="A23" s="1" t="s">
        <v>169</v>
      </c>
      <c r="B23" s="6"/>
      <c r="C23" s="7"/>
      <c r="D23" s="8">
        <f t="shared" si="0"/>
        <v>0</v>
      </c>
      <c r="E23" s="6"/>
      <c r="F23" s="7"/>
      <c r="G23" s="8">
        <f t="shared" si="1"/>
        <v>0</v>
      </c>
      <c r="H23" s="6">
        <v>2</v>
      </c>
      <c r="I23" s="7">
        <v>0</v>
      </c>
      <c r="J23" s="8">
        <f t="shared" si="2"/>
        <v>0</v>
      </c>
      <c r="K23" s="6"/>
      <c r="L23" s="7"/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2</v>
      </c>
      <c r="S23" s="9">
        <f t="shared" si="6"/>
        <v>0</v>
      </c>
      <c r="T23" s="9">
        <f t="shared" si="7"/>
        <v>1.4388489208633094E-2</v>
      </c>
      <c r="U23" s="9">
        <f>R23 / _xlfn.XLOOKUP(A23, Support!A:A, Support!AA:AA)</f>
        <v>6.4516129032258064E-3</v>
      </c>
    </row>
    <row r="24" spans="1:21" x14ac:dyDescent="0.25">
      <c r="A24" s="1" t="s">
        <v>143</v>
      </c>
      <c r="B24" s="6">
        <v>1</v>
      </c>
      <c r="C24" s="7">
        <v>0</v>
      </c>
      <c r="D24" s="8">
        <f t="shared" si="0"/>
        <v>0</v>
      </c>
      <c r="E24" s="6"/>
      <c r="F24" s="7"/>
      <c r="G24" s="8">
        <f t="shared" si="1"/>
        <v>0</v>
      </c>
      <c r="H24" s="6">
        <v>1</v>
      </c>
      <c r="I24" s="7">
        <v>0</v>
      </c>
      <c r="J24" s="8">
        <f t="shared" si="2"/>
        <v>0</v>
      </c>
      <c r="K24" s="6"/>
      <c r="L24" s="7"/>
      <c r="M24" s="8">
        <f t="shared" si="3"/>
        <v>0</v>
      </c>
      <c r="N24" s="6"/>
      <c r="O24" s="7"/>
      <c r="P24" s="8">
        <f t="shared" si="4"/>
        <v>0</v>
      </c>
      <c r="Q24" s="1"/>
      <c r="R24" s="6">
        <f t="shared" si="5"/>
        <v>2</v>
      </c>
      <c r="S24" s="9">
        <f t="shared" si="6"/>
        <v>0</v>
      </c>
      <c r="T24" s="9">
        <f t="shared" si="7"/>
        <v>1.4388489208633094E-2</v>
      </c>
      <c r="U24" s="9">
        <f>R24 / _xlfn.XLOOKUP(A24, Support!A:A, Support!AA:AA)</f>
        <v>2.5974025974025976E-2</v>
      </c>
    </row>
    <row r="25" spans="1:21" x14ac:dyDescent="0.25">
      <c r="A25" s="1" t="s">
        <v>187</v>
      </c>
      <c r="B25" s="6"/>
      <c r="C25" s="7"/>
      <c r="D25" s="8">
        <f t="shared" si="0"/>
        <v>0</v>
      </c>
      <c r="E25" s="6">
        <v>1</v>
      </c>
      <c r="F25" s="7">
        <v>0</v>
      </c>
      <c r="G25" s="8">
        <f t="shared" si="1"/>
        <v>0</v>
      </c>
      <c r="H25" s="6"/>
      <c r="I25" s="7"/>
      <c r="J25" s="8">
        <f t="shared" si="2"/>
        <v>0</v>
      </c>
      <c r="K25" s="6"/>
      <c r="L25" s="7"/>
      <c r="M25" s="8">
        <f t="shared" si="3"/>
        <v>0</v>
      </c>
      <c r="N25" s="6"/>
      <c r="O25" s="7"/>
      <c r="P25" s="8">
        <f t="shared" si="4"/>
        <v>0</v>
      </c>
      <c r="Q25" s="1"/>
      <c r="R25" s="6">
        <f t="shared" si="5"/>
        <v>1</v>
      </c>
      <c r="S25" s="9">
        <f t="shared" si="6"/>
        <v>0</v>
      </c>
      <c r="T25" s="9">
        <f t="shared" si="7"/>
        <v>7.1942446043165471E-3</v>
      </c>
      <c r="U25" s="9">
        <f>R25 / _xlfn.XLOOKUP(A25, Support!A:A, Support!AA:AA)</f>
        <v>0.1111111111111111</v>
      </c>
    </row>
    <row r="26" spans="1:21" x14ac:dyDescent="0.25">
      <c r="A26" s="1" t="s">
        <v>180</v>
      </c>
      <c r="B26" s="6"/>
      <c r="C26" s="7"/>
      <c r="D26" s="8">
        <f t="shared" si="0"/>
        <v>0</v>
      </c>
      <c r="E26" s="6">
        <v>3</v>
      </c>
      <c r="F26" s="7">
        <v>0</v>
      </c>
      <c r="G26" s="8">
        <f t="shared" si="1"/>
        <v>0</v>
      </c>
      <c r="H26" s="6"/>
      <c r="I26" s="7"/>
      <c r="J26" s="8">
        <f t="shared" si="2"/>
        <v>0</v>
      </c>
      <c r="K26" s="6"/>
      <c r="L26" s="7"/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3</v>
      </c>
      <c r="S26" s="9">
        <f t="shared" si="6"/>
        <v>0</v>
      </c>
      <c r="T26" s="9">
        <f t="shared" si="7"/>
        <v>2.1582733812949641E-2</v>
      </c>
      <c r="U26" s="9">
        <f>R26 / _xlfn.XLOOKUP(A26, Support!A:A, Support!AA:AA)</f>
        <v>0.11538461538461539</v>
      </c>
    </row>
    <row r="27" spans="1:21" x14ac:dyDescent="0.25">
      <c r="A27" s="1" t="s">
        <v>171</v>
      </c>
      <c r="B27" s="6"/>
      <c r="C27" s="7"/>
      <c r="D27" s="8">
        <f t="shared" si="0"/>
        <v>0</v>
      </c>
      <c r="E27" s="6">
        <v>1</v>
      </c>
      <c r="F27" s="7">
        <v>0</v>
      </c>
      <c r="G27" s="8">
        <f t="shared" si="1"/>
        <v>0</v>
      </c>
      <c r="H27" s="6"/>
      <c r="I27" s="7"/>
      <c r="J27" s="8">
        <f t="shared" si="2"/>
        <v>0</v>
      </c>
      <c r="K27" s="6"/>
      <c r="L27" s="7"/>
      <c r="M27" s="8">
        <f t="shared" si="3"/>
        <v>0</v>
      </c>
      <c r="N27" s="6"/>
      <c r="O27" s="7"/>
      <c r="P27" s="8">
        <f t="shared" si="4"/>
        <v>0</v>
      </c>
      <c r="Q27" s="1"/>
      <c r="R27" s="6">
        <f t="shared" si="5"/>
        <v>1</v>
      </c>
      <c r="S27" s="9">
        <f t="shared" si="6"/>
        <v>0</v>
      </c>
      <c r="T27" s="9">
        <f t="shared" si="7"/>
        <v>7.1942446043165471E-3</v>
      </c>
      <c r="U27" s="9">
        <f>R27 / _xlfn.XLOOKUP(A27, Support!A:A, Support!AA:AA)</f>
        <v>9.7087378640776691E-3</v>
      </c>
    </row>
    <row r="28" spans="1:21" x14ac:dyDescent="0.25">
      <c r="A28" s="1"/>
      <c r="B28" s="6"/>
      <c r="C28" s="7"/>
      <c r="D28" s="31"/>
      <c r="E28" s="6"/>
      <c r="F28" s="7"/>
      <c r="G28" s="31"/>
      <c r="H28" s="6"/>
      <c r="I28" s="7"/>
      <c r="J28" s="31"/>
      <c r="K28" s="6"/>
      <c r="L28" s="7"/>
      <c r="M28" s="31"/>
      <c r="N28" s="1"/>
      <c r="O28" s="1"/>
      <c r="P28" s="1"/>
      <c r="Q28" s="1"/>
      <c r="R28" s="6"/>
      <c r="S28" s="9"/>
      <c r="T28" s="10"/>
    </row>
    <row r="29" spans="1:21" x14ac:dyDescent="0.25">
      <c r="A29" s="1"/>
      <c r="B29" s="6"/>
      <c r="C29" s="7"/>
      <c r="D29" s="31"/>
      <c r="E29" s="6"/>
      <c r="F29" s="7"/>
      <c r="G29" s="31"/>
      <c r="H29" s="6"/>
      <c r="I29" s="7"/>
      <c r="J29" s="31"/>
      <c r="K29" s="6"/>
      <c r="L29" s="7"/>
      <c r="M29" s="31"/>
      <c r="N29" s="1"/>
      <c r="O29" s="1"/>
      <c r="P29" s="1"/>
      <c r="Q29" s="1"/>
      <c r="R29" s="6"/>
      <c r="S29" s="9"/>
      <c r="T29" s="10"/>
    </row>
    <row r="30" spans="1:21" x14ac:dyDescent="0.25">
      <c r="A30" s="1"/>
      <c r="B30" s="6"/>
      <c r="C30" s="7"/>
      <c r="D30" s="31"/>
      <c r="E30" s="6"/>
      <c r="F30" s="7"/>
      <c r="G30" s="31"/>
      <c r="H30" s="6"/>
      <c r="I30" s="7"/>
      <c r="J30" s="31"/>
      <c r="K30" s="6"/>
      <c r="L30" s="7"/>
      <c r="M30" s="31"/>
      <c r="N30" s="1"/>
      <c r="O30" s="1"/>
      <c r="P30" s="1"/>
      <c r="Q30" s="4"/>
      <c r="R30" s="6"/>
      <c r="S30" s="9"/>
      <c r="T30" s="10"/>
    </row>
    <row r="31" spans="1:21" x14ac:dyDescent="0.25">
      <c r="A31" s="1"/>
      <c r="B31" s="6"/>
      <c r="C31" s="7"/>
      <c r="D31" s="31"/>
      <c r="E31" s="6"/>
      <c r="F31" s="7"/>
      <c r="G31" s="31"/>
      <c r="H31" s="6"/>
      <c r="I31" s="7"/>
      <c r="J31" s="31"/>
      <c r="K31" s="6"/>
      <c r="L31" s="7"/>
      <c r="M31" s="31"/>
      <c r="N31" s="1"/>
      <c r="O31" s="1"/>
      <c r="P31" s="1"/>
      <c r="Q31" s="1"/>
      <c r="R31" s="6"/>
      <c r="S31" s="9"/>
      <c r="T31" s="10"/>
    </row>
  </sheetData>
  <sortState xmlns:xlrd2="http://schemas.microsoft.com/office/spreadsheetml/2017/richdata2" ref="A3:U27">
    <sortCondition descending="1" ref="S3:S27"/>
  </sortState>
  <pageMargins left="0.7" right="0.7" top="0.78740157499999996" bottom="0.78740157499999996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C93A8-EB07-4A5C-8BF7-D594A059C044}">
  <sheetPr>
    <tabColor theme="9" tint="0.59999389629810485"/>
  </sheetPr>
  <dimension ref="A1:W33"/>
  <sheetViews>
    <sheetView workbookViewId="0">
      <selection activeCell="U3" sqref="U3:U34"/>
    </sheetView>
  </sheetViews>
  <sheetFormatPr baseColWidth="10" defaultRowHeight="15" x14ac:dyDescent="0.25"/>
  <sheetData>
    <row r="1" spans="1:23" ht="15.75" x14ac:dyDescent="0.25">
      <c r="A1" s="2" t="s">
        <v>197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19</v>
      </c>
      <c r="B3" s="6"/>
      <c r="C3" s="7"/>
      <c r="D3" s="8">
        <f t="shared" ref="D3:D33" si="0">B3*C3</f>
        <v>0</v>
      </c>
      <c r="E3" s="6"/>
      <c r="F3" s="7"/>
      <c r="G3" s="8">
        <f t="shared" ref="G3:G33" si="1">E3*F3</f>
        <v>0</v>
      </c>
      <c r="H3" s="6"/>
      <c r="I3" s="7"/>
      <c r="J3" s="8">
        <f t="shared" ref="J3:J33" si="2">H3*I3</f>
        <v>0</v>
      </c>
      <c r="K3" s="6"/>
      <c r="L3" s="7"/>
      <c r="M3" s="8">
        <f t="shared" ref="M3:M33" si="3">K3*L3</f>
        <v>0</v>
      </c>
      <c r="N3" s="6"/>
      <c r="O3" s="7"/>
      <c r="P3" s="8">
        <f t="shared" ref="P3:P33" si="4">N3*O3</f>
        <v>0</v>
      </c>
      <c r="Q3" s="1"/>
      <c r="R3" s="6">
        <f t="shared" ref="R3:R33" si="5">B3+E3+H3+K3+N3</f>
        <v>0</v>
      </c>
      <c r="S3" s="9" t="e">
        <f t="shared" ref="S3:S33" si="6">(D3+G3+J3+M3+P3)/R3</f>
        <v>#DIV/0!</v>
      </c>
      <c r="T3" s="9">
        <f t="shared" ref="T3:T33" si="7">R3/$V$3</f>
        <v>0</v>
      </c>
      <c r="U3" s="9">
        <f>R3 / _xlfn.XLOOKUP(A3, Support!A:A, Support!AA:AA)</f>
        <v>0</v>
      </c>
      <c r="V3" s="11">
        <f>SUM(R3:R43)</f>
        <v>219</v>
      </c>
      <c r="W3" s="12">
        <f>(SUM(D3:D73)+SUM(G3:G73)+SUM(J3:J73)+SUM(M3:M73)+SUM(P3:P73)) / V3</f>
        <v>0.46579452054794529</v>
      </c>
    </row>
    <row r="4" spans="1:23" x14ac:dyDescent="0.25">
      <c r="A4" s="1" t="s">
        <v>113</v>
      </c>
      <c r="B4" s="6"/>
      <c r="C4" s="7"/>
      <c r="D4" s="8">
        <f t="shared" si="0"/>
        <v>0</v>
      </c>
      <c r="E4" s="6">
        <v>1</v>
      </c>
      <c r="F4" s="7">
        <v>1</v>
      </c>
      <c r="G4" s="8">
        <f t="shared" si="1"/>
        <v>1</v>
      </c>
      <c r="H4" s="6"/>
      <c r="I4" s="7"/>
      <c r="J4" s="8">
        <f t="shared" si="2"/>
        <v>0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1</v>
      </c>
      <c r="S4" s="9">
        <f t="shared" si="6"/>
        <v>1</v>
      </c>
      <c r="T4" s="9">
        <f t="shared" si="7"/>
        <v>4.5662100456621002E-3</v>
      </c>
      <c r="U4" s="9">
        <f>R4 / _xlfn.XLOOKUP(A4, Support!A:A, Support!AA:AA)</f>
        <v>7.6923076923076927E-2</v>
      </c>
      <c r="V4" s="1"/>
      <c r="W4" s="1"/>
    </row>
    <row r="5" spans="1:23" x14ac:dyDescent="0.25">
      <c r="A5" s="1" t="s">
        <v>30</v>
      </c>
      <c r="B5" s="6"/>
      <c r="C5" s="7"/>
      <c r="D5" s="8">
        <f t="shared" si="0"/>
        <v>0</v>
      </c>
      <c r="E5" s="6">
        <v>1</v>
      </c>
      <c r="F5" s="7">
        <v>1</v>
      </c>
      <c r="G5" s="8">
        <f t="shared" si="1"/>
        <v>1</v>
      </c>
      <c r="H5" s="6"/>
      <c r="I5" s="7"/>
      <c r="J5" s="8">
        <f t="shared" si="2"/>
        <v>0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1</v>
      </c>
      <c r="S5" s="9">
        <f t="shared" si="6"/>
        <v>1</v>
      </c>
      <c r="T5" s="9">
        <f t="shared" si="7"/>
        <v>4.5662100456621002E-3</v>
      </c>
      <c r="U5" s="9">
        <f>R5 / _xlfn.XLOOKUP(A5, Support!A:A, Support!AA:AA)</f>
        <v>2.2727272727272728E-2</v>
      </c>
      <c r="V5" s="1"/>
      <c r="W5" s="1"/>
    </row>
    <row r="6" spans="1:23" x14ac:dyDescent="0.25">
      <c r="A6" s="1" t="s">
        <v>187</v>
      </c>
      <c r="B6" s="6"/>
      <c r="C6" s="7"/>
      <c r="D6" s="8">
        <f t="shared" si="0"/>
        <v>0</v>
      </c>
      <c r="E6" s="6">
        <v>1</v>
      </c>
      <c r="F6" s="7">
        <v>1</v>
      </c>
      <c r="G6" s="8">
        <f t="shared" si="1"/>
        <v>1</v>
      </c>
      <c r="H6" s="6"/>
      <c r="I6" s="7"/>
      <c r="J6" s="8">
        <f t="shared" si="2"/>
        <v>0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1"/>
      <c r="R6" s="6">
        <f t="shared" si="5"/>
        <v>1</v>
      </c>
      <c r="S6" s="9">
        <f t="shared" si="6"/>
        <v>1</v>
      </c>
      <c r="T6" s="9">
        <f t="shared" si="7"/>
        <v>4.5662100456621002E-3</v>
      </c>
      <c r="U6" s="9">
        <f>R6 / _xlfn.XLOOKUP(A6, Support!A:A, Support!AA:AA)</f>
        <v>0.1111111111111111</v>
      </c>
      <c r="V6" s="1"/>
      <c r="W6" s="1"/>
    </row>
    <row r="7" spans="1:23" x14ac:dyDescent="0.25">
      <c r="A7" s="1" t="s">
        <v>91</v>
      </c>
      <c r="B7" s="6"/>
      <c r="C7" s="7"/>
      <c r="D7" s="8">
        <f t="shared" si="0"/>
        <v>0</v>
      </c>
      <c r="E7" s="6"/>
      <c r="F7" s="7"/>
      <c r="G7" s="8">
        <f t="shared" si="1"/>
        <v>0</v>
      </c>
      <c r="H7" s="6"/>
      <c r="I7" s="7"/>
      <c r="J7" s="8">
        <f t="shared" si="2"/>
        <v>0</v>
      </c>
      <c r="K7" s="6">
        <v>5</v>
      </c>
      <c r="L7" s="7">
        <v>0.8</v>
      </c>
      <c r="M7" s="8">
        <f t="shared" si="3"/>
        <v>4</v>
      </c>
      <c r="N7" s="6"/>
      <c r="O7" s="7"/>
      <c r="P7" s="8">
        <f t="shared" si="4"/>
        <v>0</v>
      </c>
      <c r="Q7" s="1"/>
      <c r="R7" s="6">
        <f t="shared" si="5"/>
        <v>5</v>
      </c>
      <c r="S7" s="9">
        <f t="shared" si="6"/>
        <v>0.8</v>
      </c>
      <c r="T7" s="9">
        <f t="shared" si="7"/>
        <v>2.2831050228310501E-2</v>
      </c>
      <c r="U7" s="9">
        <f>R7 / _xlfn.XLOOKUP(A7, Support!A:A, Support!AA:AA)</f>
        <v>2.976190476190476E-2</v>
      </c>
      <c r="V7" s="1"/>
      <c r="W7" s="1"/>
    </row>
    <row r="8" spans="1:23" x14ac:dyDescent="0.25">
      <c r="A8" s="1" t="s">
        <v>181</v>
      </c>
      <c r="B8" s="6"/>
      <c r="C8" s="7"/>
      <c r="D8" s="8">
        <f t="shared" si="0"/>
        <v>0</v>
      </c>
      <c r="E8" s="6"/>
      <c r="F8" s="7"/>
      <c r="G8" s="8">
        <f t="shared" si="1"/>
        <v>0</v>
      </c>
      <c r="H8" s="6"/>
      <c r="I8" s="7"/>
      <c r="J8" s="8">
        <f t="shared" si="2"/>
        <v>0</v>
      </c>
      <c r="K8" s="6">
        <v>4</v>
      </c>
      <c r="L8" s="7">
        <v>0.75</v>
      </c>
      <c r="M8" s="8">
        <f t="shared" si="3"/>
        <v>3</v>
      </c>
      <c r="N8" s="6"/>
      <c r="O8" s="7"/>
      <c r="P8" s="8">
        <f t="shared" si="4"/>
        <v>0</v>
      </c>
      <c r="Q8" s="1"/>
      <c r="R8" s="6">
        <f t="shared" si="5"/>
        <v>4</v>
      </c>
      <c r="S8" s="9">
        <f t="shared" si="6"/>
        <v>0.75</v>
      </c>
      <c r="T8" s="9">
        <f t="shared" si="7"/>
        <v>1.8264840182648401E-2</v>
      </c>
      <c r="U8" s="9">
        <f>R8 / _xlfn.XLOOKUP(A8, Support!A:A, Support!AA:AA)</f>
        <v>3.7037037037037035E-2</v>
      </c>
      <c r="V8" s="1"/>
      <c r="W8" s="1"/>
    </row>
    <row r="9" spans="1:23" x14ac:dyDescent="0.25">
      <c r="A9" s="1" t="s">
        <v>175</v>
      </c>
      <c r="B9" s="6"/>
      <c r="C9" s="7"/>
      <c r="D9" s="8">
        <f t="shared" si="0"/>
        <v>0</v>
      </c>
      <c r="E9" s="6">
        <v>3</v>
      </c>
      <c r="F9" s="7">
        <v>0.66700000000000004</v>
      </c>
      <c r="G9" s="8">
        <f t="shared" si="1"/>
        <v>2.0010000000000003</v>
      </c>
      <c r="H9" s="6"/>
      <c r="I9" s="7"/>
      <c r="J9" s="8">
        <f t="shared" si="2"/>
        <v>0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1"/>
      <c r="R9" s="6">
        <f t="shared" si="5"/>
        <v>3</v>
      </c>
      <c r="S9" s="9">
        <f t="shared" si="6"/>
        <v>0.66700000000000015</v>
      </c>
      <c r="T9" s="9">
        <f t="shared" si="7"/>
        <v>1.3698630136986301E-2</v>
      </c>
      <c r="U9" s="9">
        <f>R9 / _xlfn.XLOOKUP(A9, Support!A:A, Support!AA:AA)</f>
        <v>5.1724137931034482E-2</v>
      </c>
      <c r="V9" s="1"/>
      <c r="W9" s="1"/>
    </row>
    <row r="10" spans="1:23" x14ac:dyDescent="0.25">
      <c r="A10" s="1" t="s">
        <v>31</v>
      </c>
      <c r="B10" s="6"/>
      <c r="C10" s="7"/>
      <c r="D10" s="8">
        <f t="shared" si="0"/>
        <v>0</v>
      </c>
      <c r="E10" s="6"/>
      <c r="F10" s="7"/>
      <c r="G10" s="8">
        <f t="shared" si="1"/>
        <v>0</v>
      </c>
      <c r="H10" s="6"/>
      <c r="I10" s="7"/>
      <c r="J10" s="8">
        <f t="shared" si="2"/>
        <v>0</v>
      </c>
      <c r="K10" s="6">
        <v>3</v>
      </c>
      <c r="L10" s="7">
        <v>0.66700000000000004</v>
      </c>
      <c r="M10" s="8">
        <f t="shared" si="3"/>
        <v>2.0010000000000003</v>
      </c>
      <c r="N10" s="6"/>
      <c r="O10" s="7"/>
      <c r="P10" s="8">
        <f t="shared" si="4"/>
        <v>0</v>
      </c>
      <c r="Q10" s="1"/>
      <c r="R10" s="6">
        <f t="shared" si="5"/>
        <v>3</v>
      </c>
      <c r="S10" s="9">
        <f t="shared" si="6"/>
        <v>0.66700000000000015</v>
      </c>
      <c r="T10" s="9">
        <f t="shared" si="7"/>
        <v>1.3698630136986301E-2</v>
      </c>
      <c r="U10" s="9">
        <f>R10 / _xlfn.XLOOKUP(A10, Support!A:A, Support!AA:AA)</f>
        <v>2.4193548387096774E-2</v>
      </c>
      <c r="V10" s="1"/>
      <c r="W10" s="1"/>
    </row>
    <row r="11" spans="1:23" x14ac:dyDescent="0.25">
      <c r="A11" s="1" t="s">
        <v>183</v>
      </c>
      <c r="B11" s="6"/>
      <c r="C11" s="7"/>
      <c r="D11" s="8">
        <f t="shared" si="0"/>
        <v>0</v>
      </c>
      <c r="E11" s="6">
        <v>1</v>
      </c>
      <c r="F11" s="7">
        <v>0</v>
      </c>
      <c r="G11" s="8">
        <f t="shared" si="1"/>
        <v>0</v>
      </c>
      <c r="H11" s="6"/>
      <c r="I11" s="7"/>
      <c r="J11" s="8">
        <f t="shared" si="2"/>
        <v>0</v>
      </c>
      <c r="K11" s="6">
        <v>2</v>
      </c>
      <c r="L11" s="7">
        <v>1</v>
      </c>
      <c r="M11" s="8">
        <f t="shared" si="3"/>
        <v>2</v>
      </c>
      <c r="N11" s="6"/>
      <c r="O11" s="7"/>
      <c r="P11" s="8">
        <f t="shared" si="4"/>
        <v>0</v>
      </c>
      <c r="Q11" s="1"/>
      <c r="R11" s="6">
        <f t="shared" si="5"/>
        <v>3</v>
      </c>
      <c r="S11" s="9">
        <f t="shared" si="6"/>
        <v>0.66666666666666663</v>
      </c>
      <c r="T11" s="9">
        <f t="shared" si="7"/>
        <v>1.3698630136986301E-2</v>
      </c>
      <c r="U11" s="9">
        <f>R11 / _xlfn.XLOOKUP(A11, Support!A:A, Support!AA:AA)</f>
        <v>0.04</v>
      </c>
      <c r="V11" s="1"/>
      <c r="W11" s="1"/>
    </row>
    <row r="12" spans="1:23" x14ac:dyDescent="0.25">
      <c r="A12" s="1" t="s">
        <v>172</v>
      </c>
      <c r="B12" s="6">
        <v>3</v>
      </c>
      <c r="C12" s="7">
        <v>0.33300000000000002</v>
      </c>
      <c r="D12" s="8">
        <f t="shared" si="0"/>
        <v>0.99900000000000011</v>
      </c>
      <c r="E12" s="6">
        <v>8</v>
      </c>
      <c r="F12" s="7">
        <v>0.75</v>
      </c>
      <c r="G12" s="8">
        <f t="shared" si="1"/>
        <v>6</v>
      </c>
      <c r="H12" s="6"/>
      <c r="I12" s="7"/>
      <c r="J12" s="8">
        <f t="shared" si="2"/>
        <v>0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4"/>
      <c r="R12" s="6">
        <f t="shared" si="5"/>
        <v>11</v>
      </c>
      <c r="S12" s="9">
        <f t="shared" si="6"/>
        <v>0.63627272727272732</v>
      </c>
      <c r="T12" s="9">
        <f t="shared" si="7"/>
        <v>5.0228310502283102E-2</v>
      </c>
      <c r="U12" s="9">
        <f>R12 / _xlfn.XLOOKUP(A12, Support!A:A, Support!AA:AA)</f>
        <v>4.0590405904059039E-2</v>
      </c>
      <c r="V12" s="1"/>
      <c r="W12" s="1"/>
    </row>
    <row r="13" spans="1:23" x14ac:dyDescent="0.25">
      <c r="A13" s="1" t="s">
        <v>169</v>
      </c>
      <c r="B13" s="6">
        <v>14</v>
      </c>
      <c r="C13" s="7">
        <v>0.64300000000000002</v>
      </c>
      <c r="D13" s="8">
        <f t="shared" si="0"/>
        <v>9.0020000000000007</v>
      </c>
      <c r="E13" s="6">
        <v>2</v>
      </c>
      <c r="F13" s="7">
        <v>0.5</v>
      </c>
      <c r="G13" s="8">
        <f t="shared" si="1"/>
        <v>1</v>
      </c>
      <c r="H13" s="6"/>
      <c r="I13" s="7"/>
      <c r="J13" s="8">
        <f t="shared" si="2"/>
        <v>0</v>
      </c>
      <c r="K13" s="6"/>
      <c r="L13" s="7"/>
      <c r="M13" s="8">
        <f t="shared" si="3"/>
        <v>0</v>
      </c>
      <c r="N13" s="6"/>
      <c r="O13" s="7"/>
      <c r="P13" s="8">
        <f t="shared" si="4"/>
        <v>0</v>
      </c>
      <c r="Q13" s="4"/>
      <c r="R13" s="6">
        <f t="shared" si="5"/>
        <v>16</v>
      </c>
      <c r="S13" s="9">
        <f t="shared" si="6"/>
        <v>0.62512500000000004</v>
      </c>
      <c r="T13" s="9">
        <f t="shared" si="7"/>
        <v>7.3059360730593603E-2</v>
      </c>
      <c r="U13" s="9">
        <f>R13 / _xlfn.XLOOKUP(A13, Support!A:A, Support!AA:AA)</f>
        <v>5.1612903225806452E-2</v>
      </c>
    </row>
    <row r="14" spans="1:23" x14ac:dyDescent="0.25">
      <c r="A14" s="1" t="s">
        <v>147</v>
      </c>
      <c r="B14" s="6"/>
      <c r="C14" s="7"/>
      <c r="D14" s="8">
        <f t="shared" si="0"/>
        <v>0</v>
      </c>
      <c r="E14" s="6">
        <v>5</v>
      </c>
      <c r="F14" s="7">
        <v>0.6</v>
      </c>
      <c r="G14" s="8">
        <f t="shared" si="1"/>
        <v>3</v>
      </c>
      <c r="H14" s="6"/>
      <c r="I14" s="7"/>
      <c r="J14" s="8">
        <f t="shared" si="2"/>
        <v>0</v>
      </c>
      <c r="K14" s="6"/>
      <c r="L14" s="7"/>
      <c r="M14" s="8">
        <f t="shared" si="3"/>
        <v>0</v>
      </c>
      <c r="N14" s="6"/>
      <c r="O14" s="7"/>
      <c r="P14" s="8">
        <f t="shared" si="4"/>
        <v>0</v>
      </c>
      <c r="Q14" s="4"/>
      <c r="R14" s="6">
        <f t="shared" si="5"/>
        <v>5</v>
      </c>
      <c r="S14" s="9">
        <f t="shared" si="6"/>
        <v>0.6</v>
      </c>
      <c r="T14" s="9">
        <f t="shared" si="7"/>
        <v>2.2831050228310501E-2</v>
      </c>
      <c r="U14" s="9">
        <f>R14 / _xlfn.XLOOKUP(A14, Support!A:A, Support!AA:AA)</f>
        <v>6.1728395061728392E-2</v>
      </c>
    </row>
    <row r="15" spans="1:23" x14ac:dyDescent="0.25">
      <c r="A15" s="1" t="s">
        <v>171</v>
      </c>
      <c r="B15" s="6">
        <v>5</v>
      </c>
      <c r="C15" s="7">
        <v>0.6</v>
      </c>
      <c r="D15" s="8">
        <f t="shared" si="0"/>
        <v>3</v>
      </c>
      <c r="E15" s="6">
        <v>4</v>
      </c>
      <c r="F15" s="7">
        <v>0.5</v>
      </c>
      <c r="G15" s="8">
        <f t="shared" si="1"/>
        <v>2</v>
      </c>
      <c r="H15" s="6"/>
      <c r="I15" s="7"/>
      <c r="J15" s="8">
        <f t="shared" si="2"/>
        <v>0</v>
      </c>
      <c r="K15" s="6"/>
      <c r="L15" s="7"/>
      <c r="M15" s="8">
        <f t="shared" si="3"/>
        <v>0</v>
      </c>
      <c r="N15" s="6"/>
      <c r="O15" s="7"/>
      <c r="P15" s="8">
        <f t="shared" si="4"/>
        <v>0</v>
      </c>
      <c r="Q15" s="1"/>
      <c r="R15" s="6">
        <f t="shared" si="5"/>
        <v>9</v>
      </c>
      <c r="S15" s="9">
        <f t="shared" si="6"/>
        <v>0.55555555555555558</v>
      </c>
      <c r="T15" s="9">
        <f t="shared" si="7"/>
        <v>4.1095890410958902E-2</v>
      </c>
      <c r="U15" s="9">
        <f>R15 / _xlfn.XLOOKUP(A15, Support!A:A, Support!AA:AA)</f>
        <v>8.7378640776699032E-2</v>
      </c>
    </row>
    <row r="16" spans="1:23" x14ac:dyDescent="0.25">
      <c r="A16" s="1" t="s">
        <v>168</v>
      </c>
      <c r="B16" s="6">
        <v>19</v>
      </c>
      <c r="C16" s="7">
        <v>0.57899999999999996</v>
      </c>
      <c r="D16" s="8">
        <f t="shared" si="0"/>
        <v>11.000999999999999</v>
      </c>
      <c r="E16" s="6">
        <v>1</v>
      </c>
      <c r="F16" s="7">
        <v>0</v>
      </c>
      <c r="G16" s="8">
        <f t="shared" si="1"/>
        <v>0</v>
      </c>
      <c r="H16" s="6"/>
      <c r="I16" s="7"/>
      <c r="J16" s="8">
        <f t="shared" si="2"/>
        <v>0</v>
      </c>
      <c r="K16" s="6">
        <v>1</v>
      </c>
      <c r="L16" s="7">
        <v>0</v>
      </c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21</v>
      </c>
      <c r="S16" s="9">
        <f t="shared" si="6"/>
        <v>0.5238571428571428</v>
      </c>
      <c r="T16" s="9">
        <f t="shared" si="7"/>
        <v>9.5890410958904104E-2</v>
      </c>
      <c r="U16" s="9">
        <f>R16 / _xlfn.XLOOKUP(A16, Support!A:A, Support!AA:AA)</f>
        <v>0.11052631578947368</v>
      </c>
    </row>
    <row r="17" spans="1:21" x14ac:dyDescent="0.25">
      <c r="A17" s="1" t="s">
        <v>178</v>
      </c>
      <c r="B17" s="6">
        <v>14</v>
      </c>
      <c r="C17" s="7">
        <v>0.5</v>
      </c>
      <c r="D17" s="8">
        <f t="shared" si="0"/>
        <v>7</v>
      </c>
      <c r="E17" s="6">
        <v>8</v>
      </c>
      <c r="F17" s="7">
        <v>0.375</v>
      </c>
      <c r="G17" s="8">
        <f t="shared" si="1"/>
        <v>3</v>
      </c>
      <c r="H17" s="6"/>
      <c r="I17" s="7"/>
      <c r="J17" s="8">
        <f t="shared" si="2"/>
        <v>0</v>
      </c>
      <c r="K17" s="6">
        <v>4</v>
      </c>
      <c r="L17" s="7">
        <v>0.75</v>
      </c>
      <c r="M17" s="8">
        <f t="shared" si="3"/>
        <v>3</v>
      </c>
      <c r="N17" s="6"/>
      <c r="O17" s="7"/>
      <c r="P17" s="8">
        <f t="shared" si="4"/>
        <v>0</v>
      </c>
      <c r="Q17" s="1"/>
      <c r="R17" s="6">
        <f t="shared" si="5"/>
        <v>26</v>
      </c>
      <c r="S17" s="9">
        <f t="shared" si="6"/>
        <v>0.5</v>
      </c>
      <c r="T17" s="9">
        <f t="shared" si="7"/>
        <v>0.11872146118721461</v>
      </c>
      <c r="U17" s="9">
        <f>R17 / _xlfn.XLOOKUP(A17, Support!A:A, Support!AA:AA)</f>
        <v>5.2208835341365459E-2</v>
      </c>
    </row>
    <row r="18" spans="1:21" x14ac:dyDescent="0.25">
      <c r="A18" s="1" t="s">
        <v>184</v>
      </c>
      <c r="B18" s="6"/>
      <c r="C18" s="7"/>
      <c r="D18" s="8">
        <f t="shared" si="0"/>
        <v>0</v>
      </c>
      <c r="E18" s="6">
        <v>8</v>
      </c>
      <c r="F18" s="7">
        <v>0.5</v>
      </c>
      <c r="G18" s="8">
        <f t="shared" si="1"/>
        <v>4</v>
      </c>
      <c r="H18" s="6"/>
      <c r="I18" s="7"/>
      <c r="J18" s="8">
        <f t="shared" si="2"/>
        <v>0</v>
      </c>
      <c r="K18" s="6"/>
      <c r="L18" s="7"/>
      <c r="M18" s="8">
        <f t="shared" si="3"/>
        <v>0</v>
      </c>
      <c r="N18" s="6"/>
      <c r="O18" s="7"/>
      <c r="P18" s="8">
        <f t="shared" si="4"/>
        <v>0</v>
      </c>
      <c r="Q18" s="1"/>
      <c r="R18" s="6">
        <f t="shared" si="5"/>
        <v>8</v>
      </c>
      <c r="S18" s="9">
        <f t="shared" si="6"/>
        <v>0.5</v>
      </c>
      <c r="T18" s="9">
        <f t="shared" si="7"/>
        <v>3.6529680365296802E-2</v>
      </c>
      <c r="U18" s="9">
        <f>R18 / _xlfn.XLOOKUP(A18, Support!A:A, Support!AA:AA)</f>
        <v>0.14545454545454545</v>
      </c>
    </row>
    <row r="19" spans="1:21" x14ac:dyDescent="0.25">
      <c r="A19" s="1" t="s">
        <v>151</v>
      </c>
      <c r="B19" s="6"/>
      <c r="C19" s="7"/>
      <c r="D19" s="8">
        <f t="shared" si="0"/>
        <v>0</v>
      </c>
      <c r="E19" s="6">
        <v>2</v>
      </c>
      <c r="F19" s="7">
        <v>0.5</v>
      </c>
      <c r="G19" s="8">
        <f t="shared" si="1"/>
        <v>1</v>
      </c>
      <c r="H19" s="6"/>
      <c r="I19" s="7"/>
      <c r="J19" s="8">
        <f t="shared" si="2"/>
        <v>0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1"/>
      <c r="R19" s="6">
        <f t="shared" si="5"/>
        <v>2</v>
      </c>
      <c r="S19" s="9">
        <f t="shared" si="6"/>
        <v>0.5</v>
      </c>
      <c r="T19" s="9">
        <f t="shared" si="7"/>
        <v>9.1324200913242004E-3</v>
      </c>
      <c r="U19" s="9">
        <f>R19 / _xlfn.XLOOKUP(A19, Support!A:A, Support!AA:AA)</f>
        <v>0.22222222222222221</v>
      </c>
    </row>
    <row r="20" spans="1:21" x14ac:dyDescent="0.25">
      <c r="A20" s="1" t="s">
        <v>186</v>
      </c>
      <c r="B20" s="6"/>
      <c r="C20" s="7"/>
      <c r="D20" s="8">
        <f t="shared" si="0"/>
        <v>0</v>
      </c>
      <c r="E20" s="6">
        <v>2</v>
      </c>
      <c r="F20" s="7">
        <v>0.5</v>
      </c>
      <c r="G20" s="8">
        <f t="shared" si="1"/>
        <v>1</v>
      </c>
      <c r="H20" s="6"/>
      <c r="I20" s="7"/>
      <c r="J20" s="8">
        <f t="shared" si="2"/>
        <v>0</v>
      </c>
      <c r="K20" s="6"/>
      <c r="L20" s="7"/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2</v>
      </c>
      <c r="S20" s="9">
        <f t="shared" si="6"/>
        <v>0.5</v>
      </c>
      <c r="T20" s="9">
        <f t="shared" si="7"/>
        <v>9.1324200913242004E-3</v>
      </c>
      <c r="U20" s="9">
        <f>R20 / _xlfn.XLOOKUP(A20, Support!A:A, Support!AA:AA)</f>
        <v>1.8867924528301886E-2</v>
      </c>
    </row>
    <row r="21" spans="1:21" x14ac:dyDescent="0.25">
      <c r="A21" s="1" t="s">
        <v>80</v>
      </c>
      <c r="B21" s="6">
        <v>2</v>
      </c>
      <c r="C21" s="7">
        <v>0.5</v>
      </c>
      <c r="D21" s="8">
        <f t="shared" si="0"/>
        <v>1</v>
      </c>
      <c r="E21" s="6">
        <v>9</v>
      </c>
      <c r="F21" s="7">
        <v>0.44400000000000001</v>
      </c>
      <c r="G21" s="8">
        <f t="shared" si="1"/>
        <v>3.996</v>
      </c>
      <c r="H21" s="6"/>
      <c r="I21" s="7"/>
      <c r="J21" s="8">
        <f t="shared" si="2"/>
        <v>0</v>
      </c>
      <c r="K21" s="6">
        <v>3</v>
      </c>
      <c r="L21" s="7">
        <v>0.66700000000000004</v>
      </c>
      <c r="M21" s="8">
        <f t="shared" si="3"/>
        <v>2.0010000000000003</v>
      </c>
      <c r="N21" s="6"/>
      <c r="O21" s="7"/>
      <c r="P21" s="8">
        <f t="shared" si="4"/>
        <v>0</v>
      </c>
      <c r="Q21" s="1"/>
      <c r="R21" s="6">
        <f t="shared" si="5"/>
        <v>14</v>
      </c>
      <c r="S21" s="9">
        <f t="shared" si="6"/>
        <v>0.49978571428571433</v>
      </c>
      <c r="T21" s="9">
        <f t="shared" si="7"/>
        <v>6.3926940639269403E-2</v>
      </c>
      <c r="U21" s="9">
        <f>R21 / _xlfn.XLOOKUP(A21, Support!A:A, Support!AA:AA)</f>
        <v>2.8747433264887063E-2</v>
      </c>
    </row>
    <row r="22" spans="1:21" x14ac:dyDescent="0.25">
      <c r="A22" s="1" t="s">
        <v>170</v>
      </c>
      <c r="B22" s="6">
        <v>7</v>
      </c>
      <c r="C22" s="7">
        <v>0.42899999999999999</v>
      </c>
      <c r="D22" s="8">
        <f t="shared" si="0"/>
        <v>3.0030000000000001</v>
      </c>
      <c r="E22" s="6">
        <v>2</v>
      </c>
      <c r="F22" s="7">
        <v>0.5</v>
      </c>
      <c r="G22" s="8">
        <f t="shared" si="1"/>
        <v>1</v>
      </c>
      <c r="H22" s="6"/>
      <c r="I22" s="7"/>
      <c r="J22" s="8">
        <f t="shared" si="2"/>
        <v>0</v>
      </c>
      <c r="K22" s="6"/>
      <c r="L22" s="7"/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9</v>
      </c>
      <c r="S22" s="9">
        <f t="shared" si="6"/>
        <v>0.44477777777777777</v>
      </c>
      <c r="T22" s="9">
        <f t="shared" si="7"/>
        <v>4.1095890410958902E-2</v>
      </c>
      <c r="U22" s="9">
        <f>R22 / _xlfn.XLOOKUP(A22, Support!A:A, Support!AA:AA)</f>
        <v>5.3571428571428568E-2</v>
      </c>
    </row>
    <row r="23" spans="1:21" x14ac:dyDescent="0.25">
      <c r="A23" s="1" t="s">
        <v>182</v>
      </c>
      <c r="B23" s="6">
        <v>2</v>
      </c>
      <c r="C23" s="7">
        <v>0</v>
      </c>
      <c r="D23" s="8">
        <f t="shared" si="0"/>
        <v>0</v>
      </c>
      <c r="E23" s="6">
        <v>5</v>
      </c>
      <c r="F23" s="7">
        <v>0.4</v>
      </c>
      <c r="G23" s="8">
        <f t="shared" si="1"/>
        <v>2</v>
      </c>
      <c r="H23" s="6"/>
      <c r="I23" s="7"/>
      <c r="J23" s="8">
        <f t="shared" si="2"/>
        <v>0</v>
      </c>
      <c r="K23" s="6">
        <v>4</v>
      </c>
      <c r="L23" s="7">
        <v>0.5</v>
      </c>
      <c r="M23" s="8">
        <f t="shared" si="3"/>
        <v>2</v>
      </c>
      <c r="N23" s="6"/>
      <c r="O23" s="7"/>
      <c r="P23" s="8">
        <f t="shared" si="4"/>
        <v>0</v>
      </c>
      <c r="Q23" s="1"/>
      <c r="R23" s="6">
        <f t="shared" si="5"/>
        <v>11</v>
      </c>
      <c r="S23" s="9">
        <f t="shared" si="6"/>
        <v>0.36363636363636365</v>
      </c>
      <c r="T23" s="9">
        <f t="shared" si="7"/>
        <v>5.0228310502283102E-2</v>
      </c>
      <c r="U23" s="9">
        <f>R23 / _xlfn.XLOOKUP(A23, Support!A:A, Support!AA:AA)</f>
        <v>4.0293040293040296E-2</v>
      </c>
    </row>
    <row r="24" spans="1:21" x14ac:dyDescent="0.25">
      <c r="A24" s="1" t="s">
        <v>90</v>
      </c>
      <c r="B24" s="6">
        <v>17</v>
      </c>
      <c r="C24" s="7">
        <v>0.47099999999999997</v>
      </c>
      <c r="D24" s="8">
        <f t="shared" si="0"/>
        <v>8.0069999999999997</v>
      </c>
      <c r="E24" s="6">
        <v>8</v>
      </c>
      <c r="F24" s="7">
        <v>0.125</v>
      </c>
      <c r="G24" s="8">
        <f t="shared" si="1"/>
        <v>1</v>
      </c>
      <c r="H24" s="6"/>
      <c r="I24" s="7"/>
      <c r="J24" s="8">
        <f t="shared" si="2"/>
        <v>0</v>
      </c>
      <c r="K24" s="6"/>
      <c r="L24" s="7"/>
      <c r="M24" s="8">
        <f t="shared" si="3"/>
        <v>0</v>
      </c>
      <c r="N24" s="6"/>
      <c r="O24" s="7"/>
      <c r="P24" s="8">
        <f t="shared" si="4"/>
        <v>0</v>
      </c>
      <c r="Q24" s="1"/>
      <c r="R24" s="6">
        <f t="shared" si="5"/>
        <v>25</v>
      </c>
      <c r="S24" s="9">
        <f t="shared" si="6"/>
        <v>0.36027999999999999</v>
      </c>
      <c r="T24" s="9">
        <f t="shared" si="7"/>
        <v>0.11415525114155251</v>
      </c>
      <c r="U24" s="9">
        <f>R24 / _xlfn.XLOOKUP(A24, Support!A:A, Support!AA:AA)</f>
        <v>4.084967320261438E-2</v>
      </c>
    </row>
    <row r="25" spans="1:21" x14ac:dyDescent="0.25">
      <c r="A25" s="1" t="s">
        <v>179</v>
      </c>
      <c r="B25" s="6"/>
      <c r="C25" s="7"/>
      <c r="D25" s="8">
        <f t="shared" si="0"/>
        <v>0</v>
      </c>
      <c r="E25" s="6">
        <v>2</v>
      </c>
      <c r="F25" s="7">
        <v>0</v>
      </c>
      <c r="G25" s="8">
        <f t="shared" si="1"/>
        <v>0</v>
      </c>
      <c r="H25" s="6"/>
      <c r="I25" s="7"/>
      <c r="J25" s="8">
        <f t="shared" si="2"/>
        <v>0</v>
      </c>
      <c r="K25" s="6">
        <v>1</v>
      </c>
      <c r="L25" s="7">
        <v>1</v>
      </c>
      <c r="M25" s="8">
        <f t="shared" si="3"/>
        <v>1</v>
      </c>
      <c r="N25" s="6"/>
      <c r="O25" s="7"/>
      <c r="P25" s="8">
        <f t="shared" si="4"/>
        <v>0</v>
      </c>
      <c r="Q25" s="4"/>
      <c r="R25" s="6">
        <f t="shared" si="5"/>
        <v>3</v>
      </c>
      <c r="S25" s="9">
        <f t="shared" si="6"/>
        <v>0.33333333333333331</v>
      </c>
      <c r="T25" s="9">
        <f t="shared" si="7"/>
        <v>1.3698630136986301E-2</v>
      </c>
      <c r="U25" s="9">
        <f>R25 / _xlfn.XLOOKUP(A25, Support!A:A, Support!AA:AA)</f>
        <v>6.3291139240506328E-3</v>
      </c>
    </row>
    <row r="26" spans="1:21" x14ac:dyDescent="0.25">
      <c r="A26" s="1" t="s">
        <v>176</v>
      </c>
      <c r="B26" s="6">
        <v>2</v>
      </c>
      <c r="C26" s="7">
        <v>0.5</v>
      </c>
      <c r="D26" s="8">
        <f t="shared" si="0"/>
        <v>1</v>
      </c>
      <c r="E26" s="6">
        <v>3</v>
      </c>
      <c r="F26" s="7">
        <v>0.33300000000000002</v>
      </c>
      <c r="G26" s="8">
        <f t="shared" si="1"/>
        <v>0.99900000000000011</v>
      </c>
      <c r="H26" s="6"/>
      <c r="I26" s="7"/>
      <c r="J26" s="8">
        <f t="shared" si="2"/>
        <v>0</v>
      </c>
      <c r="K26" s="6">
        <v>1</v>
      </c>
      <c r="L26" s="7">
        <v>0</v>
      </c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6</v>
      </c>
      <c r="S26" s="9">
        <f t="shared" si="6"/>
        <v>0.33316666666666667</v>
      </c>
      <c r="T26" s="9">
        <f t="shared" si="7"/>
        <v>2.7397260273972601E-2</v>
      </c>
      <c r="U26" s="9">
        <f>R26 / _xlfn.XLOOKUP(A26, Support!A:A, Support!AA:AA)</f>
        <v>9.5087163232963554E-3</v>
      </c>
    </row>
    <row r="27" spans="1:21" x14ac:dyDescent="0.25">
      <c r="A27" s="1" t="s">
        <v>29</v>
      </c>
      <c r="B27" s="6">
        <v>1</v>
      </c>
      <c r="C27" s="7">
        <v>0</v>
      </c>
      <c r="D27" s="8">
        <f t="shared" si="0"/>
        <v>0</v>
      </c>
      <c r="E27" s="6">
        <v>5</v>
      </c>
      <c r="F27" s="7">
        <v>0.4</v>
      </c>
      <c r="G27" s="8">
        <f t="shared" si="1"/>
        <v>2</v>
      </c>
      <c r="H27" s="6"/>
      <c r="I27" s="7"/>
      <c r="J27" s="8">
        <f t="shared" si="2"/>
        <v>0</v>
      </c>
      <c r="K27" s="6">
        <v>1</v>
      </c>
      <c r="L27" s="7">
        <v>0</v>
      </c>
      <c r="M27" s="8">
        <f t="shared" si="3"/>
        <v>0</v>
      </c>
      <c r="N27" s="6"/>
      <c r="O27" s="7"/>
      <c r="P27" s="8">
        <f t="shared" si="4"/>
        <v>0</v>
      </c>
      <c r="Q27" s="13"/>
      <c r="R27" s="6">
        <f t="shared" si="5"/>
        <v>7</v>
      </c>
      <c r="S27" s="9">
        <f t="shared" si="6"/>
        <v>0.2857142857142857</v>
      </c>
      <c r="T27" s="9">
        <f t="shared" si="7"/>
        <v>3.1963470319634701E-2</v>
      </c>
      <c r="U27" s="9">
        <f>R27 / _xlfn.XLOOKUP(A27, Support!A:A, Support!AA:AA)</f>
        <v>3.5000000000000003E-2</v>
      </c>
    </row>
    <row r="28" spans="1:21" x14ac:dyDescent="0.25">
      <c r="A28" s="1" t="s">
        <v>173</v>
      </c>
      <c r="B28" s="6">
        <v>9</v>
      </c>
      <c r="C28" s="7">
        <v>0.111</v>
      </c>
      <c r="D28" s="8">
        <f t="shared" si="0"/>
        <v>0.999</v>
      </c>
      <c r="E28" s="6">
        <v>8</v>
      </c>
      <c r="F28" s="7">
        <v>0.125</v>
      </c>
      <c r="G28" s="8">
        <f t="shared" si="1"/>
        <v>1</v>
      </c>
      <c r="H28" s="6"/>
      <c r="I28" s="7"/>
      <c r="J28" s="8">
        <f t="shared" si="2"/>
        <v>0</v>
      </c>
      <c r="K28" s="6">
        <v>1</v>
      </c>
      <c r="L28" s="7">
        <v>0</v>
      </c>
      <c r="M28" s="8">
        <f t="shared" si="3"/>
        <v>0</v>
      </c>
      <c r="N28" s="6"/>
      <c r="O28" s="7"/>
      <c r="P28" s="8">
        <f t="shared" si="4"/>
        <v>0</v>
      </c>
      <c r="Q28" s="1"/>
      <c r="R28" s="6">
        <f t="shared" si="5"/>
        <v>18</v>
      </c>
      <c r="S28" s="9">
        <f t="shared" si="6"/>
        <v>0.11105555555555556</v>
      </c>
      <c r="T28" s="9">
        <f t="shared" si="7"/>
        <v>8.2191780821917804E-2</v>
      </c>
      <c r="U28" s="9">
        <f>R28 / _xlfn.XLOOKUP(A28, Support!A:A, Support!AA:AA)</f>
        <v>5.844155844155844E-2</v>
      </c>
    </row>
    <row r="29" spans="1:21" x14ac:dyDescent="0.25">
      <c r="A29" s="1" t="s">
        <v>177</v>
      </c>
      <c r="B29" s="6">
        <v>1</v>
      </c>
      <c r="C29" s="7">
        <v>0</v>
      </c>
      <c r="D29" s="8">
        <f t="shared" si="0"/>
        <v>0</v>
      </c>
      <c r="E29" s="6"/>
      <c r="F29" s="7"/>
      <c r="G29" s="8">
        <f t="shared" si="1"/>
        <v>0</v>
      </c>
      <c r="H29" s="6"/>
      <c r="I29" s="7"/>
      <c r="J29" s="8">
        <f t="shared" si="2"/>
        <v>0</v>
      </c>
      <c r="K29" s="6"/>
      <c r="L29" s="7"/>
      <c r="M29" s="8">
        <f t="shared" si="3"/>
        <v>0</v>
      </c>
      <c r="N29" s="6"/>
      <c r="O29" s="7"/>
      <c r="P29" s="8">
        <f t="shared" si="4"/>
        <v>0</v>
      </c>
      <c r="Q29" s="1"/>
      <c r="R29" s="6">
        <f t="shared" si="5"/>
        <v>1</v>
      </c>
      <c r="S29" s="9">
        <f t="shared" si="6"/>
        <v>0</v>
      </c>
      <c r="T29" s="9">
        <f t="shared" si="7"/>
        <v>4.5662100456621002E-3</v>
      </c>
      <c r="U29" s="9">
        <f>R29 / _xlfn.XLOOKUP(A29, Support!A:A, Support!AA:AA)</f>
        <v>2.0833333333333332E-2</v>
      </c>
    </row>
    <row r="30" spans="1:21" x14ac:dyDescent="0.25">
      <c r="A30" s="1" t="s">
        <v>142</v>
      </c>
      <c r="B30" s="6"/>
      <c r="C30" s="7"/>
      <c r="D30" s="8">
        <f t="shared" si="0"/>
        <v>0</v>
      </c>
      <c r="E30" s="6">
        <v>1</v>
      </c>
      <c r="F30" s="7">
        <v>0</v>
      </c>
      <c r="G30" s="8">
        <f t="shared" si="1"/>
        <v>0</v>
      </c>
      <c r="H30" s="6"/>
      <c r="I30" s="7"/>
      <c r="J30" s="8">
        <f t="shared" si="2"/>
        <v>0</v>
      </c>
      <c r="K30" s="6"/>
      <c r="L30" s="7"/>
      <c r="M30" s="8">
        <f t="shared" si="3"/>
        <v>0</v>
      </c>
      <c r="N30" s="6"/>
      <c r="O30" s="7"/>
      <c r="P30" s="8">
        <f t="shared" si="4"/>
        <v>0</v>
      </c>
      <c r="Q30" s="1"/>
      <c r="R30" s="6">
        <f t="shared" si="5"/>
        <v>1</v>
      </c>
      <c r="S30" s="9">
        <f t="shared" si="6"/>
        <v>0</v>
      </c>
      <c r="T30" s="9">
        <f t="shared" si="7"/>
        <v>4.5662100456621002E-3</v>
      </c>
      <c r="U30" s="9">
        <f>R30 / _xlfn.XLOOKUP(A30, Support!A:A, Support!AA:AA)</f>
        <v>0.2</v>
      </c>
    </row>
    <row r="31" spans="1:21" x14ac:dyDescent="0.25">
      <c r="A31" s="1" t="s">
        <v>149</v>
      </c>
      <c r="B31" s="6"/>
      <c r="C31" s="7"/>
      <c r="D31" s="8">
        <f t="shared" si="0"/>
        <v>0</v>
      </c>
      <c r="E31" s="6">
        <v>1</v>
      </c>
      <c r="F31" s="7">
        <v>0</v>
      </c>
      <c r="G31" s="8">
        <f t="shared" si="1"/>
        <v>0</v>
      </c>
      <c r="H31" s="6"/>
      <c r="I31" s="7"/>
      <c r="J31" s="8">
        <f t="shared" si="2"/>
        <v>0</v>
      </c>
      <c r="K31" s="6"/>
      <c r="L31" s="7"/>
      <c r="M31" s="8">
        <f t="shared" si="3"/>
        <v>0</v>
      </c>
      <c r="N31" s="6"/>
      <c r="O31" s="7"/>
      <c r="P31" s="8">
        <f t="shared" si="4"/>
        <v>0</v>
      </c>
      <c r="Q31" s="1"/>
      <c r="R31" s="6">
        <f t="shared" si="5"/>
        <v>1</v>
      </c>
      <c r="S31" s="9">
        <f t="shared" si="6"/>
        <v>0</v>
      </c>
      <c r="T31" s="9">
        <f t="shared" si="7"/>
        <v>4.5662100456621002E-3</v>
      </c>
      <c r="U31" s="9">
        <f>R31 / _xlfn.XLOOKUP(A31, Support!A:A, Support!AA:AA)</f>
        <v>9.0909090909090912E-2</v>
      </c>
    </row>
    <row r="32" spans="1:21" x14ac:dyDescent="0.25">
      <c r="A32" s="1" t="s">
        <v>191</v>
      </c>
      <c r="B32" s="6"/>
      <c r="C32" s="7"/>
      <c r="D32" s="8">
        <f t="shared" si="0"/>
        <v>0</v>
      </c>
      <c r="E32" s="6"/>
      <c r="F32" s="7"/>
      <c r="G32" s="8">
        <f t="shared" si="1"/>
        <v>0</v>
      </c>
      <c r="H32" s="6"/>
      <c r="I32" s="7"/>
      <c r="J32" s="8">
        <f t="shared" si="2"/>
        <v>0</v>
      </c>
      <c r="K32" s="6">
        <v>1</v>
      </c>
      <c r="L32" s="7">
        <v>0</v>
      </c>
      <c r="M32" s="8">
        <f t="shared" si="3"/>
        <v>0</v>
      </c>
      <c r="N32" s="6"/>
      <c r="O32" s="7"/>
      <c r="P32" s="8">
        <f t="shared" si="4"/>
        <v>0</v>
      </c>
      <c r="Q32" s="1"/>
      <c r="R32" s="6">
        <f t="shared" si="5"/>
        <v>1</v>
      </c>
      <c r="S32" s="9">
        <f t="shared" si="6"/>
        <v>0</v>
      </c>
      <c r="T32" s="9">
        <f t="shared" si="7"/>
        <v>4.5662100456621002E-3</v>
      </c>
      <c r="U32" s="9">
        <f>R32 / _xlfn.XLOOKUP(A32, Support!A:A, Support!AA:AA)</f>
        <v>4.3478260869565216E-2</v>
      </c>
    </row>
    <row r="33" spans="1:21" x14ac:dyDescent="0.25">
      <c r="A33" s="1" t="s">
        <v>127</v>
      </c>
      <c r="B33" s="6">
        <v>1</v>
      </c>
      <c r="C33" s="7">
        <v>0</v>
      </c>
      <c r="D33" s="8">
        <f t="shared" si="0"/>
        <v>0</v>
      </c>
      <c r="E33" s="6"/>
      <c r="F33" s="7"/>
      <c r="G33" s="8">
        <f t="shared" si="1"/>
        <v>0</v>
      </c>
      <c r="H33" s="6"/>
      <c r="I33" s="7"/>
      <c r="J33" s="8">
        <f t="shared" si="2"/>
        <v>0</v>
      </c>
      <c r="K33" s="6"/>
      <c r="L33" s="7"/>
      <c r="M33" s="8">
        <f t="shared" si="3"/>
        <v>0</v>
      </c>
      <c r="N33" s="1"/>
      <c r="O33" s="1"/>
      <c r="P33" s="8">
        <f t="shared" si="4"/>
        <v>0</v>
      </c>
      <c r="Q33" s="1"/>
      <c r="R33" s="6">
        <f t="shared" si="5"/>
        <v>1</v>
      </c>
      <c r="S33" s="9">
        <f t="shared" si="6"/>
        <v>0</v>
      </c>
      <c r="T33" s="9">
        <f t="shared" si="7"/>
        <v>4.5662100456621002E-3</v>
      </c>
      <c r="U33" s="10">
        <f>D33+G33+J33+M33+P33</f>
        <v>0</v>
      </c>
    </row>
  </sheetData>
  <sortState xmlns:xlrd2="http://schemas.microsoft.com/office/spreadsheetml/2017/richdata2" ref="A3:U33">
    <sortCondition descending="1" ref="S3:S33"/>
  </sortState>
  <pageMargins left="0.7" right="0.7" top="0.78740157499999996" bottom="0.78740157499999996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6E170-0DAD-4511-A6C0-8E57CE0416BC}">
  <sheetPr>
    <tabColor theme="9" tint="0.59999389629810485"/>
  </sheetPr>
  <dimension ref="A1:W56"/>
  <sheetViews>
    <sheetView workbookViewId="0">
      <selection activeCell="U3" sqref="U3:U28"/>
    </sheetView>
  </sheetViews>
  <sheetFormatPr baseColWidth="10" defaultRowHeight="15" x14ac:dyDescent="0.25"/>
  <sheetData>
    <row r="1" spans="1:23" ht="15.75" x14ac:dyDescent="0.25">
      <c r="A1" s="2" t="s">
        <v>192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168</v>
      </c>
      <c r="B3" s="6">
        <v>12</v>
      </c>
      <c r="C3" s="7">
        <v>0.91700000000000004</v>
      </c>
      <c r="D3" s="8">
        <f t="shared" ref="D3:D28" si="0">B3*C3</f>
        <v>11.004000000000001</v>
      </c>
      <c r="E3" s="6">
        <v>2</v>
      </c>
      <c r="F3" s="7">
        <v>0</v>
      </c>
      <c r="G3" s="8">
        <f t="shared" ref="G3:G28" si="1">E3*F3</f>
        <v>0</v>
      </c>
      <c r="H3" s="6">
        <v>4</v>
      </c>
      <c r="I3" s="7">
        <v>0.75</v>
      </c>
      <c r="J3" s="8">
        <f t="shared" ref="J3:J28" si="2">H3*I3</f>
        <v>3</v>
      </c>
      <c r="K3" s="6">
        <v>3</v>
      </c>
      <c r="L3" s="7">
        <v>0.33300000000000002</v>
      </c>
      <c r="M3" s="8">
        <f t="shared" ref="M3:M28" si="3">K3*L3</f>
        <v>0.99900000000000011</v>
      </c>
      <c r="N3" s="6"/>
      <c r="O3" s="7"/>
      <c r="P3" s="8">
        <f t="shared" ref="P3:P28" si="4">N3*O3</f>
        <v>0</v>
      </c>
      <c r="Q3" s="1"/>
      <c r="R3" s="6">
        <f t="shared" ref="R3:R28" si="5">B3+E3+H3+K3+N3</f>
        <v>21</v>
      </c>
      <c r="S3" s="9">
        <f t="shared" ref="S3:S28" si="6">(D3+G3+J3+M3+P3)/R3</f>
        <v>0.71442857142857152</v>
      </c>
      <c r="T3" s="9">
        <f t="shared" ref="T3:T28" si="7">R3/$V$3</f>
        <v>5.1980198019801978E-2</v>
      </c>
      <c r="U3" s="9">
        <f>R3 / _xlfn.XLOOKUP(A3, Support!A:A, Support!AA:AA)</f>
        <v>0.11052631578947368</v>
      </c>
      <c r="V3" s="11">
        <f>SUM(R3:R47)</f>
        <v>404</v>
      </c>
      <c r="W3" s="12">
        <f>(SUM(D3:D100)+SUM(G3:G100)+SUM(J3:J100)+SUM(M3:M100)+SUM(P3:P100)) / V3</f>
        <v>0.54204950495049509</v>
      </c>
    </row>
    <row r="4" spans="1:23" x14ac:dyDescent="0.25">
      <c r="A4" s="1" t="s">
        <v>175</v>
      </c>
      <c r="B4" s="6">
        <v>4</v>
      </c>
      <c r="C4" s="7">
        <v>0.75</v>
      </c>
      <c r="D4" s="8">
        <f t="shared" si="0"/>
        <v>3</v>
      </c>
      <c r="E4" s="6">
        <v>3</v>
      </c>
      <c r="F4" s="7">
        <v>0.66700000000000004</v>
      </c>
      <c r="G4" s="8">
        <f t="shared" si="1"/>
        <v>2.0010000000000003</v>
      </c>
      <c r="H4" s="6"/>
      <c r="I4" s="7"/>
      <c r="J4" s="8">
        <f t="shared" si="2"/>
        <v>0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7</v>
      </c>
      <c r="S4" s="9">
        <f t="shared" si="6"/>
        <v>0.71442857142857152</v>
      </c>
      <c r="T4" s="9">
        <f t="shared" si="7"/>
        <v>1.7326732673267328E-2</v>
      </c>
      <c r="U4" s="9">
        <f>R4 / _xlfn.XLOOKUP(A4, Support!A:A, Support!AA:AA)</f>
        <v>0.1206896551724138</v>
      </c>
      <c r="V4" s="6"/>
      <c r="W4" s="9"/>
    </row>
    <row r="5" spans="1:23" x14ac:dyDescent="0.25">
      <c r="A5" s="1" t="s">
        <v>184</v>
      </c>
      <c r="B5" s="6"/>
      <c r="C5" s="7"/>
      <c r="D5" s="8">
        <f t="shared" si="0"/>
        <v>0</v>
      </c>
      <c r="E5" s="6">
        <v>6</v>
      </c>
      <c r="F5" s="7">
        <v>0.66700000000000004</v>
      </c>
      <c r="G5" s="8">
        <f t="shared" si="1"/>
        <v>4.0020000000000007</v>
      </c>
      <c r="H5" s="6"/>
      <c r="I5" s="7"/>
      <c r="J5" s="8">
        <f t="shared" si="2"/>
        <v>0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6</v>
      </c>
      <c r="S5" s="9">
        <f t="shared" si="6"/>
        <v>0.66700000000000015</v>
      </c>
      <c r="T5" s="9">
        <f t="shared" si="7"/>
        <v>1.4851485148514851E-2</v>
      </c>
      <c r="U5" s="9">
        <f>R5 / _xlfn.XLOOKUP(A5, Support!A:A, Support!AA:AA)</f>
        <v>0.10909090909090909</v>
      </c>
      <c r="W5" s="1"/>
    </row>
    <row r="6" spans="1:23" x14ac:dyDescent="0.25">
      <c r="A6" s="1" t="s">
        <v>181</v>
      </c>
      <c r="B6" s="6">
        <v>1</v>
      </c>
      <c r="C6" s="7">
        <v>0</v>
      </c>
      <c r="D6" s="8">
        <f t="shared" si="0"/>
        <v>0</v>
      </c>
      <c r="E6" s="6"/>
      <c r="F6" s="7"/>
      <c r="G6" s="8">
        <f t="shared" si="1"/>
        <v>0</v>
      </c>
      <c r="H6" s="6">
        <v>1</v>
      </c>
      <c r="I6" s="7">
        <v>1</v>
      </c>
      <c r="J6" s="8">
        <f t="shared" si="2"/>
        <v>1</v>
      </c>
      <c r="K6" s="6">
        <v>1</v>
      </c>
      <c r="L6" s="7">
        <v>1</v>
      </c>
      <c r="M6" s="8">
        <f t="shared" si="3"/>
        <v>1</v>
      </c>
      <c r="N6" s="6"/>
      <c r="O6" s="7"/>
      <c r="P6" s="8">
        <f t="shared" si="4"/>
        <v>0</v>
      </c>
      <c r="Q6" s="1"/>
      <c r="R6" s="6">
        <f t="shared" si="5"/>
        <v>3</v>
      </c>
      <c r="S6" s="9">
        <f t="shared" si="6"/>
        <v>0.66666666666666663</v>
      </c>
      <c r="T6" s="9">
        <f t="shared" si="7"/>
        <v>7.4257425742574254E-3</v>
      </c>
      <c r="U6" s="9">
        <f>R6 / _xlfn.XLOOKUP(A6, Support!A:A, Support!AA:AA)</f>
        <v>2.7777777777777776E-2</v>
      </c>
      <c r="W6" s="1"/>
    </row>
    <row r="7" spans="1:23" x14ac:dyDescent="0.25">
      <c r="A7" s="1" t="s">
        <v>187</v>
      </c>
      <c r="B7" s="6">
        <v>1</v>
      </c>
      <c r="C7" s="7">
        <v>1</v>
      </c>
      <c r="D7" s="8">
        <f t="shared" si="0"/>
        <v>1</v>
      </c>
      <c r="E7" s="6">
        <v>1</v>
      </c>
      <c r="F7" s="7">
        <v>1</v>
      </c>
      <c r="G7" s="8">
        <f t="shared" si="1"/>
        <v>1</v>
      </c>
      <c r="H7" s="6">
        <v>1</v>
      </c>
      <c r="I7" s="7">
        <v>0</v>
      </c>
      <c r="J7" s="8">
        <f t="shared" si="2"/>
        <v>0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3</v>
      </c>
      <c r="S7" s="9">
        <f t="shared" si="6"/>
        <v>0.66666666666666663</v>
      </c>
      <c r="T7" s="9">
        <f t="shared" si="7"/>
        <v>7.4257425742574254E-3</v>
      </c>
      <c r="U7" s="9">
        <f>R7 / _xlfn.XLOOKUP(A7, Support!A:A, Support!AA:AA)</f>
        <v>0.33333333333333331</v>
      </c>
      <c r="V7" s="1"/>
      <c r="W7" s="1"/>
    </row>
    <row r="8" spans="1:23" x14ac:dyDescent="0.25">
      <c r="A8" s="1" t="s">
        <v>169</v>
      </c>
      <c r="B8" s="6">
        <v>14</v>
      </c>
      <c r="C8" s="7">
        <v>0.78600000000000003</v>
      </c>
      <c r="D8" s="8">
        <f t="shared" si="0"/>
        <v>11.004000000000001</v>
      </c>
      <c r="E8" s="6">
        <v>2</v>
      </c>
      <c r="F8" s="7">
        <v>0.5</v>
      </c>
      <c r="G8" s="8">
        <f t="shared" si="1"/>
        <v>1</v>
      </c>
      <c r="H8" s="6">
        <v>14</v>
      </c>
      <c r="I8" s="20">
        <v>0.57099999999999995</v>
      </c>
      <c r="J8" s="8">
        <f t="shared" si="2"/>
        <v>7.9939999999999998</v>
      </c>
      <c r="K8" s="6">
        <v>6</v>
      </c>
      <c r="L8" s="7">
        <v>0.5</v>
      </c>
      <c r="M8" s="8">
        <f t="shared" si="3"/>
        <v>3</v>
      </c>
      <c r="N8" s="6"/>
      <c r="O8" s="7"/>
      <c r="P8" s="8">
        <f t="shared" si="4"/>
        <v>0</v>
      </c>
      <c r="Q8" s="4"/>
      <c r="R8" s="6">
        <f t="shared" si="5"/>
        <v>36</v>
      </c>
      <c r="S8" s="9">
        <f t="shared" si="6"/>
        <v>0.63883333333333336</v>
      </c>
      <c r="T8" s="9">
        <f t="shared" si="7"/>
        <v>8.9108910891089105E-2</v>
      </c>
      <c r="U8" s="9">
        <f>R8 / _xlfn.XLOOKUP(A8, Support!A:A, Support!AA:AA)</f>
        <v>0.11612903225806452</v>
      </c>
      <c r="V8" s="1"/>
      <c r="W8" s="1"/>
    </row>
    <row r="9" spans="1:23" x14ac:dyDescent="0.25">
      <c r="A9" s="1" t="s">
        <v>176</v>
      </c>
      <c r="B9" s="6">
        <v>7</v>
      </c>
      <c r="C9" s="7">
        <v>0.85699999999999998</v>
      </c>
      <c r="D9" s="8">
        <f t="shared" si="0"/>
        <v>5.9989999999999997</v>
      </c>
      <c r="E9" s="6">
        <v>7</v>
      </c>
      <c r="F9" s="7">
        <v>0.42899999999999999</v>
      </c>
      <c r="G9" s="8">
        <f t="shared" si="1"/>
        <v>3.0030000000000001</v>
      </c>
      <c r="H9" s="6">
        <v>13</v>
      </c>
      <c r="I9" s="7">
        <v>0.76900000000000002</v>
      </c>
      <c r="J9" s="8">
        <f t="shared" si="2"/>
        <v>9.9969999999999999</v>
      </c>
      <c r="K9" s="6">
        <v>14</v>
      </c>
      <c r="L9" s="7">
        <v>0.5</v>
      </c>
      <c r="M9" s="8">
        <f t="shared" si="3"/>
        <v>7</v>
      </c>
      <c r="N9" s="6"/>
      <c r="O9" s="7"/>
      <c r="P9" s="8">
        <f t="shared" si="4"/>
        <v>0</v>
      </c>
      <c r="Q9" s="1"/>
      <c r="R9" s="6">
        <f t="shared" si="5"/>
        <v>41</v>
      </c>
      <c r="S9" s="9">
        <f t="shared" si="6"/>
        <v>0.6341219512195122</v>
      </c>
      <c r="T9" s="9">
        <f t="shared" si="7"/>
        <v>0.10148514851485149</v>
      </c>
      <c r="U9" s="9">
        <f>R9 / _xlfn.XLOOKUP(A9, Support!A:A, Support!AA:AA)</f>
        <v>6.4976228209191758E-2</v>
      </c>
      <c r="V9" s="1"/>
      <c r="W9" s="1"/>
    </row>
    <row r="10" spans="1:23" x14ac:dyDescent="0.25">
      <c r="A10" s="1" t="s">
        <v>147</v>
      </c>
      <c r="B10" s="6"/>
      <c r="C10" s="7"/>
      <c r="D10" s="8">
        <f t="shared" si="0"/>
        <v>0</v>
      </c>
      <c r="E10" s="6">
        <v>4</v>
      </c>
      <c r="F10" s="7">
        <v>0.75</v>
      </c>
      <c r="G10" s="8">
        <f t="shared" si="1"/>
        <v>3</v>
      </c>
      <c r="H10" s="6">
        <v>3</v>
      </c>
      <c r="I10" s="7">
        <v>0.33300000000000002</v>
      </c>
      <c r="J10" s="8">
        <f t="shared" si="2"/>
        <v>0.99900000000000011</v>
      </c>
      <c r="K10" s="6">
        <v>1</v>
      </c>
      <c r="L10" s="7">
        <v>1</v>
      </c>
      <c r="M10" s="8">
        <f t="shared" si="3"/>
        <v>1</v>
      </c>
      <c r="N10" s="6"/>
      <c r="O10" s="7"/>
      <c r="P10" s="8">
        <f t="shared" si="4"/>
        <v>0</v>
      </c>
      <c r="Q10" s="1"/>
      <c r="R10" s="6">
        <f t="shared" si="5"/>
        <v>8</v>
      </c>
      <c r="S10" s="9">
        <f t="shared" si="6"/>
        <v>0.62487500000000007</v>
      </c>
      <c r="T10" s="9">
        <f t="shared" si="7"/>
        <v>1.9801980198019802E-2</v>
      </c>
      <c r="U10" s="9">
        <f>R10 / _xlfn.XLOOKUP(A10, Support!A:A, Support!AA:AA)</f>
        <v>9.8765432098765427E-2</v>
      </c>
      <c r="V10" s="1"/>
      <c r="W10" s="1"/>
    </row>
    <row r="11" spans="1:23" x14ac:dyDescent="0.25">
      <c r="A11" s="1" t="s">
        <v>172</v>
      </c>
      <c r="B11" s="6">
        <v>11</v>
      </c>
      <c r="C11" s="7">
        <v>0.45500000000000002</v>
      </c>
      <c r="D11" s="8">
        <f t="shared" si="0"/>
        <v>5.0049999999999999</v>
      </c>
      <c r="E11" s="6">
        <v>13</v>
      </c>
      <c r="F11" s="7">
        <v>0.84599999999999997</v>
      </c>
      <c r="G11" s="8">
        <f t="shared" si="1"/>
        <v>10.997999999999999</v>
      </c>
      <c r="H11" s="6">
        <v>13</v>
      </c>
      <c r="I11" s="7">
        <v>0.53800000000000003</v>
      </c>
      <c r="J11" s="8">
        <f t="shared" si="2"/>
        <v>6.9940000000000007</v>
      </c>
      <c r="K11" s="6">
        <v>1</v>
      </c>
      <c r="L11" s="7">
        <v>0</v>
      </c>
      <c r="M11" s="8">
        <f t="shared" si="3"/>
        <v>0</v>
      </c>
      <c r="N11" s="6"/>
      <c r="O11" s="7"/>
      <c r="P11" s="8">
        <f t="shared" si="4"/>
        <v>0</v>
      </c>
      <c r="Q11" s="1"/>
      <c r="R11" s="6">
        <f t="shared" si="5"/>
        <v>38</v>
      </c>
      <c r="S11" s="9">
        <f t="shared" si="6"/>
        <v>0.60518421052631577</v>
      </c>
      <c r="T11" s="9">
        <f t="shared" si="7"/>
        <v>9.405940594059406E-2</v>
      </c>
      <c r="U11" s="9">
        <f>R11 / _xlfn.XLOOKUP(A11, Support!A:A, Support!AA:AA)</f>
        <v>0.14022140221402213</v>
      </c>
      <c r="V11" s="1"/>
      <c r="W11" s="1"/>
    </row>
    <row r="12" spans="1:23" x14ac:dyDescent="0.25">
      <c r="A12" s="1" t="s">
        <v>179</v>
      </c>
      <c r="B12" s="6"/>
      <c r="C12" s="7"/>
      <c r="D12" s="8">
        <f t="shared" si="0"/>
        <v>0</v>
      </c>
      <c r="E12" s="6">
        <v>6</v>
      </c>
      <c r="F12" s="7">
        <v>0.66700000000000004</v>
      </c>
      <c r="G12" s="8">
        <f t="shared" si="1"/>
        <v>4.0020000000000007</v>
      </c>
      <c r="H12" s="6">
        <v>5</v>
      </c>
      <c r="I12" s="7">
        <v>0.8</v>
      </c>
      <c r="J12" s="8">
        <f t="shared" si="2"/>
        <v>4</v>
      </c>
      <c r="K12" s="6">
        <v>16</v>
      </c>
      <c r="L12" s="7">
        <v>0.5</v>
      </c>
      <c r="M12" s="8">
        <f t="shared" si="3"/>
        <v>8</v>
      </c>
      <c r="N12" s="6"/>
      <c r="O12" s="7"/>
      <c r="P12" s="8">
        <f t="shared" si="4"/>
        <v>0</v>
      </c>
      <c r="Q12" s="1"/>
      <c r="R12" s="6">
        <f t="shared" si="5"/>
        <v>27</v>
      </c>
      <c r="S12" s="9">
        <f t="shared" si="6"/>
        <v>0.59266666666666679</v>
      </c>
      <c r="T12" s="9">
        <f t="shared" si="7"/>
        <v>6.6831683168316836E-2</v>
      </c>
      <c r="U12" s="9">
        <f>R12 / _xlfn.XLOOKUP(A12, Support!A:A, Support!AA:AA)</f>
        <v>5.6962025316455694E-2</v>
      </c>
      <c r="V12" s="1"/>
      <c r="W12" s="1"/>
    </row>
    <row r="13" spans="1:23" x14ac:dyDescent="0.25">
      <c r="A13" s="1" t="s">
        <v>90</v>
      </c>
      <c r="B13" s="6">
        <v>9</v>
      </c>
      <c r="C13" s="7">
        <v>0.55600000000000005</v>
      </c>
      <c r="D13" s="8">
        <f t="shared" si="0"/>
        <v>5.0040000000000004</v>
      </c>
      <c r="E13" s="6">
        <v>3</v>
      </c>
      <c r="F13" s="7">
        <v>0.66700000000000004</v>
      </c>
      <c r="G13" s="8">
        <f t="shared" si="1"/>
        <v>2.0010000000000003</v>
      </c>
      <c r="H13" s="6">
        <v>5</v>
      </c>
      <c r="I13" s="7">
        <v>0.6</v>
      </c>
      <c r="J13" s="8">
        <f t="shared" si="2"/>
        <v>3</v>
      </c>
      <c r="K13" s="6">
        <v>4</v>
      </c>
      <c r="L13" s="7">
        <v>0.5</v>
      </c>
      <c r="M13" s="8">
        <f t="shared" si="3"/>
        <v>2</v>
      </c>
      <c r="N13" s="6"/>
      <c r="O13" s="7"/>
      <c r="P13" s="8">
        <f t="shared" si="4"/>
        <v>0</v>
      </c>
      <c r="Q13" s="1"/>
      <c r="R13" s="6">
        <f t="shared" si="5"/>
        <v>21</v>
      </c>
      <c r="S13" s="9">
        <f t="shared" si="6"/>
        <v>0.57166666666666666</v>
      </c>
      <c r="T13" s="9">
        <f t="shared" si="7"/>
        <v>5.1980198019801978E-2</v>
      </c>
      <c r="U13" s="9">
        <f>R13 / _xlfn.XLOOKUP(A13, Support!A:A, Support!AA:AA)</f>
        <v>3.4313725490196081E-2</v>
      </c>
      <c r="V13" s="1"/>
      <c r="W13" s="1"/>
    </row>
    <row r="14" spans="1:23" x14ac:dyDescent="0.25">
      <c r="A14" s="1" t="s">
        <v>29</v>
      </c>
      <c r="B14" s="6">
        <v>13</v>
      </c>
      <c r="C14" s="7">
        <v>0.61499999999999999</v>
      </c>
      <c r="D14" s="8">
        <f t="shared" si="0"/>
        <v>7.9950000000000001</v>
      </c>
      <c r="E14" s="6">
        <v>6</v>
      </c>
      <c r="F14" s="7">
        <v>0.5</v>
      </c>
      <c r="G14" s="8">
        <f t="shared" si="1"/>
        <v>3</v>
      </c>
      <c r="H14" s="6">
        <v>3</v>
      </c>
      <c r="I14" s="7">
        <v>0.66700000000000004</v>
      </c>
      <c r="J14" s="8">
        <f t="shared" si="2"/>
        <v>2.0010000000000003</v>
      </c>
      <c r="K14" s="6">
        <v>2</v>
      </c>
      <c r="L14" s="7">
        <v>0</v>
      </c>
      <c r="M14" s="8">
        <f t="shared" si="3"/>
        <v>0</v>
      </c>
      <c r="N14" s="6"/>
      <c r="O14" s="7"/>
      <c r="P14" s="8">
        <f t="shared" si="4"/>
        <v>0</v>
      </c>
      <c r="Q14" s="4"/>
      <c r="R14" s="6">
        <f t="shared" si="5"/>
        <v>24</v>
      </c>
      <c r="S14" s="9">
        <f t="shared" si="6"/>
        <v>0.54150000000000009</v>
      </c>
      <c r="T14" s="9">
        <f t="shared" si="7"/>
        <v>5.9405940594059403E-2</v>
      </c>
      <c r="U14" s="9">
        <f>R14 / _xlfn.XLOOKUP(A14, Support!A:A, Support!AA:AA)</f>
        <v>0.12</v>
      </c>
      <c r="V14" s="1"/>
      <c r="W14" s="1"/>
    </row>
    <row r="15" spans="1:23" x14ac:dyDescent="0.25">
      <c r="A15" s="1" t="s">
        <v>182</v>
      </c>
      <c r="B15" s="6">
        <v>4</v>
      </c>
      <c r="C15" s="7">
        <v>0.5</v>
      </c>
      <c r="D15" s="8">
        <f t="shared" si="0"/>
        <v>2</v>
      </c>
      <c r="E15" s="6">
        <v>3</v>
      </c>
      <c r="F15" s="7">
        <v>1</v>
      </c>
      <c r="G15" s="8">
        <f t="shared" si="1"/>
        <v>3</v>
      </c>
      <c r="H15" s="6">
        <v>1</v>
      </c>
      <c r="I15" s="7">
        <v>1</v>
      </c>
      <c r="J15" s="8">
        <f t="shared" si="2"/>
        <v>1</v>
      </c>
      <c r="K15" s="6">
        <v>11</v>
      </c>
      <c r="L15" s="7">
        <v>0.36399999999999999</v>
      </c>
      <c r="M15" s="8">
        <f t="shared" si="3"/>
        <v>4.0039999999999996</v>
      </c>
      <c r="N15" s="6"/>
      <c r="O15" s="7"/>
      <c r="P15" s="8">
        <f t="shared" si="4"/>
        <v>0</v>
      </c>
      <c r="Q15" s="1"/>
      <c r="R15" s="6">
        <f t="shared" si="5"/>
        <v>19</v>
      </c>
      <c r="S15" s="9">
        <f t="shared" si="6"/>
        <v>0.52652631578947362</v>
      </c>
      <c r="T15" s="9">
        <f t="shared" si="7"/>
        <v>4.702970297029703E-2</v>
      </c>
      <c r="U15" s="9">
        <f>R15 / _xlfn.XLOOKUP(A15, Support!A:A, Support!AA:AA)</f>
        <v>6.95970695970696E-2</v>
      </c>
      <c r="V15" s="1"/>
      <c r="W15" s="1"/>
    </row>
    <row r="16" spans="1:23" x14ac:dyDescent="0.25">
      <c r="A16" s="1" t="s">
        <v>80</v>
      </c>
      <c r="B16" s="6"/>
      <c r="C16" s="7"/>
      <c r="D16" s="8">
        <f t="shared" si="0"/>
        <v>0</v>
      </c>
      <c r="E16" s="6">
        <v>7</v>
      </c>
      <c r="F16" s="7">
        <v>0.42899999999999999</v>
      </c>
      <c r="G16" s="8">
        <f t="shared" si="1"/>
        <v>3.0030000000000001</v>
      </c>
      <c r="H16" s="6">
        <v>3</v>
      </c>
      <c r="I16" s="7">
        <v>0.33300000000000002</v>
      </c>
      <c r="J16" s="8">
        <f t="shared" si="2"/>
        <v>0.99900000000000011</v>
      </c>
      <c r="K16" s="6">
        <v>13</v>
      </c>
      <c r="L16" s="7">
        <v>0.61499999999999999</v>
      </c>
      <c r="M16" s="8">
        <f t="shared" si="3"/>
        <v>7.9950000000000001</v>
      </c>
      <c r="N16" s="6"/>
      <c r="O16" s="7"/>
      <c r="P16" s="8">
        <f t="shared" si="4"/>
        <v>0</v>
      </c>
      <c r="Q16" s="1"/>
      <c r="R16" s="6">
        <f t="shared" si="5"/>
        <v>23</v>
      </c>
      <c r="S16" s="9">
        <f t="shared" si="6"/>
        <v>0.52160869565217394</v>
      </c>
      <c r="T16" s="9">
        <f t="shared" si="7"/>
        <v>5.6930693069306933E-2</v>
      </c>
      <c r="U16" s="9">
        <f>R16 / _xlfn.XLOOKUP(A16, Support!A:A, Support!AA:AA)</f>
        <v>4.7227926078028747E-2</v>
      </c>
      <c r="V16" s="1"/>
      <c r="W16" s="1"/>
    </row>
    <row r="17" spans="1:23" x14ac:dyDescent="0.25">
      <c r="A17" s="1" t="s">
        <v>149</v>
      </c>
      <c r="B17" s="6"/>
      <c r="C17" s="7"/>
      <c r="D17" s="8">
        <f t="shared" si="0"/>
        <v>0</v>
      </c>
      <c r="E17" s="6">
        <v>2</v>
      </c>
      <c r="F17" s="7">
        <v>0.5</v>
      </c>
      <c r="G17" s="8">
        <f t="shared" si="1"/>
        <v>1</v>
      </c>
      <c r="H17" s="6"/>
      <c r="I17" s="7"/>
      <c r="J17" s="8">
        <f t="shared" si="2"/>
        <v>0</v>
      </c>
      <c r="K17" s="6"/>
      <c r="L17" s="7"/>
      <c r="M17" s="8">
        <f t="shared" si="3"/>
        <v>0</v>
      </c>
      <c r="N17" s="6"/>
      <c r="O17" s="7"/>
      <c r="P17" s="8">
        <f t="shared" si="4"/>
        <v>0</v>
      </c>
      <c r="Q17" s="1"/>
      <c r="R17" s="6">
        <f t="shared" si="5"/>
        <v>2</v>
      </c>
      <c r="S17" s="9">
        <f t="shared" si="6"/>
        <v>0.5</v>
      </c>
      <c r="T17" s="9">
        <f t="shared" si="7"/>
        <v>4.9504950495049506E-3</v>
      </c>
      <c r="U17" s="9">
        <f>R17 / _xlfn.XLOOKUP(A17, Support!A:A, Support!AA:AA)</f>
        <v>0.18181818181818182</v>
      </c>
      <c r="V17" s="1"/>
      <c r="W17" s="1"/>
    </row>
    <row r="18" spans="1:23" x14ac:dyDescent="0.25">
      <c r="A18" s="25" t="s">
        <v>81</v>
      </c>
      <c r="B18" s="6"/>
      <c r="C18" s="7"/>
      <c r="D18" s="8">
        <f t="shared" si="0"/>
        <v>0</v>
      </c>
      <c r="E18" s="6"/>
      <c r="F18" s="7"/>
      <c r="G18" s="8">
        <f t="shared" si="1"/>
        <v>0</v>
      </c>
      <c r="H18" s="6"/>
      <c r="I18" s="7"/>
      <c r="J18" s="8">
        <f t="shared" si="2"/>
        <v>0</v>
      </c>
      <c r="K18" s="6">
        <v>2</v>
      </c>
      <c r="L18" s="7">
        <v>0.5</v>
      </c>
      <c r="M18" s="8">
        <f t="shared" si="3"/>
        <v>1</v>
      </c>
      <c r="N18" s="6"/>
      <c r="O18" s="7"/>
      <c r="P18" s="8">
        <f t="shared" si="4"/>
        <v>0</v>
      </c>
      <c r="Q18" s="1"/>
      <c r="R18" s="6">
        <f t="shared" si="5"/>
        <v>2</v>
      </c>
      <c r="S18" s="9">
        <f t="shared" si="6"/>
        <v>0.5</v>
      </c>
      <c r="T18" s="9">
        <f t="shared" si="7"/>
        <v>4.9504950495049506E-3</v>
      </c>
      <c r="U18" s="9">
        <f>R18 / _xlfn.XLOOKUP(A18, Support!A:A, Support!AA:AA)</f>
        <v>4.4444444444444446E-2</v>
      </c>
      <c r="V18" s="1"/>
      <c r="W18" s="1"/>
    </row>
    <row r="19" spans="1:23" x14ac:dyDescent="0.25">
      <c r="A19" s="1" t="s">
        <v>173</v>
      </c>
      <c r="B19" s="6">
        <v>6</v>
      </c>
      <c r="C19" s="7">
        <v>0.5</v>
      </c>
      <c r="D19" s="8">
        <f t="shared" si="0"/>
        <v>3</v>
      </c>
      <c r="E19" s="6">
        <v>8</v>
      </c>
      <c r="F19" s="7">
        <v>0.625</v>
      </c>
      <c r="G19" s="8">
        <f t="shared" si="1"/>
        <v>5</v>
      </c>
      <c r="H19" s="6">
        <v>5</v>
      </c>
      <c r="I19" s="7">
        <v>0.2</v>
      </c>
      <c r="J19" s="8">
        <f t="shared" si="2"/>
        <v>1</v>
      </c>
      <c r="K19" s="6">
        <v>4</v>
      </c>
      <c r="L19" s="7">
        <v>0.5</v>
      </c>
      <c r="M19" s="8">
        <f t="shared" si="3"/>
        <v>2</v>
      </c>
      <c r="N19" s="6"/>
      <c r="O19" s="7"/>
      <c r="P19" s="8">
        <f t="shared" si="4"/>
        <v>0</v>
      </c>
      <c r="Q19" s="1"/>
      <c r="R19" s="6">
        <f t="shared" si="5"/>
        <v>23</v>
      </c>
      <c r="S19" s="9">
        <f t="shared" si="6"/>
        <v>0.47826086956521741</v>
      </c>
      <c r="T19" s="9">
        <f t="shared" si="7"/>
        <v>5.6930693069306933E-2</v>
      </c>
      <c r="U19" s="9">
        <f>R19 / _xlfn.XLOOKUP(A19, Support!A:A, Support!AA:AA)</f>
        <v>7.4675324675324672E-2</v>
      </c>
      <c r="V19" s="1"/>
      <c r="W19" s="1"/>
    </row>
    <row r="20" spans="1:23" x14ac:dyDescent="0.25">
      <c r="A20" s="1" t="s">
        <v>178</v>
      </c>
      <c r="B20" s="6">
        <v>11</v>
      </c>
      <c r="C20" s="7">
        <v>0.54500000000000004</v>
      </c>
      <c r="D20" s="8">
        <f t="shared" si="0"/>
        <v>5.9950000000000001</v>
      </c>
      <c r="E20" s="6">
        <v>3</v>
      </c>
      <c r="F20" s="7">
        <v>0.33300000000000002</v>
      </c>
      <c r="G20" s="8">
        <f t="shared" si="1"/>
        <v>0.99900000000000011</v>
      </c>
      <c r="H20" s="6">
        <v>4</v>
      </c>
      <c r="I20" s="7">
        <v>0.25</v>
      </c>
      <c r="J20" s="8">
        <f t="shared" si="2"/>
        <v>1</v>
      </c>
      <c r="K20" s="6">
        <v>12</v>
      </c>
      <c r="L20" s="7">
        <v>0.5</v>
      </c>
      <c r="M20" s="8">
        <f t="shared" si="3"/>
        <v>6</v>
      </c>
      <c r="N20" s="6"/>
      <c r="O20" s="7"/>
      <c r="P20" s="8">
        <f t="shared" si="4"/>
        <v>0</v>
      </c>
      <c r="Q20" s="4"/>
      <c r="R20" s="6">
        <f t="shared" si="5"/>
        <v>30</v>
      </c>
      <c r="S20" s="9">
        <f t="shared" si="6"/>
        <v>0.46646666666666664</v>
      </c>
      <c r="T20" s="9">
        <f t="shared" si="7"/>
        <v>7.4257425742574254E-2</v>
      </c>
      <c r="U20" s="9">
        <f>R20 / _xlfn.XLOOKUP(A20, Support!A:A, Support!AA:AA)</f>
        <v>6.0240963855421686E-2</v>
      </c>
      <c r="V20" s="1"/>
      <c r="W20" s="1"/>
    </row>
    <row r="21" spans="1:23" x14ac:dyDescent="0.25">
      <c r="A21" s="1" t="s">
        <v>170</v>
      </c>
      <c r="B21" s="6">
        <v>15</v>
      </c>
      <c r="C21" s="7">
        <v>0.53300000000000003</v>
      </c>
      <c r="D21" s="8">
        <f t="shared" si="0"/>
        <v>7.9950000000000001</v>
      </c>
      <c r="E21" s="6">
        <v>10</v>
      </c>
      <c r="F21" s="7">
        <v>0.4</v>
      </c>
      <c r="G21" s="8">
        <f t="shared" si="1"/>
        <v>4</v>
      </c>
      <c r="H21" s="6">
        <v>3</v>
      </c>
      <c r="I21" s="7">
        <v>0.33300000000000002</v>
      </c>
      <c r="J21" s="8">
        <f t="shared" si="2"/>
        <v>0.99900000000000011</v>
      </c>
      <c r="K21" s="6">
        <v>1</v>
      </c>
      <c r="L21" s="7">
        <v>0</v>
      </c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29</v>
      </c>
      <c r="S21" s="9">
        <f t="shared" si="6"/>
        <v>0.44806896551724146</v>
      </c>
      <c r="T21" s="9">
        <f t="shared" si="7"/>
        <v>7.1782178217821777E-2</v>
      </c>
      <c r="U21" s="9">
        <f>R21 / _xlfn.XLOOKUP(A21, Support!A:A, Support!AA:AA)</f>
        <v>0.17261904761904762</v>
      </c>
      <c r="V21" s="1"/>
      <c r="W21" s="1"/>
    </row>
    <row r="22" spans="1:23" x14ac:dyDescent="0.25">
      <c r="A22" s="1" t="s">
        <v>186</v>
      </c>
      <c r="B22" s="6"/>
      <c r="C22" s="7"/>
      <c r="D22" s="8">
        <f t="shared" si="0"/>
        <v>0</v>
      </c>
      <c r="E22" s="6">
        <v>7</v>
      </c>
      <c r="F22" s="7">
        <v>0.57099999999999995</v>
      </c>
      <c r="G22" s="8">
        <f t="shared" si="1"/>
        <v>3.9969999999999999</v>
      </c>
      <c r="H22" s="6">
        <v>5</v>
      </c>
      <c r="I22" s="7">
        <v>0.2</v>
      </c>
      <c r="J22" s="8">
        <f t="shared" si="2"/>
        <v>1</v>
      </c>
      <c r="K22" s="6">
        <v>2</v>
      </c>
      <c r="L22" s="7">
        <v>0</v>
      </c>
      <c r="M22" s="8">
        <f t="shared" si="3"/>
        <v>0</v>
      </c>
      <c r="N22" s="6"/>
      <c r="O22" s="7"/>
      <c r="P22" s="8">
        <f t="shared" si="4"/>
        <v>0</v>
      </c>
      <c r="Q22" s="13"/>
      <c r="R22" s="6">
        <f t="shared" si="5"/>
        <v>14</v>
      </c>
      <c r="S22" s="9">
        <f t="shared" si="6"/>
        <v>0.35692857142857143</v>
      </c>
      <c r="T22" s="9">
        <f t="shared" si="7"/>
        <v>3.4653465346534656E-2</v>
      </c>
      <c r="U22" s="9">
        <f>R22 / _xlfn.XLOOKUP(A22, Support!A:A, Support!AA:AA)</f>
        <v>0.13207547169811321</v>
      </c>
      <c r="V22" s="1"/>
      <c r="W22" s="1"/>
    </row>
    <row r="23" spans="1:23" x14ac:dyDescent="0.25">
      <c r="A23" s="1" t="s">
        <v>174</v>
      </c>
      <c r="B23" s="6"/>
      <c r="C23" s="7"/>
      <c r="D23" s="8">
        <f t="shared" si="0"/>
        <v>0</v>
      </c>
      <c r="E23" s="6">
        <v>2</v>
      </c>
      <c r="F23" s="7">
        <v>0.5</v>
      </c>
      <c r="G23" s="8">
        <f t="shared" si="1"/>
        <v>1</v>
      </c>
      <c r="H23" s="6">
        <v>1</v>
      </c>
      <c r="I23" s="7">
        <v>0</v>
      </c>
      <c r="J23" s="8">
        <f t="shared" si="2"/>
        <v>0</v>
      </c>
      <c r="K23" s="6"/>
      <c r="L23" s="7"/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3</v>
      </c>
      <c r="S23" s="9">
        <f t="shared" si="6"/>
        <v>0.33333333333333331</v>
      </c>
      <c r="T23" s="9">
        <f t="shared" si="7"/>
        <v>7.4257425742574254E-3</v>
      </c>
      <c r="U23" s="9">
        <f>R23 / _xlfn.XLOOKUP(A23, Support!A:A, Support!AA:AA)</f>
        <v>8.8235294117647065E-2</v>
      </c>
      <c r="V23" s="1"/>
      <c r="W23" s="1"/>
    </row>
    <row r="24" spans="1:23" x14ac:dyDescent="0.25">
      <c r="A24" s="1" t="s">
        <v>91</v>
      </c>
      <c r="B24" s="6"/>
      <c r="C24" s="7"/>
      <c r="D24" s="8">
        <f t="shared" si="0"/>
        <v>0</v>
      </c>
      <c r="E24" s="6"/>
      <c r="F24" s="7"/>
      <c r="G24" s="8">
        <f t="shared" si="1"/>
        <v>0</v>
      </c>
      <c r="H24" s="6">
        <v>2</v>
      </c>
      <c r="I24" s="7">
        <v>0.5</v>
      </c>
      <c r="J24" s="8">
        <f t="shared" si="2"/>
        <v>1</v>
      </c>
      <c r="K24" s="6">
        <v>10</v>
      </c>
      <c r="L24" s="7">
        <v>0.2</v>
      </c>
      <c r="M24" s="8">
        <f t="shared" si="3"/>
        <v>2</v>
      </c>
      <c r="N24" s="6"/>
      <c r="O24" s="7"/>
      <c r="P24" s="8">
        <f t="shared" si="4"/>
        <v>0</v>
      </c>
      <c r="Q24" s="1"/>
      <c r="R24" s="6">
        <f t="shared" si="5"/>
        <v>12</v>
      </c>
      <c r="S24" s="9">
        <f t="shared" si="6"/>
        <v>0.25</v>
      </c>
      <c r="T24" s="9">
        <f t="shared" si="7"/>
        <v>2.9702970297029702E-2</v>
      </c>
      <c r="U24" s="9">
        <f>R24 / _xlfn.XLOOKUP(A24, Support!A:A, Support!AA:AA)</f>
        <v>7.1428571428571425E-2</v>
      </c>
      <c r="V24" s="1"/>
      <c r="W24" s="1"/>
    </row>
    <row r="25" spans="1:23" x14ac:dyDescent="0.25">
      <c r="A25" s="1" t="s">
        <v>31</v>
      </c>
      <c r="B25" s="6"/>
      <c r="C25" s="7"/>
      <c r="D25" s="8">
        <f t="shared" si="0"/>
        <v>0</v>
      </c>
      <c r="E25" s="6"/>
      <c r="F25" s="7"/>
      <c r="G25" s="8">
        <f t="shared" si="1"/>
        <v>0</v>
      </c>
      <c r="H25" s="6">
        <v>2</v>
      </c>
      <c r="I25" s="7">
        <v>0.5</v>
      </c>
      <c r="J25" s="8">
        <f t="shared" si="2"/>
        <v>1</v>
      </c>
      <c r="K25" s="6">
        <v>2</v>
      </c>
      <c r="L25" s="7">
        <v>0</v>
      </c>
      <c r="M25" s="8">
        <f t="shared" si="3"/>
        <v>0</v>
      </c>
      <c r="N25" s="6"/>
      <c r="O25" s="7"/>
      <c r="P25" s="8">
        <f t="shared" si="4"/>
        <v>0</v>
      </c>
      <c r="Q25" s="4"/>
      <c r="R25" s="6">
        <f t="shared" si="5"/>
        <v>4</v>
      </c>
      <c r="S25" s="9">
        <f t="shared" si="6"/>
        <v>0.25</v>
      </c>
      <c r="T25" s="9">
        <f t="shared" si="7"/>
        <v>9.9009900990099011E-3</v>
      </c>
      <c r="U25" s="9">
        <f>R25 / _xlfn.XLOOKUP(A25, Support!A:A, Support!AA:AA)</f>
        <v>3.2258064516129031E-2</v>
      </c>
      <c r="V25" s="1"/>
      <c r="W25" s="1"/>
    </row>
    <row r="26" spans="1:23" x14ac:dyDescent="0.25">
      <c r="A26" s="1" t="s">
        <v>171</v>
      </c>
      <c r="B26" s="6">
        <v>2</v>
      </c>
      <c r="C26" s="7">
        <v>0.5</v>
      </c>
      <c r="D26" s="8">
        <f t="shared" si="0"/>
        <v>1</v>
      </c>
      <c r="E26" s="6"/>
      <c r="F26" s="7"/>
      <c r="G26" s="8">
        <f t="shared" si="1"/>
        <v>0</v>
      </c>
      <c r="H26" s="6">
        <v>2</v>
      </c>
      <c r="I26" s="7">
        <v>0</v>
      </c>
      <c r="J26" s="8">
        <f t="shared" si="2"/>
        <v>0</v>
      </c>
      <c r="K26" s="6"/>
      <c r="L26" s="7"/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4</v>
      </c>
      <c r="S26" s="9">
        <f t="shared" si="6"/>
        <v>0.25</v>
      </c>
      <c r="T26" s="9">
        <f t="shared" si="7"/>
        <v>9.9009900990099011E-3</v>
      </c>
      <c r="U26" s="9">
        <f>R26 / _xlfn.XLOOKUP(A26, Support!A:A, Support!AA:AA)</f>
        <v>3.8834951456310676E-2</v>
      </c>
      <c r="V26" s="1"/>
      <c r="W26" s="1"/>
    </row>
    <row r="27" spans="1:23" x14ac:dyDescent="0.25">
      <c r="A27" s="1" t="s">
        <v>143</v>
      </c>
      <c r="B27" s="6">
        <v>2</v>
      </c>
      <c r="C27" s="7">
        <v>0</v>
      </c>
      <c r="D27" s="8">
        <f t="shared" si="0"/>
        <v>0</v>
      </c>
      <c r="E27" s="6"/>
      <c r="F27" s="7"/>
      <c r="G27" s="8">
        <f t="shared" si="1"/>
        <v>0</v>
      </c>
      <c r="H27" s="6"/>
      <c r="I27" s="7"/>
      <c r="J27" s="8">
        <f t="shared" si="2"/>
        <v>0</v>
      </c>
      <c r="K27" s="6"/>
      <c r="L27" s="7"/>
      <c r="M27" s="8">
        <f t="shared" si="3"/>
        <v>0</v>
      </c>
      <c r="N27" s="6"/>
      <c r="O27" s="7"/>
      <c r="P27" s="8">
        <f t="shared" si="4"/>
        <v>0</v>
      </c>
      <c r="Q27" s="1"/>
      <c r="R27" s="6">
        <f t="shared" si="5"/>
        <v>2</v>
      </c>
      <c r="S27" s="9">
        <f t="shared" si="6"/>
        <v>0</v>
      </c>
      <c r="T27" s="9">
        <f t="shared" si="7"/>
        <v>4.9504950495049506E-3</v>
      </c>
      <c r="U27" s="9">
        <f>R27 / _xlfn.XLOOKUP(A27, Support!A:A, Support!AA:AA)</f>
        <v>2.5974025974025976E-2</v>
      </c>
    </row>
    <row r="28" spans="1:23" x14ac:dyDescent="0.25">
      <c r="A28" s="1" t="s">
        <v>185</v>
      </c>
      <c r="B28" s="6"/>
      <c r="C28" s="7"/>
      <c r="D28" s="8">
        <f t="shared" si="0"/>
        <v>0</v>
      </c>
      <c r="E28" s="6"/>
      <c r="F28" s="7"/>
      <c r="G28" s="8">
        <f t="shared" si="1"/>
        <v>0</v>
      </c>
      <c r="H28" s="6">
        <v>2</v>
      </c>
      <c r="I28" s="7">
        <v>0</v>
      </c>
      <c r="J28" s="8">
        <f t="shared" si="2"/>
        <v>0</v>
      </c>
      <c r="K28" s="6"/>
      <c r="L28" s="7"/>
      <c r="M28" s="8">
        <f t="shared" si="3"/>
        <v>0</v>
      </c>
      <c r="N28" s="6"/>
      <c r="O28" s="7"/>
      <c r="P28" s="8">
        <f t="shared" si="4"/>
        <v>0</v>
      </c>
      <c r="Q28" s="1"/>
      <c r="R28" s="6">
        <f t="shared" si="5"/>
        <v>2</v>
      </c>
      <c r="S28" s="9">
        <f t="shared" si="6"/>
        <v>0</v>
      </c>
      <c r="T28" s="9">
        <f t="shared" si="7"/>
        <v>4.9504950495049506E-3</v>
      </c>
      <c r="U28" s="9">
        <f>R28 / _xlfn.XLOOKUP(A28, Support!A:A, Support!AA:AA)</f>
        <v>0.2</v>
      </c>
    </row>
    <row r="29" spans="1:23" x14ac:dyDescent="0.25">
      <c r="A29" s="1"/>
      <c r="B29" s="6"/>
      <c r="C29" s="7"/>
      <c r="D29" s="8">
        <f t="shared" ref="D29:D34" si="8">B29*C29</f>
        <v>0</v>
      </c>
      <c r="E29" s="6"/>
      <c r="F29" s="7"/>
      <c r="G29" s="8">
        <f t="shared" ref="G29:G34" si="9">E29*F29</f>
        <v>0</v>
      </c>
      <c r="H29" s="6"/>
      <c r="I29" s="7"/>
      <c r="J29" s="8">
        <f t="shared" ref="J29:J34" si="10">H29*I29</f>
        <v>0</v>
      </c>
      <c r="K29" s="6"/>
      <c r="L29" s="7"/>
      <c r="M29" s="8">
        <f t="shared" ref="M29:M34" si="11">K29*L29</f>
        <v>0</v>
      </c>
      <c r="N29" s="6"/>
      <c r="O29" s="7"/>
      <c r="P29" s="8">
        <f t="shared" ref="P29:P34" si="12">N29*O29</f>
        <v>0</v>
      </c>
      <c r="Q29" s="1"/>
      <c r="R29" s="6">
        <f t="shared" ref="R29:R34" si="13">B29+E29+H29+K29+N29</f>
        <v>0</v>
      </c>
      <c r="S29" s="9" t="e">
        <f t="shared" ref="S29:S34" si="14">(D29+G29+J29+M29+P29)/R29</f>
        <v>#DIV/0!</v>
      </c>
      <c r="T29" s="9">
        <f t="shared" ref="T29:T34" si="15">R29/$V$3</f>
        <v>0</v>
      </c>
      <c r="U29" s="9" t="e">
        <f>R29 / _xlfn.XLOOKUP(A29, Support!A:A, Support!AA:AA)</f>
        <v>#DIV/0!</v>
      </c>
    </row>
    <row r="30" spans="1:23" x14ac:dyDescent="0.25">
      <c r="A30" s="1"/>
      <c r="B30" s="6"/>
      <c r="C30" s="7"/>
      <c r="D30" s="8">
        <f t="shared" si="8"/>
        <v>0</v>
      </c>
      <c r="E30" s="6"/>
      <c r="F30" s="7"/>
      <c r="G30" s="8">
        <f t="shared" si="9"/>
        <v>0</v>
      </c>
      <c r="H30" s="6"/>
      <c r="I30" s="7"/>
      <c r="J30" s="8">
        <f t="shared" si="10"/>
        <v>0</v>
      </c>
      <c r="K30" s="6"/>
      <c r="L30" s="7"/>
      <c r="M30" s="8">
        <f t="shared" si="11"/>
        <v>0</v>
      </c>
      <c r="N30" s="6"/>
      <c r="O30" s="7"/>
      <c r="P30" s="8">
        <f t="shared" si="12"/>
        <v>0</v>
      </c>
      <c r="Q30" s="1"/>
      <c r="R30" s="6">
        <f t="shared" si="13"/>
        <v>0</v>
      </c>
      <c r="S30" s="9" t="e">
        <f t="shared" si="14"/>
        <v>#DIV/0!</v>
      </c>
      <c r="T30" s="9">
        <f t="shared" si="15"/>
        <v>0</v>
      </c>
      <c r="U30" s="9" t="e">
        <f>R30 / _xlfn.XLOOKUP(A30, Support!A:A, Support!AA:AA)</f>
        <v>#DIV/0!</v>
      </c>
    </row>
    <row r="31" spans="1:23" x14ac:dyDescent="0.25">
      <c r="A31" s="1"/>
      <c r="B31" s="6"/>
      <c r="C31" s="7"/>
      <c r="D31" s="8">
        <f t="shared" si="8"/>
        <v>0</v>
      </c>
      <c r="E31" s="6"/>
      <c r="F31" s="7"/>
      <c r="G31" s="8">
        <f t="shared" si="9"/>
        <v>0</v>
      </c>
      <c r="H31" s="6"/>
      <c r="I31" s="7"/>
      <c r="J31" s="8">
        <f t="shared" si="10"/>
        <v>0</v>
      </c>
      <c r="K31" s="6"/>
      <c r="L31" s="7"/>
      <c r="M31" s="8">
        <f t="shared" si="11"/>
        <v>0</v>
      </c>
      <c r="N31" s="6"/>
      <c r="O31" s="7"/>
      <c r="P31" s="8">
        <f t="shared" si="12"/>
        <v>0</v>
      </c>
      <c r="Q31" s="1"/>
      <c r="R31" s="6">
        <f t="shared" si="13"/>
        <v>0</v>
      </c>
      <c r="S31" s="9" t="e">
        <f t="shared" si="14"/>
        <v>#DIV/0!</v>
      </c>
      <c r="T31" s="9">
        <f t="shared" si="15"/>
        <v>0</v>
      </c>
      <c r="U31" s="9" t="e">
        <f>R31 / _xlfn.XLOOKUP(A31, Support!A:A, Support!AA:AA)</f>
        <v>#DIV/0!</v>
      </c>
    </row>
    <row r="32" spans="1:23" x14ac:dyDescent="0.25">
      <c r="A32" s="1"/>
      <c r="B32" s="6"/>
      <c r="C32" s="7"/>
      <c r="D32" s="8">
        <f t="shared" si="8"/>
        <v>0</v>
      </c>
      <c r="E32" s="6"/>
      <c r="F32" s="7"/>
      <c r="G32" s="8">
        <f t="shared" si="9"/>
        <v>0</v>
      </c>
      <c r="H32" s="6"/>
      <c r="I32" s="7"/>
      <c r="J32" s="8">
        <f t="shared" si="10"/>
        <v>0</v>
      </c>
      <c r="K32" s="6"/>
      <c r="L32" s="7"/>
      <c r="M32" s="8">
        <f t="shared" si="11"/>
        <v>0</v>
      </c>
      <c r="N32" s="6"/>
      <c r="O32" s="7"/>
      <c r="P32" s="8">
        <f t="shared" si="12"/>
        <v>0</v>
      </c>
      <c r="Q32" s="1"/>
      <c r="R32" s="6">
        <f t="shared" si="13"/>
        <v>0</v>
      </c>
      <c r="S32" s="9" t="e">
        <f t="shared" si="14"/>
        <v>#DIV/0!</v>
      </c>
      <c r="T32" s="9">
        <f t="shared" si="15"/>
        <v>0</v>
      </c>
      <c r="U32" s="9" t="e">
        <f>R32 / _xlfn.XLOOKUP(A32, Support!A:A, Support!AA:AA)</f>
        <v>#DIV/0!</v>
      </c>
    </row>
    <row r="33" spans="1:21" x14ac:dyDescent="0.25">
      <c r="A33" s="1"/>
      <c r="B33" s="6"/>
      <c r="C33" s="7"/>
      <c r="D33" s="8">
        <f t="shared" si="8"/>
        <v>0</v>
      </c>
      <c r="E33" s="6"/>
      <c r="F33" s="7"/>
      <c r="G33" s="8">
        <f t="shared" si="9"/>
        <v>0</v>
      </c>
      <c r="H33" s="6"/>
      <c r="I33" s="7"/>
      <c r="J33" s="8">
        <f t="shared" si="10"/>
        <v>0</v>
      </c>
      <c r="K33" s="6"/>
      <c r="L33" s="7"/>
      <c r="M33" s="8">
        <f t="shared" si="11"/>
        <v>0</v>
      </c>
      <c r="N33" s="6"/>
      <c r="O33" s="7"/>
      <c r="P33" s="8">
        <f t="shared" si="12"/>
        <v>0</v>
      </c>
      <c r="Q33" s="1"/>
      <c r="R33" s="6">
        <f t="shared" si="13"/>
        <v>0</v>
      </c>
      <c r="S33" s="9" t="e">
        <f t="shared" si="14"/>
        <v>#DIV/0!</v>
      </c>
      <c r="T33" s="9">
        <f t="shared" si="15"/>
        <v>0</v>
      </c>
      <c r="U33" s="9" t="e">
        <f>R33 / _xlfn.XLOOKUP(A33, Support!A:A, Support!AA:AA)</f>
        <v>#DIV/0!</v>
      </c>
    </row>
    <row r="34" spans="1:21" x14ac:dyDescent="0.25">
      <c r="A34" s="1"/>
      <c r="B34" s="6"/>
      <c r="C34" s="7"/>
      <c r="D34" s="8">
        <f t="shared" si="8"/>
        <v>0</v>
      </c>
      <c r="E34" s="6"/>
      <c r="F34" s="7"/>
      <c r="G34" s="8">
        <f t="shared" si="9"/>
        <v>0</v>
      </c>
      <c r="H34" s="6"/>
      <c r="I34" s="7"/>
      <c r="J34" s="8">
        <f t="shared" si="10"/>
        <v>0</v>
      </c>
      <c r="K34" s="6"/>
      <c r="L34" s="7"/>
      <c r="M34" s="8">
        <f t="shared" si="11"/>
        <v>0</v>
      </c>
      <c r="N34" s="6"/>
      <c r="O34" s="7"/>
      <c r="P34" s="8">
        <f t="shared" si="12"/>
        <v>0</v>
      </c>
      <c r="Q34" s="1"/>
      <c r="R34" s="6">
        <f t="shared" si="13"/>
        <v>0</v>
      </c>
      <c r="S34" s="9" t="e">
        <f t="shared" si="14"/>
        <v>#DIV/0!</v>
      </c>
      <c r="T34" s="9">
        <f t="shared" si="15"/>
        <v>0</v>
      </c>
      <c r="U34" s="9" t="e">
        <f>R34 / _xlfn.XLOOKUP(A34, Support!A:A, Support!AA:AA)</f>
        <v>#DIV/0!</v>
      </c>
    </row>
    <row r="35" spans="1:21" x14ac:dyDescent="0.25">
      <c r="B35" s="6"/>
      <c r="C35" s="7"/>
      <c r="D35" s="31"/>
      <c r="E35" s="6"/>
      <c r="F35" s="7"/>
      <c r="G35" s="31"/>
      <c r="H35" s="6"/>
      <c r="I35" s="7"/>
      <c r="J35" s="31"/>
      <c r="K35" s="6"/>
      <c r="L35" s="7"/>
      <c r="M35" s="31"/>
      <c r="N35" s="1"/>
      <c r="O35" s="1"/>
      <c r="P35" s="1"/>
      <c r="Q35" s="1"/>
      <c r="R35" s="6"/>
      <c r="S35" s="9"/>
      <c r="T35" s="10"/>
      <c r="U35" s="9" t="e">
        <f>R35 / _xlfn.XLOOKUP(A35, Support!A:A, Support!AA:AA)</f>
        <v>#DIV/0!</v>
      </c>
    </row>
    <row r="36" spans="1:21" x14ac:dyDescent="0.25">
      <c r="B36" s="6"/>
      <c r="C36" s="7"/>
      <c r="D36" s="31"/>
      <c r="E36" s="6"/>
      <c r="F36" s="7"/>
      <c r="G36" s="31"/>
      <c r="H36" s="6"/>
      <c r="I36" s="7"/>
      <c r="J36" s="31"/>
      <c r="K36" s="6"/>
      <c r="L36" s="7"/>
      <c r="M36" s="31"/>
      <c r="N36" s="1"/>
      <c r="O36" s="1"/>
      <c r="P36" s="1"/>
      <c r="Q36" s="1"/>
      <c r="R36" s="6"/>
      <c r="S36" s="9"/>
      <c r="T36" s="10"/>
      <c r="U36" s="9" t="e">
        <f>R36 / _xlfn.XLOOKUP(A36, Support!A:A, Support!AA:AA)</f>
        <v>#DIV/0!</v>
      </c>
    </row>
    <row r="37" spans="1:21" x14ac:dyDescent="0.25">
      <c r="B37" s="6"/>
      <c r="C37" s="7"/>
      <c r="D37" s="31"/>
      <c r="E37" s="6"/>
      <c r="F37" s="7"/>
      <c r="G37" s="31"/>
      <c r="H37" s="6"/>
      <c r="I37" s="7"/>
      <c r="J37" s="31"/>
      <c r="K37" s="6"/>
      <c r="L37" s="7"/>
      <c r="M37" s="31"/>
      <c r="N37" s="1"/>
      <c r="O37" s="1"/>
      <c r="P37" s="1"/>
      <c r="Q37" s="1"/>
      <c r="R37" s="6"/>
      <c r="S37" s="9"/>
      <c r="T37" s="10"/>
      <c r="U37" s="9" t="e">
        <f>R37 / _xlfn.XLOOKUP(A37, Support!A:A, Support!AA:AA)</f>
        <v>#DIV/0!</v>
      </c>
    </row>
    <row r="38" spans="1:21" x14ac:dyDescent="0.25">
      <c r="U38" s="9" t="e">
        <f>R38 / _xlfn.XLOOKUP(A38, Support!A:A, Support!AA:AA)</f>
        <v>#DIV/0!</v>
      </c>
    </row>
    <row r="39" spans="1:21" x14ac:dyDescent="0.25">
      <c r="U39" s="9" t="e">
        <f>R39 / _xlfn.XLOOKUP(A39, Support!A:A, Support!AA:AA)</f>
        <v>#DIV/0!</v>
      </c>
    </row>
    <row r="40" spans="1:21" x14ac:dyDescent="0.25">
      <c r="U40" s="9" t="e">
        <f>R40 / _xlfn.XLOOKUP(A40, Support!A:A, Support!AA:AA)</f>
        <v>#DIV/0!</v>
      </c>
    </row>
    <row r="41" spans="1:21" x14ac:dyDescent="0.25">
      <c r="U41" s="9" t="e">
        <f>R41 / _xlfn.XLOOKUP(A41, Support!A:A, Support!AA:AA)</f>
        <v>#DIV/0!</v>
      </c>
    </row>
    <row r="42" spans="1:21" x14ac:dyDescent="0.25">
      <c r="U42" s="9" t="e">
        <f>R42 / _xlfn.XLOOKUP(A42, Support!A:A, Support!AA:AA)</f>
        <v>#DIV/0!</v>
      </c>
    </row>
    <row r="43" spans="1:21" x14ac:dyDescent="0.25">
      <c r="U43" s="9" t="e">
        <f>R43 / _xlfn.XLOOKUP(A43, Support!A:A, Support!AA:AA)</f>
        <v>#DIV/0!</v>
      </c>
    </row>
    <row r="44" spans="1:21" x14ac:dyDescent="0.25">
      <c r="U44" s="9" t="e">
        <f>R44 / _xlfn.XLOOKUP(A44, Support!A:A, Support!AA:AA)</f>
        <v>#DIV/0!</v>
      </c>
    </row>
    <row r="45" spans="1:21" x14ac:dyDescent="0.25">
      <c r="U45" s="9" t="e">
        <f>R45 / _xlfn.XLOOKUP(A45, Support!A:A, Support!AA:AA)</f>
        <v>#DIV/0!</v>
      </c>
    </row>
    <row r="46" spans="1:21" x14ac:dyDescent="0.25">
      <c r="U46" s="9" t="e">
        <f>R46 / _xlfn.XLOOKUP(A46, Support!A:A, Support!AA:AA)</f>
        <v>#DIV/0!</v>
      </c>
    </row>
    <row r="47" spans="1:21" x14ac:dyDescent="0.25">
      <c r="U47" s="9" t="e">
        <f>R47 / _xlfn.XLOOKUP(A47, Support!A:A, Support!AA:AA)</f>
        <v>#DIV/0!</v>
      </c>
    </row>
    <row r="48" spans="1:21" x14ac:dyDescent="0.25">
      <c r="U48" s="9" t="e">
        <f>R48 / _xlfn.XLOOKUP(A48, Support!A:A, Support!AA:AA)</f>
        <v>#DIV/0!</v>
      </c>
    </row>
    <row r="49" spans="21:21" x14ac:dyDescent="0.25">
      <c r="U49" s="9" t="e">
        <f>R49 / _xlfn.XLOOKUP(A49, Support!A:A, Support!AA:AA)</f>
        <v>#DIV/0!</v>
      </c>
    </row>
    <row r="50" spans="21:21" x14ac:dyDescent="0.25">
      <c r="U50" s="9" t="e">
        <f>R50 / _xlfn.XLOOKUP(A50, Support!A:A, Support!AA:AA)</f>
        <v>#DIV/0!</v>
      </c>
    </row>
    <row r="51" spans="21:21" x14ac:dyDescent="0.25">
      <c r="U51" s="9" t="e">
        <f>R51 / _xlfn.XLOOKUP(A51, Support!A:A, Support!AA:AA)</f>
        <v>#DIV/0!</v>
      </c>
    </row>
    <row r="52" spans="21:21" x14ac:dyDescent="0.25">
      <c r="U52" s="9" t="e">
        <f>R52 / _xlfn.XLOOKUP(A52, Support!A:A, Support!AA:AA)</f>
        <v>#DIV/0!</v>
      </c>
    </row>
    <row r="53" spans="21:21" x14ac:dyDescent="0.25">
      <c r="U53" s="9" t="e">
        <f>R53 / _xlfn.XLOOKUP(A53, Support!A:A, Support!AA:AA)</f>
        <v>#DIV/0!</v>
      </c>
    </row>
    <row r="54" spans="21:21" x14ac:dyDescent="0.25">
      <c r="U54" s="9" t="e">
        <f>R54 / _xlfn.XLOOKUP(A54, Support!A:A, Support!AA:AA)</f>
        <v>#DIV/0!</v>
      </c>
    </row>
    <row r="55" spans="21:21" x14ac:dyDescent="0.25">
      <c r="U55" s="9" t="e">
        <f>R55 / _xlfn.XLOOKUP(A55, Support!A:A, Support!AA:AA)</f>
        <v>#DIV/0!</v>
      </c>
    </row>
    <row r="56" spans="21:21" x14ac:dyDescent="0.25">
      <c r="U56" s="9" t="e">
        <f>R56 / _xlfn.XLOOKUP(A56, Support!A:A, Support!AA:AA)</f>
        <v>#DIV/0!</v>
      </c>
    </row>
  </sheetData>
  <sortState xmlns:xlrd2="http://schemas.microsoft.com/office/spreadsheetml/2017/richdata2" ref="A3:U28">
    <sortCondition descending="1" ref="S3:S28"/>
  </sortState>
  <pageMargins left="0.7" right="0.7" top="0.78740157499999996" bottom="0.78740157499999996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E9E16-1394-4863-B8EF-B7385FE88557}">
  <sheetPr>
    <tabColor theme="9" tint="0.59999389629810485"/>
  </sheetPr>
  <dimension ref="A1:W56"/>
  <sheetViews>
    <sheetView topLeftCell="A8" workbookViewId="0">
      <selection activeCell="U3" sqref="U3:U39"/>
    </sheetView>
  </sheetViews>
  <sheetFormatPr baseColWidth="10" defaultRowHeight="15" x14ac:dyDescent="0.25"/>
  <sheetData>
    <row r="1" spans="1:23" ht="15.75" x14ac:dyDescent="0.25">
      <c r="A1" s="2" t="s">
        <v>188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14</v>
      </c>
      <c r="B3" s="6"/>
      <c r="C3" s="7"/>
      <c r="D3" s="8">
        <f t="shared" ref="D3:D39" si="0">B3*C3</f>
        <v>0</v>
      </c>
      <c r="E3" s="6"/>
      <c r="F3" s="7"/>
      <c r="G3" s="8">
        <f t="shared" ref="G3:G39" si="1">E3*F3</f>
        <v>0</v>
      </c>
      <c r="H3" s="6">
        <v>3</v>
      </c>
      <c r="I3" s="7">
        <v>1</v>
      </c>
      <c r="J3" s="8">
        <f t="shared" ref="J3:J39" si="2">H3*I3</f>
        <v>3</v>
      </c>
      <c r="K3" s="6"/>
      <c r="L3" s="7"/>
      <c r="M3" s="8">
        <f t="shared" ref="M3:M39" si="3">K3*L3</f>
        <v>0</v>
      </c>
      <c r="N3" s="6"/>
      <c r="O3" s="7"/>
      <c r="P3" s="8">
        <f t="shared" ref="P3:P39" si="4">N3*O3</f>
        <v>0</v>
      </c>
      <c r="Q3" s="1"/>
      <c r="R3" s="6">
        <f t="shared" ref="R3:R39" si="5">B3+E3+H3+K3+N3</f>
        <v>3</v>
      </c>
      <c r="S3" s="9">
        <f t="shared" ref="S3:S39" si="6">(D3+G3+J3+M3+P3)/R3</f>
        <v>1</v>
      </c>
      <c r="T3" s="9">
        <f t="shared" ref="T3:T39" si="7">R3/$V$3</f>
        <v>6.1728395061728392E-3</v>
      </c>
      <c r="U3" s="9">
        <f>R3 / _xlfn.XLOOKUP(A3, Support!A:A, Support!AA:AA)</f>
        <v>0.11538461538461539</v>
      </c>
      <c r="V3" s="11">
        <f>SUM(R3:R52)</f>
        <v>486</v>
      </c>
      <c r="W3" s="12">
        <f>(SUM(D3:D100)+SUM(G3:G100)+SUM(J3:J100)+SUM(M3:M100)+SUM(P3:P100)) / V3</f>
        <v>0.65841769547325102</v>
      </c>
    </row>
    <row r="4" spans="1:23" x14ac:dyDescent="0.25">
      <c r="A4" s="1" t="s">
        <v>177</v>
      </c>
      <c r="B4" s="6">
        <v>1</v>
      </c>
      <c r="C4" s="7">
        <v>1</v>
      </c>
      <c r="D4" s="8">
        <f t="shared" si="0"/>
        <v>1</v>
      </c>
      <c r="E4" s="6"/>
      <c r="F4" s="7"/>
      <c r="G4" s="8">
        <f t="shared" si="1"/>
        <v>0</v>
      </c>
      <c r="H4" s="6"/>
      <c r="I4" s="7"/>
      <c r="J4" s="8">
        <f t="shared" si="2"/>
        <v>0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1</v>
      </c>
      <c r="S4" s="9">
        <f t="shared" si="6"/>
        <v>1</v>
      </c>
      <c r="T4" s="9">
        <f t="shared" si="7"/>
        <v>2.05761316872428E-3</v>
      </c>
      <c r="U4" s="9">
        <f>R4 / _xlfn.XLOOKUP(A4, Support!A:A, Support!AA:AA)</f>
        <v>2.0833333333333332E-2</v>
      </c>
      <c r="V4" s="6"/>
      <c r="W4" s="9"/>
    </row>
    <row r="5" spans="1:23" x14ac:dyDescent="0.25">
      <c r="A5" s="1" t="s">
        <v>118</v>
      </c>
      <c r="B5" s="6"/>
      <c r="C5" s="7"/>
      <c r="D5" s="8">
        <f t="shared" si="0"/>
        <v>0</v>
      </c>
      <c r="E5" s="6"/>
      <c r="F5" s="7"/>
      <c r="G5" s="8">
        <f t="shared" si="1"/>
        <v>0</v>
      </c>
      <c r="H5" s="6">
        <v>1</v>
      </c>
      <c r="I5" s="7">
        <v>1</v>
      </c>
      <c r="J5" s="8">
        <f t="shared" si="2"/>
        <v>1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1</v>
      </c>
      <c r="S5" s="9">
        <f t="shared" si="6"/>
        <v>1</v>
      </c>
      <c r="T5" s="9">
        <f t="shared" si="7"/>
        <v>2.05761316872428E-3</v>
      </c>
      <c r="U5" s="9">
        <f>R5 / _xlfn.XLOOKUP(A5, Support!A:A, Support!AA:AA)</f>
        <v>0.16666666666666666</v>
      </c>
      <c r="W5" s="1"/>
    </row>
    <row r="6" spans="1:23" x14ac:dyDescent="0.25">
      <c r="A6" s="1" t="s">
        <v>190</v>
      </c>
      <c r="B6" s="6">
        <v>1</v>
      </c>
      <c r="C6" s="7">
        <v>1</v>
      </c>
      <c r="D6" s="8">
        <f t="shared" si="0"/>
        <v>1</v>
      </c>
      <c r="E6" s="6"/>
      <c r="F6" s="7"/>
      <c r="G6" s="8">
        <f t="shared" si="1"/>
        <v>0</v>
      </c>
      <c r="H6" s="6"/>
      <c r="I6" s="7"/>
      <c r="J6" s="8">
        <f t="shared" si="2"/>
        <v>0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1"/>
      <c r="R6" s="6">
        <f t="shared" si="5"/>
        <v>1</v>
      </c>
      <c r="S6" s="9">
        <f t="shared" si="6"/>
        <v>1</v>
      </c>
      <c r="T6" s="9">
        <f t="shared" si="7"/>
        <v>2.05761316872428E-3</v>
      </c>
      <c r="U6" s="9">
        <f>R6 / _xlfn.XLOOKUP(A6, Support!A:A, Support!AA:AA)</f>
        <v>0.16666666666666666</v>
      </c>
      <c r="W6" s="1"/>
    </row>
    <row r="7" spans="1:23" x14ac:dyDescent="0.25">
      <c r="A7" s="1" t="s">
        <v>26</v>
      </c>
      <c r="B7" s="6">
        <v>1</v>
      </c>
      <c r="C7" s="7">
        <v>1</v>
      </c>
      <c r="D7" s="8">
        <f t="shared" si="0"/>
        <v>1</v>
      </c>
      <c r="E7" s="6"/>
      <c r="F7" s="7"/>
      <c r="G7" s="8">
        <f t="shared" si="1"/>
        <v>0</v>
      </c>
      <c r="H7" s="6"/>
      <c r="I7" s="7"/>
      <c r="J7" s="8">
        <f t="shared" si="2"/>
        <v>0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1</v>
      </c>
      <c r="S7" s="9">
        <f t="shared" si="6"/>
        <v>1</v>
      </c>
      <c r="T7" s="9">
        <f t="shared" si="7"/>
        <v>2.05761316872428E-3</v>
      </c>
      <c r="U7" s="9">
        <f>R7 / _xlfn.XLOOKUP(A7, Support!A:A, Support!AA:AA)</f>
        <v>0.2</v>
      </c>
      <c r="V7" s="1"/>
      <c r="W7" s="1"/>
    </row>
    <row r="8" spans="1:23" x14ac:dyDescent="0.25">
      <c r="A8" s="1" t="s">
        <v>180</v>
      </c>
      <c r="B8" s="6">
        <v>1</v>
      </c>
      <c r="C8" s="7">
        <v>1</v>
      </c>
      <c r="D8" s="8">
        <f t="shared" si="0"/>
        <v>1</v>
      </c>
      <c r="E8" s="6"/>
      <c r="F8" s="7"/>
      <c r="G8" s="8">
        <f t="shared" si="1"/>
        <v>0</v>
      </c>
      <c r="H8" s="6"/>
      <c r="I8" s="7"/>
      <c r="J8" s="8">
        <f t="shared" si="2"/>
        <v>0</v>
      </c>
      <c r="K8" s="6"/>
      <c r="L8" s="7"/>
      <c r="M8" s="8">
        <f t="shared" si="3"/>
        <v>0</v>
      </c>
      <c r="N8" s="6"/>
      <c r="O8" s="7"/>
      <c r="P8" s="8">
        <f t="shared" si="4"/>
        <v>0</v>
      </c>
      <c r="Q8" s="1"/>
      <c r="R8" s="6">
        <f t="shared" si="5"/>
        <v>1</v>
      </c>
      <c r="S8" s="9">
        <f t="shared" si="6"/>
        <v>1</v>
      </c>
      <c r="T8" s="9">
        <f t="shared" si="7"/>
        <v>2.05761316872428E-3</v>
      </c>
      <c r="U8" s="9">
        <f>R8 / _xlfn.XLOOKUP(A8, Support!A:A, Support!AA:AA)</f>
        <v>3.8461538461538464E-2</v>
      </c>
      <c r="V8" s="1"/>
      <c r="W8" s="1"/>
    </row>
    <row r="9" spans="1:23" x14ac:dyDescent="0.25">
      <c r="A9" s="1" t="s">
        <v>169</v>
      </c>
      <c r="B9" s="6">
        <v>9</v>
      </c>
      <c r="C9" s="7">
        <v>0.88900000000000001</v>
      </c>
      <c r="D9" s="8">
        <f t="shared" si="0"/>
        <v>8.0009999999999994</v>
      </c>
      <c r="E9" s="6">
        <v>4</v>
      </c>
      <c r="F9" s="7">
        <v>0.75</v>
      </c>
      <c r="G9" s="8">
        <f t="shared" si="1"/>
        <v>3</v>
      </c>
      <c r="H9" s="6">
        <v>7</v>
      </c>
      <c r="I9" s="7">
        <v>0.85699999999999998</v>
      </c>
      <c r="J9" s="8">
        <f t="shared" si="2"/>
        <v>5.9989999999999997</v>
      </c>
      <c r="K9" s="6">
        <v>3</v>
      </c>
      <c r="L9" s="7">
        <v>0.66700000000000004</v>
      </c>
      <c r="M9" s="8">
        <f t="shared" si="3"/>
        <v>2.0010000000000003</v>
      </c>
      <c r="N9" s="6"/>
      <c r="O9" s="7"/>
      <c r="P9" s="8">
        <f t="shared" si="4"/>
        <v>0</v>
      </c>
      <c r="Q9" s="1"/>
      <c r="R9" s="6">
        <f t="shared" si="5"/>
        <v>23</v>
      </c>
      <c r="S9" s="9">
        <f t="shared" si="6"/>
        <v>0.82613043478260872</v>
      </c>
      <c r="T9" s="9">
        <f t="shared" si="7"/>
        <v>4.7325102880658436E-2</v>
      </c>
      <c r="U9" s="9">
        <f>R9 / _xlfn.XLOOKUP(A9, Support!A:A, Support!AA:AA)</f>
        <v>7.4193548387096769E-2</v>
      </c>
      <c r="V9" s="1"/>
      <c r="W9" s="1"/>
    </row>
    <row r="10" spans="1:23" x14ac:dyDescent="0.25">
      <c r="A10" s="1" t="s">
        <v>175</v>
      </c>
      <c r="B10" s="6">
        <v>2</v>
      </c>
      <c r="C10" s="7">
        <v>1</v>
      </c>
      <c r="D10" s="8">
        <f t="shared" si="0"/>
        <v>2</v>
      </c>
      <c r="E10" s="6">
        <v>3</v>
      </c>
      <c r="F10" s="7">
        <v>0.66700000000000004</v>
      </c>
      <c r="G10" s="8">
        <f t="shared" si="1"/>
        <v>2.0010000000000003</v>
      </c>
      <c r="H10" s="6"/>
      <c r="I10" s="7"/>
      <c r="J10" s="8">
        <f t="shared" si="2"/>
        <v>0</v>
      </c>
      <c r="K10" s="6"/>
      <c r="L10" s="7"/>
      <c r="M10" s="8">
        <f t="shared" si="3"/>
        <v>0</v>
      </c>
      <c r="N10" s="6"/>
      <c r="O10" s="7"/>
      <c r="P10" s="8">
        <f t="shared" si="4"/>
        <v>0</v>
      </c>
      <c r="Q10" s="1"/>
      <c r="R10" s="6">
        <f t="shared" si="5"/>
        <v>5</v>
      </c>
      <c r="S10" s="9">
        <f t="shared" si="6"/>
        <v>0.80020000000000002</v>
      </c>
      <c r="T10" s="9">
        <f t="shared" si="7"/>
        <v>1.0288065843621399E-2</v>
      </c>
      <c r="U10" s="9">
        <f>R10 / _xlfn.XLOOKUP(A10, Support!A:A, Support!AA:AA)</f>
        <v>8.6206896551724144E-2</v>
      </c>
      <c r="V10" s="1"/>
      <c r="W10" s="1"/>
    </row>
    <row r="11" spans="1:23" x14ac:dyDescent="0.25">
      <c r="A11" s="1" t="s">
        <v>178</v>
      </c>
      <c r="B11" s="6">
        <v>12</v>
      </c>
      <c r="C11" s="7">
        <v>0.91700000000000004</v>
      </c>
      <c r="D11" s="8">
        <f t="shared" si="0"/>
        <v>11.004000000000001</v>
      </c>
      <c r="E11" s="6">
        <v>11</v>
      </c>
      <c r="F11" s="7">
        <v>0.63600000000000001</v>
      </c>
      <c r="G11" s="8">
        <f t="shared" si="1"/>
        <v>6.9960000000000004</v>
      </c>
      <c r="H11" s="6">
        <v>15</v>
      </c>
      <c r="I11" s="7">
        <v>0.86699999999999999</v>
      </c>
      <c r="J11" s="8">
        <f t="shared" si="2"/>
        <v>13.004999999999999</v>
      </c>
      <c r="K11" s="6">
        <v>11</v>
      </c>
      <c r="L11" s="7">
        <v>0.63600000000000001</v>
      </c>
      <c r="M11" s="8">
        <f t="shared" si="3"/>
        <v>6.9960000000000004</v>
      </c>
      <c r="N11" s="6"/>
      <c r="O11" s="7"/>
      <c r="P11" s="8">
        <f t="shared" si="4"/>
        <v>0</v>
      </c>
      <c r="Q11" s="4"/>
      <c r="R11" s="6">
        <f t="shared" si="5"/>
        <v>49</v>
      </c>
      <c r="S11" s="9">
        <f t="shared" si="6"/>
        <v>0.77553061224489794</v>
      </c>
      <c r="T11" s="9">
        <f t="shared" si="7"/>
        <v>0.10082304526748971</v>
      </c>
      <c r="U11" s="9">
        <f>R11 / _xlfn.XLOOKUP(A11, Support!A:A, Support!AA:AA)</f>
        <v>9.8393574297188757E-2</v>
      </c>
      <c r="V11" s="1"/>
      <c r="W11" s="1"/>
    </row>
    <row r="12" spans="1:23" x14ac:dyDescent="0.25">
      <c r="A12" s="1" t="s">
        <v>176</v>
      </c>
      <c r="B12" s="6">
        <v>6</v>
      </c>
      <c r="C12" s="7">
        <v>0.83299999999999996</v>
      </c>
      <c r="D12" s="8">
        <f t="shared" si="0"/>
        <v>4.9979999999999993</v>
      </c>
      <c r="E12" s="6">
        <v>18</v>
      </c>
      <c r="F12" s="7">
        <v>0.72199999999999998</v>
      </c>
      <c r="G12" s="8">
        <f t="shared" si="1"/>
        <v>12.995999999999999</v>
      </c>
      <c r="H12" s="6">
        <v>5</v>
      </c>
      <c r="I12" s="7">
        <v>1</v>
      </c>
      <c r="J12" s="8">
        <f t="shared" si="2"/>
        <v>5</v>
      </c>
      <c r="K12" s="6">
        <v>6</v>
      </c>
      <c r="L12" s="32">
        <v>0.66700000000000004</v>
      </c>
      <c r="M12" s="8">
        <f t="shared" si="3"/>
        <v>4.0020000000000007</v>
      </c>
      <c r="N12" s="6"/>
      <c r="O12" s="7"/>
      <c r="P12" s="8">
        <f t="shared" si="4"/>
        <v>0</v>
      </c>
      <c r="Q12" s="4"/>
      <c r="R12" s="6">
        <f t="shared" si="5"/>
        <v>35</v>
      </c>
      <c r="S12" s="9">
        <f t="shared" si="6"/>
        <v>0.77131428571428573</v>
      </c>
      <c r="T12" s="9">
        <f t="shared" si="7"/>
        <v>7.2016460905349799E-2</v>
      </c>
      <c r="U12" s="9">
        <f>R12 / _xlfn.XLOOKUP(A12, Support!A:A, Support!AA:AA)</f>
        <v>5.5467511885895403E-2</v>
      </c>
      <c r="V12" s="1"/>
      <c r="W12" s="1"/>
    </row>
    <row r="13" spans="1:23" x14ac:dyDescent="0.25">
      <c r="A13" s="1" t="s">
        <v>170</v>
      </c>
      <c r="B13" s="6">
        <v>20</v>
      </c>
      <c r="C13" s="7">
        <v>0.8</v>
      </c>
      <c r="D13" s="8">
        <f t="shared" si="0"/>
        <v>16</v>
      </c>
      <c r="E13" s="6">
        <v>5</v>
      </c>
      <c r="F13" s="7">
        <v>0.6</v>
      </c>
      <c r="G13" s="8">
        <f t="shared" si="1"/>
        <v>3</v>
      </c>
      <c r="H13" s="6"/>
      <c r="I13" s="7"/>
      <c r="J13" s="8">
        <f t="shared" si="2"/>
        <v>0</v>
      </c>
      <c r="K13" s="6"/>
      <c r="L13" s="7"/>
      <c r="M13" s="8">
        <f t="shared" si="3"/>
        <v>0</v>
      </c>
      <c r="N13" s="6"/>
      <c r="O13" s="7"/>
      <c r="P13" s="8">
        <f t="shared" si="4"/>
        <v>0</v>
      </c>
      <c r="Q13" s="1"/>
      <c r="R13" s="6">
        <f t="shared" si="5"/>
        <v>25</v>
      </c>
      <c r="S13" s="9">
        <f t="shared" si="6"/>
        <v>0.76</v>
      </c>
      <c r="T13" s="9">
        <f t="shared" si="7"/>
        <v>5.1440329218106998E-2</v>
      </c>
      <c r="U13" s="9">
        <f>R13 / _xlfn.XLOOKUP(A13, Support!A:A, Support!AA:AA)</f>
        <v>0.14880952380952381</v>
      </c>
      <c r="V13" s="1"/>
      <c r="W13" s="1"/>
    </row>
    <row r="14" spans="1:23" x14ac:dyDescent="0.25">
      <c r="A14" s="1" t="s">
        <v>171</v>
      </c>
      <c r="B14" s="6">
        <v>3</v>
      </c>
      <c r="C14" s="7">
        <v>0.66700000000000004</v>
      </c>
      <c r="D14" s="8">
        <f t="shared" si="0"/>
        <v>2.0010000000000003</v>
      </c>
      <c r="E14" s="6">
        <v>1</v>
      </c>
      <c r="F14" s="7">
        <v>1</v>
      </c>
      <c r="G14" s="8">
        <f t="shared" si="1"/>
        <v>1</v>
      </c>
      <c r="H14" s="6"/>
      <c r="I14" s="7"/>
      <c r="J14" s="8">
        <f t="shared" si="2"/>
        <v>0</v>
      </c>
      <c r="K14" s="6"/>
      <c r="L14" s="7"/>
      <c r="M14" s="8">
        <f t="shared" si="3"/>
        <v>0</v>
      </c>
      <c r="N14" s="6"/>
      <c r="O14" s="7"/>
      <c r="P14" s="8">
        <f t="shared" si="4"/>
        <v>0</v>
      </c>
      <c r="Q14" s="1"/>
      <c r="R14" s="6">
        <f t="shared" si="5"/>
        <v>4</v>
      </c>
      <c r="S14" s="9">
        <f t="shared" si="6"/>
        <v>0.75025000000000008</v>
      </c>
      <c r="T14" s="9">
        <f t="shared" si="7"/>
        <v>8.23045267489712E-3</v>
      </c>
      <c r="U14" s="9">
        <f>R14 / _xlfn.XLOOKUP(A14, Support!A:A, Support!AA:AA)</f>
        <v>3.8834951456310676E-2</v>
      </c>
      <c r="V14" s="1"/>
      <c r="W14" s="1"/>
    </row>
    <row r="15" spans="1:23" x14ac:dyDescent="0.25">
      <c r="A15" s="1" t="s">
        <v>168</v>
      </c>
      <c r="B15" s="6">
        <v>8</v>
      </c>
      <c r="C15" s="7">
        <v>0.75</v>
      </c>
      <c r="D15" s="8">
        <f t="shared" si="0"/>
        <v>6</v>
      </c>
      <c r="E15" s="6"/>
      <c r="F15" s="7"/>
      <c r="G15" s="8">
        <f t="shared" si="1"/>
        <v>0</v>
      </c>
      <c r="H15" s="6">
        <v>6</v>
      </c>
      <c r="I15" s="7">
        <v>1</v>
      </c>
      <c r="J15" s="8">
        <f t="shared" si="2"/>
        <v>6</v>
      </c>
      <c r="K15" s="6">
        <v>2</v>
      </c>
      <c r="L15" s="7">
        <v>0</v>
      </c>
      <c r="M15" s="8">
        <f t="shared" si="3"/>
        <v>0</v>
      </c>
      <c r="N15" s="6"/>
      <c r="O15" s="7"/>
      <c r="P15" s="8">
        <f t="shared" si="4"/>
        <v>0</v>
      </c>
      <c r="Q15" s="1"/>
      <c r="R15" s="6">
        <f t="shared" si="5"/>
        <v>16</v>
      </c>
      <c r="S15" s="9">
        <f t="shared" si="6"/>
        <v>0.75</v>
      </c>
      <c r="T15" s="9">
        <f t="shared" si="7"/>
        <v>3.292181069958848E-2</v>
      </c>
      <c r="U15" s="9">
        <f>R15 / _xlfn.XLOOKUP(A15, Support!A:A, Support!AA:AA)</f>
        <v>8.4210526315789472E-2</v>
      </c>
      <c r="V15" s="1"/>
      <c r="W15" s="1"/>
    </row>
    <row r="16" spans="1:23" x14ac:dyDescent="0.25">
      <c r="A16" s="1" t="s">
        <v>189</v>
      </c>
      <c r="B16" s="6">
        <v>6</v>
      </c>
      <c r="C16" s="7">
        <v>0.83299999999999996</v>
      </c>
      <c r="D16" s="8">
        <f t="shared" si="0"/>
        <v>4.9979999999999993</v>
      </c>
      <c r="E16" s="6">
        <v>2</v>
      </c>
      <c r="F16" s="7">
        <v>0.5</v>
      </c>
      <c r="G16" s="8">
        <f t="shared" si="1"/>
        <v>1</v>
      </c>
      <c r="H16" s="6"/>
      <c r="I16" s="7"/>
      <c r="J16" s="8">
        <f t="shared" si="2"/>
        <v>0</v>
      </c>
      <c r="K16" s="6"/>
      <c r="L16" s="7"/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8</v>
      </c>
      <c r="S16" s="9">
        <f t="shared" si="6"/>
        <v>0.74974999999999992</v>
      </c>
      <c r="T16" s="9">
        <f t="shared" si="7"/>
        <v>1.646090534979424E-2</v>
      </c>
      <c r="U16" s="9">
        <f>R16 / _xlfn.XLOOKUP(A16, Support!A:A, Support!AA:AA)</f>
        <v>1.6</v>
      </c>
      <c r="V16" s="1"/>
      <c r="W16" s="1"/>
    </row>
    <row r="17" spans="1:23" x14ac:dyDescent="0.25">
      <c r="A17" s="1" t="s">
        <v>91</v>
      </c>
      <c r="B17" s="6"/>
      <c r="C17" s="7"/>
      <c r="D17" s="8">
        <f t="shared" si="0"/>
        <v>0</v>
      </c>
      <c r="E17" s="6"/>
      <c r="F17" s="7"/>
      <c r="G17" s="8">
        <f t="shared" si="1"/>
        <v>0</v>
      </c>
      <c r="H17" s="6"/>
      <c r="I17" s="7"/>
      <c r="J17" s="8">
        <f t="shared" si="2"/>
        <v>0</v>
      </c>
      <c r="K17" s="6">
        <v>3</v>
      </c>
      <c r="L17" s="7">
        <v>0.66700000000000004</v>
      </c>
      <c r="M17" s="8">
        <f t="shared" si="3"/>
        <v>2.0010000000000003</v>
      </c>
      <c r="N17" s="6"/>
      <c r="O17" s="7"/>
      <c r="P17" s="8">
        <f t="shared" si="4"/>
        <v>0</v>
      </c>
      <c r="Q17" s="1"/>
      <c r="R17" s="6">
        <f t="shared" si="5"/>
        <v>3</v>
      </c>
      <c r="S17" s="9">
        <f t="shared" si="6"/>
        <v>0.66700000000000015</v>
      </c>
      <c r="T17" s="9">
        <f t="shared" si="7"/>
        <v>6.1728395061728392E-3</v>
      </c>
      <c r="U17" s="9">
        <f>R17 / _xlfn.XLOOKUP(A17, Support!A:A, Support!AA:AA)</f>
        <v>1.7857142857142856E-2</v>
      </c>
      <c r="V17" s="1"/>
      <c r="W17" s="1"/>
    </row>
    <row r="18" spans="1:23" x14ac:dyDescent="0.25">
      <c r="A18" s="1" t="s">
        <v>23</v>
      </c>
      <c r="B18" s="6"/>
      <c r="C18" s="7"/>
      <c r="D18" s="8">
        <f t="shared" si="0"/>
        <v>0</v>
      </c>
      <c r="E18" s="6"/>
      <c r="F18" s="7"/>
      <c r="G18" s="8">
        <f t="shared" si="1"/>
        <v>0</v>
      </c>
      <c r="H18" s="6">
        <v>3</v>
      </c>
      <c r="I18" s="7">
        <v>0.66700000000000004</v>
      </c>
      <c r="J18" s="8">
        <f t="shared" si="2"/>
        <v>2.0010000000000003</v>
      </c>
      <c r="K18" s="6"/>
      <c r="L18" s="7"/>
      <c r="M18" s="8">
        <f t="shared" si="3"/>
        <v>0</v>
      </c>
      <c r="N18" s="6"/>
      <c r="O18" s="7"/>
      <c r="P18" s="8">
        <f t="shared" si="4"/>
        <v>0</v>
      </c>
      <c r="Q18" s="1"/>
      <c r="R18" s="6">
        <f t="shared" si="5"/>
        <v>3</v>
      </c>
      <c r="S18" s="9">
        <f t="shared" si="6"/>
        <v>0.66700000000000015</v>
      </c>
      <c r="T18" s="9">
        <f t="shared" si="7"/>
        <v>6.1728395061728392E-3</v>
      </c>
      <c r="U18" s="9">
        <f>R18 / _xlfn.XLOOKUP(A18, Support!A:A, Support!AA:AA)</f>
        <v>0.25</v>
      </c>
      <c r="V18" s="1"/>
      <c r="W18" s="1"/>
    </row>
    <row r="19" spans="1:23" x14ac:dyDescent="0.25">
      <c r="A19" s="1" t="s">
        <v>113</v>
      </c>
      <c r="B19" s="6"/>
      <c r="C19" s="7"/>
      <c r="D19" s="8">
        <f t="shared" si="0"/>
        <v>0</v>
      </c>
      <c r="E19" s="6">
        <v>1</v>
      </c>
      <c r="F19" s="7">
        <v>1</v>
      </c>
      <c r="G19" s="8">
        <f t="shared" si="1"/>
        <v>1</v>
      </c>
      <c r="H19" s="6">
        <v>2</v>
      </c>
      <c r="I19" s="7">
        <v>0.5</v>
      </c>
      <c r="J19" s="8">
        <f t="shared" si="2"/>
        <v>1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4"/>
      <c r="R19" s="6">
        <f t="shared" si="5"/>
        <v>3</v>
      </c>
      <c r="S19" s="9">
        <f t="shared" si="6"/>
        <v>0.66666666666666663</v>
      </c>
      <c r="T19" s="9">
        <f t="shared" si="7"/>
        <v>6.1728395061728392E-3</v>
      </c>
      <c r="U19" s="9">
        <f>R19 / _xlfn.XLOOKUP(A19, Support!A:A, Support!AA:AA)</f>
        <v>0.23076923076923078</v>
      </c>
      <c r="V19" s="1"/>
      <c r="W19" s="1"/>
    </row>
    <row r="20" spans="1:23" x14ac:dyDescent="0.25">
      <c r="A20" s="1" t="s">
        <v>173</v>
      </c>
      <c r="B20" s="6">
        <v>6</v>
      </c>
      <c r="C20" s="7">
        <v>0.83299999999999996</v>
      </c>
      <c r="D20" s="8">
        <f t="shared" si="0"/>
        <v>4.9979999999999993</v>
      </c>
      <c r="E20" s="6">
        <v>19</v>
      </c>
      <c r="F20" s="7">
        <v>0.68400000000000005</v>
      </c>
      <c r="G20" s="8">
        <f t="shared" si="1"/>
        <v>12.996</v>
      </c>
      <c r="H20" s="6">
        <v>10</v>
      </c>
      <c r="I20" s="7">
        <v>0.7</v>
      </c>
      <c r="J20" s="8">
        <f t="shared" si="2"/>
        <v>7</v>
      </c>
      <c r="K20" s="6">
        <v>4</v>
      </c>
      <c r="L20" s="7">
        <v>0.25</v>
      </c>
      <c r="M20" s="8">
        <f t="shared" si="3"/>
        <v>1</v>
      </c>
      <c r="N20" s="6"/>
      <c r="O20" s="7"/>
      <c r="P20" s="8">
        <f t="shared" si="4"/>
        <v>0</v>
      </c>
      <c r="Q20" s="1"/>
      <c r="R20" s="6">
        <f t="shared" si="5"/>
        <v>39</v>
      </c>
      <c r="S20" s="9">
        <f t="shared" si="6"/>
        <v>0.66651282051282046</v>
      </c>
      <c r="T20" s="9">
        <f t="shared" si="7"/>
        <v>8.0246913580246909E-2</v>
      </c>
      <c r="U20" s="9">
        <f>R20 / _xlfn.XLOOKUP(A20, Support!A:A, Support!AA:AA)</f>
        <v>0.12662337662337661</v>
      </c>
      <c r="V20" s="1"/>
      <c r="W20" s="1"/>
    </row>
    <row r="21" spans="1:23" x14ac:dyDescent="0.25">
      <c r="A21" s="1" t="s">
        <v>183</v>
      </c>
      <c r="B21" s="6"/>
      <c r="C21" s="7"/>
      <c r="D21" s="8">
        <f t="shared" si="0"/>
        <v>0</v>
      </c>
      <c r="E21" s="6">
        <v>5</v>
      </c>
      <c r="F21" s="7">
        <v>0.8</v>
      </c>
      <c r="G21" s="8">
        <f t="shared" si="1"/>
        <v>4</v>
      </c>
      <c r="H21" s="6">
        <v>7</v>
      </c>
      <c r="I21" s="7">
        <v>0.85699999999999998</v>
      </c>
      <c r="J21" s="8">
        <f t="shared" si="2"/>
        <v>5.9989999999999997</v>
      </c>
      <c r="K21" s="6">
        <v>6</v>
      </c>
      <c r="L21" s="7">
        <v>0.33300000000000002</v>
      </c>
      <c r="M21" s="8">
        <f t="shared" si="3"/>
        <v>1.9980000000000002</v>
      </c>
      <c r="N21" s="6"/>
      <c r="O21" s="7"/>
      <c r="P21" s="8">
        <f t="shared" si="4"/>
        <v>0</v>
      </c>
      <c r="Q21" s="1"/>
      <c r="R21" s="6">
        <f t="shared" si="5"/>
        <v>18</v>
      </c>
      <c r="S21" s="9">
        <f t="shared" si="6"/>
        <v>0.66649999999999998</v>
      </c>
      <c r="T21" s="9">
        <f t="shared" si="7"/>
        <v>3.7037037037037035E-2</v>
      </c>
      <c r="U21" s="9">
        <f>R21 / _xlfn.XLOOKUP(A21, Support!A:A, Support!AA:AA)</f>
        <v>0.24</v>
      </c>
      <c r="V21" s="1"/>
      <c r="W21" s="1"/>
    </row>
    <row r="22" spans="1:23" x14ac:dyDescent="0.25">
      <c r="A22" s="1" t="s">
        <v>30</v>
      </c>
      <c r="B22" s="6"/>
      <c r="C22" s="7"/>
      <c r="D22" s="8">
        <f t="shared" si="0"/>
        <v>0</v>
      </c>
      <c r="E22" s="6">
        <v>1</v>
      </c>
      <c r="F22" s="7">
        <v>1</v>
      </c>
      <c r="G22" s="8">
        <f t="shared" si="1"/>
        <v>1</v>
      </c>
      <c r="H22" s="6">
        <v>6</v>
      </c>
      <c r="I22" s="7">
        <v>0.83299999999999996</v>
      </c>
      <c r="J22" s="8">
        <f t="shared" si="2"/>
        <v>4.9979999999999993</v>
      </c>
      <c r="K22" s="6">
        <v>2</v>
      </c>
      <c r="L22" s="7">
        <v>0</v>
      </c>
      <c r="M22" s="8">
        <f t="shared" si="3"/>
        <v>0</v>
      </c>
      <c r="N22" s="6"/>
      <c r="O22" s="7"/>
      <c r="P22" s="8">
        <f t="shared" si="4"/>
        <v>0</v>
      </c>
      <c r="Q22" s="13"/>
      <c r="R22" s="6">
        <f t="shared" si="5"/>
        <v>9</v>
      </c>
      <c r="S22" s="9">
        <f t="shared" si="6"/>
        <v>0.66644444444444439</v>
      </c>
      <c r="T22" s="9">
        <f t="shared" si="7"/>
        <v>1.8518518518518517E-2</v>
      </c>
      <c r="U22" s="9">
        <f>R22 / _xlfn.XLOOKUP(A22, Support!A:A, Support!AA:AA)</f>
        <v>0.20454545454545456</v>
      </c>
      <c r="V22" s="1"/>
      <c r="W22" s="1"/>
    </row>
    <row r="23" spans="1:23" x14ac:dyDescent="0.25">
      <c r="A23" s="1" t="s">
        <v>90</v>
      </c>
      <c r="B23" s="6">
        <v>6</v>
      </c>
      <c r="C23" s="7">
        <v>0.5</v>
      </c>
      <c r="D23" s="8">
        <f t="shared" si="0"/>
        <v>3</v>
      </c>
      <c r="E23" s="6">
        <v>25</v>
      </c>
      <c r="F23" s="7">
        <v>0.76</v>
      </c>
      <c r="G23" s="8">
        <f t="shared" si="1"/>
        <v>19</v>
      </c>
      <c r="H23" s="6">
        <v>23</v>
      </c>
      <c r="I23" s="7">
        <v>0.78300000000000003</v>
      </c>
      <c r="J23" s="8">
        <f t="shared" si="2"/>
        <v>18.009</v>
      </c>
      <c r="K23" s="6">
        <v>20</v>
      </c>
      <c r="L23" s="7">
        <v>0.3</v>
      </c>
      <c r="M23" s="8">
        <f t="shared" si="3"/>
        <v>6</v>
      </c>
      <c r="N23" s="6"/>
      <c r="O23" s="7"/>
      <c r="P23" s="8">
        <f t="shared" si="4"/>
        <v>0</v>
      </c>
      <c r="Q23" s="1"/>
      <c r="R23" s="6">
        <f t="shared" si="5"/>
        <v>74</v>
      </c>
      <c r="S23" s="9">
        <f t="shared" si="6"/>
        <v>0.62174324324324326</v>
      </c>
      <c r="T23" s="9">
        <f t="shared" si="7"/>
        <v>0.15226337448559671</v>
      </c>
      <c r="U23" s="9">
        <f>R23 / _xlfn.XLOOKUP(A23, Support!A:A, Support!AA:AA)</f>
        <v>0.12091503267973856</v>
      </c>
      <c r="V23" s="1"/>
      <c r="W23" s="1"/>
    </row>
    <row r="24" spans="1:23" x14ac:dyDescent="0.25">
      <c r="A24" s="1" t="s">
        <v>179</v>
      </c>
      <c r="B24" s="6">
        <v>5</v>
      </c>
      <c r="C24" s="7">
        <v>0.6</v>
      </c>
      <c r="D24" s="8">
        <f t="shared" si="0"/>
        <v>3</v>
      </c>
      <c r="E24" s="6">
        <v>13</v>
      </c>
      <c r="F24" s="7">
        <v>0.76900000000000002</v>
      </c>
      <c r="G24" s="8">
        <f t="shared" si="1"/>
        <v>9.9969999999999999</v>
      </c>
      <c r="H24" s="6">
        <v>13</v>
      </c>
      <c r="I24" s="7">
        <v>0.84599999999999997</v>
      </c>
      <c r="J24" s="8">
        <f t="shared" si="2"/>
        <v>10.997999999999999</v>
      </c>
      <c r="K24" s="6">
        <v>16</v>
      </c>
      <c r="L24" s="7">
        <v>0.313</v>
      </c>
      <c r="M24" s="8">
        <f t="shared" si="3"/>
        <v>5.008</v>
      </c>
      <c r="N24" s="6"/>
      <c r="O24" s="7"/>
      <c r="P24" s="8">
        <f t="shared" si="4"/>
        <v>0</v>
      </c>
      <c r="Q24" s="1"/>
      <c r="R24" s="6">
        <f t="shared" si="5"/>
        <v>47</v>
      </c>
      <c r="S24" s="9">
        <f t="shared" si="6"/>
        <v>0.61708510638297864</v>
      </c>
      <c r="T24" s="9">
        <f t="shared" si="7"/>
        <v>9.6707818930041156E-2</v>
      </c>
      <c r="U24" s="9">
        <f>R24 / _xlfn.XLOOKUP(A24, Support!A:A, Support!AA:AA)</f>
        <v>9.9156118143459912E-2</v>
      </c>
      <c r="V24" s="1"/>
      <c r="W24" s="1"/>
    </row>
    <row r="25" spans="1:23" x14ac:dyDescent="0.25">
      <c r="A25" s="1" t="s">
        <v>172</v>
      </c>
      <c r="B25" s="6">
        <v>8</v>
      </c>
      <c r="C25" s="7">
        <v>0.75</v>
      </c>
      <c r="D25" s="8">
        <f t="shared" si="0"/>
        <v>6</v>
      </c>
      <c r="E25" s="6">
        <v>6</v>
      </c>
      <c r="F25" s="7">
        <v>0.16700000000000001</v>
      </c>
      <c r="G25" s="8">
        <f t="shared" si="1"/>
        <v>1.002</v>
      </c>
      <c r="H25" s="6">
        <v>10</v>
      </c>
      <c r="I25" s="7">
        <v>0.9</v>
      </c>
      <c r="J25" s="8">
        <f t="shared" si="2"/>
        <v>9</v>
      </c>
      <c r="K25" s="6">
        <v>2</v>
      </c>
      <c r="L25" s="7">
        <v>0</v>
      </c>
      <c r="M25" s="8">
        <f t="shared" si="3"/>
        <v>0</v>
      </c>
      <c r="N25" s="6"/>
      <c r="O25" s="7"/>
      <c r="P25" s="8">
        <f t="shared" si="4"/>
        <v>0</v>
      </c>
      <c r="Q25" s="1"/>
      <c r="R25" s="6">
        <f t="shared" si="5"/>
        <v>26</v>
      </c>
      <c r="S25" s="9">
        <f t="shared" si="6"/>
        <v>0.61546153846153839</v>
      </c>
      <c r="T25" s="9">
        <f t="shared" si="7"/>
        <v>5.3497942386831275E-2</v>
      </c>
      <c r="U25" s="9">
        <f>R25 / _xlfn.XLOOKUP(A25, Support!A:A, Support!AA:AA)</f>
        <v>9.5940959409594101E-2</v>
      </c>
      <c r="V25" s="1"/>
      <c r="W25" s="1"/>
    </row>
    <row r="26" spans="1:23" x14ac:dyDescent="0.25">
      <c r="A26" s="1" t="s">
        <v>29</v>
      </c>
      <c r="B26" s="6">
        <v>7</v>
      </c>
      <c r="C26" s="7">
        <v>0.42899999999999999</v>
      </c>
      <c r="D26" s="8">
        <f t="shared" si="0"/>
        <v>3.0030000000000001</v>
      </c>
      <c r="E26" s="6">
        <v>11</v>
      </c>
      <c r="F26" s="7">
        <v>0.72699999999999998</v>
      </c>
      <c r="G26" s="8">
        <f t="shared" si="1"/>
        <v>7.9969999999999999</v>
      </c>
      <c r="H26" s="6"/>
      <c r="I26" s="7"/>
      <c r="J26" s="8">
        <f t="shared" si="2"/>
        <v>0</v>
      </c>
      <c r="K26" s="6"/>
      <c r="L26" s="7"/>
      <c r="M26" s="8">
        <f t="shared" si="3"/>
        <v>0</v>
      </c>
      <c r="N26" s="6"/>
      <c r="O26" s="7"/>
      <c r="P26" s="8">
        <f t="shared" si="4"/>
        <v>0</v>
      </c>
      <c r="Q26" s="4"/>
      <c r="R26" s="6">
        <f t="shared" si="5"/>
        <v>18</v>
      </c>
      <c r="S26" s="9">
        <f t="shared" si="6"/>
        <v>0.61111111111111116</v>
      </c>
      <c r="T26" s="9">
        <f t="shared" si="7"/>
        <v>3.7037037037037035E-2</v>
      </c>
      <c r="U26" s="9">
        <f>R26 / _xlfn.XLOOKUP(A26, Support!A:A, Support!AA:AA)</f>
        <v>0.09</v>
      </c>
      <c r="V26" s="1"/>
      <c r="W26" s="1"/>
    </row>
    <row r="27" spans="1:23" x14ac:dyDescent="0.25">
      <c r="A27" s="1" t="s">
        <v>186</v>
      </c>
      <c r="B27" s="6"/>
      <c r="C27" s="7"/>
      <c r="D27" s="8">
        <f t="shared" si="0"/>
        <v>0</v>
      </c>
      <c r="E27" s="6">
        <v>1</v>
      </c>
      <c r="F27" s="7">
        <v>0</v>
      </c>
      <c r="G27" s="8">
        <f t="shared" si="1"/>
        <v>0</v>
      </c>
      <c r="H27" s="6">
        <v>10</v>
      </c>
      <c r="I27" s="7">
        <v>0.7</v>
      </c>
      <c r="J27" s="8">
        <f t="shared" si="2"/>
        <v>7</v>
      </c>
      <c r="K27" s="6">
        <v>1</v>
      </c>
      <c r="L27" s="7">
        <v>0</v>
      </c>
      <c r="M27" s="8">
        <f t="shared" si="3"/>
        <v>0</v>
      </c>
      <c r="N27" s="6"/>
      <c r="O27" s="7"/>
      <c r="P27" s="8">
        <f t="shared" si="4"/>
        <v>0</v>
      </c>
      <c r="Q27" s="1"/>
      <c r="R27" s="6">
        <f t="shared" si="5"/>
        <v>12</v>
      </c>
      <c r="S27" s="9">
        <f t="shared" si="6"/>
        <v>0.58333333333333337</v>
      </c>
      <c r="T27" s="9">
        <f t="shared" si="7"/>
        <v>2.4691358024691357E-2</v>
      </c>
      <c r="U27" s="9">
        <f>R27 / _xlfn.XLOOKUP(A27, Support!A:A, Support!AA:AA)</f>
        <v>0.11320754716981132</v>
      </c>
      <c r="V27" s="1"/>
      <c r="W27" s="1"/>
    </row>
    <row r="28" spans="1:23" x14ac:dyDescent="0.25">
      <c r="A28" s="25" t="s">
        <v>81</v>
      </c>
      <c r="B28" s="6"/>
      <c r="C28" s="7"/>
      <c r="D28" s="8">
        <f t="shared" si="0"/>
        <v>0</v>
      </c>
      <c r="E28" s="6"/>
      <c r="F28" s="7"/>
      <c r="G28" s="8">
        <f t="shared" si="1"/>
        <v>0</v>
      </c>
      <c r="H28" s="6"/>
      <c r="I28" s="7"/>
      <c r="J28" s="8">
        <f t="shared" si="2"/>
        <v>0</v>
      </c>
      <c r="K28" s="6">
        <v>17</v>
      </c>
      <c r="L28" s="7">
        <v>0.52900000000000003</v>
      </c>
      <c r="M28" s="8">
        <f t="shared" si="3"/>
        <v>8.9930000000000003</v>
      </c>
      <c r="N28" s="6"/>
      <c r="O28" s="7"/>
      <c r="P28" s="8">
        <f t="shared" si="4"/>
        <v>0</v>
      </c>
      <c r="Q28" s="1"/>
      <c r="R28" s="6">
        <f t="shared" si="5"/>
        <v>17</v>
      </c>
      <c r="S28" s="9">
        <f t="shared" si="6"/>
        <v>0.52900000000000003</v>
      </c>
      <c r="T28" s="9">
        <f t="shared" si="7"/>
        <v>3.4979423868312758E-2</v>
      </c>
      <c r="U28" s="9">
        <f>R28 / _xlfn.XLOOKUP(A28, Support!A:A, Support!AA:AA)</f>
        <v>0.37777777777777777</v>
      </c>
      <c r="V28" s="1"/>
      <c r="W28" s="1"/>
    </row>
    <row r="29" spans="1:23" x14ac:dyDescent="0.25">
      <c r="A29" s="1" t="s">
        <v>80</v>
      </c>
      <c r="B29" s="6"/>
      <c r="C29" s="7"/>
      <c r="D29" s="8">
        <f t="shared" si="0"/>
        <v>0</v>
      </c>
      <c r="E29" s="6"/>
      <c r="F29" s="7"/>
      <c r="G29" s="8">
        <f t="shared" si="1"/>
        <v>0</v>
      </c>
      <c r="H29" s="6">
        <v>5</v>
      </c>
      <c r="I29" s="7">
        <v>0.6</v>
      </c>
      <c r="J29" s="8">
        <f t="shared" si="2"/>
        <v>3</v>
      </c>
      <c r="K29" s="6">
        <v>5</v>
      </c>
      <c r="L29" s="7">
        <v>0.4</v>
      </c>
      <c r="M29" s="8">
        <f t="shared" si="3"/>
        <v>2</v>
      </c>
      <c r="N29" s="6"/>
      <c r="O29" s="7"/>
      <c r="P29" s="8">
        <f t="shared" si="4"/>
        <v>0</v>
      </c>
      <c r="Q29" s="1"/>
      <c r="R29" s="6">
        <f t="shared" si="5"/>
        <v>10</v>
      </c>
      <c r="S29" s="9">
        <f t="shared" si="6"/>
        <v>0.5</v>
      </c>
      <c r="T29" s="9">
        <f t="shared" si="7"/>
        <v>2.0576131687242798E-2</v>
      </c>
      <c r="U29" s="9">
        <f>R29 / _xlfn.XLOOKUP(A29, Support!A:A, Support!AA:AA)</f>
        <v>2.0533880903490759E-2</v>
      </c>
      <c r="V29" s="1"/>
      <c r="W29" s="1"/>
    </row>
    <row r="30" spans="1:23" x14ac:dyDescent="0.25">
      <c r="A30" s="1" t="s">
        <v>78</v>
      </c>
      <c r="B30" s="6"/>
      <c r="C30" s="7"/>
      <c r="D30" s="8">
        <f t="shared" si="0"/>
        <v>0</v>
      </c>
      <c r="E30" s="6"/>
      <c r="F30" s="7"/>
      <c r="G30" s="8">
        <f t="shared" si="1"/>
        <v>0</v>
      </c>
      <c r="H30" s="6"/>
      <c r="I30" s="7"/>
      <c r="J30" s="8">
        <f t="shared" si="2"/>
        <v>0</v>
      </c>
      <c r="K30" s="6">
        <v>2</v>
      </c>
      <c r="L30" s="7">
        <v>0.5</v>
      </c>
      <c r="M30" s="8">
        <f t="shared" si="3"/>
        <v>1</v>
      </c>
      <c r="N30" s="6"/>
      <c r="O30" s="7"/>
      <c r="P30" s="8">
        <f t="shared" si="4"/>
        <v>0</v>
      </c>
      <c r="Q30" s="1"/>
      <c r="R30" s="6">
        <f t="shared" si="5"/>
        <v>2</v>
      </c>
      <c r="S30" s="9">
        <f t="shared" si="6"/>
        <v>0.5</v>
      </c>
      <c r="T30" s="9">
        <f t="shared" si="7"/>
        <v>4.11522633744856E-3</v>
      </c>
      <c r="U30" s="9">
        <f>R30 / _xlfn.XLOOKUP(A30, Support!A:A, Support!AA:AA)</f>
        <v>0.22222222222222221</v>
      </c>
      <c r="V30" s="1"/>
      <c r="W30" s="1"/>
    </row>
    <row r="31" spans="1:23" x14ac:dyDescent="0.25">
      <c r="A31" s="1" t="s">
        <v>31</v>
      </c>
      <c r="B31" s="6"/>
      <c r="C31" s="7"/>
      <c r="D31" s="8">
        <f t="shared" si="0"/>
        <v>0</v>
      </c>
      <c r="E31" s="6"/>
      <c r="F31" s="7"/>
      <c r="G31" s="8">
        <f t="shared" si="1"/>
        <v>0</v>
      </c>
      <c r="H31" s="6">
        <v>1</v>
      </c>
      <c r="I31" s="7">
        <v>1</v>
      </c>
      <c r="J31" s="8">
        <f t="shared" si="2"/>
        <v>1</v>
      </c>
      <c r="K31" s="6">
        <v>1</v>
      </c>
      <c r="L31" s="7">
        <v>0</v>
      </c>
      <c r="M31" s="8">
        <f t="shared" si="3"/>
        <v>0</v>
      </c>
      <c r="N31" s="6"/>
      <c r="O31" s="7"/>
      <c r="P31" s="8">
        <f t="shared" si="4"/>
        <v>0</v>
      </c>
      <c r="Q31" s="1"/>
      <c r="R31" s="6">
        <f t="shared" si="5"/>
        <v>2</v>
      </c>
      <c r="S31" s="9">
        <f t="shared" si="6"/>
        <v>0.5</v>
      </c>
      <c r="T31" s="9">
        <f t="shared" si="7"/>
        <v>4.11522633744856E-3</v>
      </c>
      <c r="U31" s="9">
        <f>R31 / _xlfn.XLOOKUP(A31, Support!A:A, Support!AA:AA)</f>
        <v>1.6129032258064516E-2</v>
      </c>
      <c r="V31" s="1"/>
      <c r="W31" s="1"/>
    </row>
    <row r="32" spans="1:23" x14ac:dyDescent="0.25">
      <c r="A32" s="1" t="s">
        <v>185</v>
      </c>
      <c r="B32" s="6"/>
      <c r="C32" s="7"/>
      <c r="D32" s="8">
        <f t="shared" si="0"/>
        <v>0</v>
      </c>
      <c r="E32" s="6"/>
      <c r="F32" s="7"/>
      <c r="G32" s="8">
        <f t="shared" si="1"/>
        <v>0</v>
      </c>
      <c r="H32" s="6"/>
      <c r="I32" s="7"/>
      <c r="J32" s="8">
        <f t="shared" si="2"/>
        <v>0</v>
      </c>
      <c r="K32" s="6">
        <v>2</v>
      </c>
      <c r="L32" s="7">
        <v>0.5</v>
      </c>
      <c r="M32" s="8">
        <f t="shared" si="3"/>
        <v>1</v>
      </c>
      <c r="N32" s="6"/>
      <c r="O32" s="7"/>
      <c r="P32" s="8">
        <f t="shared" si="4"/>
        <v>0</v>
      </c>
      <c r="Q32" s="1"/>
      <c r="R32" s="6">
        <f t="shared" si="5"/>
        <v>2</v>
      </c>
      <c r="S32" s="9">
        <f t="shared" si="6"/>
        <v>0.5</v>
      </c>
      <c r="T32" s="9">
        <f t="shared" si="7"/>
        <v>4.11522633744856E-3</v>
      </c>
      <c r="U32" s="9">
        <f>R32 / _xlfn.XLOOKUP(A32, Support!A:A, Support!AA:AA)</f>
        <v>0.2</v>
      </c>
      <c r="V32" s="1"/>
      <c r="W32" s="1"/>
    </row>
    <row r="33" spans="1:23" x14ac:dyDescent="0.25">
      <c r="A33" s="1" t="s">
        <v>191</v>
      </c>
      <c r="B33" s="6">
        <v>1</v>
      </c>
      <c r="C33" s="7">
        <v>0</v>
      </c>
      <c r="D33" s="8">
        <f t="shared" si="0"/>
        <v>0</v>
      </c>
      <c r="E33" s="6"/>
      <c r="F33" s="7"/>
      <c r="G33" s="8">
        <f t="shared" si="1"/>
        <v>0</v>
      </c>
      <c r="H33" s="6"/>
      <c r="I33" s="7"/>
      <c r="J33" s="8">
        <f t="shared" si="2"/>
        <v>0</v>
      </c>
      <c r="K33" s="6">
        <v>9</v>
      </c>
      <c r="L33" s="7">
        <v>0.44400000000000001</v>
      </c>
      <c r="M33" s="8">
        <f t="shared" si="3"/>
        <v>3.996</v>
      </c>
      <c r="N33" s="6"/>
      <c r="O33" s="7"/>
      <c r="P33" s="8">
        <f t="shared" si="4"/>
        <v>0</v>
      </c>
      <c r="Q33" s="1"/>
      <c r="R33" s="6">
        <f t="shared" si="5"/>
        <v>10</v>
      </c>
      <c r="S33" s="9">
        <f t="shared" si="6"/>
        <v>0.39960000000000001</v>
      </c>
      <c r="T33" s="9">
        <f t="shared" si="7"/>
        <v>2.0576131687242798E-2</v>
      </c>
      <c r="U33" s="9">
        <f>R33 / _xlfn.XLOOKUP(A33, Support!A:A, Support!AA:AA)</f>
        <v>0.43478260869565216</v>
      </c>
      <c r="V33" s="1"/>
      <c r="W33" s="1"/>
    </row>
    <row r="34" spans="1:23" x14ac:dyDescent="0.25">
      <c r="A34" s="1" t="s">
        <v>182</v>
      </c>
      <c r="B34" s="6">
        <v>3</v>
      </c>
      <c r="C34" s="7">
        <v>0.66700000000000004</v>
      </c>
      <c r="D34" s="8">
        <f t="shared" si="0"/>
        <v>2.0010000000000003</v>
      </c>
      <c r="E34" s="6"/>
      <c r="F34" s="7"/>
      <c r="G34" s="8">
        <f t="shared" si="1"/>
        <v>0</v>
      </c>
      <c r="H34" s="6">
        <v>3</v>
      </c>
      <c r="I34" s="7">
        <v>0.33300000000000002</v>
      </c>
      <c r="J34" s="8">
        <f t="shared" si="2"/>
        <v>0.99900000000000011</v>
      </c>
      <c r="K34" s="6">
        <v>3</v>
      </c>
      <c r="L34" s="7">
        <v>0</v>
      </c>
      <c r="M34" s="8">
        <f t="shared" si="3"/>
        <v>0</v>
      </c>
      <c r="N34" s="6"/>
      <c r="O34" s="7"/>
      <c r="P34" s="8">
        <f t="shared" si="4"/>
        <v>0</v>
      </c>
      <c r="Q34" s="1"/>
      <c r="R34" s="6">
        <f t="shared" si="5"/>
        <v>9</v>
      </c>
      <c r="S34" s="9">
        <f t="shared" si="6"/>
        <v>0.33333333333333337</v>
      </c>
      <c r="T34" s="9">
        <f t="shared" si="7"/>
        <v>1.8518518518518517E-2</v>
      </c>
      <c r="U34" s="9">
        <f>R34 / _xlfn.XLOOKUP(A34, Support!A:A, Support!AA:AA)</f>
        <v>3.2967032967032968E-2</v>
      </c>
      <c r="V34" s="1"/>
      <c r="W34" s="1"/>
    </row>
    <row r="35" spans="1:23" x14ac:dyDescent="0.25">
      <c r="A35" s="1" t="s">
        <v>147</v>
      </c>
      <c r="B35" s="6"/>
      <c r="C35" s="7"/>
      <c r="D35" s="8">
        <f t="shared" si="0"/>
        <v>0</v>
      </c>
      <c r="E35" s="6">
        <v>1</v>
      </c>
      <c r="F35" s="7">
        <v>0</v>
      </c>
      <c r="G35" s="8">
        <f t="shared" si="1"/>
        <v>0</v>
      </c>
      <c r="H35" s="6">
        <v>3</v>
      </c>
      <c r="I35" s="7">
        <v>0.33300000000000002</v>
      </c>
      <c r="J35" s="8">
        <f t="shared" si="2"/>
        <v>0.99900000000000011</v>
      </c>
      <c r="K35" s="6"/>
      <c r="L35" s="7"/>
      <c r="M35" s="8">
        <f t="shared" si="3"/>
        <v>0</v>
      </c>
      <c r="N35" s="6"/>
      <c r="O35" s="7"/>
      <c r="P35" s="8">
        <f t="shared" si="4"/>
        <v>0</v>
      </c>
      <c r="Q35" s="1"/>
      <c r="R35" s="6">
        <f t="shared" si="5"/>
        <v>4</v>
      </c>
      <c r="S35" s="9">
        <f t="shared" si="6"/>
        <v>0.24975000000000003</v>
      </c>
      <c r="T35" s="9">
        <f t="shared" si="7"/>
        <v>8.23045267489712E-3</v>
      </c>
      <c r="U35" s="9">
        <f>R35 / _xlfn.XLOOKUP(A35, Support!A:A, Support!AA:AA)</f>
        <v>4.9382716049382713E-2</v>
      </c>
      <c r="V35" s="1"/>
      <c r="W35" s="1"/>
    </row>
    <row r="36" spans="1:23" x14ac:dyDescent="0.25">
      <c r="A36" s="1" t="s">
        <v>181</v>
      </c>
      <c r="B36" s="6"/>
      <c r="C36" s="7"/>
      <c r="D36" s="8">
        <f t="shared" si="0"/>
        <v>0</v>
      </c>
      <c r="E36" s="6"/>
      <c r="F36" s="7"/>
      <c r="G36" s="8">
        <f t="shared" si="1"/>
        <v>0</v>
      </c>
      <c r="H36" s="6"/>
      <c r="I36" s="7"/>
      <c r="J36" s="8">
        <f t="shared" si="2"/>
        <v>0</v>
      </c>
      <c r="K36" s="6">
        <v>2</v>
      </c>
      <c r="L36" s="7">
        <v>0</v>
      </c>
      <c r="M36" s="8">
        <f t="shared" si="3"/>
        <v>0</v>
      </c>
      <c r="N36" s="6"/>
      <c r="O36" s="7"/>
      <c r="P36" s="8">
        <f t="shared" si="4"/>
        <v>0</v>
      </c>
      <c r="Q36" s="1"/>
      <c r="R36" s="6">
        <f t="shared" si="5"/>
        <v>2</v>
      </c>
      <c r="S36" s="9">
        <f t="shared" si="6"/>
        <v>0</v>
      </c>
      <c r="T36" s="9">
        <f t="shared" si="7"/>
        <v>4.11522633744856E-3</v>
      </c>
      <c r="U36" s="9">
        <f>R36 / _xlfn.XLOOKUP(A36, Support!A:A, Support!AA:AA)</f>
        <v>1.8518518518518517E-2</v>
      </c>
      <c r="V36" s="1"/>
      <c r="W36" s="1"/>
    </row>
    <row r="37" spans="1:23" x14ac:dyDescent="0.25">
      <c r="A37" s="1" t="s">
        <v>112</v>
      </c>
      <c r="B37" s="6"/>
      <c r="C37" s="7"/>
      <c r="D37" s="8">
        <f t="shared" si="0"/>
        <v>0</v>
      </c>
      <c r="E37" s="6">
        <v>1</v>
      </c>
      <c r="F37" s="7">
        <v>0</v>
      </c>
      <c r="G37" s="8">
        <f t="shared" si="1"/>
        <v>0</v>
      </c>
      <c r="H37" s="6"/>
      <c r="I37" s="7"/>
      <c r="J37" s="8">
        <f t="shared" si="2"/>
        <v>0</v>
      </c>
      <c r="K37" s="6"/>
      <c r="L37" s="7"/>
      <c r="M37" s="8">
        <f t="shared" si="3"/>
        <v>0</v>
      </c>
      <c r="N37" s="6"/>
      <c r="O37" s="7"/>
      <c r="P37" s="8">
        <f t="shared" si="4"/>
        <v>0</v>
      </c>
      <c r="Q37" s="1"/>
      <c r="R37" s="6">
        <f t="shared" si="5"/>
        <v>1</v>
      </c>
      <c r="S37" s="9">
        <f t="shared" si="6"/>
        <v>0</v>
      </c>
      <c r="T37" s="9">
        <f t="shared" si="7"/>
        <v>2.05761316872428E-3</v>
      </c>
      <c r="U37" s="9">
        <f>R37 / _xlfn.XLOOKUP(A37, Support!A:A, Support!AA:AA)</f>
        <v>0.14285714285714285</v>
      </c>
    </row>
    <row r="38" spans="1:23" x14ac:dyDescent="0.25">
      <c r="A38" s="1" t="s">
        <v>184</v>
      </c>
      <c r="B38" s="6"/>
      <c r="C38" s="7"/>
      <c r="D38" s="8">
        <f t="shared" si="0"/>
        <v>0</v>
      </c>
      <c r="E38" s="6">
        <v>1</v>
      </c>
      <c r="F38" s="7">
        <v>0</v>
      </c>
      <c r="G38" s="8">
        <f t="shared" si="1"/>
        <v>0</v>
      </c>
      <c r="H38" s="6"/>
      <c r="I38" s="7"/>
      <c r="J38" s="8">
        <f t="shared" si="2"/>
        <v>0</v>
      </c>
      <c r="K38" s="6"/>
      <c r="L38" s="7"/>
      <c r="M38" s="8">
        <f t="shared" si="3"/>
        <v>0</v>
      </c>
      <c r="N38" s="6"/>
      <c r="O38" s="7"/>
      <c r="P38" s="8">
        <f t="shared" si="4"/>
        <v>0</v>
      </c>
      <c r="Q38" s="1"/>
      <c r="R38" s="6">
        <f t="shared" si="5"/>
        <v>1</v>
      </c>
      <c r="S38" s="9">
        <f t="shared" si="6"/>
        <v>0</v>
      </c>
      <c r="T38" s="9">
        <f t="shared" si="7"/>
        <v>2.05761316872428E-3</v>
      </c>
      <c r="U38" s="9">
        <f>R38 / _xlfn.XLOOKUP(A38, Support!A:A, Support!AA:AA)</f>
        <v>1.8181818181818181E-2</v>
      </c>
    </row>
    <row r="39" spans="1:23" x14ac:dyDescent="0.25">
      <c r="A39" s="1" t="s">
        <v>122</v>
      </c>
      <c r="B39" s="6">
        <v>1</v>
      </c>
      <c r="C39" s="7">
        <v>0</v>
      </c>
      <c r="D39" s="8">
        <f t="shared" si="0"/>
        <v>0</v>
      </c>
      <c r="E39" s="6"/>
      <c r="F39" s="7"/>
      <c r="G39" s="8">
        <f t="shared" si="1"/>
        <v>0</v>
      </c>
      <c r="H39" s="6"/>
      <c r="I39" s="7"/>
      <c r="J39" s="8">
        <f t="shared" si="2"/>
        <v>0</v>
      </c>
      <c r="K39" s="6"/>
      <c r="L39" s="7"/>
      <c r="M39" s="8">
        <f t="shared" si="3"/>
        <v>0</v>
      </c>
      <c r="N39" s="6"/>
      <c r="O39" s="7"/>
      <c r="P39" s="8">
        <f t="shared" si="4"/>
        <v>0</v>
      </c>
      <c r="Q39" s="1"/>
      <c r="R39" s="6">
        <f t="shared" si="5"/>
        <v>1</v>
      </c>
      <c r="S39" s="9">
        <f t="shared" si="6"/>
        <v>0</v>
      </c>
      <c r="T39" s="9">
        <f t="shared" si="7"/>
        <v>2.05761316872428E-3</v>
      </c>
      <c r="U39" s="9">
        <f>R39 / _xlfn.XLOOKUP(A39, Support!A:A, Support!AA:AA)</f>
        <v>3.8461538461538464E-2</v>
      </c>
    </row>
    <row r="40" spans="1:23" x14ac:dyDescent="0.25">
      <c r="B40" s="6"/>
      <c r="C40" s="7"/>
      <c r="D40" s="31"/>
      <c r="E40" s="6"/>
      <c r="F40" s="7"/>
      <c r="G40" s="31"/>
      <c r="H40" s="6"/>
      <c r="I40" s="7"/>
      <c r="J40" s="31"/>
      <c r="K40" s="6"/>
      <c r="L40" s="7"/>
      <c r="M40" s="31"/>
      <c r="N40" s="1"/>
      <c r="O40" s="1"/>
      <c r="P40" s="1"/>
      <c r="Q40" s="1"/>
      <c r="R40" s="6"/>
      <c r="S40" s="9"/>
      <c r="T40" s="10"/>
      <c r="U40" s="9" t="e">
        <f>R40 / _xlfn.XLOOKUP(A40, Support!A:A, Support!AA:AA)</f>
        <v>#DIV/0!</v>
      </c>
    </row>
    <row r="41" spans="1:23" x14ac:dyDescent="0.25">
      <c r="B41" s="6"/>
      <c r="C41" s="7"/>
      <c r="D41" s="31"/>
      <c r="E41" s="6"/>
      <c r="F41" s="7"/>
      <c r="G41" s="31"/>
      <c r="H41" s="6"/>
      <c r="I41" s="7"/>
      <c r="J41" s="31"/>
      <c r="K41" s="6"/>
      <c r="L41" s="7"/>
      <c r="M41" s="31"/>
      <c r="N41" s="1"/>
      <c r="O41" s="1"/>
      <c r="P41" s="1"/>
      <c r="Q41" s="1"/>
      <c r="R41" s="6"/>
      <c r="S41" s="9"/>
      <c r="T41" s="10"/>
      <c r="U41" s="9" t="e">
        <f>R41 / _xlfn.XLOOKUP(A41, Support!A:A, Support!AA:AA)</f>
        <v>#DIV/0!</v>
      </c>
    </row>
    <row r="42" spans="1:23" x14ac:dyDescent="0.25">
      <c r="B42" s="6"/>
      <c r="C42" s="7"/>
      <c r="D42" s="31"/>
      <c r="E42" s="6"/>
      <c r="F42" s="7"/>
      <c r="G42" s="31"/>
      <c r="H42" s="6"/>
      <c r="I42" s="7"/>
      <c r="J42" s="31"/>
      <c r="K42" s="6"/>
      <c r="L42" s="7"/>
      <c r="M42" s="31"/>
      <c r="N42" s="1"/>
      <c r="O42" s="1"/>
      <c r="P42" s="1"/>
      <c r="Q42" s="1"/>
      <c r="R42" s="6"/>
      <c r="S42" s="9"/>
      <c r="T42" s="10"/>
      <c r="U42" s="9" t="e">
        <f>R42 / _xlfn.XLOOKUP(A42, Support!A:A, Support!AA:AA)</f>
        <v>#DIV/0!</v>
      </c>
    </row>
    <row r="43" spans="1:23" x14ac:dyDescent="0.25">
      <c r="U43" s="9" t="e">
        <f>R43 / _xlfn.XLOOKUP(A43, Support!A:A, Support!AA:AA)</f>
        <v>#DIV/0!</v>
      </c>
    </row>
    <row r="44" spans="1:23" x14ac:dyDescent="0.25">
      <c r="U44" s="9" t="e">
        <f>R44 / _xlfn.XLOOKUP(A44, Support!A:A, Support!AA:AA)</f>
        <v>#DIV/0!</v>
      </c>
    </row>
    <row r="45" spans="1:23" x14ac:dyDescent="0.25">
      <c r="U45" s="9" t="e">
        <f>R45 / _xlfn.XLOOKUP(A45, Support!A:A, Support!AA:AA)</f>
        <v>#DIV/0!</v>
      </c>
    </row>
    <row r="46" spans="1:23" x14ac:dyDescent="0.25">
      <c r="U46" s="9" t="e">
        <f>R46 / _xlfn.XLOOKUP(A46, Support!A:A, Support!AA:AA)</f>
        <v>#DIV/0!</v>
      </c>
    </row>
    <row r="47" spans="1:23" x14ac:dyDescent="0.25">
      <c r="U47" s="9" t="e">
        <f>R47 / _xlfn.XLOOKUP(A47, Support!A:A, Support!AA:AA)</f>
        <v>#DIV/0!</v>
      </c>
    </row>
    <row r="48" spans="1:23" x14ac:dyDescent="0.25">
      <c r="U48" s="9" t="e">
        <f>R48 / _xlfn.XLOOKUP(A48, Support!A:A, Support!AA:AA)</f>
        <v>#DIV/0!</v>
      </c>
    </row>
    <row r="49" spans="21:21" x14ac:dyDescent="0.25">
      <c r="U49" s="9" t="e">
        <f>R49 / _xlfn.XLOOKUP(A49, Support!A:A, Support!AA:AA)</f>
        <v>#DIV/0!</v>
      </c>
    </row>
    <row r="50" spans="21:21" x14ac:dyDescent="0.25">
      <c r="U50" s="9" t="e">
        <f>R50 / _xlfn.XLOOKUP(A50, Support!A:A, Support!AA:AA)</f>
        <v>#DIV/0!</v>
      </c>
    </row>
    <row r="51" spans="21:21" x14ac:dyDescent="0.25">
      <c r="U51" s="9" t="e">
        <f>R51 / _xlfn.XLOOKUP(A51, Support!A:A, Support!AA:AA)</f>
        <v>#DIV/0!</v>
      </c>
    </row>
    <row r="52" spans="21:21" x14ac:dyDescent="0.25">
      <c r="U52" s="9" t="e">
        <f>R52 / _xlfn.XLOOKUP(A52, Support!A:A, Support!AA:AA)</f>
        <v>#DIV/0!</v>
      </c>
    </row>
    <row r="53" spans="21:21" x14ac:dyDescent="0.25">
      <c r="U53" s="9" t="e">
        <f>R53 / _xlfn.XLOOKUP(A53, Support!A:A, Support!AA:AA)</f>
        <v>#DIV/0!</v>
      </c>
    </row>
    <row r="54" spans="21:21" x14ac:dyDescent="0.25">
      <c r="U54" s="9" t="e">
        <f>R54 / _xlfn.XLOOKUP(A54, Support!A:A, Support!AA:AA)</f>
        <v>#DIV/0!</v>
      </c>
    </row>
    <row r="55" spans="21:21" x14ac:dyDescent="0.25">
      <c r="U55" s="9" t="e">
        <f>R55 / _xlfn.XLOOKUP(A55, Support!A:A, Support!AA:AA)</f>
        <v>#DIV/0!</v>
      </c>
    </row>
    <row r="56" spans="21:21" x14ac:dyDescent="0.25">
      <c r="U56" s="9" t="e">
        <f>R56 / _xlfn.XLOOKUP(A56, Support!A:A, Support!AA:AA)</f>
        <v>#DIV/0!</v>
      </c>
    </row>
  </sheetData>
  <sortState xmlns:xlrd2="http://schemas.microsoft.com/office/spreadsheetml/2017/richdata2" ref="A3:U39">
    <sortCondition descending="1" ref="S3:S39"/>
  </sortState>
  <pageMargins left="0.7" right="0.7" top="0.78740157499999996" bottom="0.78740157499999996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297F0-B4FA-4A23-8BEB-3E8A31A24A9B}">
  <sheetPr>
    <tabColor theme="9" tint="0.59999389629810485"/>
  </sheetPr>
  <dimension ref="A1:W56"/>
  <sheetViews>
    <sheetView workbookViewId="0">
      <selection activeCell="U3" sqref="U3:U36"/>
    </sheetView>
  </sheetViews>
  <sheetFormatPr baseColWidth="10" defaultRowHeight="15" x14ac:dyDescent="0.25"/>
  <sheetData>
    <row r="1" spans="1:23" ht="15.75" x14ac:dyDescent="0.25">
      <c r="A1" s="2" t="s">
        <v>196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142</v>
      </c>
      <c r="B3" s="6"/>
      <c r="C3" s="7"/>
      <c r="D3" s="8">
        <f t="shared" ref="D3:D36" si="0">B3*C3</f>
        <v>0</v>
      </c>
      <c r="E3" s="6">
        <v>1</v>
      </c>
      <c r="F3" s="7">
        <v>1</v>
      </c>
      <c r="G3" s="8">
        <f t="shared" ref="G3:G36" si="1">E3*F3</f>
        <v>1</v>
      </c>
      <c r="H3" s="6"/>
      <c r="I3" s="7"/>
      <c r="J3" s="8">
        <f t="shared" ref="J3:J36" si="2">H3*I3</f>
        <v>0</v>
      </c>
      <c r="K3" s="6"/>
      <c r="L3" s="7"/>
      <c r="M3" s="8">
        <f t="shared" ref="M3:M36" si="3">K3*L3</f>
        <v>0</v>
      </c>
      <c r="N3" s="6"/>
      <c r="O3" s="7"/>
      <c r="P3" s="8">
        <f t="shared" ref="P3:P36" si="4">N3*O3</f>
        <v>0</v>
      </c>
      <c r="Q3" s="4"/>
      <c r="R3" s="6">
        <f t="shared" ref="R3:R36" si="5">B3+E3+H3+K3+N3</f>
        <v>1</v>
      </c>
      <c r="S3" s="9">
        <f t="shared" ref="S3:S36" si="6">(D3+G3+J3+M3+P3)/R3</f>
        <v>1</v>
      </c>
      <c r="T3" s="9">
        <f t="shared" ref="T3:T36" si="7">R3/$V$3</f>
        <v>3.4129692832764505E-3</v>
      </c>
      <c r="U3" s="9">
        <f>R3 / _xlfn.XLOOKUP(A3, Support!A:A, Support!AA:AA)</f>
        <v>0.2</v>
      </c>
      <c r="V3" s="11">
        <f>SUM(R3:R70)</f>
        <v>293</v>
      </c>
      <c r="W3" s="12">
        <f>(SUM(D3:D100)+SUM(G3:G100)+SUM(J3:J100)+SUM(M3:M100)+SUM(P3:P100)) / V3</f>
        <v>0.43681569965870309</v>
      </c>
    </row>
    <row r="4" spans="1:23" x14ac:dyDescent="0.25">
      <c r="A4" s="1" t="s">
        <v>30</v>
      </c>
      <c r="B4" s="6"/>
      <c r="C4" s="7"/>
      <c r="D4" s="8">
        <f t="shared" si="0"/>
        <v>0</v>
      </c>
      <c r="E4" s="6">
        <v>1</v>
      </c>
      <c r="F4" s="7">
        <v>1</v>
      </c>
      <c r="G4" s="8">
        <f t="shared" si="1"/>
        <v>1</v>
      </c>
      <c r="H4" s="6"/>
      <c r="I4" s="7"/>
      <c r="J4" s="8">
        <f t="shared" si="2"/>
        <v>0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1</v>
      </c>
      <c r="S4" s="9">
        <f t="shared" si="6"/>
        <v>1</v>
      </c>
      <c r="T4" s="9">
        <f t="shared" si="7"/>
        <v>3.4129692832764505E-3</v>
      </c>
      <c r="U4" s="9">
        <f>R4 / _xlfn.XLOOKUP(A4, Support!A:A, Support!AA:AA)</f>
        <v>2.2727272727272728E-2</v>
      </c>
      <c r="V4" s="6"/>
      <c r="W4" s="9"/>
    </row>
    <row r="5" spans="1:23" x14ac:dyDescent="0.25">
      <c r="A5" s="1" t="s">
        <v>14</v>
      </c>
      <c r="B5" s="6">
        <v>1</v>
      </c>
      <c r="C5" s="7">
        <v>1</v>
      </c>
      <c r="D5" s="8">
        <f t="shared" si="0"/>
        <v>1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1</v>
      </c>
      <c r="S5" s="9">
        <f t="shared" si="6"/>
        <v>1</v>
      </c>
      <c r="T5" s="9">
        <f t="shared" si="7"/>
        <v>3.4129692832764505E-3</v>
      </c>
      <c r="U5" s="9">
        <f>R5 / _xlfn.XLOOKUP(A5, Support!A:A, Support!AA:AA)</f>
        <v>3.8461538461538464E-2</v>
      </c>
      <c r="W5" s="1"/>
    </row>
    <row r="6" spans="1:23" x14ac:dyDescent="0.25">
      <c r="A6" s="1" t="s">
        <v>180</v>
      </c>
      <c r="B6" s="6"/>
      <c r="C6" s="7"/>
      <c r="D6" s="8">
        <f t="shared" si="0"/>
        <v>0</v>
      </c>
      <c r="E6" s="6">
        <v>1</v>
      </c>
      <c r="F6" s="7">
        <v>1</v>
      </c>
      <c r="G6" s="8">
        <f t="shared" si="1"/>
        <v>1</v>
      </c>
      <c r="H6" s="6"/>
      <c r="I6" s="7"/>
      <c r="J6" s="8">
        <f t="shared" si="2"/>
        <v>0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1"/>
      <c r="R6" s="6">
        <f t="shared" si="5"/>
        <v>1</v>
      </c>
      <c r="S6" s="9">
        <f t="shared" si="6"/>
        <v>1</v>
      </c>
      <c r="T6" s="9">
        <f t="shared" si="7"/>
        <v>3.4129692832764505E-3</v>
      </c>
      <c r="U6" s="9">
        <f>R6 / _xlfn.XLOOKUP(A6, Support!A:A, Support!AA:AA)</f>
        <v>3.8461538461538464E-2</v>
      </c>
      <c r="W6" s="1"/>
    </row>
    <row r="7" spans="1:23" x14ac:dyDescent="0.25">
      <c r="A7" s="1" t="s">
        <v>195</v>
      </c>
      <c r="B7" s="6">
        <v>1</v>
      </c>
      <c r="C7" s="7">
        <v>1</v>
      </c>
      <c r="D7" s="8">
        <f t="shared" si="0"/>
        <v>1</v>
      </c>
      <c r="E7" s="6"/>
      <c r="F7" s="7"/>
      <c r="G7" s="8">
        <f t="shared" si="1"/>
        <v>0</v>
      </c>
      <c r="H7" s="6"/>
      <c r="I7" s="7"/>
      <c r="J7" s="8">
        <f t="shared" si="2"/>
        <v>0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1</v>
      </c>
      <c r="S7" s="9">
        <f t="shared" si="6"/>
        <v>1</v>
      </c>
      <c r="T7" s="9">
        <f t="shared" si="7"/>
        <v>3.4129692832764505E-3</v>
      </c>
      <c r="U7" s="9">
        <f>R7 / _xlfn.XLOOKUP(A7, Support!A:A, Support!AA:AA)</f>
        <v>0.5</v>
      </c>
      <c r="V7" s="1"/>
      <c r="W7" s="1"/>
    </row>
    <row r="8" spans="1:23" x14ac:dyDescent="0.25">
      <c r="A8" s="1" t="s">
        <v>175</v>
      </c>
      <c r="B8" s="6">
        <v>1</v>
      </c>
      <c r="C8" s="7">
        <v>1</v>
      </c>
      <c r="D8" s="8">
        <f t="shared" si="0"/>
        <v>1</v>
      </c>
      <c r="E8" s="6">
        <v>6</v>
      </c>
      <c r="F8" s="7">
        <v>0.66700000000000004</v>
      </c>
      <c r="G8" s="8">
        <f t="shared" si="1"/>
        <v>4.0020000000000007</v>
      </c>
      <c r="H8" s="6"/>
      <c r="I8" s="7"/>
      <c r="J8" s="8">
        <f t="shared" si="2"/>
        <v>0</v>
      </c>
      <c r="K8" s="6"/>
      <c r="L8" s="7"/>
      <c r="M8" s="8">
        <f t="shared" si="3"/>
        <v>0</v>
      </c>
      <c r="N8" s="6"/>
      <c r="O8" s="7"/>
      <c r="P8" s="8">
        <f t="shared" si="4"/>
        <v>0</v>
      </c>
      <c r="Q8" s="1"/>
      <c r="R8" s="6">
        <f t="shared" si="5"/>
        <v>7</v>
      </c>
      <c r="S8" s="9">
        <f t="shared" si="6"/>
        <v>0.71457142857142864</v>
      </c>
      <c r="T8" s="9">
        <f t="shared" si="7"/>
        <v>2.3890784982935155E-2</v>
      </c>
      <c r="U8" s="9">
        <f>R8 / _xlfn.XLOOKUP(A8, Support!A:A, Support!AA:AA)</f>
        <v>0.1206896551724138</v>
      </c>
      <c r="V8" s="1"/>
      <c r="W8" s="1"/>
    </row>
    <row r="9" spans="1:23" x14ac:dyDescent="0.25">
      <c r="A9" s="1" t="s">
        <v>183</v>
      </c>
      <c r="B9" s="6"/>
      <c r="C9" s="7"/>
      <c r="D9" s="8">
        <f t="shared" si="0"/>
        <v>0</v>
      </c>
      <c r="E9" s="6">
        <v>7</v>
      </c>
      <c r="F9" s="7">
        <v>0.71399999999999997</v>
      </c>
      <c r="G9" s="8">
        <f t="shared" si="1"/>
        <v>4.9979999999999993</v>
      </c>
      <c r="H9" s="6"/>
      <c r="I9" s="7"/>
      <c r="J9" s="8">
        <f t="shared" si="2"/>
        <v>0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1"/>
      <c r="R9" s="6">
        <f t="shared" si="5"/>
        <v>7</v>
      </c>
      <c r="S9" s="9">
        <f t="shared" si="6"/>
        <v>0.71399999999999986</v>
      </c>
      <c r="T9" s="9">
        <f t="shared" si="7"/>
        <v>2.3890784982935155E-2</v>
      </c>
      <c r="U9" s="9">
        <f>R9 / _xlfn.XLOOKUP(A9, Support!A:A, Support!AA:AA)</f>
        <v>9.3333333333333338E-2</v>
      </c>
      <c r="V9" s="1"/>
      <c r="W9" s="1"/>
    </row>
    <row r="10" spans="1:23" x14ac:dyDescent="0.25">
      <c r="A10" s="1" t="s">
        <v>186</v>
      </c>
      <c r="B10" s="6"/>
      <c r="C10" s="7"/>
      <c r="D10" s="8">
        <f t="shared" si="0"/>
        <v>0</v>
      </c>
      <c r="E10" s="6">
        <v>3</v>
      </c>
      <c r="F10" s="7">
        <v>0.66700000000000004</v>
      </c>
      <c r="G10" s="8">
        <f t="shared" si="1"/>
        <v>2.0010000000000003</v>
      </c>
      <c r="H10" s="6"/>
      <c r="I10" s="7"/>
      <c r="J10" s="8">
        <f t="shared" si="2"/>
        <v>0</v>
      </c>
      <c r="K10" s="6"/>
      <c r="L10" s="7"/>
      <c r="M10" s="8">
        <f t="shared" si="3"/>
        <v>0</v>
      </c>
      <c r="N10" s="6"/>
      <c r="O10" s="7"/>
      <c r="P10" s="8">
        <f t="shared" si="4"/>
        <v>0</v>
      </c>
      <c r="Q10" s="1"/>
      <c r="R10" s="6">
        <f t="shared" si="5"/>
        <v>3</v>
      </c>
      <c r="S10" s="9">
        <f t="shared" si="6"/>
        <v>0.66700000000000015</v>
      </c>
      <c r="T10" s="9">
        <f t="shared" si="7"/>
        <v>1.0238907849829351E-2</v>
      </c>
      <c r="U10" s="9">
        <f>R10 / _xlfn.XLOOKUP(A10, Support!A:A, Support!AA:AA)</f>
        <v>2.8301886792452831E-2</v>
      </c>
      <c r="V10" s="1"/>
      <c r="W10" s="1"/>
    </row>
    <row r="11" spans="1:23" x14ac:dyDescent="0.25">
      <c r="A11" s="1" t="s">
        <v>169</v>
      </c>
      <c r="B11" s="6">
        <v>11</v>
      </c>
      <c r="C11" s="7">
        <v>0.81799999999999995</v>
      </c>
      <c r="D11" s="8">
        <f t="shared" si="0"/>
        <v>8.9979999999999993</v>
      </c>
      <c r="E11" s="6">
        <v>3</v>
      </c>
      <c r="F11" s="7">
        <v>0.66700000000000004</v>
      </c>
      <c r="G11" s="8">
        <f t="shared" si="1"/>
        <v>2.0010000000000003</v>
      </c>
      <c r="H11" s="6"/>
      <c r="I11" s="7"/>
      <c r="J11" s="8">
        <f t="shared" si="2"/>
        <v>0</v>
      </c>
      <c r="K11" s="6">
        <v>6</v>
      </c>
      <c r="L11" s="7">
        <v>0.33300000000000002</v>
      </c>
      <c r="M11" s="8">
        <f t="shared" si="3"/>
        <v>1.9980000000000002</v>
      </c>
      <c r="N11" s="6"/>
      <c r="O11" s="7"/>
      <c r="P11" s="8">
        <f t="shared" si="4"/>
        <v>0</v>
      </c>
      <c r="Q11" s="4"/>
      <c r="R11" s="6">
        <f t="shared" si="5"/>
        <v>20</v>
      </c>
      <c r="S11" s="9">
        <f t="shared" si="6"/>
        <v>0.64985000000000004</v>
      </c>
      <c r="T11" s="9">
        <f t="shared" si="7"/>
        <v>6.8259385665529013E-2</v>
      </c>
      <c r="U11" s="9">
        <f>R11 / _xlfn.XLOOKUP(A11, Support!A:A, Support!AA:AA)</f>
        <v>6.4516129032258063E-2</v>
      </c>
      <c r="V11" s="1"/>
      <c r="W11" s="1"/>
    </row>
    <row r="12" spans="1:23" x14ac:dyDescent="0.25">
      <c r="A12" s="1" t="s">
        <v>123</v>
      </c>
      <c r="B12" s="6">
        <v>7</v>
      </c>
      <c r="C12" s="7">
        <v>0.57099999999999995</v>
      </c>
      <c r="D12" s="8">
        <f t="shared" si="0"/>
        <v>3.9969999999999999</v>
      </c>
      <c r="E12" s="6"/>
      <c r="F12" s="7"/>
      <c r="G12" s="8">
        <f t="shared" si="1"/>
        <v>0</v>
      </c>
      <c r="H12" s="6"/>
      <c r="I12" s="7"/>
      <c r="J12" s="8">
        <f t="shared" si="2"/>
        <v>0</v>
      </c>
      <c r="K12" s="6">
        <v>1</v>
      </c>
      <c r="L12" s="7">
        <v>1</v>
      </c>
      <c r="M12" s="8">
        <f t="shared" si="3"/>
        <v>1</v>
      </c>
      <c r="N12" s="6"/>
      <c r="O12" s="7"/>
      <c r="P12" s="8">
        <f t="shared" si="4"/>
        <v>0</v>
      </c>
      <c r="Q12" s="1"/>
      <c r="R12" s="6">
        <f t="shared" si="5"/>
        <v>8</v>
      </c>
      <c r="S12" s="9">
        <f t="shared" si="6"/>
        <v>0.62462499999999999</v>
      </c>
      <c r="T12" s="9">
        <f t="shared" si="7"/>
        <v>2.7303754266211604E-2</v>
      </c>
      <c r="U12" s="9">
        <f>R12 / _xlfn.XLOOKUP(A12, Support!A:A, Support!AA:AA)</f>
        <v>0.29629629629629628</v>
      </c>
      <c r="V12" s="1"/>
      <c r="W12" s="1"/>
    </row>
    <row r="13" spans="1:23" x14ac:dyDescent="0.25">
      <c r="A13" s="1" t="s">
        <v>172</v>
      </c>
      <c r="B13" s="6">
        <v>9</v>
      </c>
      <c r="C13" s="7">
        <v>0.55600000000000005</v>
      </c>
      <c r="D13" s="8">
        <f t="shared" si="0"/>
        <v>5.0040000000000004</v>
      </c>
      <c r="E13" s="6">
        <v>8</v>
      </c>
      <c r="F13" s="7">
        <v>0.625</v>
      </c>
      <c r="G13" s="8">
        <f t="shared" si="1"/>
        <v>5</v>
      </c>
      <c r="H13" s="6"/>
      <c r="I13" s="7"/>
      <c r="J13" s="8">
        <f t="shared" si="2"/>
        <v>0</v>
      </c>
      <c r="K13" s="6"/>
      <c r="L13" s="7"/>
      <c r="M13" s="8">
        <f t="shared" si="3"/>
        <v>0</v>
      </c>
      <c r="N13" s="6"/>
      <c r="O13" s="7"/>
      <c r="P13" s="8">
        <f t="shared" si="4"/>
        <v>0</v>
      </c>
      <c r="Q13" s="4"/>
      <c r="R13" s="6">
        <f t="shared" si="5"/>
        <v>17</v>
      </c>
      <c r="S13" s="9">
        <f t="shared" si="6"/>
        <v>0.58847058823529419</v>
      </c>
      <c r="T13" s="9">
        <f t="shared" si="7"/>
        <v>5.8020477815699661E-2</v>
      </c>
      <c r="U13" s="9">
        <f>R13 / _xlfn.XLOOKUP(A13, Support!A:A, Support!AA:AA)</f>
        <v>6.273062730627306E-2</v>
      </c>
      <c r="V13" s="1"/>
      <c r="W13" s="1"/>
    </row>
    <row r="14" spans="1:23" x14ac:dyDescent="0.25">
      <c r="A14" s="1" t="s">
        <v>173</v>
      </c>
      <c r="B14" s="6">
        <v>10</v>
      </c>
      <c r="C14" s="7">
        <v>0.5</v>
      </c>
      <c r="D14" s="8">
        <f t="shared" si="0"/>
        <v>5</v>
      </c>
      <c r="E14" s="6">
        <v>14</v>
      </c>
      <c r="F14" s="7">
        <v>0.64300000000000002</v>
      </c>
      <c r="G14" s="8">
        <f t="shared" si="1"/>
        <v>9.0020000000000007</v>
      </c>
      <c r="H14" s="6"/>
      <c r="I14" s="7"/>
      <c r="J14" s="8">
        <f t="shared" si="2"/>
        <v>0</v>
      </c>
      <c r="K14" s="6">
        <v>3</v>
      </c>
      <c r="L14" s="7">
        <v>0</v>
      </c>
      <c r="M14" s="8">
        <f t="shared" si="3"/>
        <v>0</v>
      </c>
      <c r="N14" s="6"/>
      <c r="O14" s="7"/>
      <c r="P14" s="8">
        <f t="shared" si="4"/>
        <v>0</v>
      </c>
      <c r="Q14" s="1"/>
      <c r="R14" s="6">
        <f t="shared" si="5"/>
        <v>27</v>
      </c>
      <c r="S14" s="9">
        <f t="shared" si="6"/>
        <v>0.5185925925925926</v>
      </c>
      <c r="T14" s="9">
        <f t="shared" si="7"/>
        <v>9.2150170648464161E-2</v>
      </c>
      <c r="U14" s="9">
        <f>R14 / _xlfn.XLOOKUP(A14, Support!A:A, Support!AA:AA)</f>
        <v>8.7662337662337664E-2</v>
      </c>
      <c r="V14" s="1"/>
      <c r="W14" s="1"/>
    </row>
    <row r="15" spans="1:23" x14ac:dyDescent="0.25">
      <c r="A15" s="1" t="s">
        <v>170</v>
      </c>
      <c r="B15" s="6">
        <v>9</v>
      </c>
      <c r="C15" s="7">
        <v>0.55600000000000005</v>
      </c>
      <c r="D15" s="8">
        <f t="shared" si="0"/>
        <v>5.0040000000000004</v>
      </c>
      <c r="E15" s="6">
        <v>5</v>
      </c>
      <c r="F15" s="7">
        <v>0.4</v>
      </c>
      <c r="G15" s="8">
        <f t="shared" si="1"/>
        <v>2</v>
      </c>
      <c r="H15" s="6"/>
      <c r="I15" s="7"/>
      <c r="J15" s="8">
        <f t="shared" si="2"/>
        <v>0</v>
      </c>
      <c r="K15" s="6"/>
      <c r="L15" s="7"/>
      <c r="M15" s="8">
        <f t="shared" si="3"/>
        <v>0</v>
      </c>
      <c r="N15" s="6"/>
      <c r="O15" s="7"/>
      <c r="P15" s="8">
        <f t="shared" si="4"/>
        <v>0</v>
      </c>
      <c r="Q15" s="1"/>
      <c r="R15" s="6">
        <f t="shared" si="5"/>
        <v>14</v>
      </c>
      <c r="S15" s="9">
        <f t="shared" si="6"/>
        <v>0.50028571428571433</v>
      </c>
      <c r="T15" s="9">
        <f t="shared" si="7"/>
        <v>4.778156996587031E-2</v>
      </c>
      <c r="U15" s="9">
        <f>R15 / _xlfn.XLOOKUP(A15, Support!A:A, Support!AA:AA)</f>
        <v>8.3333333333333329E-2</v>
      </c>
      <c r="V15" s="1"/>
      <c r="W15" s="1"/>
    </row>
    <row r="16" spans="1:23" x14ac:dyDescent="0.25">
      <c r="A16" s="1" t="s">
        <v>184</v>
      </c>
      <c r="B16" s="6"/>
      <c r="C16" s="7"/>
      <c r="D16" s="8">
        <f t="shared" si="0"/>
        <v>0</v>
      </c>
      <c r="E16" s="6">
        <v>8</v>
      </c>
      <c r="F16" s="7">
        <v>0.5</v>
      </c>
      <c r="G16" s="8">
        <f t="shared" si="1"/>
        <v>4</v>
      </c>
      <c r="H16" s="6"/>
      <c r="I16" s="7"/>
      <c r="J16" s="8">
        <f t="shared" si="2"/>
        <v>0</v>
      </c>
      <c r="K16" s="6"/>
      <c r="L16" s="7"/>
      <c r="M16" s="8">
        <f t="shared" si="3"/>
        <v>0</v>
      </c>
      <c r="N16" s="6"/>
      <c r="O16" s="7"/>
      <c r="P16" s="8">
        <f t="shared" si="4"/>
        <v>0</v>
      </c>
      <c r="Q16" s="13"/>
      <c r="R16" s="6">
        <f t="shared" si="5"/>
        <v>8</v>
      </c>
      <c r="S16" s="9">
        <f t="shared" si="6"/>
        <v>0.5</v>
      </c>
      <c r="T16" s="9">
        <f t="shared" si="7"/>
        <v>2.7303754266211604E-2</v>
      </c>
      <c r="U16" s="9">
        <f>R16 / _xlfn.XLOOKUP(A16, Support!A:A, Support!AA:AA)</f>
        <v>0.14545454545454545</v>
      </c>
      <c r="V16" s="1"/>
      <c r="W16" s="1"/>
    </row>
    <row r="17" spans="1:23" x14ac:dyDescent="0.25">
      <c r="A17" s="1" t="s">
        <v>45</v>
      </c>
      <c r="B17" s="6">
        <v>3</v>
      </c>
      <c r="C17" s="7">
        <v>0.33300000000000002</v>
      </c>
      <c r="D17" s="8">
        <f t="shared" si="0"/>
        <v>0.99900000000000011</v>
      </c>
      <c r="E17" s="6">
        <v>1</v>
      </c>
      <c r="F17" s="7">
        <v>1</v>
      </c>
      <c r="G17" s="8">
        <f t="shared" si="1"/>
        <v>1</v>
      </c>
      <c r="H17" s="6"/>
      <c r="I17" s="7"/>
      <c r="J17" s="8">
        <f t="shared" si="2"/>
        <v>0</v>
      </c>
      <c r="K17" s="6"/>
      <c r="L17" s="7"/>
      <c r="M17" s="8">
        <f t="shared" si="3"/>
        <v>0</v>
      </c>
      <c r="N17" s="6"/>
      <c r="O17" s="7"/>
      <c r="P17" s="8">
        <f t="shared" si="4"/>
        <v>0</v>
      </c>
      <c r="Q17" s="1"/>
      <c r="R17" s="6">
        <f t="shared" si="5"/>
        <v>4</v>
      </c>
      <c r="S17" s="9">
        <f t="shared" si="6"/>
        <v>0.49975000000000003</v>
      </c>
      <c r="T17" s="9">
        <f t="shared" si="7"/>
        <v>1.3651877133105802E-2</v>
      </c>
      <c r="U17" s="9">
        <f>R17 / _xlfn.XLOOKUP(A17, Support!A:A, Support!AA:AA)</f>
        <v>0.8</v>
      </c>
      <c r="V17" s="1"/>
      <c r="W17" s="1"/>
    </row>
    <row r="18" spans="1:23" x14ac:dyDescent="0.25">
      <c r="A18" s="1" t="s">
        <v>168</v>
      </c>
      <c r="B18" s="6">
        <v>11</v>
      </c>
      <c r="C18" s="7">
        <v>0.54500000000000004</v>
      </c>
      <c r="D18" s="8">
        <f t="shared" si="0"/>
        <v>5.9950000000000001</v>
      </c>
      <c r="E18" s="6">
        <v>1</v>
      </c>
      <c r="F18" s="7">
        <v>0</v>
      </c>
      <c r="G18" s="8">
        <f t="shared" si="1"/>
        <v>0</v>
      </c>
      <c r="H18" s="6"/>
      <c r="I18" s="7"/>
      <c r="J18" s="8">
        <f t="shared" si="2"/>
        <v>0</v>
      </c>
      <c r="K18" s="6"/>
      <c r="L18" s="7"/>
      <c r="M18" s="8">
        <f t="shared" si="3"/>
        <v>0</v>
      </c>
      <c r="N18" s="6"/>
      <c r="O18" s="7"/>
      <c r="P18" s="8">
        <f t="shared" si="4"/>
        <v>0</v>
      </c>
      <c r="Q18" s="1"/>
      <c r="R18" s="6">
        <f t="shared" si="5"/>
        <v>12</v>
      </c>
      <c r="S18" s="9">
        <f t="shared" si="6"/>
        <v>0.49958333333333332</v>
      </c>
      <c r="T18" s="9">
        <f t="shared" si="7"/>
        <v>4.0955631399317405E-2</v>
      </c>
      <c r="U18" s="9">
        <f>R18 / _xlfn.XLOOKUP(A18, Support!A:A, Support!AA:AA)</f>
        <v>6.3157894736842107E-2</v>
      </c>
      <c r="V18" s="1"/>
      <c r="W18" s="1"/>
    </row>
    <row r="19" spans="1:23" x14ac:dyDescent="0.25">
      <c r="A19" s="1" t="s">
        <v>80</v>
      </c>
      <c r="B19" s="6">
        <v>1</v>
      </c>
      <c r="C19" s="7">
        <v>0</v>
      </c>
      <c r="D19" s="8">
        <f t="shared" si="0"/>
        <v>0</v>
      </c>
      <c r="E19" s="6">
        <v>13</v>
      </c>
      <c r="F19" s="7">
        <v>0.69199999999999995</v>
      </c>
      <c r="G19" s="8">
        <f t="shared" si="1"/>
        <v>8.9959999999999987</v>
      </c>
      <c r="H19" s="6"/>
      <c r="I19" s="7"/>
      <c r="J19" s="8">
        <f t="shared" si="2"/>
        <v>0</v>
      </c>
      <c r="K19" s="6">
        <v>16</v>
      </c>
      <c r="L19" s="7">
        <v>0.25</v>
      </c>
      <c r="M19" s="8">
        <f t="shared" si="3"/>
        <v>4</v>
      </c>
      <c r="N19" s="6"/>
      <c r="O19" s="7"/>
      <c r="P19" s="8">
        <f t="shared" si="4"/>
        <v>0</v>
      </c>
      <c r="Q19" s="1"/>
      <c r="R19" s="6">
        <f t="shared" si="5"/>
        <v>30</v>
      </c>
      <c r="S19" s="9">
        <f t="shared" si="6"/>
        <v>0.43319999999999997</v>
      </c>
      <c r="T19" s="9">
        <f t="shared" si="7"/>
        <v>0.10238907849829351</v>
      </c>
      <c r="U19" s="9">
        <f>R19 / _xlfn.XLOOKUP(A19, Support!A:A, Support!AA:AA)</f>
        <v>6.1601642710472276E-2</v>
      </c>
      <c r="V19" s="1"/>
      <c r="W19" s="1"/>
    </row>
    <row r="20" spans="1:23" x14ac:dyDescent="0.25">
      <c r="A20" s="1" t="s">
        <v>90</v>
      </c>
      <c r="B20" s="6">
        <v>10</v>
      </c>
      <c r="C20" s="7">
        <v>0.3</v>
      </c>
      <c r="D20" s="8">
        <f t="shared" si="0"/>
        <v>3</v>
      </c>
      <c r="E20" s="6">
        <v>12</v>
      </c>
      <c r="F20" s="7">
        <v>0.58299999999999996</v>
      </c>
      <c r="G20" s="8">
        <f t="shared" si="1"/>
        <v>6.9959999999999996</v>
      </c>
      <c r="H20" s="6"/>
      <c r="I20" s="7"/>
      <c r="J20" s="8">
        <f t="shared" si="2"/>
        <v>0</v>
      </c>
      <c r="K20" s="6">
        <v>10</v>
      </c>
      <c r="L20" s="7">
        <v>0.2</v>
      </c>
      <c r="M20" s="8">
        <f t="shared" si="3"/>
        <v>2</v>
      </c>
      <c r="N20" s="6"/>
      <c r="O20" s="7"/>
      <c r="P20" s="8">
        <f t="shared" si="4"/>
        <v>0</v>
      </c>
      <c r="Q20" s="1"/>
      <c r="R20" s="6">
        <f t="shared" si="5"/>
        <v>32</v>
      </c>
      <c r="S20" s="9">
        <f t="shared" si="6"/>
        <v>0.37487499999999996</v>
      </c>
      <c r="T20" s="9">
        <f t="shared" si="7"/>
        <v>0.10921501706484642</v>
      </c>
      <c r="U20" s="9">
        <f>R20 / _xlfn.XLOOKUP(A20, Support!A:A, Support!AA:AA)</f>
        <v>5.2287581699346407E-2</v>
      </c>
      <c r="V20" s="1"/>
      <c r="W20" s="1"/>
    </row>
    <row r="21" spans="1:23" x14ac:dyDescent="0.25">
      <c r="A21" s="1" t="s">
        <v>179</v>
      </c>
      <c r="B21" s="6">
        <v>2</v>
      </c>
      <c r="C21" s="7">
        <v>0.5</v>
      </c>
      <c r="D21" s="8">
        <f t="shared" si="0"/>
        <v>1</v>
      </c>
      <c r="E21" s="6">
        <v>4</v>
      </c>
      <c r="F21" s="7">
        <v>0.5</v>
      </c>
      <c r="G21" s="8">
        <f t="shared" si="1"/>
        <v>2</v>
      </c>
      <c r="H21" s="6"/>
      <c r="I21" s="7"/>
      <c r="J21" s="8">
        <f t="shared" si="2"/>
        <v>0</v>
      </c>
      <c r="K21" s="6">
        <v>8</v>
      </c>
      <c r="L21" s="7">
        <v>0.25</v>
      </c>
      <c r="M21" s="8">
        <f t="shared" si="3"/>
        <v>2</v>
      </c>
      <c r="N21" s="6"/>
      <c r="O21" s="7"/>
      <c r="P21" s="8">
        <f t="shared" si="4"/>
        <v>0</v>
      </c>
      <c r="Q21" s="4"/>
      <c r="R21" s="6">
        <f t="shared" si="5"/>
        <v>14</v>
      </c>
      <c r="S21" s="9">
        <f t="shared" si="6"/>
        <v>0.35714285714285715</v>
      </c>
      <c r="T21" s="9">
        <f t="shared" si="7"/>
        <v>4.778156996587031E-2</v>
      </c>
      <c r="U21" s="9">
        <f>R21 / _xlfn.XLOOKUP(A21, Support!A:A, Support!AA:AA)</f>
        <v>2.9535864978902954E-2</v>
      </c>
      <c r="V21" s="1"/>
      <c r="W21" s="1"/>
    </row>
    <row r="22" spans="1:23" x14ac:dyDescent="0.25">
      <c r="A22" s="1" t="s">
        <v>29</v>
      </c>
      <c r="B22" s="6">
        <v>7</v>
      </c>
      <c r="C22" s="7">
        <v>0.28599999999999998</v>
      </c>
      <c r="D22" s="8">
        <f t="shared" si="0"/>
        <v>2.0019999999999998</v>
      </c>
      <c r="E22" s="6"/>
      <c r="F22" s="7"/>
      <c r="G22" s="8">
        <f t="shared" si="1"/>
        <v>0</v>
      </c>
      <c r="H22" s="6"/>
      <c r="I22" s="7"/>
      <c r="J22" s="8">
        <f t="shared" si="2"/>
        <v>0</v>
      </c>
      <c r="K22" s="6">
        <v>2</v>
      </c>
      <c r="L22" s="7">
        <v>0.5</v>
      </c>
      <c r="M22" s="8">
        <f t="shared" si="3"/>
        <v>1</v>
      </c>
      <c r="N22" s="6"/>
      <c r="O22" s="7"/>
      <c r="P22" s="8">
        <f t="shared" si="4"/>
        <v>0</v>
      </c>
      <c r="Q22" s="1"/>
      <c r="R22" s="6">
        <f t="shared" si="5"/>
        <v>9</v>
      </c>
      <c r="S22" s="9">
        <f t="shared" si="6"/>
        <v>0.33355555555555555</v>
      </c>
      <c r="T22" s="9">
        <f t="shared" si="7"/>
        <v>3.0716723549488054E-2</v>
      </c>
      <c r="U22" s="9">
        <f>R22 / _xlfn.XLOOKUP(A22, Support!A:A, Support!AA:AA)</f>
        <v>4.4999999999999998E-2</v>
      </c>
      <c r="V22" s="1"/>
      <c r="W22" s="1"/>
    </row>
    <row r="23" spans="1:23" x14ac:dyDescent="0.25">
      <c r="A23" s="1" t="s">
        <v>177</v>
      </c>
      <c r="B23" s="6">
        <v>2</v>
      </c>
      <c r="C23" s="7">
        <v>0.5</v>
      </c>
      <c r="D23" s="8">
        <f t="shared" si="0"/>
        <v>1</v>
      </c>
      <c r="E23" s="6">
        <v>1</v>
      </c>
      <c r="F23" s="7">
        <v>0</v>
      </c>
      <c r="G23" s="8">
        <f t="shared" si="1"/>
        <v>0</v>
      </c>
      <c r="H23" s="6"/>
      <c r="I23" s="7"/>
      <c r="J23" s="8">
        <f t="shared" si="2"/>
        <v>0</v>
      </c>
      <c r="K23" s="6"/>
      <c r="L23" s="7"/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3</v>
      </c>
      <c r="S23" s="9">
        <f t="shared" si="6"/>
        <v>0.33333333333333331</v>
      </c>
      <c r="T23" s="9">
        <f t="shared" si="7"/>
        <v>1.0238907849829351E-2</v>
      </c>
      <c r="U23" s="9">
        <f>R23 / _xlfn.XLOOKUP(A23, Support!A:A, Support!AA:AA)</f>
        <v>6.25E-2</v>
      </c>
      <c r="V23" s="1"/>
      <c r="W23" s="1"/>
    </row>
    <row r="24" spans="1:23" x14ac:dyDescent="0.25">
      <c r="A24" s="1" t="s">
        <v>91</v>
      </c>
      <c r="B24" s="6"/>
      <c r="C24" s="7"/>
      <c r="D24" s="8">
        <f t="shared" si="0"/>
        <v>0</v>
      </c>
      <c r="E24" s="6"/>
      <c r="F24" s="7"/>
      <c r="G24" s="8">
        <f t="shared" si="1"/>
        <v>0</v>
      </c>
      <c r="H24" s="6"/>
      <c r="I24" s="7"/>
      <c r="J24" s="8">
        <f t="shared" si="2"/>
        <v>0</v>
      </c>
      <c r="K24" s="6">
        <v>6</v>
      </c>
      <c r="L24" s="7">
        <v>0.33300000000000002</v>
      </c>
      <c r="M24" s="8">
        <f t="shared" si="3"/>
        <v>1.9980000000000002</v>
      </c>
      <c r="N24" s="6"/>
      <c r="O24" s="7"/>
      <c r="P24" s="8">
        <f t="shared" si="4"/>
        <v>0</v>
      </c>
      <c r="Q24" s="1"/>
      <c r="R24" s="6">
        <f t="shared" si="5"/>
        <v>6</v>
      </c>
      <c r="S24" s="9">
        <f t="shared" si="6"/>
        <v>0.33300000000000002</v>
      </c>
      <c r="T24" s="9">
        <f t="shared" si="7"/>
        <v>2.0477815699658702E-2</v>
      </c>
      <c r="U24" s="9">
        <f>R24 / _xlfn.XLOOKUP(A24, Support!A:A, Support!AA:AA)</f>
        <v>3.5714285714285712E-2</v>
      </c>
      <c r="V24" s="1"/>
      <c r="W24" s="1"/>
    </row>
    <row r="25" spans="1:23" x14ac:dyDescent="0.25">
      <c r="A25" s="1" t="s">
        <v>176</v>
      </c>
      <c r="B25" s="6">
        <v>3</v>
      </c>
      <c r="C25" s="7">
        <v>0.33300000000000002</v>
      </c>
      <c r="D25" s="8">
        <f t="shared" si="0"/>
        <v>0.99900000000000011</v>
      </c>
      <c r="E25" s="6">
        <v>18</v>
      </c>
      <c r="F25" s="7">
        <v>0.27800000000000002</v>
      </c>
      <c r="G25" s="8">
        <f t="shared" si="1"/>
        <v>5.0040000000000004</v>
      </c>
      <c r="H25" s="6"/>
      <c r="I25" s="7"/>
      <c r="J25" s="8">
        <f t="shared" si="2"/>
        <v>0</v>
      </c>
      <c r="K25" s="6">
        <v>9</v>
      </c>
      <c r="L25" s="7">
        <v>0.33300000000000002</v>
      </c>
      <c r="M25" s="8">
        <f t="shared" si="3"/>
        <v>2.9970000000000003</v>
      </c>
      <c r="N25" s="6"/>
      <c r="O25" s="7"/>
      <c r="P25" s="8">
        <f t="shared" si="4"/>
        <v>0</v>
      </c>
      <c r="Q25" s="1"/>
      <c r="R25" s="6">
        <f t="shared" si="5"/>
        <v>30</v>
      </c>
      <c r="S25" s="9">
        <f t="shared" si="6"/>
        <v>0.3</v>
      </c>
      <c r="T25" s="9">
        <f t="shared" si="7"/>
        <v>0.10238907849829351</v>
      </c>
      <c r="U25" s="9">
        <f>R25 / _xlfn.XLOOKUP(A25, Support!A:A, Support!AA:AA)</f>
        <v>4.7543581616481777E-2</v>
      </c>
      <c r="V25" s="1"/>
      <c r="W25" s="1"/>
    </row>
    <row r="26" spans="1:23" x14ac:dyDescent="0.25">
      <c r="A26" s="1" t="s">
        <v>182</v>
      </c>
      <c r="B26" s="6"/>
      <c r="C26" s="7"/>
      <c r="D26" s="8">
        <f t="shared" si="0"/>
        <v>0</v>
      </c>
      <c r="E26" s="6">
        <v>2</v>
      </c>
      <c r="F26" s="7">
        <v>0.5</v>
      </c>
      <c r="G26" s="8">
        <f t="shared" si="1"/>
        <v>1</v>
      </c>
      <c r="H26" s="6"/>
      <c r="I26" s="7"/>
      <c r="J26" s="8">
        <f t="shared" si="2"/>
        <v>0</v>
      </c>
      <c r="K26" s="6">
        <v>9</v>
      </c>
      <c r="L26" s="7">
        <v>0.222</v>
      </c>
      <c r="M26" s="8">
        <f t="shared" si="3"/>
        <v>1.998</v>
      </c>
      <c r="N26" s="6"/>
      <c r="O26" s="7"/>
      <c r="P26" s="8">
        <f t="shared" si="4"/>
        <v>0</v>
      </c>
      <c r="Q26" s="1"/>
      <c r="R26" s="6">
        <f t="shared" si="5"/>
        <v>11</v>
      </c>
      <c r="S26" s="9">
        <f t="shared" si="6"/>
        <v>0.27254545454545459</v>
      </c>
      <c r="T26" s="9">
        <f t="shared" si="7"/>
        <v>3.7542662116040959E-2</v>
      </c>
      <c r="U26" s="9">
        <f>R26 / _xlfn.XLOOKUP(A26, Support!A:A, Support!AA:AA)</f>
        <v>4.0293040293040296E-2</v>
      </c>
      <c r="V26" s="1"/>
      <c r="W26" s="1"/>
    </row>
    <row r="27" spans="1:23" x14ac:dyDescent="0.25">
      <c r="A27" s="1" t="s">
        <v>178</v>
      </c>
      <c r="B27" s="6">
        <v>6</v>
      </c>
      <c r="C27" s="7">
        <v>0.33300000000000002</v>
      </c>
      <c r="D27" s="8">
        <f t="shared" si="0"/>
        <v>1.9980000000000002</v>
      </c>
      <c r="E27" s="6">
        <v>1</v>
      </c>
      <c r="F27" s="7">
        <v>0</v>
      </c>
      <c r="G27" s="8">
        <f t="shared" si="1"/>
        <v>0</v>
      </c>
      <c r="H27" s="6"/>
      <c r="I27" s="7"/>
      <c r="J27" s="8">
        <f t="shared" si="2"/>
        <v>0</v>
      </c>
      <c r="K27" s="6">
        <v>4</v>
      </c>
      <c r="L27" s="7">
        <v>0</v>
      </c>
      <c r="M27" s="8">
        <f t="shared" si="3"/>
        <v>0</v>
      </c>
      <c r="N27" s="6"/>
      <c r="O27" s="7"/>
      <c r="P27" s="8">
        <f t="shared" si="4"/>
        <v>0</v>
      </c>
      <c r="Q27" s="1"/>
      <c r="R27" s="6">
        <f t="shared" si="5"/>
        <v>11</v>
      </c>
      <c r="S27" s="9">
        <f t="shared" si="6"/>
        <v>0.18163636363636365</v>
      </c>
      <c r="T27" s="9">
        <f t="shared" si="7"/>
        <v>3.7542662116040959E-2</v>
      </c>
      <c r="U27" s="9">
        <f>R27 / _xlfn.XLOOKUP(A27, Support!A:A, Support!AA:AA)</f>
        <v>2.2088353413654619E-2</v>
      </c>
      <c r="V27" s="1"/>
      <c r="W27" s="1"/>
    </row>
    <row r="28" spans="1:23" x14ac:dyDescent="0.25">
      <c r="A28" s="1" t="s">
        <v>147</v>
      </c>
      <c r="B28" s="6"/>
      <c r="C28" s="7"/>
      <c r="D28" s="8">
        <f t="shared" si="0"/>
        <v>0</v>
      </c>
      <c r="E28" s="6">
        <v>3</v>
      </c>
      <c r="F28" s="7">
        <v>0</v>
      </c>
      <c r="G28" s="8">
        <f t="shared" si="1"/>
        <v>0</v>
      </c>
      <c r="H28" s="6"/>
      <c r="I28" s="7"/>
      <c r="J28" s="8">
        <f t="shared" si="2"/>
        <v>0</v>
      </c>
      <c r="K28" s="6"/>
      <c r="L28" s="7"/>
      <c r="M28" s="8">
        <f t="shared" si="3"/>
        <v>0</v>
      </c>
      <c r="N28" s="6"/>
      <c r="O28" s="7"/>
      <c r="P28" s="8">
        <f t="shared" si="4"/>
        <v>0</v>
      </c>
      <c r="Q28" s="1"/>
      <c r="R28" s="6">
        <f t="shared" si="5"/>
        <v>3</v>
      </c>
      <c r="S28" s="9">
        <f t="shared" si="6"/>
        <v>0</v>
      </c>
      <c r="T28" s="9">
        <f t="shared" si="7"/>
        <v>1.0238907849829351E-2</v>
      </c>
      <c r="U28" s="9">
        <f>R28 / _xlfn.XLOOKUP(A28, Support!A:A, Support!AA:AA)</f>
        <v>3.7037037037037035E-2</v>
      </c>
      <c r="V28" s="1"/>
      <c r="W28" s="1"/>
    </row>
    <row r="29" spans="1:23" x14ac:dyDescent="0.25">
      <c r="A29" s="1" t="s">
        <v>10</v>
      </c>
      <c r="B29" s="6">
        <v>1</v>
      </c>
      <c r="C29" s="7">
        <v>0</v>
      </c>
      <c r="D29" s="8">
        <f t="shared" si="0"/>
        <v>0</v>
      </c>
      <c r="E29" s="6"/>
      <c r="F29" s="7"/>
      <c r="G29" s="8">
        <f t="shared" si="1"/>
        <v>0</v>
      </c>
      <c r="H29" s="6"/>
      <c r="I29" s="7"/>
      <c r="J29" s="8">
        <f t="shared" si="2"/>
        <v>0</v>
      </c>
      <c r="K29" s="6">
        <v>1</v>
      </c>
      <c r="L29" s="7">
        <v>0</v>
      </c>
      <c r="M29" s="8">
        <f t="shared" si="3"/>
        <v>0</v>
      </c>
      <c r="N29" s="6"/>
      <c r="O29" s="7"/>
      <c r="P29" s="8">
        <f t="shared" si="4"/>
        <v>0</v>
      </c>
      <c r="Q29" s="1"/>
      <c r="R29" s="6">
        <f t="shared" si="5"/>
        <v>2</v>
      </c>
      <c r="S29" s="9">
        <f t="shared" si="6"/>
        <v>0</v>
      </c>
      <c r="T29" s="9">
        <f t="shared" si="7"/>
        <v>6.8259385665529011E-3</v>
      </c>
      <c r="U29" s="9">
        <f>R29 / _xlfn.XLOOKUP(A29, Support!A:A, Support!AA:AA)</f>
        <v>0.1111111111111111</v>
      </c>
      <c r="V29" s="1"/>
      <c r="W29" s="1"/>
    </row>
    <row r="30" spans="1:23" x14ac:dyDescent="0.25">
      <c r="A30" s="1" t="s">
        <v>185</v>
      </c>
      <c r="B30" s="6">
        <v>1</v>
      </c>
      <c r="C30" s="7">
        <v>0</v>
      </c>
      <c r="D30" s="8">
        <f t="shared" si="0"/>
        <v>0</v>
      </c>
      <c r="E30" s="6"/>
      <c r="F30" s="7"/>
      <c r="G30" s="8">
        <f t="shared" si="1"/>
        <v>0</v>
      </c>
      <c r="H30" s="6"/>
      <c r="I30" s="7"/>
      <c r="J30" s="8">
        <f t="shared" si="2"/>
        <v>0</v>
      </c>
      <c r="K30" s="6">
        <v>1</v>
      </c>
      <c r="L30" s="7">
        <v>0</v>
      </c>
      <c r="M30" s="8">
        <f t="shared" si="3"/>
        <v>0</v>
      </c>
      <c r="N30" s="6"/>
      <c r="O30" s="7"/>
      <c r="P30" s="8">
        <f t="shared" si="4"/>
        <v>0</v>
      </c>
      <c r="Q30" s="1"/>
      <c r="R30" s="6">
        <f t="shared" si="5"/>
        <v>2</v>
      </c>
      <c r="S30" s="9">
        <f t="shared" si="6"/>
        <v>0</v>
      </c>
      <c r="T30" s="9">
        <f t="shared" si="7"/>
        <v>6.8259385665529011E-3</v>
      </c>
      <c r="U30" s="9">
        <f>R30 / _xlfn.XLOOKUP(A30, Support!A:A, Support!AA:AA)</f>
        <v>0.2</v>
      </c>
      <c r="V30" s="1"/>
      <c r="W30" s="1"/>
    </row>
    <row r="31" spans="1:23" x14ac:dyDescent="0.25">
      <c r="A31" s="1" t="s">
        <v>127</v>
      </c>
      <c r="B31" s="6"/>
      <c r="C31" s="7"/>
      <c r="D31" s="8">
        <f t="shared" si="0"/>
        <v>0</v>
      </c>
      <c r="E31" s="6">
        <v>2</v>
      </c>
      <c r="F31" s="7">
        <v>0</v>
      </c>
      <c r="G31" s="8">
        <f t="shared" si="1"/>
        <v>0</v>
      </c>
      <c r="H31" s="6"/>
      <c r="I31" s="7"/>
      <c r="J31" s="8">
        <f t="shared" si="2"/>
        <v>0</v>
      </c>
      <c r="K31" s="6"/>
      <c r="L31" s="7"/>
      <c r="M31" s="8">
        <f t="shared" si="3"/>
        <v>0</v>
      </c>
      <c r="N31" s="6"/>
      <c r="O31" s="7"/>
      <c r="P31" s="8">
        <f t="shared" si="4"/>
        <v>0</v>
      </c>
      <c r="Q31" s="1"/>
      <c r="R31" s="6">
        <f t="shared" si="5"/>
        <v>2</v>
      </c>
      <c r="S31" s="9">
        <f t="shared" si="6"/>
        <v>0</v>
      </c>
      <c r="T31" s="9">
        <f t="shared" si="7"/>
        <v>6.8259385665529011E-3</v>
      </c>
      <c r="U31" s="9">
        <f>R31 / _xlfn.XLOOKUP(A31, Support!A:A, Support!AA:AA)</f>
        <v>0.22222222222222221</v>
      </c>
      <c r="V31" s="1"/>
      <c r="W31" s="1"/>
    </row>
    <row r="32" spans="1:23" x14ac:dyDescent="0.25">
      <c r="A32" s="23" t="s">
        <v>81</v>
      </c>
      <c r="B32" s="6"/>
      <c r="C32" s="7"/>
      <c r="D32" s="8">
        <f t="shared" si="0"/>
        <v>0</v>
      </c>
      <c r="E32" s="6"/>
      <c r="F32" s="7"/>
      <c r="G32" s="8">
        <f t="shared" si="1"/>
        <v>0</v>
      </c>
      <c r="H32" s="6"/>
      <c r="I32" s="7"/>
      <c r="J32" s="8">
        <f t="shared" si="2"/>
        <v>0</v>
      </c>
      <c r="K32" s="6">
        <v>2</v>
      </c>
      <c r="L32" s="7">
        <v>0</v>
      </c>
      <c r="M32" s="8">
        <f t="shared" si="3"/>
        <v>0</v>
      </c>
      <c r="N32" s="6"/>
      <c r="O32" s="7"/>
      <c r="P32" s="8">
        <f t="shared" si="4"/>
        <v>0</v>
      </c>
      <c r="Q32" s="1"/>
      <c r="R32" s="6">
        <f t="shared" si="5"/>
        <v>2</v>
      </c>
      <c r="S32" s="9">
        <f t="shared" si="6"/>
        <v>0</v>
      </c>
      <c r="T32" s="9">
        <f t="shared" si="7"/>
        <v>6.8259385665529011E-3</v>
      </c>
      <c r="U32" s="9">
        <f>R32 / _xlfn.XLOOKUP(A32, Support!A:A, Support!AA:AA)</f>
        <v>4.4444444444444446E-2</v>
      </c>
      <c r="V32" s="1"/>
      <c r="W32" s="1"/>
    </row>
    <row r="33" spans="1:23" x14ac:dyDescent="0.25">
      <c r="A33" s="1" t="s">
        <v>181</v>
      </c>
      <c r="B33" s="6"/>
      <c r="C33" s="7"/>
      <c r="D33" s="8">
        <f t="shared" si="0"/>
        <v>0</v>
      </c>
      <c r="E33" s="6"/>
      <c r="F33" s="7"/>
      <c r="G33" s="8">
        <f t="shared" si="1"/>
        <v>0</v>
      </c>
      <c r="H33" s="6"/>
      <c r="I33" s="7"/>
      <c r="J33" s="8">
        <f t="shared" si="2"/>
        <v>0</v>
      </c>
      <c r="K33" s="6">
        <v>1</v>
      </c>
      <c r="L33" s="7">
        <v>0</v>
      </c>
      <c r="M33" s="8">
        <f t="shared" si="3"/>
        <v>0</v>
      </c>
      <c r="N33" s="6"/>
      <c r="O33" s="7"/>
      <c r="P33" s="8">
        <f t="shared" si="4"/>
        <v>0</v>
      </c>
      <c r="Q33" s="1"/>
      <c r="R33" s="6">
        <f t="shared" si="5"/>
        <v>1</v>
      </c>
      <c r="S33" s="9">
        <f t="shared" si="6"/>
        <v>0</v>
      </c>
      <c r="T33" s="9">
        <f t="shared" si="7"/>
        <v>3.4129692832764505E-3</v>
      </c>
      <c r="U33" s="9">
        <f>R33 / _xlfn.XLOOKUP(A33, Support!A:A, Support!AA:AA)</f>
        <v>9.2592592592592587E-3</v>
      </c>
      <c r="V33" s="1"/>
      <c r="W33" s="1"/>
    </row>
    <row r="34" spans="1:23" x14ac:dyDescent="0.25">
      <c r="A34" s="1" t="s">
        <v>26</v>
      </c>
      <c r="B34" s="6">
        <v>1</v>
      </c>
      <c r="C34" s="7">
        <v>0</v>
      </c>
      <c r="D34" s="8">
        <f t="shared" si="0"/>
        <v>0</v>
      </c>
      <c r="E34" s="6"/>
      <c r="F34" s="7"/>
      <c r="G34" s="8">
        <f t="shared" si="1"/>
        <v>0</v>
      </c>
      <c r="H34" s="6"/>
      <c r="I34" s="7"/>
      <c r="J34" s="8">
        <f t="shared" si="2"/>
        <v>0</v>
      </c>
      <c r="K34" s="6"/>
      <c r="L34" s="7"/>
      <c r="M34" s="8">
        <f t="shared" si="3"/>
        <v>0</v>
      </c>
      <c r="N34" s="6"/>
      <c r="O34" s="7"/>
      <c r="P34" s="8">
        <f t="shared" si="4"/>
        <v>0</v>
      </c>
      <c r="Q34" s="1"/>
      <c r="R34" s="6">
        <f t="shared" si="5"/>
        <v>1</v>
      </c>
      <c r="S34" s="9">
        <f t="shared" si="6"/>
        <v>0</v>
      </c>
      <c r="T34" s="9">
        <f t="shared" si="7"/>
        <v>3.4129692832764505E-3</v>
      </c>
      <c r="U34" s="9">
        <f>R34 / _xlfn.XLOOKUP(A34, Support!A:A, Support!AA:AA)</f>
        <v>0.2</v>
      </c>
      <c r="V34" s="1"/>
      <c r="W34" s="1"/>
    </row>
    <row r="35" spans="1:23" x14ac:dyDescent="0.25">
      <c r="A35" s="1" t="s">
        <v>122</v>
      </c>
      <c r="B35" s="6"/>
      <c r="C35" s="7"/>
      <c r="D35" s="8">
        <f t="shared" si="0"/>
        <v>0</v>
      </c>
      <c r="E35" s="6"/>
      <c r="F35" s="7"/>
      <c r="G35" s="8">
        <f t="shared" si="1"/>
        <v>0</v>
      </c>
      <c r="H35" s="6"/>
      <c r="I35" s="7"/>
      <c r="J35" s="8">
        <f t="shared" si="2"/>
        <v>0</v>
      </c>
      <c r="K35" s="6">
        <v>1</v>
      </c>
      <c r="L35" s="7">
        <v>0</v>
      </c>
      <c r="M35" s="8">
        <f t="shared" si="3"/>
        <v>0</v>
      </c>
      <c r="N35" s="6"/>
      <c r="O35" s="7"/>
      <c r="P35" s="8">
        <f t="shared" si="4"/>
        <v>0</v>
      </c>
      <c r="Q35" s="1"/>
      <c r="R35" s="6">
        <f t="shared" si="5"/>
        <v>1</v>
      </c>
      <c r="S35" s="9">
        <f t="shared" si="6"/>
        <v>0</v>
      </c>
      <c r="T35" s="9">
        <f t="shared" si="7"/>
        <v>3.4129692832764505E-3</v>
      </c>
      <c r="U35" s="9">
        <f>R35 / _xlfn.XLOOKUP(A35, Support!A:A, Support!AA:AA)</f>
        <v>3.8461538461538464E-2</v>
      </c>
      <c r="V35" s="1"/>
      <c r="W35" s="1"/>
    </row>
    <row r="36" spans="1:23" x14ac:dyDescent="0.25">
      <c r="A36" s="1" t="s">
        <v>187</v>
      </c>
      <c r="B36" s="6">
        <v>1</v>
      </c>
      <c r="C36" s="7">
        <v>0</v>
      </c>
      <c r="D36" s="8">
        <f t="shared" si="0"/>
        <v>0</v>
      </c>
      <c r="E36" s="6"/>
      <c r="F36" s="7"/>
      <c r="G36" s="8">
        <f t="shared" si="1"/>
        <v>0</v>
      </c>
      <c r="H36" s="6"/>
      <c r="I36" s="7"/>
      <c r="J36" s="8">
        <f t="shared" si="2"/>
        <v>0</v>
      </c>
      <c r="K36" s="6"/>
      <c r="L36" s="7"/>
      <c r="M36" s="8">
        <f t="shared" si="3"/>
        <v>0</v>
      </c>
      <c r="N36" s="6"/>
      <c r="O36" s="7"/>
      <c r="P36" s="8">
        <f t="shared" si="4"/>
        <v>0</v>
      </c>
      <c r="Q36" s="1"/>
      <c r="R36" s="6">
        <f t="shared" si="5"/>
        <v>1</v>
      </c>
      <c r="S36" s="9">
        <f t="shared" si="6"/>
        <v>0</v>
      </c>
      <c r="T36" s="9">
        <f t="shared" si="7"/>
        <v>3.4129692832764505E-3</v>
      </c>
      <c r="U36" s="9">
        <f>R36 / _xlfn.XLOOKUP(A36, Support!A:A, Support!AA:AA)</f>
        <v>0.1111111111111111</v>
      </c>
      <c r="V36" s="1"/>
      <c r="W36" s="1"/>
    </row>
    <row r="37" spans="1:23" x14ac:dyDescent="0.25">
      <c r="N37" s="6"/>
      <c r="O37" s="7"/>
      <c r="P37" s="8">
        <f t="shared" ref="P37:P56" si="8">N37*O37</f>
        <v>0</v>
      </c>
      <c r="Q37" s="1"/>
      <c r="R37" s="6">
        <f t="shared" ref="R37:R56" si="9">B37+E37+H37+K37+N37</f>
        <v>0</v>
      </c>
      <c r="S37" s="9" t="e">
        <f t="shared" ref="S37:S56" si="10">(D37+G37+J37+M37+P37)/R37</f>
        <v>#DIV/0!</v>
      </c>
      <c r="T37" s="9">
        <f t="shared" ref="T37:T56" si="11">R37/$V$3</f>
        <v>0</v>
      </c>
      <c r="U37" s="9" t="e">
        <f>R37 / _xlfn.XLOOKUP(A37, Support!A:A, Support!AA:AA)</f>
        <v>#DIV/0!</v>
      </c>
      <c r="V37" s="1"/>
      <c r="W37" s="1"/>
    </row>
    <row r="38" spans="1:23" x14ac:dyDescent="0.25">
      <c r="N38" s="6"/>
      <c r="O38" s="7"/>
      <c r="P38" s="8">
        <f t="shared" si="8"/>
        <v>0</v>
      </c>
      <c r="Q38" s="1"/>
      <c r="R38" s="6">
        <f t="shared" si="9"/>
        <v>0</v>
      </c>
      <c r="S38" s="9" t="e">
        <f t="shared" si="10"/>
        <v>#DIV/0!</v>
      </c>
      <c r="T38" s="9">
        <f t="shared" si="11"/>
        <v>0</v>
      </c>
      <c r="U38" s="9" t="e">
        <f>R38 / _xlfn.XLOOKUP(A38, Support!A:A, Support!AA:AA)</f>
        <v>#DIV/0!</v>
      </c>
      <c r="V38" s="1"/>
      <c r="W38" s="1"/>
    </row>
    <row r="39" spans="1:23" x14ac:dyDescent="0.25">
      <c r="N39" s="6"/>
      <c r="O39" s="7"/>
      <c r="P39" s="8">
        <f t="shared" si="8"/>
        <v>0</v>
      </c>
      <c r="Q39" s="1"/>
      <c r="R39" s="6">
        <f t="shared" si="9"/>
        <v>0</v>
      </c>
      <c r="S39" s="9" t="e">
        <f t="shared" si="10"/>
        <v>#DIV/0!</v>
      </c>
      <c r="T39" s="9">
        <f t="shared" si="11"/>
        <v>0</v>
      </c>
      <c r="U39" s="9" t="e">
        <f>R39 / _xlfn.XLOOKUP(A39, Support!A:A, Support!AA:AA)</f>
        <v>#DIV/0!</v>
      </c>
      <c r="V39" s="1"/>
      <c r="W39" s="1"/>
    </row>
    <row r="40" spans="1:23" x14ac:dyDescent="0.25">
      <c r="N40" s="6"/>
      <c r="O40" s="7"/>
      <c r="P40" s="8">
        <f t="shared" si="8"/>
        <v>0</v>
      </c>
      <c r="Q40" s="1"/>
      <c r="R40" s="6">
        <f t="shared" si="9"/>
        <v>0</v>
      </c>
      <c r="S40" s="9" t="e">
        <f t="shared" si="10"/>
        <v>#DIV/0!</v>
      </c>
      <c r="T40" s="9">
        <f t="shared" si="11"/>
        <v>0</v>
      </c>
      <c r="U40" s="9" t="e">
        <f>R40 / _xlfn.XLOOKUP(A40, Support!A:A, Support!AA:AA)</f>
        <v>#DIV/0!</v>
      </c>
    </row>
    <row r="41" spans="1:23" x14ac:dyDescent="0.25">
      <c r="N41" s="6"/>
      <c r="O41" s="7"/>
      <c r="P41" s="8">
        <f t="shared" si="8"/>
        <v>0</v>
      </c>
      <c r="Q41" s="1"/>
      <c r="R41" s="6">
        <f t="shared" si="9"/>
        <v>0</v>
      </c>
      <c r="S41" s="9" t="e">
        <f t="shared" si="10"/>
        <v>#DIV/0!</v>
      </c>
      <c r="T41" s="9">
        <f t="shared" si="11"/>
        <v>0</v>
      </c>
      <c r="U41" s="9" t="e">
        <f>R41 / _xlfn.XLOOKUP(A41, Support!A:A, Support!AA:AA)</f>
        <v>#DIV/0!</v>
      </c>
    </row>
    <row r="42" spans="1:23" x14ac:dyDescent="0.25">
      <c r="N42" s="6"/>
      <c r="O42" s="7"/>
      <c r="P42" s="8">
        <f t="shared" si="8"/>
        <v>0</v>
      </c>
      <c r="Q42" s="1"/>
      <c r="R42" s="6">
        <f t="shared" si="9"/>
        <v>0</v>
      </c>
      <c r="S42" s="9" t="e">
        <f t="shared" si="10"/>
        <v>#DIV/0!</v>
      </c>
      <c r="T42" s="9">
        <f t="shared" si="11"/>
        <v>0</v>
      </c>
      <c r="U42" s="9" t="e">
        <f>R42 / _xlfn.XLOOKUP(A42, Support!A:A, Support!AA:AA)</f>
        <v>#DIV/0!</v>
      </c>
    </row>
    <row r="43" spans="1:23" x14ac:dyDescent="0.25">
      <c r="N43" s="6"/>
      <c r="O43" s="7"/>
      <c r="P43" s="8">
        <f t="shared" si="8"/>
        <v>0</v>
      </c>
      <c r="Q43" s="1"/>
      <c r="R43" s="6">
        <f t="shared" si="9"/>
        <v>0</v>
      </c>
      <c r="S43" s="9" t="e">
        <f t="shared" si="10"/>
        <v>#DIV/0!</v>
      </c>
      <c r="T43" s="9">
        <f t="shared" si="11"/>
        <v>0</v>
      </c>
      <c r="U43" s="9" t="e">
        <f>R43 / _xlfn.XLOOKUP(A43, Support!A:A, Support!AA:AA)</f>
        <v>#DIV/0!</v>
      </c>
    </row>
    <row r="44" spans="1:23" x14ac:dyDescent="0.25">
      <c r="N44" s="6"/>
      <c r="O44" s="7"/>
      <c r="P44" s="8">
        <f t="shared" si="8"/>
        <v>0</v>
      </c>
      <c r="Q44" s="1"/>
      <c r="R44" s="6">
        <f t="shared" si="9"/>
        <v>0</v>
      </c>
      <c r="S44" s="9" t="e">
        <f t="shared" si="10"/>
        <v>#DIV/0!</v>
      </c>
      <c r="T44" s="9">
        <f t="shared" si="11"/>
        <v>0</v>
      </c>
      <c r="U44" s="9" t="e">
        <f>R44 / _xlfn.XLOOKUP(A44, Support!A:A, Support!AA:AA)</f>
        <v>#DIV/0!</v>
      </c>
    </row>
    <row r="45" spans="1:23" x14ac:dyDescent="0.25">
      <c r="N45" s="6"/>
      <c r="O45" s="7"/>
      <c r="P45" s="8">
        <f t="shared" si="8"/>
        <v>0</v>
      </c>
      <c r="Q45" s="1"/>
      <c r="R45" s="6">
        <f t="shared" si="9"/>
        <v>0</v>
      </c>
      <c r="S45" s="9" t="e">
        <f t="shared" si="10"/>
        <v>#DIV/0!</v>
      </c>
      <c r="T45" s="9">
        <f t="shared" si="11"/>
        <v>0</v>
      </c>
      <c r="U45" s="9" t="e">
        <f>R45 / _xlfn.XLOOKUP(A45, Support!A:A, Support!AA:AA)</f>
        <v>#DIV/0!</v>
      </c>
    </row>
    <row r="46" spans="1:23" x14ac:dyDescent="0.25">
      <c r="N46" s="6"/>
      <c r="O46" s="7"/>
      <c r="P46" s="8">
        <f t="shared" si="8"/>
        <v>0</v>
      </c>
      <c r="Q46" s="1"/>
      <c r="R46" s="6">
        <f t="shared" si="9"/>
        <v>0</v>
      </c>
      <c r="S46" s="9" t="e">
        <f t="shared" si="10"/>
        <v>#DIV/0!</v>
      </c>
      <c r="T46" s="9">
        <f t="shared" si="11"/>
        <v>0</v>
      </c>
      <c r="U46" s="9" t="e">
        <f>R46 / _xlfn.XLOOKUP(A46, Support!A:A, Support!AA:AA)</f>
        <v>#DIV/0!</v>
      </c>
    </row>
    <row r="47" spans="1:23" x14ac:dyDescent="0.25">
      <c r="N47" s="6"/>
      <c r="O47" s="7"/>
      <c r="P47" s="8">
        <f t="shared" si="8"/>
        <v>0</v>
      </c>
      <c r="Q47" s="1"/>
      <c r="R47" s="6">
        <f t="shared" si="9"/>
        <v>0</v>
      </c>
      <c r="S47" s="9" t="e">
        <f t="shared" si="10"/>
        <v>#DIV/0!</v>
      </c>
      <c r="T47" s="9">
        <f t="shared" si="11"/>
        <v>0</v>
      </c>
      <c r="U47" s="9" t="e">
        <f>R47 / _xlfn.XLOOKUP(A47, Support!A:A, Support!AA:AA)</f>
        <v>#DIV/0!</v>
      </c>
    </row>
    <row r="48" spans="1:23" x14ac:dyDescent="0.25">
      <c r="N48" s="6"/>
      <c r="O48" s="7"/>
      <c r="P48" s="8">
        <f t="shared" si="8"/>
        <v>0</v>
      </c>
      <c r="Q48" s="1"/>
      <c r="R48" s="6">
        <f t="shared" si="9"/>
        <v>0</v>
      </c>
      <c r="S48" s="9" t="e">
        <f t="shared" si="10"/>
        <v>#DIV/0!</v>
      </c>
      <c r="T48" s="9">
        <f t="shared" si="11"/>
        <v>0</v>
      </c>
      <c r="U48" s="9" t="e">
        <f>R48 / _xlfn.XLOOKUP(A48, Support!A:A, Support!AA:AA)</f>
        <v>#DIV/0!</v>
      </c>
    </row>
    <row r="49" spans="14:21" x14ac:dyDescent="0.25">
      <c r="N49" s="6"/>
      <c r="O49" s="7"/>
      <c r="P49" s="8">
        <f t="shared" si="8"/>
        <v>0</v>
      </c>
      <c r="Q49" s="1"/>
      <c r="R49" s="6">
        <f t="shared" si="9"/>
        <v>0</v>
      </c>
      <c r="S49" s="9" t="e">
        <f t="shared" si="10"/>
        <v>#DIV/0!</v>
      </c>
      <c r="T49" s="9">
        <f t="shared" si="11"/>
        <v>0</v>
      </c>
      <c r="U49" s="9" t="e">
        <f>R49 / _xlfn.XLOOKUP(A49, Support!A:A, Support!AA:AA)</f>
        <v>#DIV/0!</v>
      </c>
    </row>
    <row r="50" spans="14:21" x14ac:dyDescent="0.25">
      <c r="N50" s="6"/>
      <c r="O50" s="7"/>
      <c r="P50" s="8">
        <f t="shared" si="8"/>
        <v>0</v>
      </c>
      <c r="Q50" s="1"/>
      <c r="R50" s="6">
        <f t="shared" si="9"/>
        <v>0</v>
      </c>
      <c r="S50" s="9" t="e">
        <f t="shared" si="10"/>
        <v>#DIV/0!</v>
      </c>
      <c r="T50" s="9">
        <f t="shared" si="11"/>
        <v>0</v>
      </c>
      <c r="U50" s="9" t="e">
        <f>R50 / _xlfn.XLOOKUP(A50, Support!A:A, Support!AA:AA)</f>
        <v>#DIV/0!</v>
      </c>
    </row>
    <row r="51" spans="14:21" x14ac:dyDescent="0.25">
      <c r="N51" s="6"/>
      <c r="O51" s="7"/>
      <c r="P51" s="8">
        <f t="shared" si="8"/>
        <v>0</v>
      </c>
      <c r="Q51" s="1"/>
      <c r="R51" s="6">
        <f t="shared" si="9"/>
        <v>0</v>
      </c>
      <c r="S51" s="9" t="e">
        <f t="shared" si="10"/>
        <v>#DIV/0!</v>
      </c>
      <c r="T51" s="9">
        <f t="shared" si="11"/>
        <v>0</v>
      </c>
      <c r="U51" s="9" t="e">
        <f>R51 / _xlfn.XLOOKUP(A51, Support!A:A, Support!AA:AA)</f>
        <v>#DIV/0!</v>
      </c>
    </row>
    <row r="52" spans="14:21" x14ac:dyDescent="0.25">
      <c r="N52" s="6"/>
      <c r="O52" s="7"/>
      <c r="P52" s="8">
        <f t="shared" si="8"/>
        <v>0</v>
      </c>
      <c r="Q52" s="1"/>
      <c r="R52" s="6">
        <f t="shared" si="9"/>
        <v>0</v>
      </c>
      <c r="S52" s="9" t="e">
        <f t="shared" si="10"/>
        <v>#DIV/0!</v>
      </c>
      <c r="T52" s="9">
        <f t="shared" si="11"/>
        <v>0</v>
      </c>
      <c r="U52" s="9" t="e">
        <f>R52 / _xlfn.XLOOKUP(A52, Support!A:A, Support!AA:AA)</f>
        <v>#DIV/0!</v>
      </c>
    </row>
    <row r="53" spans="14:21" x14ac:dyDescent="0.25">
      <c r="N53" s="6"/>
      <c r="O53" s="7"/>
      <c r="P53" s="8">
        <f t="shared" si="8"/>
        <v>0</v>
      </c>
      <c r="Q53" s="1"/>
      <c r="R53" s="6">
        <f t="shared" si="9"/>
        <v>0</v>
      </c>
      <c r="S53" s="9" t="e">
        <f t="shared" si="10"/>
        <v>#DIV/0!</v>
      </c>
      <c r="T53" s="9">
        <f t="shared" si="11"/>
        <v>0</v>
      </c>
      <c r="U53" s="9" t="e">
        <f>R53 / _xlfn.XLOOKUP(A53, Support!A:A, Support!AA:AA)</f>
        <v>#DIV/0!</v>
      </c>
    </row>
    <row r="54" spans="14:21" x14ac:dyDescent="0.25">
      <c r="N54" s="6"/>
      <c r="O54" s="7"/>
      <c r="P54" s="8">
        <f t="shared" si="8"/>
        <v>0</v>
      </c>
      <c r="Q54" s="1"/>
      <c r="R54" s="6">
        <f t="shared" si="9"/>
        <v>0</v>
      </c>
      <c r="S54" s="9" t="e">
        <f t="shared" si="10"/>
        <v>#DIV/0!</v>
      </c>
      <c r="T54" s="9">
        <f t="shared" si="11"/>
        <v>0</v>
      </c>
      <c r="U54" s="9" t="e">
        <f>R54 / _xlfn.XLOOKUP(A54, Support!A:A, Support!AA:AA)</f>
        <v>#DIV/0!</v>
      </c>
    </row>
    <row r="55" spans="14:21" x14ac:dyDescent="0.25">
      <c r="N55" s="6"/>
      <c r="O55" s="7"/>
      <c r="P55" s="8">
        <f t="shared" si="8"/>
        <v>0</v>
      </c>
      <c r="Q55" s="1"/>
      <c r="R55" s="6">
        <f t="shared" si="9"/>
        <v>0</v>
      </c>
      <c r="S55" s="9" t="e">
        <f t="shared" si="10"/>
        <v>#DIV/0!</v>
      </c>
      <c r="T55" s="9">
        <f t="shared" si="11"/>
        <v>0</v>
      </c>
      <c r="U55" s="9" t="e">
        <f>R55 / _xlfn.XLOOKUP(A55, Support!A:A, Support!AA:AA)</f>
        <v>#DIV/0!</v>
      </c>
    </row>
    <row r="56" spans="14:21" x14ac:dyDescent="0.25">
      <c r="N56" s="6"/>
      <c r="O56" s="7"/>
      <c r="P56" s="8">
        <f t="shared" si="8"/>
        <v>0</v>
      </c>
      <c r="Q56" s="1"/>
      <c r="R56" s="6">
        <f t="shared" si="9"/>
        <v>0</v>
      </c>
      <c r="S56" s="9" t="e">
        <f t="shared" si="10"/>
        <v>#DIV/0!</v>
      </c>
      <c r="T56" s="9">
        <f t="shared" si="11"/>
        <v>0</v>
      </c>
      <c r="U56" s="9" t="e">
        <f>R56 / _xlfn.XLOOKUP(A56, Support!A:A, Support!AA:AA)</f>
        <v>#DIV/0!</v>
      </c>
    </row>
  </sheetData>
  <sortState xmlns:xlrd2="http://schemas.microsoft.com/office/spreadsheetml/2017/richdata2" ref="A3:U36">
    <sortCondition descending="1" ref="S3:S36"/>
  </sortState>
  <pageMargins left="0.7" right="0.7" top="0.78740157499999996" bottom="0.78740157499999996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03AC1-1C3B-4313-97FF-59A8ADC25AF7}">
  <sheetPr>
    <tabColor theme="9" tint="0.59999389629810485"/>
  </sheetPr>
  <dimension ref="A1:W30"/>
  <sheetViews>
    <sheetView workbookViewId="0">
      <selection activeCell="U3" sqref="U3:U27"/>
    </sheetView>
  </sheetViews>
  <sheetFormatPr baseColWidth="10" defaultRowHeight="15" x14ac:dyDescent="0.25"/>
  <sheetData>
    <row r="1" spans="1:23" ht="15.75" x14ac:dyDescent="0.25">
      <c r="A1" s="2" t="s">
        <v>199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177</v>
      </c>
      <c r="B3" s="6"/>
      <c r="C3" s="7"/>
      <c r="D3" s="8">
        <f t="shared" ref="D3:D27" si="0">B3*C3</f>
        <v>0</v>
      </c>
      <c r="E3" s="6"/>
      <c r="F3" s="7"/>
      <c r="G3" s="8">
        <f t="shared" ref="G3:G27" si="1">E3*F3</f>
        <v>0</v>
      </c>
      <c r="H3" s="6"/>
      <c r="I3" s="7"/>
      <c r="J3" s="8">
        <f t="shared" ref="J3:J27" si="2">H3*I3</f>
        <v>0</v>
      </c>
      <c r="K3" s="6"/>
      <c r="L3" s="7"/>
      <c r="M3" s="8">
        <f t="shared" ref="M3:M27" si="3">K3*L3</f>
        <v>0</v>
      </c>
      <c r="N3" s="6"/>
      <c r="O3" s="7"/>
      <c r="P3" s="8">
        <f t="shared" ref="P3:P27" si="4">N3*O3</f>
        <v>0</v>
      </c>
      <c r="Q3" s="1"/>
      <c r="R3" s="6">
        <f t="shared" ref="R3:R27" si="5">B3+E3+H3+K3+N3</f>
        <v>0</v>
      </c>
      <c r="S3" s="9" t="e">
        <f t="shared" ref="S3:S27" si="6">(D3+G3+J3+M3+P3)/R3</f>
        <v>#DIV/0!</v>
      </c>
      <c r="T3" s="9">
        <f t="shared" ref="T3:T27" si="7">R3/$V$3</f>
        <v>0</v>
      </c>
      <c r="U3" s="9">
        <f>R3 / _xlfn.XLOOKUP(A3, Support!A:A, Support!AA:AA)</f>
        <v>0</v>
      </c>
      <c r="V3" s="11">
        <f>SUM(R3:R40)</f>
        <v>262</v>
      </c>
      <c r="W3" s="12">
        <f>(SUM(D3:D70)+SUM(G3:G70)+SUM(J3:J70)+SUM(M3:M70)+SUM(P3:P70)) / V3</f>
        <v>0.40843893129770992</v>
      </c>
    </row>
    <row r="4" spans="1:23" x14ac:dyDescent="0.25">
      <c r="A4" s="1" t="s">
        <v>30</v>
      </c>
      <c r="B4" s="6"/>
      <c r="C4" s="7"/>
      <c r="D4" s="8">
        <f t="shared" si="0"/>
        <v>0</v>
      </c>
      <c r="E4" s="6"/>
      <c r="F4" s="7"/>
      <c r="G4" s="8">
        <f t="shared" si="1"/>
        <v>0</v>
      </c>
      <c r="H4" s="6"/>
      <c r="I4" s="7"/>
      <c r="J4" s="8">
        <f t="shared" si="2"/>
        <v>0</v>
      </c>
      <c r="K4" s="6">
        <v>1</v>
      </c>
      <c r="L4" s="7">
        <v>1</v>
      </c>
      <c r="M4" s="8">
        <f t="shared" si="3"/>
        <v>1</v>
      </c>
      <c r="N4" s="6"/>
      <c r="O4" s="7"/>
      <c r="P4" s="8">
        <f t="shared" si="4"/>
        <v>0</v>
      </c>
      <c r="Q4" s="1"/>
      <c r="R4" s="6">
        <f t="shared" si="5"/>
        <v>1</v>
      </c>
      <c r="S4" s="9">
        <f t="shared" si="6"/>
        <v>1</v>
      </c>
      <c r="T4" s="9">
        <f t="shared" si="7"/>
        <v>3.8167938931297708E-3</v>
      </c>
      <c r="U4" s="9">
        <f>R4 / _xlfn.XLOOKUP(A4, Support!A:A, Support!AA:AA)</f>
        <v>2.2727272727272728E-2</v>
      </c>
      <c r="V4" s="1"/>
      <c r="W4" s="1"/>
    </row>
    <row r="5" spans="1:23" x14ac:dyDescent="0.25">
      <c r="A5" s="1" t="s">
        <v>91</v>
      </c>
      <c r="B5" s="6"/>
      <c r="C5" s="7"/>
      <c r="D5" s="8">
        <f t="shared" si="0"/>
        <v>0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>
        <v>13</v>
      </c>
      <c r="L5" s="7">
        <v>0.84599999999999997</v>
      </c>
      <c r="M5" s="8">
        <f t="shared" si="3"/>
        <v>10.997999999999999</v>
      </c>
      <c r="N5" s="6"/>
      <c r="O5" s="7"/>
      <c r="P5" s="8">
        <f t="shared" si="4"/>
        <v>0</v>
      </c>
      <c r="Q5" s="1"/>
      <c r="R5" s="6">
        <f t="shared" si="5"/>
        <v>13</v>
      </c>
      <c r="S5" s="9">
        <f t="shared" si="6"/>
        <v>0.84599999999999997</v>
      </c>
      <c r="T5" s="9">
        <f t="shared" si="7"/>
        <v>4.9618320610687022E-2</v>
      </c>
      <c r="U5" s="9">
        <f>R5 / _xlfn.XLOOKUP(A5, Support!A:A, Support!AA:AA)</f>
        <v>7.7380952380952384E-2</v>
      </c>
      <c r="V5" s="1"/>
      <c r="W5" s="1"/>
    </row>
    <row r="6" spans="1:23" x14ac:dyDescent="0.25">
      <c r="A6" s="1" t="s">
        <v>179</v>
      </c>
      <c r="B6" s="6">
        <v>2</v>
      </c>
      <c r="C6" s="7">
        <v>0.5</v>
      </c>
      <c r="D6" s="8">
        <f t="shared" si="0"/>
        <v>1</v>
      </c>
      <c r="E6" s="6">
        <v>6</v>
      </c>
      <c r="F6" s="7">
        <v>0.33300000000000002</v>
      </c>
      <c r="G6" s="8">
        <f t="shared" si="1"/>
        <v>1.9980000000000002</v>
      </c>
      <c r="H6" s="6">
        <v>1</v>
      </c>
      <c r="I6" s="7">
        <v>1</v>
      </c>
      <c r="J6" s="8">
        <f t="shared" si="2"/>
        <v>1</v>
      </c>
      <c r="K6" s="6">
        <v>23</v>
      </c>
      <c r="L6" s="7">
        <v>0.60899999999999999</v>
      </c>
      <c r="M6" s="8">
        <f t="shared" si="3"/>
        <v>14.007</v>
      </c>
      <c r="N6" s="6"/>
      <c r="O6" s="7"/>
      <c r="P6" s="8">
        <f t="shared" si="4"/>
        <v>0</v>
      </c>
      <c r="Q6" s="1"/>
      <c r="R6" s="6">
        <f t="shared" si="5"/>
        <v>32</v>
      </c>
      <c r="S6" s="9">
        <f t="shared" si="6"/>
        <v>0.56265624999999997</v>
      </c>
      <c r="T6" s="9">
        <f t="shared" si="7"/>
        <v>0.12213740458015267</v>
      </c>
      <c r="U6" s="9">
        <f>R6 / _xlfn.XLOOKUP(A6, Support!A:A, Support!AA:AA)</f>
        <v>6.7510548523206745E-2</v>
      </c>
      <c r="V6" s="1"/>
      <c r="W6" s="1"/>
    </row>
    <row r="7" spans="1:23" x14ac:dyDescent="0.25">
      <c r="A7" s="1" t="s">
        <v>182</v>
      </c>
      <c r="B7" s="6">
        <v>1</v>
      </c>
      <c r="C7" s="7">
        <v>1</v>
      </c>
      <c r="D7" s="8">
        <f t="shared" si="0"/>
        <v>1</v>
      </c>
      <c r="E7" s="6">
        <v>2</v>
      </c>
      <c r="F7" s="7">
        <v>0</v>
      </c>
      <c r="G7" s="8">
        <f t="shared" si="1"/>
        <v>0</v>
      </c>
      <c r="H7" s="6"/>
      <c r="I7" s="7"/>
      <c r="J7" s="8">
        <f t="shared" si="2"/>
        <v>0</v>
      </c>
      <c r="K7" s="6">
        <v>7</v>
      </c>
      <c r="L7" s="7">
        <v>0.57199999999999995</v>
      </c>
      <c r="M7" s="8">
        <f t="shared" si="3"/>
        <v>4.0039999999999996</v>
      </c>
      <c r="N7" s="6"/>
      <c r="O7" s="7"/>
      <c r="P7" s="8">
        <f t="shared" si="4"/>
        <v>0</v>
      </c>
      <c r="Q7" s="1"/>
      <c r="R7" s="6">
        <f t="shared" si="5"/>
        <v>10</v>
      </c>
      <c r="S7" s="9">
        <f t="shared" si="6"/>
        <v>0.50039999999999996</v>
      </c>
      <c r="T7" s="9">
        <f t="shared" si="7"/>
        <v>3.8167938931297711E-2</v>
      </c>
      <c r="U7" s="9">
        <f>R7 / _xlfn.XLOOKUP(A7, Support!A:A, Support!AA:AA)</f>
        <v>3.6630036630036632E-2</v>
      </c>
      <c r="V7" s="1"/>
      <c r="W7" s="1"/>
    </row>
    <row r="8" spans="1:23" x14ac:dyDescent="0.25">
      <c r="A8" s="1" t="s">
        <v>168</v>
      </c>
      <c r="B8" s="6">
        <v>1</v>
      </c>
      <c r="C8" s="7">
        <v>0</v>
      </c>
      <c r="D8" s="8">
        <f t="shared" si="0"/>
        <v>0</v>
      </c>
      <c r="E8" s="6"/>
      <c r="F8" s="7"/>
      <c r="G8" s="8">
        <f t="shared" si="1"/>
        <v>0</v>
      </c>
      <c r="H8" s="6">
        <v>2</v>
      </c>
      <c r="I8" s="7">
        <v>0.5</v>
      </c>
      <c r="J8" s="8">
        <f t="shared" si="2"/>
        <v>1</v>
      </c>
      <c r="K8" s="6">
        <v>3</v>
      </c>
      <c r="L8" s="7">
        <v>0.66700000000000004</v>
      </c>
      <c r="M8" s="8">
        <f t="shared" si="3"/>
        <v>2.0010000000000003</v>
      </c>
      <c r="N8" s="6"/>
      <c r="O8" s="7"/>
      <c r="P8" s="8">
        <f t="shared" si="4"/>
        <v>0</v>
      </c>
      <c r="Q8" s="1"/>
      <c r="R8" s="6">
        <f t="shared" si="5"/>
        <v>6</v>
      </c>
      <c r="S8" s="9">
        <f t="shared" si="6"/>
        <v>0.50016666666666676</v>
      </c>
      <c r="T8" s="9">
        <f t="shared" si="7"/>
        <v>2.2900763358778626E-2</v>
      </c>
      <c r="U8" s="9">
        <f>R8 / _xlfn.XLOOKUP(A8, Support!A:A, Support!AA:AA)</f>
        <v>3.1578947368421054E-2</v>
      </c>
      <c r="V8" s="1"/>
      <c r="W8" s="1"/>
    </row>
    <row r="9" spans="1:23" x14ac:dyDescent="0.25">
      <c r="A9" s="1" t="s">
        <v>31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/>
      <c r="I9" s="7"/>
      <c r="J9" s="8">
        <f t="shared" si="2"/>
        <v>0</v>
      </c>
      <c r="K9" s="6">
        <v>6</v>
      </c>
      <c r="L9" s="7">
        <v>0.5</v>
      </c>
      <c r="M9" s="8">
        <f t="shared" si="3"/>
        <v>3</v>
      </c>
      <c r="N9" s="6"/>
      <c r="O9" s="7"/>
      <c r="P9" s="8">
        <f t="shared" si="4"/>
        <v>0</v>
      </c>
      <c r="Q9" s="1"/>
      <c r="R9" s="6">
        <f t="shared" si="5"/>
        <v>6</v>
      </c>
      <c r="S9" s="9">
        <f t="shared" si="6"/>
        <v>0.5</v>
      </c>
      <c r="T9" s="9">
        <f t="shared" si="7"/>
        <v>2.2900763358778626E-2</v>
      </c>
      <c r="U9" s="9">
        <f>R9 / _xlfn.XLOOKUP(A9, Support!A:A, Support!AA:AA)</f>
        <v>4.8387096774193547E-2</v>
      </c>
      <c r="V9" s="1"/>
      <c r="W9" s="1"/>
    </row>
    <row r="10" spans="1:23" x14ac:dyDescent="0.25">
      <c r="A10" s="1" t="s">
        <v>176</v>
      </c>
      <c r="B10" s="6">
        <v>1</v>
      </c>
      <c r="C10" s="7">
        <v>1</v>
      </c>
      <c r="D10" s="8">
        <f t="shared" si="0"/>
        <v>1</v>
      </c>
      <c r="E10" s="6">
        <v>15</v>
      </c>
      <c r="F10" s="7">
        <v>0.4</v>
      </c>
      <c r="G10" s="8">
        <f t="shared" si="1"/>
        <v>6</v>
      </c>
      <c r="H10" s="6">
        <v>8</v>
      </c>
      <c r="I10" s="7">
        <v>0.125</v>
      </c>
      <c r="J10" s="8">
        <f t="shared" si="2"/>
        <v>1</v>
      </c>
      <c r="K10" s="6">
        <v>12</v>
      </c>
      <c r="L10" s="7">
        <v>0.58299999999999996</v>
      </c>
      <c r="M10" s="8">
        <f t="shared" si="3"/>
        <v>6.9959999999999996</v>
      </c>
      <c r="N10" s="6"/>
      <c r="O10" s="7"/>
      <c r="P10" s="8">
        <f t="shared" si="4"/>
        <v>0</v>
      </c>
      <c r="Q10" s="1"/>
      <c r="R10" s="6">
        <f t="shared" si="5"/>
        <v>36</v>
      </c>
      <c r="S10" s="9">
        <f t="shared" si="6"/>
        <v>0.41655555555555551</v>
      </c>
      <c r="T10" s="9">
        <f t="shared" si="7"/>
        <v>0.13740458015267176</v>
      </c>
      <c r="U10" s="9">
        <f>R10 / _xlfn.XLOOKUP(A10, Support!A:A, Support!AA:AA)</f>
        <v>5.7052297939778132E-2</v>
      </c>
    </row>
    <row r="11" spans="1:23" x14ac:dyDescent="0.25">
      <c r="A11" s="1" t="s">
        <v>178</v>
      </c>
      <c r="B11" s="6">
        <v>2</v>
      </c>
      <c r="C11" s="7">
        <v>0.5</v>
      </c>
      <c r="D11" s="8">
        <f t="shared" si="0"/>
        <v>1</v>
      </c>
      <c r="E11" s="6">
        <v>2</v>
      </c>
      <c r="F11" s="7">
        <v>0</v>
      </c>
      <c r="G11" s="8">
        <f t="shared" si="1"/>
        <v>0</v>
      </c>
      <c r="H11" s="6"/>
      <c r="I11" s="7"/>
      <c r="J11" s="8">
        <f t="shared" si="2"/>
        <v>0</v>
      </c>
      <c r="K11" s="6">
        <v>16</v>
      </c>
      <c r="L11" s="7">
        <v>0.438</v>
      </c>
      <c r="M11" s="8">
        <f t="shared" si="3"/>
        <v>7.008</v>
      </c>
      <c r="N11" s="6"/>
      <c r="O11" s="7"/>
      <c r="P11" s="8">
        <f t="shared" si="4"/>
        <v>0</v>
      </c>
      <c r="Q11" s="1"/>
      <c r="R11" s="6">
        <f t="shared" si="5"/>
        <v>20</v>
      </c>
      <c r="S11" s="9">
        <f t="shared" si="6"/>
        <v>0.40039999999999998</v>
      </c>
      <c r="T11" s="9">
        <f t="shared" si="7"/>
        <v>7.6335877862595422E-2</v>
      </c>
      <c r="U11" s="9">
        <f>R11 / _xlfn.XLOOKUP(A11, Support!A:A, Support!AA:AA)</f>
        <v>4.0160642570281124E-2</v>
      </c>
    </row>
    <row r="12" spans="1:23" x14ac:dyDescent="0.25">
      <c r="A12" s="1" t="s">
        <v>171</v>
      </c>
      <c r="B12" s="6">
        <v>4</v>
      </c>
      <c r="C12" s="7">
        <v>0.25</v>
      </c>
      <c r="D12" s="8">
        <f t="shared" si="0"/>
        <v>1</v>
      </c>
      <c r="E12" s="6"/>
      <c r="F12" s="7"/>
      <c r="G12" s="8">
        <f t="shared" si="1"/>
        <v>0</v>
      </c>
      <c r="H12" s="6">
        <v>1</v>
      </c>
      <c r="I12" s="7">
        <v>1</v>
      </c>
      <c r="J12" s="8">
        <f t="shared" si="2"/>
        <v>1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4"/>
      <c r="R12" s="6">
        <f t="shared" si="5"/>
        <v>5</v>
      </c>
      <c r="S12" s="9">
        <f t="shared" si="6"/>
        <v>0.4</v>
      </c>
      <c r="T12" s="9">
        <f t="shared" si="7"/>
        <v>1.9083969465648856E-2</v>
      </c>
      <c r="U12" s="9">
        <f>R12 / _xlfn.XLOOKUP(A12, Support!A:A, Support!AA:AA)</f>
        <v>4.8543689320388349E-2</v>
      </c>
    </row>
    <row r="13" spans="1:23" x14ac:dyDescent="0.25">
      <c r="A13" s="1" t="s">
        <v>170</v>
      </c>
      <c r="B13" s="6">
        <v>7</v>
      </c>
      <c r="C13" s="7">
        <v>0.42899999999999999</v>
      </c>
      <c r="D13" s="8">
        <f t="shared" si="0"/>
        <v>3.0030000000000001</v>
      </c>
      <c r="E13" s="6">
        <v>9</v>
      </c>
      <c r="F13" s="7">
        <v>0.33300000000000002</v>
      </c>
      <c r="G13" s="8">
        <f t="shared" si="1"/>
        <v>2.9970000000000003</v>
      </c>
      <c r="H13" s="6"/>
      <c r="I13" s="7"/>
      <c r="J13" s="8">
        <f t="shared" si="2"/>
        <v>0</v>
      </c>
      <c r="K13" s="6"/>
      <c r="L13" s="7"/>
      <c r="M13" s="8">
        <f t="shared" si="3"/>
        <v>0</v>
      </c>
      <c r="N13" s="6"/>
      <c r="O13" s="7"/>
      <c r="P13" s="8">
        <f t="shared" si="4"/>
        <v>0</v>
      </c>
      <c r="Q13" s="1"/>
      <c r="R13" s="6">
        <f t="shared" si="5"/>
        <v>16</v>
      </c>
      <c r="S13" s="9">
        <f t="shared" si="6"/>
        <v>0.375</v>
      </c>
      <c r="T13" s="9">
        <f t="shared" si="7"/>
        <v>6.1068702290076333E-2</v>
      </c>
      <c r="U13" s="9">
        <f>R13 / _xlfn.XLOOKUP(A13, Support!A:A, Support!AA:AA)</f>
        <v>9.5238095238095233E-2</v>
      </c>
    </row>
    <row r="14" spans="1:23" x14ac:dyDescent="0.25">
      <c r="A14" s="1" t="s">
        <v>90</v>
      </c>
      <c r="B14" s="6">
        <v>2</v>
      </c>
      <c r="C14" s="7">
        <v>0.5</v>
      </c>
      <c r="D14" s="8">
        <f t="shared" si="0"/>
        <v>1</v>
      </c>
      <c r="E14" s="6">
        <v>11</v>
      </c>
      <c r="F14" s="7">
        <v>0.27300000000000002</v>
      </c>
      <c r="G14" s="8">
        <f t="shared" si="1"/>
        <v>3.0030000000000001</v>
      </c>
      <c r="H14" s="6">
        <v>8</v>
      </c>
      <c r="I14" s="7">
        <v>0.25</v>
      </c>
      <c r="J14" s="8">
        <f t="shared" si="2"/>
        <v>2</v>
      </c>
      <c r="K14" s="6">
        <v>11</v>
      </c>
      <c r="L14" s="7">
        <v>0.54500000000000004</v>
      </c>
      <c r="M14" s="8">
        <f t="shared" si="3"/>
        <v>5.9950000000000001</v>
      </c>
      <c r="N14" s="6"/>
      <c r="O14" s="7"/>
      <c r="P14" s="8">
        <f t="shared" si="4"/>
        <v>0</v>
      </c>
      <c r="Q14" s="4"/>
      <c r="R14" s="6">
        <f t="shared" si="5"/>
        <v>32</v>
      </c>
      <c r="S14" s="9">
        <f t="shared" si="6"/>
        <v>0.37493750000000003</v>
      </c>
      <c r="T14" s="9">
        <f t="shared" si="7"/>
        <v>0.12213740458015267</v>
      </c>
      <c r="U14" s="9">
        <f>R14 / _xlfn.XLOOKUP(A14, Support!A:A, Support!AA:AA)</f>
        <v>5.2287581699346407E-2</v>
      </c>
    </row>
    <row r="15" spans="1:23" x14ac:dyDescent="0.25">
      <c r="A15" s="1" t="s">
        <v>29</v>
      </c>
      <c r="B15" s="6">
        <v>2</v>
      </c>
      <c r="C15" s="7">
        <v>0.5</v>
      </c>
      <c r="D15" s="8">
        <f t="shared" si="0"/>
        <v>1</v>
      </c>
      <c r="E15" s="6">
        <v>6</v>
      </c>
      <c r="F15" s="7">
        <v>0.33300000000000002</v>
      </c>
      <c r="G15" s="8">
        <f t="shared" si="1"/>
        <v>1.9980000000000002</v>
      </c>
      <c r="H15" s="6"/>
      <c r="I15" s="7"/>
      <c r="J15" s="8">
        <f t="shared" si="2"/>
        <v>0</v>
      </c>
      <c r="K15" s="6"/>
      <c r="L15" s="7"/>
      <c r="M15" s="8">
        <f t="shared" si="3"/>
        <v>0</v>
      </c>
      <c r="N15" s="6"/>
      <c r="O15" s="7"/>
      <c r="P15" s="8">
        <f t="shared" si="4"/>
        <v>0</v>
      </c>
      <c r="Q15" s="1"/>
      <c r="R15" s="6">
        <f t="shared" si="5"/>
        <v>8</v>
      </c>
      <c r="S15" s="9">
        <f t="shared" si="6"/>
        <v>0.37475000000000003</v>
      </c>
      <c r="T15" s="9">
        <f t="shared" si="7"/>
        <v>3.0534351145038167E-2</v>
      </c>
      <c r="U15" s="9">
        <f>R15 / _xlfn.XLOOKUP(A15, Support!A:A, Support!AA:AA)</f>
        <v>0.04</v>
      </c>
    </row>
    <row r="16" spans="1:23" x14ac:dyDescent="0.25">
      <c r="A16" s="1" t="s">
        <v>173</v>
      </c>
      <c r="B16" s="6"/>
      <c r="C16" s="7"/>
      <c r="D16" s="8">
        <f t="shared" si="0"/>
        <v>0</v>
      </c>
      <c r="E16" s="6">
        <v>11</v>
      </c>
      <c r="F16" s="7">
        <v>9.0999999999999998E-2</v>
      </c>
      <c r="G16" s="8">
        <f t="shared" si="1"/>
        <v>1.0009999999999999</v>
      </c>
      <c r="H16" s="6">
        <v>4</v>
      </c>
      <c r="I16" s="7">
        <v>0.75</v>
      </c>
      <c r="J16" s="8">
        <f t="shared" si="2"/>
        <v>3</v>
      </c>
      <c r="K16" s="6">
        <v>3</v>
      </c>
      <c r="L16" s="7">
        <v>0.66700000000000004</v>
      </c>
      <c r="M16" s="8">
        <f t="shared" si="3"/>
        <v>2.0010000000000003</v>
      </c>
      <c r="N16" s="6"/>
      <c r="O16" s="7"/>
      <c r="P16" s="8">
        <f t="shared" si="4"/>
        <v>0</v>
      </c>
      <c r="Q16" s="1"/>
      <c r="R16" s="6">
        <f t="shared" si="5"/>
        <v>18</v>
      </c>
      <c r="S16" s="9">
        <f t="shared" si="6"/>
        <v>0.33344444444444443</v>
      </c>
      <c r="T16" s="9">
        <f t="shared" si="7"/>
        <v>6.8702290076335881E-2</v>
      </c>
      <c r="U16" s="9">
        <f>R16 / _xlfn.XLOOKUP(A16, Support!A:A, Support!AA:AA)</f>
        <v>5.844155844155844E-2</v>
      </c>
    </row>
    <row r="17" spans="1:21" x14ac:dyDescent="0.25">
      <c r="A17" s="1" t="s">
        <v>169</v>
      </c>
      <c r="B17" s="6">
        <v>1</v>
      </c>
      <c r="C17" s="7">
        <v>1</v>
      </c>
      <c r="D17" s="8">
        <f t="shared" si="0"/>
        <v>1</v>
      </c>
      <c r="E17" s="6"/>
      <c r="F17" s="7"/>
      <c r="G17" s="8">
        <f t="shared" si="1"/>
        <v>0</v>
      </c>
      <c r="H17" s="6">
        <v>3</v>
      </c>
      <c r="I17" s="7">
        <v>0</v>
      </c>
      <c r="J17" s="8">
        <f t="shared" si="2"/>
        <v>0</v>
      </c>
      <c r="K17" s="6">
        <v>2</v>
      </c>
      <c r="L17" s="7">
        <v>0.5</v>
      </c>
      <c r="M17" s="8">
        <f t="shared" si="3"/>
        <v>1</v>
      </c>
      <c r="N17" s="6"/>
      <c r="O17" s="7"/>
      <c r="P17" s="8">
        <f t="shared" si="4"/>
        <v>0</v>
      </c>
      <c r="Q17" s="13"/>
      <c r="R17" s="6">
        <f t="shared" si="5"/>
        <v>6</v>
      </c>
      <c r="S17" s="9">
        <f t="shared" si="6"/>
        <v>0.33333333333333331</v>
      </c>
      <c r="T17" s="9">
        <f t="shared" si="7"/>
        <v>2.2900763358778626E-2</v>
      </c>
      <c r="U17" s="9">
        <f>R17 / _xlfn.XLOOKUP(A17, Support!A:A, Support!AA:AA)</f>
        <v>1.935483870967742E-2</v>
      </c>
    </row>
    <row r="18" spans="1:21" x14ac:dyDescent="0.25">
      <c r="A18" s="25" t="s">
        <v>81</v>
      </c>
      <c r="B18" s="6"/>
      <c r="C18" s="7"/>
      <c r="D18" s="8">
        <f t="shared" si="0"/>
        <v>0</v>
      </c>
      <c r="E18" s="6"/>
      <c r="F18" s="7"/>
      <c r="G18" s="8">
        <f t="shared" si="1"/>
        <v>0</v>
      </c>
      <c r="H18" s="6"/>
      <c r="I18" s="7"/>
      <c r="J18" s="8">
        <f t="shared" si="2"/>
        <v>0</v>
      </c>
      <c r="K18" s="6">
        <v>3</v>
      </c>
      <c r="L18" s="7">
        <v>0.33300000000000002</v>
      </c>
      <c r="M18" s="8">
        <f t="shared" si="3"/>
        <v>0.99900000000000011</v>
      </c>
      <c r="N18" s="6"/>
      <c r="O18" s="7"/>
      <c r="P18" s="8">
        <f t="shared" si="4"/>
        <v>0</v>
      </c>
      <c r="Q18" s="1"/>
      <c r="R18" s="6">
        <f t="shared" si="5"/>
        <v>3</v>
      </c>
      <c r="S18" s="9">
        <f t="shared" si="6"/>
        <v>0.33300000000000002</v>
      </c>
      <c r="T18" s="9">
        <f t="shared" si="7"/>
        <v>1.1450381679389313E-2</v>
      </c>
      <c r="U18" s="9">
        <f>R18 / _xlfn.XLOOKUP(A18, Support!A:A, Support!AA:AA)</f>
        <v>6.6666666666666666E-2</v>
      </c>
    </row>
    <row r="19" spans="1:21" x14ac:dyDescent="0.25">
      <c r="A19" s="1" t="s">
        <v>172</v>
      </c>
      <c r="B19" s="6"/>
      <c r="C19" s="7"/>
      <c r="D19" s="8">
        <f t="shared" si="0"/>
        <v>0</v>
      </c>
      <c r="E19" s="6">
        <v>6</v>
      </c>
      <c r="F19" s="7">
        <v>0.16700000000000001</v>
      </c>
      <c r="G19" s="8">
        <f t="shared" si="1"/>
        <v>1.002</v>
      </c>
      <c r="H19" s="6">
        <v>5</v>
      </c>
      <c r="I19" s="7">
        <v>0.4</v>
      </c>
      <c r="J19" s="8">
        <f t="shared" si="2"/>
        <v>2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1"/>
      <c r="R19" s="6">
        <f t="shared" si="5"/>
        <v>11</v>
      </c>
      <c r="S19" s="9">
        <f t="shared" si="6"/>
        <v>0.27290909090909088</v>
      </c>
      <c r="T19" s="9">
        <f t="shared" si="7"/>
        <v>4.1984732824427481E-2</v>
      </c>
      <c r="U19" s="9">
        <f>R19 / _xlfn.XLOOKUP(A19, Support!A:A, Support!AA:AA)</f>
        <v>4.0590405904059039E-2</v>
      </c>
    </row>
    <row r="20" spans="1:21" x14ac:dyDescent="0.25">
      <c r="A20" s="1" t="s">
        <v>80</v>
      </c>
      <c r="B20" s="6"/>
      <c r="C20" s="7"/>
      <c r="D20" s="8">
        <f t="shared" si="0"/>
        <v>0</v>
      </c>
      <c r="E20" s="6">
        <v>10</v>
      </c>
      <c r="F20" s="7">
        <v>0.3</v>
      </c>
      <c r="G20" s="8">
        <f t="shared" si="1"/>
        <v>3</v>
      </c>
      <c r="H20" s="6">
        <v>3</v>
      </c>
      <c r="I20" s="7">
        <v>0.33300000000000002</v>
      </c>
      <c r="J20" s="8">
        <f t="shared" si="2"/>
        <v>0.99900000000000011</v>
      </c>
      <c r="K20" s="6">
        <v>7</v>
      </c>
      <c r="L20" s="7">
        <v>0.14299999999999999</v>
      </c>
      <c r="M20" s="8">
        <f t="shared" si="3"/>
        <v>1.0009999999999999</v>
      </c>
      <c r="N20" s="6"/>
      <c r="O20" s="7"/>
      <c r="P20" s="8">
        <f t="shared" si="4"/>
        <v>0</v>
      </c>
      <c r="Q20" s="4"/>
      <c r="R20" s="6">
        <f t="shared" si="5"/>
        <v>20</v>
      </c>
      <c r="S20" s="9">
        <f t="shared" si="6"/>
        <v>0.25</v>
      </c>
      <c r="T20" s="9">
        <f t="shared" si="7"/>
        <v>7.6335877862595422E-2</v>
      </c>
      <c r="U20" s="9">
        <f>R20 / _xlfn.XLOOKUP(A20, Support!A:A, Support!AA:AA)</f>
        <v>4.1067761806981518E-2</v>
      </c>
    </row>
    <row r="21" spans="1:21" x14ac:dyDescent="0.25">
      <c r="A21" s="1" t="s">
        <v>186</v>
      </c>
      <c r="B21" s="6"/>
      <c r="C21" s="7"/>
      <c r="D21" s="8">
        <f t="shared" si="0"/>
        <v>0</v>
      </c>
      <c r="E21" s="6">
        <v>5</v>
      </c>
      <c r="F21" s="7">
        <v>0.2</v>
      </c>
      <c r="G21" s="8">
        <f t="shared" si="1"/>
        <v>1</v>
      </c>
      <c r="H21" s="6">
        <v>8</v>
      </c>
      <c r="I21" s="7">
        <v>0.25</v>
      </c>
      <c r="J21" s="8">
        <f t="shared" si="2"/>
        <v>2</v>
      </c>
      <c r="K21" s="6"/>
      <c r="L21" s="7"/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13</v>
      </c>
      <c r="S21" s="9">
        <f t="shared" si="6"/>
        <v>0.23076923076923078</v>
      </c>
      <c r="T21" s="9">
        <f t="shared" si="7"/>
        <v>4.9618320610687022E-2</v>
      </c>
      <c r="U21" s="9">
        <f>R21 / _xlfn.XLOOKUP(A21, Support!A:A, Support!AA:AA)</f>
        <v>0.12264150943396226</v>
      </c>
    </row>
    <row r="22" spans="1:21" x14ac:dyDescent="0.25">
      <c r="A22" s="1" t="s">
        <v>181</v>
      </c>
      <c r="B22" s="6"/>
      <c r="C22" s="7"/>
      <c r="D22" s="8">
        <f t="shared" si="0"/>
        <v>0</v>
      </c>
      <c r="E22" s="6"/>
      <c r="F22" s="7"/>
      <c r="G22" s="8">
        <f t="shared" si="1"/>
        <v>0</v>
      </c>
      <c r="H22" s="6"/>
      <c r="I22" s="7"/>
      <c r="J22" s="8">
        <f t="shared" si="2"/>
        <v>0</v>
      </c>
      <c r="K22" s="6">
        <v>1</v>
      </c>
      <c r="L22" s="7">
        <v>0</v>
      </c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1</v>
      </c>
      <c r="S22" s="9">
        <f t="shared" si="6"/>
        <v>0</v>
      </c>
      <c r="T22" s="9">
        <f t="shared" si="7"/>
        <v>3.8167938931297708E-3</v>
      </c>
      <c r="U22" s="9">
        <f>R22 / _xlfn.XLOOKUP(A22, Support!A:A, Support!AA:AA)</f>
        <v>9.2592592592592587E-3</v>
      </c>
    </row>
    <row r="23" spans="1:21" x14ac:dyDescent="0.25">
      <c r="A23" s="1" t="s">
        <v>183</v>
      </c>
      <c r="B23" s="6">
        <v>1</v>
      </c>
      <c r="C23" s="7">
        <v>0</v>
      </c>
      <c r="D23" s="8">
        <f t="shared" si="0"/>
        <v>0</v>
      </c>
      <c r="E23" s="6"/>
      <c r="F23" s="7"/>
      <c r="G23" s="8">
        <f t="shared" si="1"/>
        <v>0</v>
      </c>
      <c r="H23" s="6"/>
      <c r="I23" s="7"/>
      <c r="J23" s="8">
        <f t="shared" si="2"/>
        <v>0</v>
      </c>
      <c r="K23" s="6"/>
      <c r="L23" s="7"/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1</v>
      </c>
      <c r="S23" s="9">
        <f t="shared" si="6"/>
        <v>0</v>
      </c>
      <c r="T23" s="9">
        <f t="shared" si="7"/>
        <v>3.8167938931297708E-3</v>
      </c>
      <c r="U23" s="9">
        <f>R23 / _xlfn.XLOOKUP(A23, Support!A:A, Support!AA:AA)</f>
        <v>1.3333333333333334E-2</v>
      </c>
    </row>
    <row r="24" spans="1:21" x14ac:dyDescent="0.25">
      <c r="A24" s="1" t="s">
        <v>184</v>
      </c>
      <c r="B24" s="6"/>
      <c r="C24" s="7"/>
      <c r="D24" s="8">
        <f t="shared" si="0"/>
        <v>0</v>
      </c>
      <c r="E24" s="6">
        <v>1</v>
      </c>
      <c r="F24" s="7">
        <v>0</v>
      </c>
      <c r="G24" s="8">
        <f t="shared" si="1"/>
        <v>0</v>
      </c>
      <c r="H24" s="6"/>
      <c r="I24" s="7"/>
      <c r="J24" s="8">
        <f t="shared" si="2"/>
        <v>0</v>
      </c>
      <c r="K24" s="6"/>
      <c r="L24" s="7"/>
      <c r="M24" s="8">
        <f t="shared" si="3"/>
        <v>0</v>
      </c>
      <c r="N24" s="6"/>
      <c r="O24" s="7"/>
      <c r="P24" s="8">
        <f t="shared" si="4"/>
        <v>0</v>
      </c>
      <c r="Q24" s="1"/>
      <c r="R24" s="6">
        <f t="shared" si="5"/>
        <v>1</v>
      </c>
      <c r="S24" s="9">
        <f t="shared" si="6"/>
        <v>0</v>
      </c>
      <c r="T24" s="9">
        <f t="shared" si="7"/>
        <v>3.8167938931297708E-3</v>
      </c>
      <c r="U24" s="9">
        <f>R24 / _xlfn.XLOOKUP(A24, Support!A:A, Support!AA:AA)</f>
        <v>1.8181818181818181E-2</v>
      </c>
    </row>
    <row r="25" spans="1:21" x14ac:dyDescent="0.25">
      <c r="A25" s="1" t="s">
        <v>175</v>
      </c>
      <c r="B25" s="6">
        <v>1</v>
      </c>
      <c r="C25" s="7">
        <v>0</v>
      </c>
      <c r="D25" s="8">
        <f t="shared" si="0"/>
        <v>0</v>
      </c>
      <c r="E25" s="6"/>
      <c r="F25" s="7"/>
      <c r="G25" s="8">
        <f t="shared" si="1"/>
        <v>0</v>
      </c>
      <c r="H25" s="6"/>
      <c r="I25" s="7"/>
      <c r="J25" s="8">
        <f t="shared" si="2"/>
        <v>0</v>
      </c>
      <c r="K25" s="6"/>
      <c r="L25" s="7"/>
      <c r="M25" s="8">
        <f t="shared" si="3"/>
        <v>0</v>
      </c>
      <c r="N25" s="6"/>
      <c r="O25" s="7"/>
      <c r="P25" s="8">
        <f t="shared" si="4"/>
        <v>0</v>
      </c>
      <c r="Q25" s="1"/>
      <c r="R25" s="6">
        <f t="shared" si="5"/>
        <v>1</v>
      </c>
      <c r="S25" s="9">
        <f t="shared" si="6"/>
        <v>0</v>
      </c>
      <c r="T25" s="9">
        <f t="shared" si="7"/>
        <v>3.8167938931297708E-3</v>
      </c>
      <c r="U25" s="9">
        <f>R25 / _xlfn.XLOOKUP(A25, Support!A:A, Support!AA:AA)</f>
        <v>1.7241379310344827E-2</v>
      </c>
    </row>
    <row r="26" spans="1:21" x14ac:dyDescent="0.25">
      <c r="A26" s="1" t="s">
        <v>78</v>
      </c>
      <c r="B26" s="6"/>
      <c r="C26" s="7"/>
      <c r="D26" s="8">
        <f t="shared" si="0"/>
        <v>0</v>
      </c>
      <c r="E26" s="6">
        <v>1</v>
      </c>
      <c r="F26" s="7">
        <v>0</v>
      </c>
      <c r="G26" s="8">
        <f t="shared" si="1"/>
        <v>0</v>
      </c>
      <c r="H26" s="6"/>
      <c r="I26" s="7"/>
      <c r="J26" s="8">
        <f t="shared" si="2"/>
        <v>0</v>
      </c>
      <c r="K26" s="6"/>
      <c r="L26" s="7"/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1</v>
      </c>
      <c r="S26" s="9">
        <f t="shared" si="6"/>
        <v>0</v>
      </c>
      <c r="T26" s="9">
        <f t="shared" si="7"/>
        <v>3.8167938931297708E-3</v>
      </c>
      <c r="U26" s="9">
        <f>R26 / _xlfn.XLOOKUP(A26, Support!A:A, Support!AA:AA)</f>
        <v>0.1111111111111111</v>
      </c>
    </row>
    <row r="27" spans="1:21" x14ac:dyDescent="0.25">
      <c r="A27" s="1" t="s">
        <v>122</v>
      </c>
      <c r="B27" s="6"/>
      <c r="C27" s="7"/>
      <c r="D27" s="8">
        <f t="shared" si="0"/>
        <v>0</v>
      </c>
      <c r="E27" s="6"/>
      <c r="F27" s="7"/>
      <c r="G27" s="8">
        <f t="shared" si="1"/>
        <v>0</v>
      </c>
      <c r="H27" s="6">
        <v>1</v>
      </c>
      <c r="I27" s="7">
        <v>0</v>
      </c>
      <c r="J27" s="8">
        <f t="shared" si="2"/>
        <v>0</v>
      </c>
      <c r="K27" s="6"/>
      <c r="L27" s="7"/>
      <c r="M27" s="8">
        <f t="shared" si="3"/>
        <v>0</v>
      </c>
      <c r="N27" s="6"/>
      <c r="O27" s="7"/>
      <c r="P27" s="8">
        <f t="shared" si="4"/>
        <v>0</v>
      </c>
      <c r="Q27" s="1"/>
      <c r="R27" s="6">
        <f t="shared" si="5"/>
        <v>1</v>
      </c>
      <c r="S27" s="9">
        <f t="shared" si="6"/>
        <v>0</v>
      </c>
      <c r="T27" s="9">
        <f t="shared" si="7"/>
        <v>3.8167938931297708E-3</v>
      </c>
      <c r="U27" s="9">
        <f>R27 / _xlfn.XLOOKUP(A27, Support!A:A, Support!AA:AA)</f>
        <v>3.8461538461538464E-2</v>
      </c>
    </row>
    <row r="28" spans="1:21" x14ac:dyDescent="0.25">
      <c r="A28" s="1"/>
      <c r="B28" s="6"/>
      <c r="C28" s="7"/>
      <c r="D28" s="31"/>
      <c r="E28" s="6"/>
      <c r="F28" s="7"/>
      <c r="G28" s="31"/>
      <c r="H28" s="6"/>
      <c r="I28" s="7"/>
      <c r="J28" s="31"/>
      <c r="K28" s="6"/>
      <c r="L28" s="7"/>
      <c r="M28" s="31"/>
      <c r="N28" s="1"/>
      <c r="O28" s="1"/>
      <c r="P28" s="1"/>
      <c r="Q28" s="1"/>
      <c r="R28" s="6"/>
      <c r="S28" s="9"/>
      <c r="T28" s="10"/>
    </row>
    <row r="29" spans="1:21" x14ac:dyDescent="0.25">
      <c r="A29" s="1"/>
      <c r="B29" s="6"/>
      <c r="C29" s="7"/>
      <c r="D29" s="31"/>
      <c r="E29" s="6"/>
      <c r="F29" s="7"/>
      <c r="G29" s="31"/>
      <c r="H29" s="6"/>
      <c r="I29" s="7"/>
      <c r="J29" s="31"/>
      <c r="K29" s="6"/>
      <c r="L29" s="7"/>
      <c r="M29" s="31"/>
      <c r="N29" s="1"/>
      <c r="O29" s="1"/>
      <c r="P29" s="1"/>
      <c r="Q29" s="4"/>
      <c r="R29" s="6"/>
      <c r="S29" s="9"/>
      <c r="T29" s="10"/>
    </row>
    <row r="30" spans="1:21" x14ac:dyDescent="0.25">
      <c r="A30" s="1"/>
      <c r="B30" s="6"/>
      <c r="C30" s="7"/>
      <c r="D30" s="31"/>
      <c r="E30" s="6"/>
      <c r="F30" s="7"/>
      <c r="G30" s="31"/>
      <c r="H30" s="6"/>
      <c r="I30" s="7"/>
      <c r="J30" s="31"/>
      <c r="K30" s="6"/>
      <c r="L30" s="7"/>
      <c r="M30" s="31"/>
      <c r="N30" s="1"/>
      <c r="O30" s="1"/>
      <c r="P30" s="1"/>
      <c r="Q30" s="1"/>
      <c r="R30" s="6"/>
      <c r="S30" s="9"/>
      <c r="T30" s="10"/>
    </row>
  </sheetData>
  <sortState xmlns:xlrd2="http://schemas.microsoft.com/office/spreadsheetml/2017/richdata2" ref="A3:U27">
    <sortCondition descending="1" ref="S3:S27"/>
  </sortState>
  <pageMargins left="0.7" right="0.7" top="0.78740157499999996" bottom="0.78740157499999996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4AF1-96CA-4EEC-BEC0-831166770038}">
  <sheetPr>
    <tabColor theme="9" tint="0.59999389629810485"/>
  </sheetPr>
  <dimension ref="A1:W30"/>
  <sheetViews>
    <sheetView workbookViewId="0">
      <selection activeCell="A25" sqref="A25"/>
    </sheetView>
  </sheetViews>
  <sheetFormatPr baseColWidth="10" defaultRowHeight="15" x14ac:dyDescent="0.25"/>
  <sheetData>
    <row r="1" spans="1:23" ht="15.75" x14ac:dyDescent="0.25">
      <c r="A1" s="2" t="s">
        <v>207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177</v>
      </c>
      <c r="B3" s="6"/>
      <c r="C3" s="7"/>
      <c r="D3" s="8">
        <f t="shared" ref="D3:D26" si="0">B3*C3</f>
        <v>0</v>
      </c>
      <c r="E3" s="6"/>
      <c r="F3" s="7"/>
      <c r="G3" s="8">
        <f t="shared" ref="G3:G26" si="1">E3*F3</f>
        <v>0</v>
      </c>
      <c r="H3" s="6"/>
      <c r="I3" s="7"/>
      <c r="J3" s="8">
        <f t="shared" ref="J3:J26" si="2">H3*I3</f>
        <v>0</v>
      </c>
      <c r="K3" s="6"/>
      <c r="L3" s="7"/>
      <c r="M3" s="8">
        <f t="shared" ref="M3:M26" si="3">K3*L3</f>
        <v>0</v>
      </c>
      <c r="N3" s="6"/>
      <c r="O3" s="7"/>
      <c r="P3" s="8">
        <f t="shared" ref="P3:P26" si="4">N3*O3</f>
        <v>0</v>
      </c>
      <c r="Q3" s="1"/>
      <c r="R3" s="6">
        <f t="shared" ref="R3:R26" si="5">B3+E3+H3+K3+N3</f>
        <v>0</v>
      </c>
      <c r="S3" s="9" t="e">
        <f t="shared" ref="S3:S26" si="6">(D3+G3+J3+M3+P3)/R3</f>
        <v>#DIV/0!</v>
      </c>
      <c r="T3" s="9">
        <f t="shared" ref="T3:T26" si="7">R3/$V$3</f>
        <v>0</v>
      </c>
      <c r="U3" s="9">
        <f>R3 / _xlfn.XLOOKUP(A3, Support!A:A, Support!AA:AA)</f>
        <v>0</v>
      </c>
      <c r="V3" s="11">
        <f>SUM(R3:R34)</f>
        <v>99</v>
      </c>
      <c r="W3" s="12">
        <f>(SUM(D3:D64)+SUM(G3:G64)+SUM(J3:J64)+SUM(M3:M64)+SUM(P3:P64)) / V3</f>
        <v>0.24242424242424238</v>
      </c>
    </row>
    <row r="4" spans="1:23" x14ac:dyDescent="0.25">
      <c r="A4" s="1" t="s">
        <v>181</v>
      </c>
      <c r="B4" s="6"/>
      <c r="C4" s="7"/>
      <c r="D4" s="8">
        <f t="shared" si="0"/>
        <v>0</v>
      </c>
      <c r="E4" s="6"/>
      <c r="F4" s="7"/>
      <c r="G4" s="8">
        <f t="shared" si="1"/>
        <v>0</v>
      </c>
      <c r="H4" s="6">
        <v>2</v>
      </c>
      <c r="I4" s="7">
        <v>1</v>
      </c>
      <c r="J4" s="8">
        <f t="shared" si="2"/>
        <v>2</v>
      </c>
      <c r="K4" s="6">
        <v>1</v>
      </c>
      <c r="L4" s="7">
        <v>0</v>
      </c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3</v>
      </c>
      <c r="S4" s="9">
        <f t="shared" si="6"/>
        <v>0.66666666666666663</v>
      </c>
      <c r="T4" s="9">
        <f t="shared" si="7"/>
        <v>3.0303030303030304E-2</v>
      </c>
      <c r="U4" s="9">
        <f>R4 / _xlfn.XLOOKUP(A4, Support!A:A, Support!AA:AA)</f>
        <v>2.7777777777777776E-2</v>
      </c>
    </row>
    <row r="5" spans="1:23" x14ac:dyDescent="0.25">
      <c r="A5" s="1" t="s">
        <v>30</v>
      </c>
      <c r="B5" s="6"/>
      <c r="C5" s="7"/>
      <c r="D5" s="8">
        <f t="shared" si="0"/>
        <v>0</v>
      </c>
      <c r="E5" s="6"/>
      <c r="F5" s="7"/>
      <c r="G5" s="8">
        <f t="shared" si="1"/>
        <v>0</v>
      </c>
      <c r="H5" s="6">
        <v>2</v>
      </c>
      <c r="I5" s="7">
        <v>0.5</v>
      </c>
      <c r="J5" s="8">
        <f t="shared" si="2"/>
        <v>1</v>
      </c>
      <c r="K5" s="6"/>
      <c r="L5" s="7"/>
      <c r="M5" s="8">
        <f t="shared" si="3"/>
        <v>0</v>
      </c>
      <c r="N5" s="6"/>
      <c r="O5" s="7"/>
      <c r="P5" s="8">
        <f t="shared" si="4"/>
        <v>0</v>
      </c>
      <c r="Q5" s="1"/>
      <c r="R5" s="6">
        <f t="shared" si="5"/>
        <v>2</v>
      </c>
      <c r="S5" s="9">
        <f t="shared" si="6"/>
        <v>0.5</v>
      </c>
      <c r="T5" s="9">
        <f t="shared" si="7"/>
        <v>2.0202020202020204E-2</v>
      </c>
      <c r="U5" s="9">
        <f>R5 / _xlfn.XLOOKUP(A5, Support!A:A, Support!AA:AA)</f>
        <v>4.5454545454545456E-2</v>
      </c>
    </row>
    <row r="6" spans="1:23" x14ac:dyDescent="0.25">
      <c r="A6" s="1" t="s">
        <v>141</v>
      </c>
      <c r="B6" s="6"/>
      <c r="C6" s="7"/>
      <c r="D6" s="8">
        <f t="shared" si="0"/>
        <v>0</v>
      </c>
      <c r="E6" s="6">
        <v>2</v>
      </c>
      <c r="F6" s="7">
        <v>0.5</v>
      </c>
      <c r="G6" s="8">
        <f t="shared" si="1"/>
        <v>1</v>
      </c>
      <c r="H6" s="6"/>
      <c r="I6" s="7"/>
      <c r="J6" s="8">
        <f t="shared" si="2"/>
        <v>0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4"/>
      <c r="R6" s="6">
        <f t="shared" si="5"/>
        <v>2</v>
      </c>
      <c r="S6" s="9">
        <f t="shared" si="6"/>
        <v>0.5</v>
      </c>
      <c r="T6" s="9">
        <f t="shared" si="7"/>
        <v>2.0202020202020204E-2</v>
      </c>
      <c r="U6" s="9" t="e">
        <f>R6 / _xlfn.XLOOKUP(A6, Support!A:A, Support!AA:AA)</f>
        <v>#N/A</v>
      </c>
    </row>
    <row r="7" spans="1:23" x14ac:dyDescent="0.25">
      <c r="A7" s="1" t="s">
        <v>168</v>
      </c>
      <c r="B7" s="6"/>
      <c r="C7" s="7"/>
      <c r="D7" s="8">
        <f t="shared" si="0"/>
        <v>0</v>
      </c>
      <c r="E7" s="6"/>
      <c r="F7" s="7"/>
      <c r="G7" s="8">
        <f t="shared" si="1"/>
        <v>0</v>
      </c>
      <c r="H7" s="6">
        <v>7</v>
      </c>
      <c r="I7" s="7">
        <v>0.42899999999999999</v>
      </c>
      <c r="J7" s="8">
        <f t="shared" si="2"/>
        <v>3.0030000000000001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7</v>
      </c>
      <c r="S7" s="9">
        <f t="shared" si="6"/>
        <v>0.42899999999999999</v>
      </c>
      <c r="T7" s="9">
        <f t="shared" si="7"/>
        <v>7.0707070707070704E-2</v>
      </c>
      <c r="U7" s="9">
        <f>R7 / _xlfn.XLOOKUP(A7, Support!A:A, Support!AA:AA)</f>
        <v>3.6842105263157891E-2</v>
      </c>
    </row>
    <row r="8" spans="1:23" x14ac:dyDescent="0.25">
      <c r="A8" s="1" t="s">
        <v>90</v>
      </c>
      <c r="B8" s="6"/>
      <c r="C8" s="7"/>
      <c r="D8" s="8">
        <f t="shared" si="0"/>
        <v>0</v>
      </c>
      <c r="E8" s="6"/>
      <c r="F8" s="7"/>
      <c r="G8" s="8">
        <f t="shared" si="1"/>
        <v>0</v>
      </c>
      <c r="H8" s="6">
        <v>11</v>
      </c>
      <c r="I8" s="7">
        <v>0.45500000000000002</v>
      </c>
      <c r="J8" s="8">
        <f t="shared" si="2"/>
        <v>5.0049999999999999</v>
      </c>
      <c r="K8" s="6">
        <v>1</v>
      </c>
      <c r="L8" s="7">
        <v>0</v>
      </c>
      <c r="M8" s="8">
        <f t="shared" si="3"/>
        <v>0</v>
      </c>
      <c r="N8" s="6"/>
      <c r="O8" s="7"/>
      <c r="P8" s="8">
        <f t="shared" si="4"/>
        <v>0</v>
      </c>
      <c r="Q8" s="1"/>
      <c r="R8" s="6">
        <f t="shared" si="5"/>
        <v>12</v>
      </c>
      <c r="S8" s="9">
        <f t="shared" si="6"/>
        <v>0.41708333333333331</v>
      </c>
      <c r="T8" s="9">
        <f t="shared" si="7"/>
        <v>0.12121212121212122</v>
      </c>
      <c r="U8" s="9">
        <f>R8 / _xlfn.XLOOKUP(A8, Support!A:A, Support!AA:AA)</f>
        <v>1.9607843137254902E-2</v>
      </c>
    </row>
    <row r="9" spans="1:23" x14ac:dyDescent="0.25">
      <c r="A9" s="1" t="s">
        <v>80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>
        <v>5</v>
      </c>
      <c r="I9" s="7">
        <v>0.2</v>
      </c>
      <c r="J9" s="8">
        <f t="shared" si="2"/>
        <v>1</v>
      </c>
      <c r="K9" s="6">
        <v>2</v>
      </c>
      <c r="L9" s="7">
        <v>0.5</v>
      </c>
      <c r="M9" s="8">
        <f t="shared" si="3"/>
        <v>1</v>
      </c>
      <c r="N9" s="6"/>
      <c r="O9" s="7"/>
      <c r="P9" s="8">
        <f t="shared" si="4"/>
        <v>0</v>
      </c>
      <c r="Q9" s="4"/>
      <c r="R9" s="6">
        <f t="shared" si="5"/>
        <v>7</v>
      </c>
      <c r="S9" s="9">
        <f t="shared" si="6"/>
        <v>0.2857142857142857</v>
      </c>
      <c r="T9" s="9">
        <f t="shared" si="7"/>
        <v>7.0707070707070704E-2</v>
      </c>
      <c r="U9" s="9">
        <f>R9 / _xlfn.XLOOKUP(A9, Support!A:A, Support!AA:AA)</f>
        <v>1.4373716632443531E-2</v>
      </c>
    </row>
    <row r="10" spans="1:23" x14ac:dyDescent="0.25">
      <c r="A10" s="1" t="s">
        <v>176</v>
      </c>
      <c r="B10" s="6"/>
      <c r="C10" s="7"/>
      <c r="D10" s="8">
        <f t="shared" si="0"/>
        <v>0</v>
      </c>
      <c r="E10" s="6"/>
      <c r="F10" s="7"/>
      <c r="G10" s="8">
        <f t="shared" si="1"/>
        <v>0</v>
      </c>
      <c r="H10" s="6">
        <v>15</v>
      </c>
      <c r="I10" s="7">
        <v>0.26600000000000001</v>
      </c>
      <c r="J10" s="8">
        <f t="shared" si="2"/>
        <v>3.99</v>
      </c>
      <c r="K10" s="6">
        <v>2</v>
      </c>
      <c r="L10" s="7">
        <v>0</v>
      </c>
      <c r="M10" s="8">
        <f t="shared" si="3"/>
        <v>0</v>
      </c>
      <c r="N10" s="6"/>
      <c r="O10" s="7"/>
      <c r="P10" s="8">
        <f t="shared" si="4"/>
        <v>0</v>
      </c>
      <c r="Q10" s="4"/>
      <c r="R10" s="6">
        <f t="shared" si="5"/>
        <v>17</v>
      </c>
      <c r="S10" s="9">
        <f t="shared" si="6"/>
        <v>0.23470588235294118</v>
      </c>
      <c r="T10" s="9">
        <f t="shared" si="7"/>
        <v>0.17171717171717171</v>
      </c>
      <c r="U10" s="9">
        <f>R10 / _xlfn.XLOOKUP(A10, Support!A:A, Support!AA:AA)</f>
        <v>2.694136291600634E-2</v>
      </c>
    </row>
    <row r="11" spans="1:23" x14ac:dyDescent="0.25">
      <c r="A11" s="1" t="s">
        <v>178</v>
      </c>
      <c r="B11" s="6"/>
      <c r="C11" s="7"/>
      <c r="D11" s="8">
        <f t="shared" si="0"/>
        <v>0</v>
      </c>
      <c r="E11" s="6"/>
      <c r="F11" s="7"/>
      <c r="G11" s="8">
        <f t="shared" si="1"/>
        <v>0</v>
      </c>
      <c r="H11" s="6">
        <v>13</v>
      </c>
      <c r="I11" s="7">
        <v>0.23100000000000001</v>
      </c>
      <c r="J11" s="8">
        <f t="shared" si="2"/>
        <v>3.0030000000000001</v>
      </c>
      <c r="K11" s="6"/>
      <c r="L11" s="7"/>
      <c r="M11" s="8">
        <f t="shared" si="3"/>
        <v>0</v>
      </c>
      <c r="N11" s="6"/>
      <c r="O11" s="7"/>
      <c r="P11" s="8">
        <f t="shared" si="4"/>
        <v>0</v>
      </c>
      <c r="Q11" s="1"/>
      <c r="R11" s="6">
        <f t="shared" si="5"/>
        <v>13</v>
      </c>
      <c r="S11" s="9">
        <f t="shared" si="6"/>
        <v>0.23100000000000001</v>
      </c>
      <c r="T11" s="9">
        <f t="shared" si="7"/>
        <v>0.13131313131313133</v>
      </c>
      <c r="U11" s="9">
        <f>R11 / _xlfn.XLOOKUP(A11, Support!A:A, Support!AA:AA)</f>
        <v>2.6104417670682729E-2</v>
      </c>
    </row>
    <row r="12" spans="1:23" x14ac:dyDescent="0.25">
      <c r="A12" s="21" t="s">
        <v>179</v>
      </c>
      <c r="B12" s="6"/>
      <c r="C12" s="7"/>
      <c r="D12" s="8">
        <f t="shared" si="0"/>
        <v>0</v>
      </c>
      <c r="E12" s="6"/>
      <c r="F12" s="7"/>
      <c r="G12" s="8">
        <f t="shared" si="1"/>
        <v>0</v>
      </c>
      <c r="H12" s="6">
        <v>5</v>
      </c>
      <c r="I12" s="7">
        <v>0.2</v>
      </c>
      <c r="J12" s="8">
        <f t="shared" si="2"/>
        <v>1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1"/>
      <c r="R12" s="6">
        <f t="shared" si="5"/>
        <v>5</v>
      </c>
      <c r="S12" s="9">
        <f t="shared" si="6"/>
        <v>0.2</v>
      </c>
      <c r="T12" s="9">
        <f t="shared" si="7"/>
        <v>5.0505050505050504E-2</v>
      </c>
      <c r="U12" s="9">
        <f>R12 / _xlfn.XLOOKUP(A12, Support!A:A, Support!AA:AA)</f>
        <v>1.0548523206751054E-2</v>
      </c>
    </row>
    <row r="13" spans="1:23" x14ac:dyDescent="0.25">
      <c r="A13" s="1" t="s">
        <v>172</v>
      </c>
      <c r="B13" s="6"/>
      <c r="C13" s="7"/>
      <c r="D13" s="8">
        <f t="shared" si="0"/>
        <v>0</v>
      </c>
      <c r="E13" s="6"/>
      <c r="F13" s="7"/>
      <c r="G13" s="8">
        <f t="shared" si="1"/>
        <v>0</v>
      </c>
      <c r="H13" s="6">
        <v>5</v>
      </c>
      <c r="I13" s="7">
        <v>0.2</v>
      </c>
      <c r="J13" s="8">
        <f t="shared" si="2"/>
        <v>1</v>
      </c>
      <c r="K13" s="6"/>
      <c r="L13" s="7"/>
      <c r="M13" s="8">
        <f t="shared" si="3"/>
        <v>0</v>
      </c>
      <c r="N13" s="6"/>
      <c r="O13" s="7"/>
      <c r="P13" s="8">
        <f t="shared" si="4"/>
        <v>0</v>
      </c>
      <c r="Q13" s="1"/>
      <c r="R13" s="6">
        <f t="shared" si="5"/>
        <v>5</v>
      </c>
      <c r="S13" s="9">
        <f t="shared" si="6"/>
        <v>0.2</v>
      </c>
      <c r="T13" s="9">
        <f t="shared" si="7"/>
        <v>5.0505050505050504E-2</v>
      </c>
      <c r="U13" s="9">
        <f>R13 / _xlfn.XLOOKUP(A13, Support!A:A, Support!AA:AA)</f>
        <v>1.8450184501845018E-2</v>
      </c>
    </row>
    <row r="14" spans="1:23" x14ac:dyDescent="0.25">
      <c r="A14" s="1" t="s">
        <v>182</v>
      </c>
      <c r="B14" s="6"/>
      <c r="C14" s="7"/>
      <c r="D14" s="8">
        <f t="shared" si="0"/>
        <v>0</v>
      </c>
      <c r="E14" s="6"/>
      <c r="F14" s="7"/>
      <c r="G14" s="8">
        <f t="shared" si="1"/>
        <v>0</v>
      </c>
      <c r="H14" s="6">
        <v>3</v>
      </c>
      <c r="I14" s="7">
        <v>0</v>
      </c>
      <c r="J14" s="8">
        <f t="shared" si="2"/>
        <v>0</v>
      </c>
      <c r="K14" s="6">
        <v>3</v>
      </c>
      <c r="L14" s="7">
        <v>0.33300000000000002</v>
      </c>
      <c r="M14" s="8">
        <f t="shared" si="3"/>
        <v>0.99900000000000011</v>
      </c>
      <c r="N14" s="6"/>
      <c r="O14" s="7"/>
      <c r="P14" s="8">
        <f t="shared" si="4"/>
        <v>0</v>
      </c>
      <c r="Q14" s="13"/>
      <c r="R14" s="6">
        <f t="shared" si="5"/>
        <v>6</v>
      </c>
      <c r="S14" s="9">
        <f t="shared" si="6"/>
        <v>0.16650000000000001</v>
      </c>
      <c r="T14" s="9">
        <f t="shared" si="7"/>
        <v>6.0606060606060608E-2</v>
      </c>
      <c r="U14" s="9">
        <f>R14 / _xlfn.XLOOKUP(A14, Support!A:A, Support!AA:AA)</f>
        <v>2.197802197802198E-2</v>
      </c>
    </row>
    <row r="15" spans="1:23" x14ac:dyDescent="0.25">
      <c r="A15" s="1" t="s">
        <v>147</v>
      </c>
      <c r="B15" s="6"/>
      <c r="C15" s="7"/>
      <c r="D15" s="8">
        <f t="shared" si="0"/>
        <v>0</v>
      </c>
      <c r="E15" s="6"/>
      <c r="F15" s="7"/>
      <c r="G15" s="8">
        <f t="shared" si="1"/>
        <v>0</v>
      </c>
      <c r="H15" s="6">
        <v>2</v>
      </c>
      <c r="I15" s="7">
        <v>0</v>
      </c>
      <c r="J15" s="8">
        <f t="shared" si="2"/>
        <v>0</v>
      </c>
      <c r="K15" s="6"/>
      <c r="L15" s="7"/>
      <c r="M15" s="8">
        <f t="shared" si="3"/>
        <v>0</v>
      </c>
      <c r="N15" s="6"/>
      <c r="O15" s="7"/>
      <c r="P15" s="8">
        <f t="shared" si="4"/>
        <v>0</v>
      </c>
      <c r="Q15" s="1"/>
      <c r="R15" s="6">
        <f t="shared" si="5"/>
        <v>2</v>
      </c>
      <c r="S15" s="9">
        <f t="shared" si="6"/>
        <v>0</v>
      </c>
      <c r="T15" s="9">
        <f t="shared" si="7"/>
        <v>2.0202020202020204E-2</v>
      </c>
      <c r="U15" s="9">
        <f>R15 / _xlfn.XLOOKUP(A15, Support!A:A, Support!AA:AA)</f>
        <v>2.4691358024691357E-2</v>
      </c>
    </row>
    <row r="16" spans="1:23" x14ac:dyDescent="0.25">
      <c r="A16" s="1" t="s">
        <v>151</v>
      </c>
      <c r="B16" s="6"/>
      <c r="C16" s="7"/>
      <c r="D16" s="8">
        <f t="shared" si="0"/>
        <v>0</v>
      </c>
      <c r="E16" s="6">
        <v>1</v>
      </c>
      <c r="F16" s="7">
        <v>0</v>
      </c>
      <c r="G16" s="8">
        <f t="shared" si="1"/>
        <v>0</v>
      </c>
      <c r="H16" s="6"/>
      <c r="I16" s="7"/>
      <c r="J16" s="8">
        <f t="shared" si="2"/>
        <v>0</v>
      </c>
      <c r="K16" s="6"/>
      <c r="L16" s="7"/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1</v>
      </c>
      <c r="S16" s="9">
        <f t="shared" si="6"/>
        <v>0</v>
      </c>
      <c r="T16" s="9">
        <f t="shared" si="7"/>
        <v>1.0101010101010102E-2</v>
      </c>
      <c r="U16" s="9">
        <f>R16 / _xlfn.XLOOKUP(A16, Support!A:A, Support!AA:AA)</f>
        <v>0.1111111111111111</v>
      </c>
    </row>
    <row r="17" spans="1:21" x14ac:dyDescent="0.25">
      <c r="A17" s="25" t="s">
        <v>81</v>
      </c>
      <c r="B17" s="6"/>
      <c r="C17" s="7"/>
      <c r="D17" s="8">
        <f t="shared" si="0"/>
        <v>0</v>
      </c>
      <c r="E17" s="6"/>
      <c r="F17" s="7"/>
      <c r="G17" s="8">
        <f t="shared" si="1"/>
        <v>0</v>
      </c>
      <c r="H17" s="6"/>
      <c r="I17" s="7"/>
      <c r="J17" s="8">
        <f t="shared" si="2"/>
        <v>0</v>
      </c>
      <c r="K17" s="6">
        <v>1</v>
      </c>
      <c r="L17" s="7">
        <v>0</v>
      </c>
      <c r="M17" s="8">
        <f t="shared" si="3"/>
        <v>0</v>
      </c>
      <c r="N17" s="1"/>
      <c r="O17" s="1"/>
      <c r="P17" s="8">
        <f t="shared" si="4"/>
        <v>0</v>
      </c>
      <c r="Q17" s="1"/>
      <c r="R17" s="6">
        <f t="shared" si="5"/>
        <v>1</v>
      </c>
      <c r="S17" s="9">
        <f t="shared" si="6"/>
        <v>0</v>
      </c>
      <c r="T17" s="9">
        <f t="shared" si="7"/>
        <v>1.0101010101010102E-2</v>
      </c>
      <c r="U17" s="10">
        <f>D17+G17+J17+M17+P17</f>
        <v>0</v>
      </c>
    </row>
    <row r="18" spans="1:21" x14ac:dyDescent="0.25">
      <c r="A18" s="21" t="s">
        <v>35</v>
      </c>
      <c r="B18" s="6"/>
      <c r="C18" s="7"/>
      <c r="D18" s="8">
        <f t="shared" si="0"/>
        <v>0</v>
      </c>
      <c r="E18" s="6">
        <v>3</v>
      </c>
      <c r="F18" s="7">
        <v>0</v>
      </c>
      <c r="G18" s="8">
        <f t="shared" si="1"/>
        <v>0</v>
      </c>
      <c r="H18" s="6"/>
      <c r="I18" s="7"/>
      <c r="J18" s="8">
        <f t="shared" si="2"/>
        <v>0</v>
      </c>
      <c r="K18" s="6"/>
      <c r="L18" s="7"/>
      <c r="M18" s="8">
        <f t="shared" si="3"/>
        <v>0</v>
      </c>
      <c r="N18" s="1"/>
      <c r="O18" s="1"/>
      <c r="P18" s="8">
        <f t="shared" si="4"/>
        <v>0</v>
      </c>
      <c r="Q18" s="1"/>
      <c r="R18" s="6">
        <f t="shared" si="5"/>
        <v>3</v>
      </c>
      <c r="S18" s="9">
        <f t="shared" si="6"/>
        <v>0</v>
      </c>
      <c r="T18" s="9">
        <f t="shared" si="7"/>
        <v>3.0303030303030304E-2</v>
      </c>
      <c r="U18" s="10">
        <f>D18+G18+J18+M18+P18</f>
        <v>0</v>
      </c>
    </row>
    <row r="19" spans="1:21" x14ac:dyDescent="0.25">
      <c r="A19" s="1" t="s">
        <v>173</v>
      </c>
      <c r="B19" s="6"/>
      <c r="C19" s="7"/>
      <c r="D19" s="8">
        <f t="shared" si="0"/>
        <v>0</v>
      </c>
      <c r="E19" s="6"/>
      <c r="F19" s="7"/>
      <c r="G19" s="8">
        <f t="shared" si="1"/>
        <v>0</v>
      </c>
      <c r="H19" s="6">
        <v>1</v>
      </c>
      <c r="I19" s="7">
        <v>0</v>
      </c>
      <c r="J19" s="8">
        <f t="shared" si="2"/>
        <v>0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1"/>
      <c r="R19" s="6">
        <f t="shared" si="5"/>
        <v>1</v>
      </c>
      <c r="S19" s="9">
        <f t="shared" si="6"/>
        <v>0</v>
      </c>
      <c r="T19" s="9">
        <f t="shared" si="7"/>
        <v>1.0101010101010102E-2</v>
      </c>
      <c r="U19" s="9">
        <f>R19 / _xlfn.XLOOKUP(A19, Support!A:A, Support!AA:AA)</f>
        <v>3.246753246753247E-3</v>
      </c>
    </row>
    <row r="20" spans="1:21" x14ac:dyDescent="0.25">
      <c r="A20" s="1" t="s">
        <v>186</v>
      </c>
      <c r="B20" s="6"/>
      <c r="C20" s="7"/>
      <c r="D20" s="8">
        <f t="shared" si="0"/>
        <v>0</v>
      </c>
      <c r="E20" s="6"/>
      <c r="F20" s="7"/>
      <c r="G20" s="8">
        <f t="shared" si="1"/>
        <v>0</v>
      </c>
      <c r="H20" s="6">
        <v>3</v>
      </c>
      <c r="I20" s="7">
        <v>0</v>
      </c>
      <c r="J20" s="8">
        <f t="shared" si="2"/>
        <v>0</v>
      </c>
      <c r="K20" s="6"/>
      <c r="L20" s="7"/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3</v>
      </c>
      <c r="S20" s="9">
        <f t="shared" si="6"/>
        <v>0</v>
      </c>
      <c r="T20" s="9">
        <f t="shared" si="7"/>
        <v>3.0303030303030304E-2</v>
      </c>
      <c r="U20" s="9">
        <f>R20 / _xlfn.XLOOKUP(A20, Support!A:A, Support!AA:AA)</f>
        <v>2.8301886792452831E-2</v>
      </c>
    </row>
    <row r="21" spans="1:21" x14ac:dyDescent="0.25">
      <c r="A21" s="1" t="s">
        <v>91</v>
      </c>
      <c r="B21" s="6"/>
      <c r="C21" s="7"/>
      <c r="D21" s="8">
        <f t="shared" si="0"/>
        <v>0</v>
      </c>
      <c r="E21" s="6"/>
      <c r="F21" s="7"/>
      <c r="G21" s="8">
        <f t="shared" si="1"/>
        <v>0</v>
      </c>
      <c r="H21" s="6">
        <v>1</v>
      </c>
      <c r="I21" s="7">
        <v>0</v>
      </c>
      <c r="J21" s="8">
        <f t="shared" si="2"/>
        <v>0</v>
      </c>
      <c r="K21" s="6"/>
      <c r="L21" s="7"/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1</v>
      </c>
      <c r="S21" s="9">
        <f t="shared" si="6"/>
        <v>0</v>
      </c>
      <c r="T21" s="9">
        <f t="shared" si="7"/>
        <v>1.0101010101010102E-2</v>
      </c>
      <c r="U21" s="9">
        <f>R21 / _xlfn.XLOOKUP(A21, Support!A:A, Support!AA:AA)</f>
        <v>5.9523809523809521E-3</v>
      </c>
    </row>
    <row r="22" spans="1:21" x14ac:dyDescent="0.25">
      <c r="A22" s="1" t="s">
        <v>14</v>
      </c>
      <c r="B22" s="6"/>
      <c r="C22" s="7"/>
      <c r="D22" s="8">
        <f t="shared" si="0"/>
        <v>0</v>
      </c>
      <c r="E22" s="6"/>
      <c r="F22" s="7"/>
      <c r="G22" s="8">
        <f t="shared" si="1"/>
        <v>0</v>
      </c>
      <c r="H22" s="6">
        <v>1</v>
      </c>
      <c r="I22" s="7">
        <v>0</v>
      </c>
      <c r="J22" s="8">
        <f t="shared" si="2"/>
        <v>0</v>
      </c>
      <c r="K22" s="6"/>
      <c r="L22" s="7"/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1</v>
      </c>
      <c r="S22" s="9">
        <f t="shared" si="6"/>
        <v>0</v>
      </c>
      <c r="T22" s="9">
        <f t="shared" si="7"/>
        <v>1.0101010101010102E-2</v>
      </c>
      <c r="U22" s="9">
        <f>R22 / _xlfn.XLOOKUP(A22, Support!A:A, Support!AA:AA)</f>
        <v>3.8461538461538464E-2</v>
      </c>
    </row>
    <row r="23" spans="1:21" x14ac:dyDescent="0.25">
      <c r="A23" s="1" t="s">
        <v>174</v>
      </c>
      <c r="B23" s="6"/>
      <c r="C23" s="7"/>
      <c r="D23" s="8">
        <f t="shared" si="0"/>
        <v>0</v>
      </c>
      <c r="E23" s="6"/>
      <c r="F23" s="7"/>
      <c r="G23" s="8">
        <f t="shared" si="1"/>
        <v>0</v>
      </c>
      <c r="H23" s="6">
        <v>1</v>
      </c>
      <c r="I23" s="7">
        <v>0</v>
      </c>
      <c r="J23" s="8">
        <f t="shared" si="2"/>
        <v>0</v>
      </c>
      <c r="K23" s="6"/>
      <c r="L23" s="7"/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1</v>
      </c>
      <c r="S23" s="9">
        <f t="shared" si="6"/>
        <v>0</v>
      </c>
      <c r="T23" s="9">
        <f t="shared" si="7"/>
        <v>1.0101010101010102E-2</v>
      </c>
      <c r="U23" s="9">
        <f>R23 / _xlfn.XLOOKUP(A23, Support!A:A, Support!AA:AA)</f>
        <v>2.9411764705882353E-2</v>
      </c>
    </row>
    <row r="24" spans="1:21" x14ac:dyDescent="0.25">
      <c r="A24" s="1" t="s">
        <v>169</v>
      </c>
      <c r="B24" s="6"/>
      <c r="C24" s="7"/>
      <c r="D24" s="8">
        <f t="shared" si="0"/>
        <v>0</v>
      </c>
      <c r="E24" s="6"/>
      <c r="F24" s="7"/>
      <c r="G24" s="8">
        <f t="shared" si="1"/>
        <v>0</v>
      </c>
      <c r="H24" s="6">
        <v>3</v>
      </c>
      <c r="I24" s="7">
        <v>0</v>
      </c>
      <c r="J24" s="8">
        <f t="shared" si="2"/>
        <v>0</v>
      </c>
      <c r="K24" s="6"/>
      <c r="L24" s="7"/>
      <c r="M24" s="8">
        <f t="shared" si="3"/>
        <v>0</v>
      </c>
      <c r="N24" s="6"/>
      <c r="O24" s="7"/>
      <c r="P24" s="8">
        <f t="shared" si="4"/>
        <v>0</v>
      </c>
      <c r="Q24" s="1"/>
      <c r="R24" s="6">
        <f t="shared" si="5"/>
        <v>3</v>
      </c>
      <c r="S24" s="9">
        <f t="shared" si="6"/>
        <v>0</v>
      </c>
      <c r="T24" s="9">
        <f t="shared" si="7"/>
        <v>3.0303030303030304E-2</v>
      </c>
      <c r="U24" s="9">
        <f>R24 / _xlfn.XLOOKUP(A24, Support!A:A, Support!AA:AA)</f>
        <v>9.6774193548387101E-3</v>
      </c>
    </row>
    <row r="25" spans="1:21" x14ac:dyDescent="0.25">
      <c r="A25" s="1" t="s">
        <v>143</v>
      </c>
      <c r="B25" s="6"/>
      <c r="C25" s="7"/>
      <c r="D25" s="8">
        <f t="shared" si="0"/>
        <v>0</v>
      </c>
      <c r="E25" s="6"/>
      <c r="F25" s="7"/>
      <c r="G25" s="8">
        <f t="shared" si="1"/>
        <v>0</v>
      </c>
      <c r="H25" s="6">
        <v>1</v>
      </c>
      <c r="I25" s="7">
        <v>0</v>
      </c>
      <c r="J25" s="8">
        <f t="shared" si="2"/>
        <v>0</v>
      </c>
      <c r="K25" s="6"/>
      <c r="L25" s="7"/>
      <c r="M25" s="8">
        <f t="shared" si="3"/>
        <v>0</v>
      </c>
      <c r="N25" s="6"/>
      <c r="O25" s="7"/>
      <c r="P25" s="8">
        <f t="shared" si="4"/>
        <v>0</v>
      </c>
      <c r="Q25" s="1"/>
      <c r="R25" s="6">
        <f t="shared" si="5"/>
        <v>1</v>
      </c>
      <c r="S25" s="9">
        <f t="shared" si="6"/>
        <v>0</v>
      </c>
      <c r="T25" s="9">
        <f t="shared" si="7"/>
        <v>1.0101010101010102E-2</v>
      </c>
      <c r="U25" s="9">
        <f>R25 / _xlfn.XLOOKUP(A25, Support!A:A, Support!AA:AA)</f>
        <v>1.2987012987012988E-2</v>
      </c>
    </row>
    <row r="26" spans="1:21" x14ac:dyDescent="0.25">
      <c r="A26" s="1" t="s">
        <v>145</v>
      </c>
      <c r="B26" s="6"/>
      <c r="C26" s="7"/>
      <c r="D26" s="8">
        <f t="shared" si="0"/>
        <v>0</v>
      </c>
      <c r="E26" s="6"/>
      <c r="F26" s="7"/>
      <c r="G26" s="8">
        <f t="shared" si="1"/>
        <v>0</v>
      </c>
      <c r="H26" s="6">
        <v>2</v>
      </c>
      <c r="I26" s="7">
        <v>0</v>
      </c>
      <c r="J26" s="8">
        <f t="shared" si="2"/>
        <v>0</v>
      </c>
      <c r="K26" s="6"/>
      <c r="L26" s="7"/>
      <c r="M26" s="8">
        <f t="shared" si="3"/>
        <v>0</v>
      </c>
      <c r="N26" s="6"/>
      <c r="O26" s="7"/>
      <c r="P26" s="8">
        <f t="shared" si="4"/>
        <v>0</v>
      </c>
      <c r="Q26" s="1"/>
      <c r="R26" s="6">
        <f t="shared" si="5"/>
        <v>2</v>
      </c>
      <c r="S26" s="9">
        <f t="shared" si="6"/>
        <v>0</v>
      </c>
      <c r="T26" s="9">
        <f t="shared" si="7"/>
        <v>2.0202020202020204E-2</v>
      </c>
      <c r="U26" s="9">
        <f>R26 / _xlfn.XLOOKUP(A26, Support!A:A, Support!AA:AA)</f>
        <v>0.66666666666666663</v>
      </c>
    </row>
    <row r="27" spans="1:21" x14ac:dyDescent="0.25">
      <c r="A27" s="1"/>
      <c r="B27" s="6"/>
      <c r="C27" s="7"/>
      <c r="D27" s="8">
        <f t="shared" ref="D27:D30" si="8">B27*C27</f>
        <v>0</v>
      </c>
      <c r="E27" s="6"/>
      <c r="F27" s="7"/>
      <c r="G27" s="8">
        <f t="shared" ref="G27:G30" si="9">E27*F27</f>
        <v>0</v>
      </c>
      <c r="H27" s="6"/>
      <c r="I27" s="7"/>
      <c r="J27" s="8">
        <f t="shared" ref="J27:J30" si="10">H27*I27</f>
        <v>0</v>
      </c>
      <c r="K27" s="6"/>
      <c r="L27" s="7"/>
      <c r="M27" s="8">
        <f t="shared" ref="M27:M30" si="11">K27*L27</f>
        <v>0</v>
      </c>
      <c r="N27" s="1"/>
      <c r="O27" s="1"/>
      <c r="P27" s="8">
        <f t="shared" ref="P27:P30" si="12">N27*O27</f>
        <v>0</v>
      </c>
      <c r="Q27" s="1"/>
      <c r="R27" s="6">
        <f t="shared" ref="R27:R30" si="13">B27+E27+H27+K27+N27</f>
        <v>0</v>
      </c>
      <c r="S27" s="9" t="e">
        <f t="shared" ref="S27:S30" si="14">(D27+G27+J27+M27+P27)/R27</f>
        <v>#DIV/0!</v>
      </c>
      <c r="T27" s="9">
        <f t="shared" ref="T27:T30" si="15">R27/$V$3</f>
        <v>0</v>
      </c>
      <c r="U27" s="10">
        <f t="shared" ref="U27:U30" si="16">D27+G27+J27+M27+P27</f>
        <v>0</v>
      </c>
    </row>
    <row r="28" spans="1:21" x14ac:dyDescent="0.25">
      <c r="A28" s="1"/>
      <c r="B28" s="6"/>
      <c r="C28" s="7"/>
      <c r="D28" s="8">
        <f t="shared" si="8"/>
        <v>0</v>
      </c>
      <c r="E28" s="6"/>
      <c r="F28" s="7"/>
      <c r="G28" s="8">
        <f t="shared" si="9"/>
        <v>0</v>
      </c>
      <c r="H28" s="6"/>
      <c r="I28" s="7"/>
      <c r="J28" s="8">
        <f t="shared" si="10"/>
        <v>0</v>
      </c>
      <c r="K28" s="6"/>
      <c r="L28" s="7"/>
      <c r="M28" s="8">
        <f t="shared" si="11"/>
        <v>0</v>
      </c>
      <c r="N28" s="1"/>
      <c r="O28" s="1"/>
      <c r="P28" s="8">
        <f t="shared" si="12"/>
        <v>0</v>
      </c>
      <c r="Q28" s="1"/>
      <c r="R28" s="6">
        <f t="shared" si="13"/>
        <v>0</v>
      </c>
      <c r="S28" s="9" t="e">
        <f t="shared" si="14"/>
        <v>#DIV/0!</v>
      </c>
      <c r="T28" s="9">
        <f t="shared" si="15"/>
        <v>0</v>
      </c>
      <c r="U28" s="10">
        <f t="shared" si="16"/>
        <v>0</v>
      </c>
    </row>
    <row r="29" spans="1:21" x14ac:dyDescent="0.25">
      <c r="A29" s="1"/>
      <c r="B29" s="6"/>
      <c r="C29" s="7"/>
      <c r="D29" s="8">
        <f t="shared" si="8"/>
        <v>0</v>
      </c>
      <c r="E29" s="6"/>
      <c r="F29" s="7"/>
      <c r="G29" s="8">
        <f t="shared" si="9"/>
        <v>0</v>
      </c>
      <c r="H29" s="6"/>
      <c r="I29" s="7"/>
      <c r="J29" s="8">
        <f t="shared" si="10"/>
        <v>0</v>
      </c>
      <c r="K29" s="6"/>
      <c r="L29" s="7"/>
      <c r="M29" s="8">
        <f t="shared" si="11"/>
        <v>0</v>
      </c>
      <c r="N29" s="1"/>
      <c r="O29" s="1"/>
      <c r="P29" s="8">
        <f t="shared" si="12"/>
        <v>0</v>
      </c>
      <c r="Q29" s="1"/>
      <c r="R29" s="6">
        <f t="shared" si="13"/>
        <v>0</v>
      </c>
      <c r="S29" s="9" t="e">
        <f t="shared" si="14"/>
        <v>#DIV/0!</v>
      </c>
      <c r="T29" s="9">
        <f t="shared" si="15"/>
        <v>0</v>
      </c>
      <c r="U29" s="10">
        <f t="shared" si="16"/>
        <v>0</v>
      </c>
    </row>
    <row r="30" spans="1:21" x14ac:dyDescent="0.25">
      <c r="A30" s="1"/>
      <c r="B30" s="6"/>
      <c r="C30" s="7"/>
      <c r="D30" s="8">
        <f t="shared" si="8"/>
        <v>0</v>
      </c>
      <c r="E30" s="6"/>
      <c r="F30" s="7"/>
      <c r="G30" s="8">
        <f t="shared" si="9"/>
        <v>0</v>
      </c>
      <c r="H30" s="6"/>
      <c r="I30" s="7"/>
      <c r="J30" s="8">
        <f t="shared" si="10"/>
        <v>0</v>
      </c>
      <c r="K30" s="6"/>
      <c r="L30" s="7"/>
      <c r="M30" s="8">
        <f t="shared" si="11"/>
        <v>0</v>
      </c>
      <c r="N30" s="1"/>
      <c r="O30" s="1"/>
      <c r="P30" s="8">
        <f t="shared" si="12"/>
        <v>0</v>
      </c>
      <c r="Q30" s="1"/>
      <c r="R30" s="6">
        <f t="shared" si="13"/>
        <v>0</v>
      </c>
      <c r="S30" s="9" t="e">
        <f t="shared" si="14"/>
        <v>#DIV/0!</v>
      </c>
      <c r="T30" s="9">
        <f t="shared" si="15"/>
        <v>0</v>
      </c>
      <c r="U30" s="10">
        <f t="shared" si="16"/>
        <v>0</v>
      </c>
    </row>
  </sheetData>
  <sortState xmlns:xlrd2="http://schemas.microsoft.com/office/spreadsheetml/2017/richdata2" ref="A3:U26">
    <sortCondition descending="1" ref="S3:S26"/>
  </sortState>
  <pageMargins left="0.7" right="0.7" top="0.78740157499999996" bottom="0.78740157499999996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B2A3C-E7A4-420F-870F-F3C754B6673A}">
  <sheetPr>
    <tabColor theme="9" tint="0.59999389629810485"/>
  </sheetPr>
  <dimension ref="A1:W44"/>
  <sheetViews>
    <sheetView workbookViewId="0">
      <selection activeCell="A4" sqref="A4"/>
    </sheetView>
  </sheetViews>
  <sheetFormatPr baseColWidth="10" defaultRowHeight="15" x14ac:dyDescent="0.25"/>
  <sheetData>
    <row r="1" spans="1:23" ht="15.75" x14ac:dyDescent="0.25">
      <c r="A1" s="2" t="s">
        <v>217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174</v>
      </c>
      <c r="B3" s="6"/>
      <c r="C3" s="7"/>
      <c r="D3" s="8">
        <f t="shared" ref="D3:D24" si="0">B3*C3</f>
        <v>0</v>
      </c>
      <c r="E3" s="6"/>
      <c r="F3" s="7"/>
      <c r="G3" s="8">
        <f t="shared" ref="G3:G24" si="1">E3*F3</f>
        <v>0</v>
      </c>
      <c r="H3" s="6"/>
      <c r="I3" s="7"/>
      <c r="J3" s="8">
        <f t="shared" ref="J3:J24" si="2">H3*I3</f>
        <v>0</v>
      </c>
      <c r="K3" s="6"/>
      <c r="L3" s="7"/>
      <c r="M3" s="8">
        <f t="shared" ref="M3:M24" si="3">K3*L3</f>
        <v>0</v>
      </c>
      <c r="N3" s="6"/>
      <c r="O3" s="7"/>
      <c r="P3" s="8">
        <f t="shared" ref="P3:P24" si="4">N3*O3</f>
        <v>0</v>
      </c>
      <c r="Q3" s="1"/>
      <c r="R3" s="6">
        <f t="shared" ref="R3:R24" si="5">B3+E3+H3+K3+N3</f>
        <v>0</v>
      </c>
      <c r="S3" s="9" t="e">
        <f t="shared" ref="S3:S24" si="6">(D3+G3+J3+M3+P3)/R3</f>
        <v>#DIV/0!</v>
      </c>
      <c r="T3" s="9">
        <f t="shared" ref="T3:T44" si="7">R3/$V$3</f>
        <v>0</v>
      </c>
      <c r="U3" s="9">
        <f>R3 / _xlfn.XLOOKUP(A3, Support!A:A, Support!AA:AA)</f>
        <v>0</v>
      </c>
      <c r="V3" s="11">
        <f>SUM(R3:R58)</f>
        <v>169</v>
      </c>
      <c r="W3" s="12">
        <f>(SUM(D3:D88)+SUM(G3:G88)+SUM(J3:J88)+SUM(M3:M88)+SUM(P3:P88)) / V3</f>
        <v>0.31950887573964498</v>
      </c>
    </row>
    <row r="4" spans="1:23" x14ac:dyDescent="0.25">
      <c r="A4" s="1" t="s">
        <v>183</v>
      </c>
      <c r="B4" s="6"/>
      <c r="C4" s="7"/>
      <c r="D4" s="8">
        <f t="shared" si="0"/>
        <v>0</v>
      </c>
      <c r="E4" s="6"/>
      <c r="F4" s="7"/>
      <c r="G4" s="8">
        <f t="shared" si="1"/>
        <v>0</v>
      </c>
      <c r="H4" s="6"/>
      <c r="I4" s="7"/>
      <c r="J4" s="8">
        <f t="shared" si="2"/>
        <v>0</v>
      </c>
      <c r="K4" s="6">
        <v>1</v>
      </c>
      <c r="L4" s="7">
        <v>1</v>
      </c>
      <c r="M4" s="8">
        <f t="shared" si="3"/>
        <v>1</v>
      </c>
      <c r="N4" s="6"/>
      <c r="O4" s="7"/>
      <c r="P4" s="8">
        <f t="shared" si="4"/>
        <v>0</v>
      </c>
      <c r="Q4" s="1"/>
      <c r="R4" s="6">
        <f t="shared" si="5"/>
        <v>1</v>
      </c>
      <c r="S4" s="9">
        <f t="shared" si="6"/>
        <v>1</v>
      </c>
      <c r="T4" s="9">
        <f t="shared" si="7"/>
        <v>5.9171597633136093E-3</v>
      </c>
      <c r="U4" s="9">
        <f>R4 / _xlfn.XLOOKUP(A4, Support!A:A, Support!AA:AA)</f>
        <v>1.3333333333333334E-2</v>
      </c>
      <c r="V4" s="1"/>
      <c r="W4" s="1"/>
    </row>
    <row r="5" spans="1:23" x14ac:dyDescent="0.25">
      <c r="A5" s="23" t="s">
        <v>81</v>
      </c>
      <c r="B5" s="6"/>
      <c r="C5" s="7"/>
      <c r="D5" s="8">
        <f t="shared" si="0"/>
        <v>0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>
        <v>2</v>
      </c>
      <c r="L5" s="7">
        <v>0.5</v>
      </c>
      <c r="M5" s="8">
        <f t="shared" si="3"/>
        <v>1</v>
      </c>
      <c r="N5" s="6"/>
      <c r="O5" s="7"/>
      <c r="P5" s="8">
        <f t="shared" si="4"/>
        <v>0</v>
      </c>
      <c r="Q5" s="13"/>
      <c r="R5" s="6">
        <f t="shared" si="5"/>
        <v>2</v>
      </c>
      <c r="S5" s="9">
        <f t="shared" si="6"/>
        <v>0.5</v>
      </c>
      <c r="T5" s="9">
        <f t="shared" si="7"/>
        <v>1.1834319526627219E-2</v>
      </c>
      <c r="U5" s="9">
        <f>R5 / _xlfn.XLOOKUP(A5, Support!A:A, Support!AA:AA)</f>
        <v>4.4444444444444446E-2</v>
      </c>
      <c r="V5" s="1"/>
      <c r="W5" s="1"/>
    </row>
    <row r="6" spans="1:23" x14ac:dyDescent="0.25">
      <c r="A6" s="1" t="s">
        <v>31</v>
      </c>
      <c r="B6" s="6"/>
      <c r="C6" s="7"/>
      <c r="D6" s="8">
        <f t="shared" si="0"/>
        <v>0</v>
      </c>
      <c r="E6" s="6"/>
      <c r="F6" s="7"/>
      <c r="G6" s="8">
        <f t="shared" si="1"/>
        <v>0</v>
      </c>
      <c r="H6" s="6">
        <v>1</v>
      </c>
      <c r="I6" s="7">
        <v>0</v>
      </c>
      <c r="J6" s="8">
        <f t="shared" si="2"/>
        <v>0</v>
      </c>
      <c r="K6" s="6">
        <v>11</v>
      </c>
      <c r="L6" s="7">
        <v>0.54500000000000004</v>
      </c>
      <c r="M6" s="8">
        <f t="shared" si="3"/>
        <v>5.9950000000000001</v>
      </c>
      <c r="N6" s="6"/>
      <c r="O6" s="7"/>
      <c r="P6" s="8">
        <f t="shared" si="4"/>
        <v>0</v>
      </c>
      <c r="Q6" s="1"/>
      <c r="R6" s="6">
        <f t="shared" si="5"/>
        <v>12</v>
      </c>
      <c r="S6" s="9">
        <f t="shared" si="6"/>
        <v>0.49958333333333332</v>
      </c>
      <c r="T6" s="9">
        <f t="shared" si="7"/>
        <v>7.1005917159763315E-2</v>
      </c>
      <c r="U6" s="9">
        <f>R6 / _xlfn.XLOOKUP(A6, Support!A:A, Support!AA:AA)</f>
        <v>9.6774193548387094E-2</v>
      </c>
      <c r="V6" s="1"/>
      <c r="W6" s="1"/>
    </row>
    <row r="7" spans="1:23" x14ac:dyDescent="0.25">
      <c r="A7" s="1" t="s">
        <v>80</v>
      </c>
      <c r="B7" s="6"/>
      <c r="C7" s="7"/>
      <c r="D7" s="8">
        <f t="shared" si="0"/>
        <v>0</v>
      </c>
      <c r="E7" s="6"/>
      <c r="F7" s="7"/>
      <c r="G7" s="8">
        <f t="shared" si="1"/>
        <v>0</v>
      </c>
      <c r="H7" s="6">
        <v>11</v>
      </c>
      <c r="I7" s="7">
        <v>0.182</v>
      </c>
      <c r="J7" s="8">
        <f t="shared" si="2"/>
        <v>2.0019999999999998</v>
      </c>
      <c r="K7" s="6">
        <v>20</v>
      </c>
      <c r="L7" s="7">
        <v>0.55000000000000004</v>
      </c>
      <c r="M7" s="8">
        <f t="shared" si="3"/>
        <v>11</v>
      </c>
      <c r="N7" s="6"/>
      <c r="O7" s="7"/>
      <c r="P7" s="8">
        <f t="shared" si="4"/>
        <v>0</v>
      </c>
      <c r="Q7" s="1"/>
      <c r="R7" s="6">
        <f t="shared" si="5"/>
        <v>31</v>
      </c>
      <c r="S7" s="9">
        <f t="shared" si="6"/>
        <v>0.41941935483870962</v>
      </c>
      <c r="T7" s="9">
        <f t="shared" si="7"/>
        <v>0.18343195266272189</v>
      </c>
      <c r="U7" s="9">
        <f>R7 / _xlfn.XLOOKUP(A7, Support!A:A, Support!AA:AA)</f>
        <v>6.3655030800821355E-2</v>
      </c>
      <c r="V7" s="1"/>
      <c r="W7" s="1"/>
    </row>
    <row r="8" spans="1:23" x14ac:dyDescent="0.25">
      <c r="A8" s="1" t="s">
        <v>30</v>
      </c>
      <c r="B8" s="6"/>
      <c r="C8" s="7"/>
      <c r="D8" s="8">
        <f t="shared" si="0"/>
        <v>0</v>
      </c>
      <c r="E8" s="6"/>
      <c r="F8" s="7"/>
      <c r="G8" s="8">
        <f t="shared" si="1"/>
        <v>0</v>
      </c>
      <c r="H8" s="6">
        <v>3</v>
      </c>
      <c r="I8" s="7">
        <v>0.33300000000000002</v>
      </c>
      <c r="J8" s="8">
        <f t="shared" si="2"/>
        <v>0.99900000000000011</v>
      </c>
      <c r="K8" s="6">
        <v>2</v>
      </c>
      <c r="L8" s="7">
        <v>0.5</v>
      </c>
      <c r="M8" s="8">
        <f t="shared" si="3"/>
        <v>1</v>
      </c>
      <c r="N8" s="6"/>
      <c r="O8" s="7"/>
      <c r="P8" s="8">
        <f t="shared" si="4"/>
        <v>0</v>
      </c>
      <c r="Q8" s="4"/>
      <c r="R8" s="6">
        <f t="shared" si="5"/>
        <v>5</v>
      </c>
      <c r="S8" s="9">
        <f t="shared" si="6"/>
        <v>0.39980000000000004</v>
      </c>
      <c r="T8" s="9">
        <f t="shared" si="7"/>
        <v>2.9585798816568046E-2</v>
      </c>
      <c r="U8" s="9">
        <f>R8 / _xlfn.XLOOKUP(A8, Support!A:A, Support!AA:AA)</f>
        <v>0.11363636363636363</v>
      </c>
      <c r="V8" s="1"/>
      <c r="W8" s="1"/>
    </row>
    <row r="9" spans="1:23" x14ac:dyDescent="0.25">
      <c r="A9" s="1" t="s">
        <v>90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>
        <v>16</v>
      </c>
      <c r="I9" s="7">
        <v>0.25</v>
      </c>
      <c r="J9" s="8">
        <f t="shared" si="2"/>
        <v>4</v>
      </c>
      <c r="K9" s="6">
        <v>15</v>
      </c>
      <c r="L9" s="7">
        <v>0.46700000000000003</v>
      </c>
      <c r="M9" s="8">
        <f t="shared" si="3"/>
        <v>7.0050000000000008</v>
      </c>
      <c r="N9" s="6"/>
      <c r="O9" s="7"/>
      <c r="P9" s="8">
        <f t="shared" si="4"/>
        <v>0</v>
      </c>
      <c r="Q9" s="4"/>
      <c r="R9" s="6">
        <f t="shared" si="5"/>
        <v>31</v>
      </c>
      <c r="S9" s="9">
        <f t="shared" si="6"/>
        <v>0.35500000000000004</v>
      </c>
      <c r="T9" s="9">
        <f t="shared" si="7"/>
        <v>0.18343195266272189</v>
      </c>
      <c r="U9" s="9">
        <f>R9 / _xlfn.XLOOKUP(A9, Support!A:A, Support!AA:AA)</f>
        <v>5.0653594771241831E-2</v>
      </c>
      <c r="V9" s="1"/>
      <c r="W9" s="1"/>
    </row>
    <row r="10" spans="1:23" x14ac:dyDescent="0.25">
      <c r="A10" s="1" t="s">
        <v>182</v>
      </c>
      <c r="B10" s="6"/>
      <c r="C10" s="7"/>
      <c r="D10" s="8">
        <f t="shared" si="0"/>
        <v>0</v>
      </c>
      <c r="E10" s="6"/>
      <c r="F10" s="7"/>
      <c r="G10" s="8">
        <f t="shared" si="1"/>
        <v>0</v>
      </c>
      <c r="H10" s="6">
        <v>3</v>
      </c>
      <c r="I10" s="7">
        <v>0.33300000000000002</v>
      </c>
      <c r="J10" s="8">
        <f t="shared" si="2"/>
        <v>0.99900000000000011</v>
      </c>
      <c r="K10" s="6">
        <v>12</v>
      </c>
      <c r="L10" s="7">
        <v>0.33300000000000002</v>
      </c>
      <c r="M10" s="8">
        <f t="shared" si="3"/>
        <v>3.9960000000000004</v>
      </c>
      <c r="N10" s="6"/>
      <c r="O10" s="7"/>
      <c r="P10" s="8">
        <f t="shared" si="4"/>
        <v>0</v>
      </c>
      <c r="Q10" s="4"/>
      <c r="R10" s="6">
        <f t="shared" si="5"/>
        <v>15</v>
      </c>
      <c r="S10" s="9">
        <f t="shared" si="6"/>
        <v>0.33300000000000007</v>
      </c>
      <c r="T10" s="9">
        <f t="shared" si="7"/>
        <v>8.8757396449704137E-2</v>
      </c>
      <c r="U10" s="9">
        <f>R10 / _xlfn.XLOOKUP(A10, Support!A:A, Support!AA:AA)</f>
        <v>5.4945054945054944E-2</v>
      </c>
      <c r="V10" s="1"/>
      <c r="W10" s="1"/>
    </row>
    <row r="11" spans="1:23" x14ac:dyDescent="0.25">
      <c r="A11" s="21" t="s">
        <v>179</v>
      </c>
      <c r="B11" s="6"/>
      <c r="C11" s="7"/>
      <c r="D11" s="8">
        <f t="shared" si="0"/>
        <v>0</v>
      </c>
      <c r="E11" s="6"/>
      <c r="F11" s="7"/>
      <c r="G11" s="8">
        <f t="shared" si="1"/>
        <v>0</v>
      </c>
      <c r="H11" s="6">
        <v>3</v>
      </c>
      <c r="I11" s="7">
        <v>0.33300000000000002</v>
      </c>
      <c r="J11" s="8">
        <f t="shared" si="2"/>
        <v>0.99900000000000011</v>
      </c>
      <c r="K11" s="6">
        <v>10</v>
      </c>
      <c r="L11" s="7">
        <v>0.3</v>
      </c>
      <c r="M11" s="8">
        <f t="shared" si="3"/>
        <v>3</v>
      </c>
      <c r="N11" s="6"/>
      <c r="O11" s="7"/>
      <c r="P11" s="8">
        <f t="shared" si="4"/>
        <v>0</v>
      </c>
      <c r="Q11" s="1"/>
      <c r="R11" s="6">
        <f t="shared" si="5"/>
        <v>13</v>
      </c>
      <c r="S11" s="9">
        <f t="shared" si="6"/>
        <v>0.30761538461538462</v>
      </c>
      <c r="T11" s="9">
        <f t="shared" si="7"/>
        <v>7.6923076923076927E-2</v>
      </c>
      <c r="U11" s="9">
        <f>R11 / _xlfn.XLOOKUP(A11, Support!A:A, Support!AA:AA)</f>
        <v>2.7426160337552744E-2</v>
      </c>
      <c r="V11" s="1"/>
      <c r="W11" s="1"/>
    </row>
    <row r="12" spans="1:23" x14ac:dyDescent="0.25">
      <c r="A12" s="1" t="s">
        <v>176</v>
      </c>
      <c r="B12" s="6"/>
      <c r="C12" s="7"/>
      <c r="D12" s="8">
        <f t="shared" si="0"/>
        <v>0</v>
      </c>
      <c r="E12" s="6"/>
      <c r="F12" s="7"/>
      <c r="G12" s="8">
        <f t="shared" si="1"/>
        <v>0</v>
      </c>
      <c r="H12" s="6">
        <v>10</v>
      </c>
      <c r="I12" s="7">
        <v>0.3</v>
      </c>
      <c r="J12" s="8">
        <f t="shared" si="2"/>
        <v>3</v>
      </c>
      <c r="K12" s="6">
        <v>10</v>
      </c>
      <c r="L12" s="7">
        <v>0.3</v>
      </c>
      <c r="M12" s="8">
        <f t="shared" si="3"/>
        <v>3</v>
      </c>
      <c r="N12" s="6"/>
      <c r="O12" s="7"/>
      <c r="P12" s="8">
        <f t="shared" si="4"/>
        <v>0</v>
      </c>
      <c r="Q12" s="1"/>
      <c r="R12" s="6">
        <f t="shared" si="5"/>
        <v>20</v>
      </c>
      <c r="S12" s="9">
        <f t="shared" si="6"/>
        <v>0.3</v>
      </c>
      <c r="T12" s="9">
        <f t="shared" si="7"/>
        <v>0.11834319526627218</v>
      </c>
      <c r="U12" s="9">
        <f>R12 / _xlfn.XLOOKUP(A12, Support!A:A, Support!AA:AA)</f>
        <v>3.1695721077654518E-2</v>
      </c>
      <c r="V12" s="1"/>
      <c r="W12" s="1"/>
    </row>
    <row r="13" spans="1:23" x14ac:dyDescent="0.25">
      <c r="A13" s="1" t="s">
        <v>91</v>
      </c>
      <c r="B13" s="6"/>
      <c r="C13" s="7"/>
      <c r="D13" s="8">
        <f t="shared" si="0"/>
        <v>0</v>
      </c>
      <c r="E13" s="6"/>
      <c r="F13" s="7"/>
      <c r="G13" s="8">
        <f t="shared" si="1"/>
        <v>0</v>
      </c>
      <c r="H13" s="6"/>
      <c r="I13" s="7"/>
      <c r="J13" s="8">
        <f t="shared" si="2"/>
        <v>0</v>
      </c>
      <c r="K13" s="6">
        <v>8</v>
      </c>
      <c r="L13" s="7">
        <v>0.25</v>
      </c>
      <c r="M13" s="8">
        <f t="shared" si="3"/>
        <v>2</v>
      </c>
      <c r="N13" s="6"/>
      <c r="O13" s="7"/>
      <c r="P13" s="8">
        <f t="shared" si="4"/>
        <v>0</v>
      </c>
      <c r="Q13" s="1"/>
      <c r="R13" s="6">
        <f t="shared" si="5"/>
        <v>8</v>
      </c>
      <c r="S13" s="9">
        <f t="shared" si="6"/>
        <v>0.25</v>
      </c>
      <c r="T13" s="9">
        <f t="shared" si="7"/>
        <v>4.7337278106508875E-2</v>
      </c>
      <c r="U13" s="9">
        <f>R13 / _xlfn.XLOOKUP(A13, Support!A:A, Support!AA:AA)</f>
        <v>4.7619047619047616E-2</v>
      </c>
      <c r="V13" s="1"/>
      <c r="W13" s="1"/>
    </row>
    <row r="14" spans="1:23" x14ac:dyDescent="0.25">
      <c r="A14" s="1" t="s">
        <v>169</v>
      </c>
      <c r="B14" s="6"/>
      <c r="C14" s="7"/>
      <c r="D14" s="8">
        <f t="shared" si="0"/>
        <v>0</v>
      </c>
      <c r="E14" s="6"/>
      <c r="F14" s="7"/>
      <c r="G14" s="8">
        <f t="shared" si="1"/>
        <v>0</v>
      </c>
      <c r="H14" s="6">
        <v>2</v>
      </c>
      <c r="I14" s="7">
        <v>0.5</v>
      </c>
      <c r="J14" s="8">
        <f t="shared" si="2"/>
        <v>1</v>
      </c>
      <c r="K14" s="6">
        <v>4</v>
      </c>
      <c r="L14" s="7">
        <v>0</v>
      </c>
      <c r="M14" s="8">
        <f t="shared" si="3"/>
        <v>0</v>
      </c>
      <c r="N14" s="6"/>
      <c r="O14" s="7"/>
      <c r="P14" s="8">
        <f t="shared" si="4"/>
        <v>0</v>
      </c>
      <c r="Q14" s="1"/>
      <c r="R14" s="6">
        <f t="shared" si="5"/>
        <v>6</v>
      </c>
      <c r="S14" s="9">
        <f t="shared" si="6"/>
        <v>0.16666666666666666</v>
      </c>
      <c r="T14" s="9">
        <f t="shared" si="7"/>
        <v>3.5502958579881658E-2</v>
      </c>
      <c r="U14" s="9">
        <f>R14 / _xlfn.XLOOKUP(A14, Support!A:A, Support!AA:AA)</f>
        <v>1.935483870967742E-2</v>
      </c>
      <c r="V14" s="1"/>
      <c r="W14" s="1"/>
    </row>
    <row r="15" spans="1:23" x14ac:dyDescent="0.25">
      <c r="A15" s="1" t="s">
        <v>178</v>
      </c>
      <c r="B15" s="6"/>
      <c r="C15" s="7"/>
      <c r="D15" s="8">
        <f t="shared" si="0"/>
        <v>0</v>
      </c>
      <c r="E15" s="6"/>
      <c r="F15" s="7"/>
      <c r="G15" s="8">
        <f t="shared" si="1"/>
        <v>0</v>
      </c>
      <c r="H15" s="6">
        <v>11</v>
      </c>
      <c r="I15" s="7">
        <v>0.182</v>
      </c>
      <c r="J15" s="8">
        <f t="shared" si="2"/>
        <v>2.0019999999999998</v>
      </c>
      <c r="K15" s="6">
        <v>3</v>
      </c>
      <c r="L15" s="7">
        <v>0</v>
      </c>
      <c r="M15" s="8">
        <f t="shared" si="3"/>
        <v>0</v>
      </c>
      <c r="N15" s="6"/>
      <c r="O15" s="7"/>
      <c r="P15" s="8">
        <f t="shared" si="4"/>
        <v>0</v>
      </c>
      <c r="Q15" s="1"/>
      <c r="R15" s="6">
        <f t="shared" si="5"/>
        <v>14</v>
      </c>
      <c r="S15" s="9">
        <f t="shared" si="6"/>
        <v>0.14299999999999999</v>
      </c>
      <c r="T15" s="9">
        <f t="shared" si="7"/>
        <v>8.2840236686390539E-2</v>
      </c>
      <c r="U15" s="9">
        <f>R15 / _xlfn.XLOOKUP(A15, Support!A:A, Support!AA:AA)</f>
        <v>2.8112449799196786E-2</v>
      </c>
      <c r="V15" s="1"/>
      <c r="W15" s="1"/>
    </row>
    <row r="16" spans="1:23" x14ac:dyDescent="0.25">
      <c r="A16" s="1" t="s">
        <v>147</v>
      </c>
      <c r="B16" s="6"/>
      <c r="C16" s="7"/>
      <c r="D16" s="8">
        <f t="shared" si="0"/>
        <v>0</v>
      </c>
      <c r="E16" s="6"/>
      <c r="F16" s="7"/>
      <c r="G16" s="8">
        <f t="shared" si="1"/>
        <v>0</v>
      </c>
      <c r="H16" s="6">
        <v>1</v>
      </c>
      <c r="I16" s="7">
        <v>0</v>
      </c>
      <c r="J16" s="8">
        <f t="shared" si="2"/>
        <v>0</v>
      </c>
      <c r="K16" s="6"/>
      <c r="L16" s="7"/>
      <c r="M16" s="8">
        <f t="shared" si="3"/>
        <v>0</v>
      </c>
      <c r="N16" s="6"/>
      <c r="O16" s="7"/>
      <c r="P16" s="8">
        <f t="shared" si="4"/>
        <v>0</v>
      </c>
      <c r="Q16" s="1"/>
      <c r="R16" s="6">
        <f t="shared" si="5"/>
        <v>1</v>
      </c>
      <c r="S16" s="9">
        <f t="shared" si="6"/>
        <v>0</v>
      </c>
      <c r="T16" s="9">
        <f t="shared" si="7"/>
        <v>5.9171597633136093E-3</v>
      </c>
      <c r="U16" s="9">
        <f>R16 / _xlfn.XLOOKUP(A16, Support!A:A, Support!AA:AA)</f>
        <v>1.2345679012345678E-2</v>
      </c>
      <c r="V16" s="1"/>
      <c r="W16" s="1"/>
    </row>
    <row r="17" spans="1:23" x14ac:dyDescent="0.25">
      <c r="A17" s="1" t="s">
        <v>181</v>
      </c>
      <c r="B17" s="6"/>
      <c r="C17" s="7"/>
      <c r="D17" s="8">
        <f t="shared" si="0"/>
        <v>0</v>
      </c>
      <c r="E17" s="6"/>
      <c r="F17" s="7"/>
      <c r="G17" s="8">
        <f t="shared" si="1"/>
        <v>0</v>
      </c>
      <c r="H17" s="6"/>
      <c r="I17" s="7"/>
      <c r="J17" s="8">
        <f t="shared" si="2"/>
        <v>0</v>
      </c>
      <c r="K17" s="6">
        <v>1</v>
      </c>
      <c r="L17" s="7">
        <v>0</v>
      </c>
      <c r="M17" s="8">
        <f t="shared" si="3"/>
        <v>0</v>
      </c>
      <c r="N17" s="6"/>
      <c r="O17" s="7"/>
      <c r="P17" s="8">
        <f t="shared" si="4"/>
        <v>0</v>
      </c>
      <c r="Q17" s="1"/>
      <c r="R17" s="6">
        <f t="shared" si="5"/>
        <v>1</v>
      </c>
      <c r="S17" s="9">
        <f t="shared" si="6"/>
        <v>0</v>
      </c>
      <c r="T17" s="9">
        <f t="shared" si="7"/>
        <v>5.9171597633136093E-3</v>
      </c>
      <c r="U17" s="9">
        <f>R17 / _xlfn.XLOOKUP(A17, Support!A:A, Support!AA:AA)</f>
        <v>9.2592592592592587E-3</v>
      </c>
      <c r="V17" s="1"/>
      <c r="W17" s="1"/>
    </row>
    <row r="18" spans="1:23" x14ac:dyDescent="0.25">
      <c r="A18" s="1" t="s">
        <v>29</v>
      </c>
      <c r="B18" s="6"/>
      <c r="C18" s="7"/>
      <c r="D18" s="8">
        <f t="shared" si="0"/>
        <v>0</v>
      </c>
      <c r="E18" s="6"/>
      <c r="F18" s="7"/>
      <c r="G18" s="8">
        <f t="shared" si="1"/>
        <v>0</v>
      </c>
      <c r="H18" s="6"/>
      <c r="I18" s="7"/>
      <c r="J18" s="8">
        <f t="shared" si="2"/>
        <v>0</v>
      </c>
      <c r="K18" s="6">
        <v>1</v>
      </c>
      <c r="L18" s="7">
        <v>0</v>
      </c>
      <c r="M18" s="8">
        <f t="shared" si="3"/>
        <v>0</v>
      </c>
      <c r="N18" s="6"/>
      <c r="O18" s="7"/>
      <c r="P18" s="8">
        <f t="shared" si="4"/>
        <v>0</v>
      </c>
      <c r="Q18" s="1"/>
      <c r="R18" s="6">
        <f t="shared" si="5"/>
        <v>1</v>
      </c>
      <c r="S18" s="9">
        <f t="shared" si="6"/>
        <v>0</v>
      </c>
      <c r="T18" s="9">
        <f t="shared" si="7"/>
        <v>5.9171597633136093E-3</v>
      </c>
      <c r="U18" s="9">
        <f>R18 / _xlfn.XLOOKUP(A18, Support!A:A, Support!AA:AA)</f>
        <v>5.0000000000000001E-3</v>
      </c>
      <c r="V18" s="1"/>
      <c r="W18" s="1"/>
    </row>
    <row r="19" spans="1:23" x14ac:dyDescent="0.25">
      <c r="A19" s="1" t="s">
        <v>173</v>
      </c>
      <c r="B19" s="6"/>
      <c r="C19" s="7"/>
      <c r="D19" s="8">
        <f t="shared" si="0"/>
        <v>0</v>
      </c>
      <c r="E19" s="6"/>
      <c r="F19" s="7"/>
      <c r="G19" s="8">
        <f t="shared" si="1"/>
        <v>0</v>
      </c>
      <c r="H19" s="6">
        <v>1</v>
      </c>
      <c r="I19" s="7">
        <v>0</v>
      </c>
      <c r="J19" s="8">
        <f t="shared" si="2"/>
        <v>0</v>
      </c>
      <c r="K19" s="6"/>
      <c r="L19" s="7"/>
      <c r="M19" s="8">
        <f t="shared" si="3"/>
        <v>0</v>
      </c>
      <c r="N19" s="6"/>
      <c r="O19" s="7"/>
      <c r="P19" s="8">
        <f t="shared" si="4"/>
        <v>0</v>
      </c>
      <c r="Q19" s="1"/>
      <c r="R19" s="6">
        <f t="shared" si="5"/>
        <v>1</v>
      </c>
      <c r="S19" s="9">
        <f t="shared" si="6"/>
        <v>0</v>
      </c>
      <c r="T19" s="9">
        <f t="shared" si="7"/>
        <v>5.9171597633136093E-3</v>
      </c>
      <c r="U19" s="9">
        <f>R19 / _xlfn.XLOOKUP(A19, Support!A:A, Support!AA:AA)</f>
        <v>3.246753246753247E-3</v>
      </c>
      <c r="V19" s="1"/>
      <c r="W19" s="1"/>
    </row>
    <row r="20" spans="1:23" x14ac:dyDescent="0.25">
      <c r="A20" s="1" t="s">
        <v>186</v>
      </c>
      <c r="B20" s="6"/>
      <c r="C20" s="7"/>
      <c r="D20" s="8">
        <f t="shared" si="0"/>
        <v>0</v>
      </c>
      <c r="E20" s="6"/>
      <c r="F20" s="7"/>
      <c r="G20" s="8">
        <f t="shared" si="1"/>
        <v>0</v>
      </c>
      <c r="H20" s="6">
        <v>1</v>
      </c>
      <c r="I20" s="7">
        <v>0</v>
      </c>
      <c r="J20" s="8">
        <f t="shared" si="2"/>
        <v>0</v>
      </c>
      <c r="K20" s="6"/>
      <c r="L20" s="7"/>
      <c r="M20" s="8">
        <f t="shared" si="3"/>
        <v>0</v>
      </c>
      <c r="N20" s="6"/>
      <c r="O20" s="7"/>
      <c r="P20" s="8">
        <f t="shared" si="4"/>
        <v>0</v>
      </c>
      <c r="Q20" s="1"/>
      <c r="R20" s="6">
        <f t="shared" si="5"/>
        <v>1</v>
      </c>
      <c r="S20" s="9">
        <f t="shared" si="6"/>
        <v>0</v>
      </c>
      <c r="T20" s="9">
        <f t="shared" si="7"/>
        <v>5.9171597633136093E-3</v>
      </c>
      <c r="U20" s="9">
        <f>R20 / _xlfn.XLOOKUP(A20, Support!A:A, Support!AA:AA)</f>
        <v>9.433962264150943E-3</v>
      </c>
      <c r="V20" s="1"/>
      <c r="W20" s="1"/>
    </row>
    <row r="21" spans="1:23" x14ac:dyDescent="0.25">
      <c r="A21" s="1" t="s">
        <v>172</v>
      </c>
      <c r="B21" s="6"/>
      <c r="C21" s="7"/>
      <c r="D21" s="8">
        <f t="shared" si="0"/>
        <v>0</v>
      </c>
      <c r="E21" s="6"/>
      <c r="F21" s="7"/>
      <c r="G21" s="8">
        <f t="shared" si="1"/>
        <v>0</v>
      </c>
      <c r="H21" s="6">
        <v>1</v>
      </c>
      <c r="I21" s="7">
        <v>0</v>
      </c>
      <c r="J21" s="8">
        <f t="shared" si="2"/>
        <v>0</v>
      </c>
      <c r="K21" s="6">
        <v>1</v>
      </c>
      <c r="L21" s="7">
        <v>0</v>
      </c>
      <c r="M21" s="8">
        <f t="shared" si="3"/>
        <v>0</v>
      </c>
      <c r="N21" s="6"/>
      <c r="O21" s="7"/>
      <c r="P21" s="8">
        <f t="shared" si="4"/>
        <v>0</v>
      </c>
      <c r="Q21" s="4"/>
      <c r="R21" s="6">
        <f t="shared" si="5"/>
        <v>2</v>
      </c>
      <c r="S21" s="9">
        <f t="shared" si="6"/>
        <v>0</v>
      </c>
      <c r="T21" s="9">
        <f t="shared" si="7"/>
        <v>1.1834319526627219E-2</v>
      </c>
      <c r="U21" s="9">
        <f>R21 / _xlfn.XLOOKUP(A21, Support!A:A, Support!AA:AA)</f>
        <v>7.3800738007380072E-3</v>
      </c>
      <c r="V21" s="1"/>
      <c r="W21" s="1"/>
    </row>
    <row r="22" spans="1:23" x14ac:dyDescent="0.25">
      <c r="A22" s="1" t="s">
        <v>14</v>
      </c>
      <c r="B22" s="6"/>
      <c r="C22" s="7"/>
      <c r="D22" s="8">
        <f t="shared" si="0"/>
        <v>0</v>
      </c>
      <c r="E22" s="6"/>
      <c r="F22" s="7"/>
      <c r="G22" s="8">
        <f t="shared" si="1"/>
        <v>0</v>
      </c>
      <c r="H22" s="6">
        <v>1</v>
      </c>
      <c r="I22" s="7">
        <v>0</v>
      </c>
      <c r="J22" s="8">
        <f t="shared" si="2"/>
        <v>0</v>
      </c>
      <c r="K22" s="6"/>
      <c r="L22" s="7"/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1</v>
      </c>
      <c r="S22" s="9">
        <f t="shared" si="6"/>
        <v>0</v>
      </c>
      <c r="T22" s="9">
        <f t="shared" si="7"/>
        <v>5.9171597633136093E-3</v>
      </c>
      <c r="U22" s="9">
        <f>R22 / _xlfn.XLOOKUP(A22, Support!A:A, Support!AA:AA)</f>
        <v>3.8461538461538464E-2</v>
      </c>
      <c r="V22" s="1"/>
      <c r="W22" s="1"/>
    </row>
    <row r="23" spans="1:23" x14ac:dyDescent="0.25">
      <c r="A23" s="1" t="s">
        <v>168</v>
      </c>
      <c r="B23" s="6"/>
      <c r="C23" s="7"/>
      <c r="D23" s="8">
        <f t="shared" si="0"/>
        <v>0</v>
      </c>
      <c r="E23" s="6"/>
      <c r="F23" s="7"/>
      <c r="G23" s="8">
        <f t="shared" si="1"/>
        <v>0</v>
      </c>
      <c r="H23" s="6">
        <v>1</v>
      </c>
      <c r="I23" s="7">
        <v>0</v>
      </c>
      <c r="J23" s="8">
        <f t="shared" si="2"/>
        <v>0</v>
      </c>
      <c r="K23" s="6"/>
      <c r="L23" s="7"/>
      <c r="M23" s="8">
        <f t="shared" si="3"/>
        <v>0</v>
      </c>
      <c r="N23" s="6"/>
      <c r="O23" s="7"/>
      <c r="P23" s="8">
        <f t="shared" si="4"/>
        <v>0</v>
      </c>
      <c r="Q23" s="1"/>
      <c r="R23" s="6">
        <f t="shared" si="5"/>
        <v>1</v>
      </c>
      <c r="S23" s="9">
        <f t="shared" si="6"/>
        <v>0</v>
      </c>
      <c r="T23" s="9">
        <f t="shared" si="7"/>
        <v>5.9171597633136093E-3</v>
      </c>
      <c r="U23" s="9">
        <f>R23 / _xlfn.XLOOKUP(A23, Support!A:A, Support!AA:AA)</f>
        <v>5.263157894736842E-3</v>
      </c>
      <c r="V23" s="1"/>
      <c r="W23" s="1"/>
    </row>
    <row r="24" spans="1:23" x14ac:dyDescent="0.25">
      <c r="A24" s="1" t="s">
        <v>170</v>
      </c>
      <c r="B24" s="6"/>
      <c r="C24" s="7"/>
      <c r="D24" s="8">
        <f t="shared" si="0"/>
        <v>0</v>
      </c>
      <c r="E24" s="6"/>
      <c r="F24" s="7"/>
      <c r="G24" s="8">
        <f t="shared" si="1"/>
        <v>0</v>
      </c>
      <c r="H24" s="6">
        <v>2</v>
      </c>
      <c r="I24" s="7">
        <v>0</v>
      </c>
      <c r="J24" s="8">
        <f t="shared" si="2"/>
        <v>0</v>
      </c>
      <c r="K24" s="6"/>
      <c r="L24" s="7"/>
      <c r="M24" s="8">
        <f t="shared" si="3"/>
        <v>0</v>
      </c>
      <c r="N24" s="6"/>
      <c r="O24" s="7"/>
      <c r="P24" s="8">
        <f t="shared" si="4"/>
        <v>0</v>
      </c>
      <c r="Q24" s="1"/>
      <c r="R24" s="6">
        <f t="shared" si="5"/>
        <v>2</v>
      </c>
      <c r="S24" s="9">
        <f t="shared" si="6"/>
        <v>0</v>
      </c>
      <c r="T24" s="9">
        <f t="shared" si="7"/>
        <v>1.1834319526627219E-2</v>
      </c>
      <c r="U24" s="9">
        <f>R24 / _xlfn.XLOOKUP(A24, Support!A:A, Support!AA:AA)</f>
        <v>1.1904761904761904E-2</v>
      </c>
      <c r="V24" s="1"/>
      <c r="W24" s="1"/>
    </row>
    <row r="25" spans="1:23" x14ac:dyDescent="0.25">
      <c r="A25" s="1"/>
      <c r="B25" s="6"/>
      <c r="C25" s="7"/>
      <c r="D25" s="8">
        <f t="shared" ref="D25:D28" si="8">B25*C25</f>
        <v>0</v>
      </c>
      <c r="E25" s="6"/>
      <c r="F25" s="7"/>
      <c r="G25" s="8">
        <f t="shared" ref="G25:G28" si="9">E25*F25</f>
        <v>0</v>
      </c>
      <c r="H25" s="6"/>
      <c r="I25" s="7"/>
      <c r="J25" s="8">
        <f t="shared" ref="J25:J28" si="10">H25*I25</f>
        <v>0</v>
      </c>
      <c r="K25" s="6"/>
      <c r="L25" s="7"/>
      <c r="M25" s="8">
        <f t="shared" ref="M25:M28" si="11">K25*L25</f>
        <v>0</v>
      </c>
      <c r="N25" s="6"/>
      <c r="O25" s="7"/>
      <c r="P25" s="8">
        <f t="shared" ref="P25:P44" si="12">N25*O25</f>
        <v>0</v>
      </c>
      <c r="Q25" s="1"/>
      <c r="R25" s="6">
        <f t="shared" ref="R25:R44" si="13">B25+E25+H25+K25+N25</f>
        <v>0</v>
      </c>
      <c r="S25" s="9" t="e">
        <f t="shared" ref="S25:S44" si="14">(D25+G25+J25+M25+P25)/R25</f>
        <v>#DIV/0!</v>
      </c>
      <c r="T25" s="9">
        <f t="shared" si="7"/>
        <v>0</v>
      </c>
      <c r="U25" s="9" t="e">
        <f>R25 / _xlfn.XLOOKUP(A25, Support!A:A, Support!AA:AA)</f>
        <v>#DIV/0!</v>
      </c>
      <c r="V25" s="1"/>
      <c r="W25" s="1"/>
    </row>
    <row r="26" spans="1:23" x14ac:dyDescent="0.25">
      <c r="A26" s="1"/>
      <c r="B26" s="6"/>
      <c r="C26" s="7"/>
      <c r="D26" s="8">
        <f t="shared" si="8"/>
        <v>0</v>
      </c>
      <c r="E26" s="6"/>
      <c r="F26" s="7"/>
      <c r="G26" s="8">
        <f t="shared" si="9"/>
        <v>0</v>
      </c>
      <c r="H26" s="6"/>
      <c r="I26" s="7"/>
      <c r="J26" s="8">
        <f t="shared" si="10"/>
        <v>0</v>
      </c>
      <c r="K26" s="6"/>
      <c r="L26" s="7"/>
      <c r="M26" s="8">
        <f t="shared" si="11"/>
        <v>0</v>
      </c>
      <c r="N26" s="6"/>
      <c r="O26" s="7"/>
      <c r="P26" s="8">
        <f t="shared" si="12"/>
        <v>0</v>
      </c>
      <c r="Q26" s="1"/>
      <c r="R26" s="6">
        <f t="shared" si="13"/>
        <v>0</v>
      </c>
      <c r="S26" s="9" t="e">
        <f t="shared" si="14"/>
        <v>#DIV/0!</v>
      </c>
      <c r="T26" s="9">
        <f t="shared" si="7"/>
        <v>0</v>
      </c>
      <c r="U26" s="9" t="e">
        <f>R26 / _xlfn.XLOOKUP(A26, Support!A:A, Support!AA:AA)</f>
        <v>#DIV/0!</v>
      </c>
      <c r="V26" s="1"/>
      <c r="W26" s="1"/>
    </row>
    <row r="27" spans="1:23" x14ac:dyDescent="0.25">
      <c r="A27" s="1"/>
      <c r="B27" s="6"/>
      <c r="C27" s="7"/>
      <c r="D27" s="8">
        <f t="shared" si="8"/>
        <v>0</v>
      </c>
      <c r="E27" s="6"/>
      <c r="F27" s="7"/>
      <c r="G27" s="8">
        <f t="shared" si="9"/>
        <v>0</v>
      </c>
      <c r="H27" s="6"/>
      <c r="I27" s="7"/>
      <c r="J27" s="8">
        <f t="shared" si="10"/>
        <v>0</v>
      </c>
      <c r="K27" s="6"/>
      <c r="L27" s="7"/>
      <c r="M27" s="8">
        <f t="shared" si="11"/>
        <v>0</v>
      </c>
      <c r="N27" s="6"/>
      <c r="O27" s="7"/>
      <c r="P27" s="8">
        <f t="shared" si="12"/>
        <v>0</v>
      </c>
      <c r="Q27" s="1"/>
      <c r="R27" s="6">
        <f t="shared" si="13"/>
        <v>0</v>
      </c>
      <c r="S27" s="9" t="e">
        <f t="shared" si="14"/>
        <v>#DIV/0!</v>
      </c>
      <c r="T27" s="9">
        <f t="shared" si="7"/>
        <v>0</v>
      </c>
      <c r="U27" s="9" t="e">
        <f>R27 / _xlfn.XLOOKUP(A27, Support!A:A, Support!AA:AA)</f>
        <v>#DIV/0!</v>
      </c>
      <c r="V27" s="1"/>
      <c r="W27" s="1"/>
    </row>
    <row r="28" spans="1:23" x14ac:dyDescent="0.25">
      <c r="A28" s="1"/>
      <c r="B28" s="6"/>
      <c r="C28" s="7"/>
      <c r="D28" s="8">
        <f t="shared" si="8"/>
        <v>0</v>
      </c>
      <c r="E28" s="6"/>
      <c r="F28" s="7"/>
      <c r="G28" s="8">
        <f t="shared" si="9"/>
        <v>0</v>
      </c>
      <c r="H28" s="6"/>
      <c r="I28" s="7"/>
      <c r="J28" s="8">
        <f t="shared" si="10"/>
        <v>0</v>
      </c>
      <c r="K28" s="6"/>
      <c r="L28" s="7"/>
      <c r="M28" s="8">
        <f t="shared" si="11"/>
        <v>0</v>
      </c>
      <c r="N28" s="6"/>
      <c r="O28" s="7"/>
      <c r="P28" s="8">
        <f t="shared" si="12"/>
        <v>0</v>
      </c>
      <c r="Q28" s="1"/>
      <c r="R28" s="6">
        <f t="shared" si="13"/>
        <v>0</v>
      </c>
      <c r="S28" s="9" t="e">
        <f t="shared" si="14"/>
        <v>#DIV/0!</v>
      </c>
      <c r="T28" s="9">
        <f t="shared" si="7"/>
        <v>0</v>
      </c>
      <c r="U28" s="9" t="e">
        <f>R28 / _xlfn.XLOOKUP(A28, Support!A:A, Support!AA:AA)</f>
        <v>#DIV/0!</v>
      </c>
    </row>
    <row r="29" spans="1:23" x14ac:dyDescent="0.25">
      <c r="N29" s="6"/>
      <c r="O29" s="7"/>
      <c r="P29" s="8">
        <f t="shared" si="12"/>
        <v>0</v>
      </c>
      <c r="Q29" s="1"/>
      <c r="R29" s="6">
        <f t="shared" si="13"/>
        <v>0</v>
      </c>
      <c r="S29" s="9" t="e">
        <f t="shared" si="14"/>
        <v>#DIV/0!</v>
      </c>
      <c r="T29" s="9">
        <f t="shared" si="7"/>
        <v>0</v>
      </c>
      <c r="U29" s="9" t="e">
        <f>R29 / _xlfn.XLOOKUP(A29, Support!A:A, Support!AA:AA)</f>
        <v>#DIV/0!</v>
      </c>
    </row>
    <row r="30" spans="1:23" x14ac:dyDescent="0.25">
      <c r="N30" s="6"/>
      <c r="O30" s="7"/>
      <c r="P30" s="8">
        <f t="shared" si="12"/>
        <v>0</v>
      </c>
      <c r="Q30" s="1"/>
      <c r="R30" s="6">
        <f t="shared" si="13"/>
        <v>0</v>
      </c>
      <c r="S30" s="9" t="e">
        <f t="shared" si="14"/>
        <v>#DIV/0!</v>
      </c>
      <c r="T30" s="9">
        <f t="shared" si="7"/>
        <v>0</v>
      </c>
      <c r="U30" s="9" t="e">
        <f>R30 / _xlfn.XLOOKUP(A30, Support!A:A, Support!AA:AA)</f>
        <v>#DIV/0!</v>
      </c>
    </row>
    <row r="31" spans="1:23" x14ac:dyDescent="0.25">
      <c r="N31" s="6"/>
      <c r="O31" s="7"/>
      <c r="P31" s="8">
        <f t="shared" si="12"/>
        <v>0</v>
      </c>
      <c r="Q31" s="1"/>
      <c r="R31" s="6">
        <f t="shared" si="13"/>
        <v>0</v>
      </c>
      <c r="S31" s="9" t="e">
        <f t="shared" si="14"/>
        <v>#DIV/0!</v>
      </c>
      <c r="T31" s="9">
        <f t="shared" si="7"/>
        <v>0</v>
      </c>
      <c r="U31" s="9" t="e">
        <f>R31 / _xlfn.XLOOKUP(A31, Support!A:A, Support!AA:AA)</f>
        <v>#DIV/0!</v>
      </c>
    </row>
    <row r="32" spans="1:23" x14ac:dyDescent="0.25">
      <c r="N32" s="6"/>
      <c r="O32" s="7"/>
      <c r="P32" s="8">
        <f t="shared" si="12"/>
        <v>0</v>
      </c>
      <c r="Q32" s="1"/>
      <c r="R32" s="6">
        <f t="shared" si="13"/>
        <v>0</v>
      </c>
      <c r="S32" s="9" t="e">
        <f t="shared" si="14"/>
        <v>#DIV/0!</v>
      </c>
      <c r="T32" s="9">
        <f t="shared" si="7"/>
        <v>0</v>
      </c>
      <c r="U32" s="9" t="e">
        <f>R32 / _xlfn.XLOOKUP(A32, Support!A:A, Support!AA:AA)</f>
        <v>#DIV/0!</v>
      </c>
    </row>
    <row r="33" spans="14:21" x14ac:dyDescent="0.25">
      <c r="N33" s="6"/>
      <c r="O33" s="7"/>
      <c r="P33" s="8">
        <f t="shared" si="12"/>
        <v>0</v>
      </c>
      <c r="Q33" s="1"/>
      <c r="R33" s="6">
        <f t="shared" si="13"/>
        <v>0</v>
      </c>
      <c r="S33" s="9" t="e">
        <f t="shared" si="14"/>
        <v>#DIV/0!</v>
      </c>
      <c r="T33" s="9">
        <f t="shared" si="7"/>
        <v>0</v>
      </c>
      <c r="U33" s="9" t="e">
        <f>R33 / _xlfn.XLOOKUP(A33, Support!A:A, Support!AA:AA)</f>
        <v>#DIV/0!</v>
      </c>
    </row>
    <row r="34" spans="14:21" x14ac:dyDescent="0.25">
      <c r="N34" s="6"/>
      <c r="O34" s="7"/>
      <c r="P34" s="8">
        <f t="shared" si="12"/>
        <v>0</v>
      </c>
      <c r="Q34" s="1"/>
      <c r="R34" s="6">
        <f t="shared" si="13"/>
        <v>0</v>
      </c>
      <c r="S34" s="9" t="e">
        <f t="shared" si="14"/>
        <v>#DIV/0!</v>
      </c>
      <c r="T34" s="9">
        <f t="shared" si="7"/>
        <v>0</v>
      </c>
      <c r="U34" s="9" t="e">
        <f>R34 / _xlfn.XLOOKUP(A34, Support!A:A, Support!AA:AA)</f>
        <v>#DIV/0!</v>
      </c>
    </row>
    <row r="35" spans="14:21" x14ac:dyDescent="0.25">
      <c r="N35" s="6"/>
      <c r="O35" s="7"/>
      <c r="P35" s="8">
        <f t="shared" si="12"/>
        <v>0</v>
      </c>
      <c r="Q35" s="1"/>
      <c r="R35" s="6">
        <f t="shared" si="13"/>
        <v>0</v>
      </c>
      <c r="S35" s="9" t="e">
        <f t="shared" si="14"/>
        <v>#DIV/0!</v>
      </c>
      <c r="T35" s="9">
        <f t="shared" si="7"/>
        <v>0</v>
      </c>
      <c r="U35" s="9" t="e">
        <f>R35 / _xlfn.XLOOKUP(A35, Support!A:A, Support!AA:AA)</f>
        <v>#DIV/0!</v>
      </c>
    </row>
    <row r="36" spans="14:21" x14ac:dyDescent="0.25">
      <c r="N36" s="6"/>
      <c r="O36" s="7"/>
      <c r="P36" s="8">
        <f t="shared" si="12"/>
        <v>0</v>
      </c>
      <c r="Q36" s="1"/>
      <c r="R36" s="6">
        <f t="shared" si="13"/>
        <v>0</v>
      </c>
      <c r="S36" s="9" t="e">
        <f t="shared" si="14"/>
        <v>#DIV/0!</v>
      </c>
      <c r="T36" s="9">
        <f t="shared" si="7"/>
        <v>0</v>
      </c>
      <c r="U36" s="9" t="e">
        <f>R36 / _xlfn.XLOOKUP(A36, Support!A:A, Support!AA:AA)</f>
        <v>#DIV/0!</v>
      </c>
    </row>
    <row r="37" spans="14:21" x14ac:dyDescent="0.25">
      <c r="N37" s="6"/>
      <c r="O37" s="7"/>
      <c r="P37" s="8">
        <f t="shared" si="12"/>
        <v>0</v>
      </c>
      <c r="Q37" s="1"/>
      <c r="R37" s="6">
        <f t="shared" si="13"/>
        <v>0</v>
      </c>
      <c r="S37" s="9" t="e">
        <f t="shared" si="14"/>
        <v>#DIV/0!</v>
      </c>
      <c r="T37" s="9">
        <f t="shared" si="7"/>
        <v>0</v>
      </c>
      <c r="U37" s="9" t="e">
        <f>R37 / _xlfn.XLOOKUP(A37, Support!A:A, Support!AA:AA)</f>
        <v>#DIV/0!</v>
      </c>
    </row>
    <row r="38" spans="14:21" x14ac:dyDescent="0.25">
      <c r="N38" s="6"/>
      <c r="O38" s="7"/>
      <c r="P38" s="8">
        <f t="shared" si="12"/>
        <v>0</v>
      </c>
      <c r="Q38" s="1"/>
      <c r="R38" s="6">
        <f t="shared" si="13"/>
        <v>0</v>
      </c>
      <c r="S38" s="9" t="e">
        <f t="shared" si="14"/>
        <v>#DIV/0!</v>
      </c>
      <c r="T38" s="9">
        <f t="shared" si="7"/>
        <v>0</v>
      </c>
      <c r="U38" s="9" t="e">
        <f>R38 / _xlfn.XLOOKUP(A38, Support!A:A, Support!AA:AA)</f>
        <v>#DIV/0!</v>
      </c>
    </row>
    <row r="39" spans="14:21" x14ac:dyDescent="0.25">
      <c r="N39" s="6"/>
      <c r="O39" s="7"/>
      <c r="P39" s="8">
        <f t="shared" si="12"/>
        <v>0</v>
      </c>
      <c r="Q39" s="1"/>
      <c r="R39" s="6">
        <f t="shared" si="13"/>
        <v>0</v>
      </c>
      <c r="S39" s="9" t="e">
        <f t="shared" si="14"/>
        <v>#DIV/0!</v>
      </c>
      <c r="T39" s="9">
        <f t="shared" si="7"/>
        <v>0</v>
      </c>
      <c r="U39" s="9" t="e">
        <f>R39 / _xlfn.XLOOKUP(A39, Support!A:A, Support!AA:AA)</f>
        <v>#DIV/0!</v>
      </c>
    </row>
    <row r="40" spans="14:21" x14ac:dyDescent="0.25">
      <c r="N40" s="6"/>
      <c r="O40" s="7"/>
      <c r="P40" s="8">
        <f t="shared" si="12"/>
        <v>0</v>
      </c>
      <c r="Q40" s="1"/>
      <c r="R40" s="6">
        <f t="shared" si="13"/>
        <v>0</v>
      </c>
      <c r="S40" s="9" t="e">
        <f t="shared" si="14"/>
        <v>#DIV/0!</v>
      </c>
      <c r="T40" s="9">
        <f t="shared" si="7"/>
        <v>0</v>
      </c>
      <c r="U40" s="9" t="e">
        <f>R40 / _xlfn.XLOOKUP(A40, Support!A:A, Support!AA:AA)</f>
        <v>#DIV/0!</v>
      </c>
    </row>
    <row r="41" spans="14:21" x14ac:dyDescent="0.25">
      <c r="N41" s="6"/>
      <c r="O41" s="7"/>
      <c r="P41" s="8">
        <f t="shared" si="12"/>
        <v>0</v>
      </c>
      <c r="Q41" s="1"/>
      <c r="R41" s="6">
        <f t="shared" si="13"/>
        <v>0</v>
      </c>
      <c r="S41" s="9" t="e">
        <f t="shared" si="14"/>
        <v>#DIV/0!</v>
      </c>
      <c r="T41" s="9">
        <f t="shared" si="7"/>
        <v>0</v>
      </c>
      <c r="U41" s="9" t="e">
        <f>R41 / _xlfn.XLOOKUP(A41, Support!A:A, Support!AA:AA)</f>
        <v>#DIV/0!</v>
      </c>
    </row>
    <row r="42" spans="14:21" x14ac:dyDescent="0.25">
      <c r="N42" s="6"/>
      <c r="O42" s="7"/>
      <c r="P42" s="8">
        <f t="shared" si="12"/>
        <v>0</v>
      </c>
      <c r="Q42" s="1"/>
      <c r="R42" s="6">
        <f t="shared" si="13"/>
        <v>0</v>
      </c>
      <c r="S42" s="9" t="e">
        <f t="shared" si="14"/>
        <v>#DIV/0!</v>
      </c>
      <c r="T42" s="9">
        <f t="shared" si="7"/>
        <v>0</v>
      </c>
      <c r="U42" s="9" t="e">
        <f>R42 / _xlfn.XLOOKUP(A42, Support!A:A, Support!AA:AA)</f>
        <v>#DIV/0!</v>
      </c>
    </row>
    <row r="43" spans="14:21" x14ac:dyDescent="0.25">
      <c r="N43" s="6"/>
      <c r="O43" s="7"/>
      <c r="P43" s="8">
        <f t="shared" si="12"/>
        <v>0</v>
      </c>
      <c r="Q43" s="1"/>
      <c r="R43" s="6">
        <f t="shared" si="13"/>
        <v>0</v>
      </c>
      <c r="S43" s="9" t="e">
        <f t="shared" si="14"/>
        <v>#DIV/0!</v>
      </c>
      <c r="T43" s="9">
        <f t="shared" si="7"/>
        <v>0</v>
      </c>
      <c r="U43" s="9" t="e">
        <f>R43 / _xlfn.XLOOKUP(A43, Support!A:A, Support!AA:AA)</f>
        <v>#DIV/0!</v>
      </c>
    </row>
    <row r="44" spans="14:21" x14ac:dyDescent="0.25">
      <c r="N44" s="6"/>
      <c r="O44" s="7"/>
      <c r="P44" s="8">
        <f t="shared" si="12"/>
        <v>0</v>
      </c>
      <c r="Q44" s="1"/>
      <c r="R44" s="6">
        <f t="shared" si="13"/>
        <v>0</v>
      </c>
      <c r="S44" s="9" t="e">
        <f t="shared" si="14"/>
        <v>#DIV/0!</v>
      </c>
      <c r="T44" s="9">
        <f t="shared" si="7"/>
        <v>0</v>
      </c>
      <c r="U44" s="9" t="e">
        <f>R44 / _xlfn.XLOOKUP(A44, Support!A:A, Support!AA:AA)</f>
        <v>#DIV/0!</v>
      </c>
    </row>
  </sheetData>
  <sortState xmlns:xlrd2="http://schemas.microsoft.com/office/spreadsheetml/2017/richdata2" ref="A3:U24">
    <sortCondition descending="1" ref="S3:S24"/>
  </sortState>
  <pageMargins left="0.7" right="0.7" top="0.78740157499999996" bottom="0.78740157499999996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CEEE9-93C2-48D8-B65B-00992DA1C60D}">
  <sheetPr>
    <tabColor theme="9" tint="0.59999389629810485"/>
  </sheetPr>
  <dimension ref="A1:W60"/>
  <sheetViews>
    <sheetView topLeftCell="A22" workbookViewId="0">
      <selection activeCell="U3" sqref="U3:U57"/>
    </sheetView>
  </sheetViews>
  <sheetFormatPr baseColWidth="10" defaultRowHeight="15" x14ac:dyDescent="0.25"/>
  <sheetData>
    <row r="1" spans="1:23" ht="15.75" x14ac:dyDescent="0.25">
      <c r="A1" s="2" t="s">
        <v>167</v>
      </c>
      <c r="B1" s="3">
        <v>2022</v>
      </c>
      <c r="C1" s="3"/>
      <c r="D1" s="3"/>
      <c r="E1" s="3">
        <v>2023</v>
      </c>
      <c r="F1" s="3"/>
      <c r="G1" s="3"/>
      <c r="H1" s="3">
        <v>2024</v>
      </c>
      <c r="I1" s="1"/>
      <c r="J1" s="1"/>
      <c r="K1" s="3">
        <v>2025</v>
      </c>
      <c r="L1" s="1"/>
      <c r="M1" s="1"/>
      <c r="N1" s="3">
        <v>2026</v>
      </c>
      <c r="O1" s="1"/>
      <c r="P1" s="1"/>
      <c r="Q1" s="1"/>
      <c r="R1" s="4" t="s">
        <v>1</v>
      </c>
      <c r="S1" s="1"/>
      <c r="T1" s="1"/>
      <c r="U1" s="1"/>
      <c r="V1" s="4" t="s">
        <v>2</v>
      </c>
      <c r="W1" s="1"/>
    </row>
    <row r="2" spans="1:23" x14ac:dyDescent="0.25">
      <c r="A2" s="4" t="s">
        <v>3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  <c r="K2" s="5" t="s">
        <v>4</v>
      </c>
      <c r="L2" s="5" t="s">
        <v>5</v>
      </c>
      <c r="M2" s="5" t="s">
        <v>6</v>
      </c>
      <c r="N2" s="5" t="s">
        <v>4</v>
      </c>
      <c r="O2" s="5" t="s">
        <v>5</v>
      </c>
      <c r="P2" s="5" t="s">
        <v>6</v>
      </c>
      <c r="Q2" s="1"/>
      <c r="R2" s="5" t="s">
        <v>4</v>
      </c>
      <c r="S2" s="5" t="s">
        <v>5</v>
      </c>
      <c r="T2" s="5" t="s">
        <v>229</v>
      </c>
      <c r="U2" s="5" t="s">
        <v>242</v>
      </c>
      <c r="V2" s="5" t="s">
        <v>4</v>
      </c>
      <c r="W2" s="5" t="s">
        <v>5</v>
      </c>
    </row>
    <row r="3" spans="1:23" x14ac:dyDescent="0.25">
      <c r="A3" s="1" t="s">
        <v>14</v>
      </c>
      <c r="B3" s="6"/>
      <c r="C3" s="7"/>
      <c r="D3" s="8">
        <f t="shared" ref="D3:D34" si="0">B3*C3</f>
        <v>0</v>
      </c>
      <c r="E3" s="6"/>
      <c r="F3" s="7"/>
      <c r="G3" s="8">
        <f t="shared" ref="G3:G34" si="1">E3*F3</f>
        <v>0</v>
      </c>
      <c r="H3" s="6">
        <v>8</v>
      </c>
      <c r="I3" s="7">
        <v>1</v>
      </c>
      <c r="J3" s="8">
        <f t="shared" ref="J3:J34" si="2">H3*I3</f>
        <v>8</v>
      </c>
      <c r="K3" s="6"/>
      <c r="L3" s="7"/>
      <c r="M3" s="8">
        <f t="shared" ref="M3:M34" si="3">K3*L3</f>
        <v>0</v>
      </c>
      <c r="N3" s="6"/>
      <c r="O3" s="7"/>
      <c r="P3" s="8">
        <f t="shared" ref="P3:P34" si="4">N3*O3</f>
        <v>0</v>
      </c>
      <c r="Q3" s="1"/>
      <c r="R3" s="6">
        <f t="shared" ref="R3:R34" si="5">B3+E3+H3+K3+N3</f>
        <v>8</v>
      </c>
      <c r="S3" s="9">
        <f t="shared" ref="S3:S34" si="6">(D3+G3+J3+M3+P3)/R3</f>
        <v>1</v>
      </c>
      <c r="T3" s="9">
        <f t="shared" ref="T3:T34" si="7">R3/$V$3</f>
        <v>1.2861736334405145E-2</v>
      </c>
      <c r="U3" s="9">
        <f>R3 / _xlfn.XLOOKUP(A3, Support!A:A, Support!AA:AA)</f>
        <v>0.30769230769230771</v>
      </c>
      <c r="V3" s="11">
        <f>SUM(R3:R70)</f>
        <v>622</v>
      </c>
      <c r="W3" s="12">
        <f>(SUM(D3:D100)+SUM(G3:G100)+SUM(J3:J100)+SUM(M3:M100)+SUM(P3:P100)) / V3</f>
        <v>0.65918488745980697</v>
      </c>
    </row>
    <row r="4" spans="1:23" x14ac:dyDescent="0.25">
      <c r="A4" s="1" t="s">
        <v>149</v>
      </c>
      <c r="B4" s="6"/>
      <c r="C4" s="7"/>
      <c r="D4" s="8">
        <f t="shared" si="0"/>
        <v>0</v>
      </c>
      <c r="E4" s="6">
        <v>3</v>
      </c>
      <c r="F4" s="7">
        <v>1</v>
      </c>
      <c r="G4" s="8">
        <f t="shared" si="1"/>
        <v>3</v>
      </c>
      <c r="H4" s="6">
        <v>3</v>
      </c>
      <c r="I4" s="7">
        <v>1</v>
      </c>
      <c r="J4" s="8">
        <f t="shared" si="2"/>
        <v>3</v>
      </c>
      <c r="K4" s="6"/>
      <c r="L4" s="7"/>
      <c r="M4" s="8">
        <f t="shared" si="3"/>
        <v>0</v>
      </c>
      <c r="N4" s="6"/>
      <c r="O4" s="7"/>
      <c r="P4" s="8">
        <f t="shared" si="4"/>
        <v>0</v>
      </c>
      <c r="Q4" s="1"/>
      <c r="R4" s="6">
        <f t="shared" si="5"/>
        <v>6</v>
      </c>
      <c r="S4" s="9">
        <f t="shared" si="6"/>
        <v>1</v>
      </c>
      <c r="T4" s="9">
        <f t="shared" si="7"/>
        <v>9.6463022508038593E-3</v>
      </c>
      <c r="U4" s="9">
        <f>R4 / _xlfn.XLOOKUP(A4, Support!A:A, Support!AA:AA)</f>
        <v>0.54545454545454541</v>
      </c>
      <c r="V4" s="6"/>
      <c r="W4" s="9"/>
    </row>
    <row r="5" spans="1:23" x14ac:dyDescent="0.25">
      <c r="A5" s="1" t="s">
        <v>10</v>
      </c>
      <c r="B5" s="6">
        <v>3</v>
      </c>
      <c r="C5" s="7">
        <v>1</v>
      </c>
      <c r="D5" s="8">
        <f t="shared" si="0"/>
        <v>3</v>
      </c>
      <c r="E5" s="6"/>
      <c r="F5" s="7"/>
      <c r="G5" s="8">
        <f t="shared" si="1"/>
        <v>0</v>
      </c>
      <c r="H5" s="6"/>
      <c r="I5" s="7"/>
      <c r="J5" s="8">
        <f t="shared" si="2"/>
        <v>0</v>
      </c>
      <c r="K5" s="6">
        <v>2</v>
      </c>
      <c r="L5" s="7">
        <v>1</v>
      </c>
      <c r="M5" s="8">
        <f t="shared" si="3"/>
        <v>2</v>
      </c>
      <c r="N5" s="6"/>
      <c r="O5" s="7"/>
      <c r="P5" s="8">
        <f t="shared" si="4"/>
        <v>0</v>
      </c>
      <c r="Q5" s="1"/>
      <c r="R5" s="6">
        <f t="shared" si="5"/>
        <v>5</v>
      </c>
      <c r="S5" s="9">
        <f t="shared" si="6"/>
        <v>1</v>
      </c>
      <c r="T5" s="9">
        <f t="shared" si="7"/>
        <v>8.0385852090032149E-3</v>
      </c>
      <c r="U5" s="9">
        <f>R5 / _xlfn.XLOOKUP(A5, Support!A:A, Support!AA:AA)</f>
        <v>0.27777777777777779</v>
      </c>
      <c r="W5" s="1"/>
    </row>
    <row r="6" spans="1:23" x14ac:dyDescent="0.25">
      <c r="A6" s="1" t="s">
        <v>151</v>
      </c>
      <c r="B6" s="6"/>
      <c r="C6" s="7"/>
      <c r="D6" s="8">
        <f t="shared" si="0"/>
        <v>0</v>
      </c>
      <c r="E6" s="6">
        <v>3</v>
      </c>
      <c r="F6" s="7">
        <v>1</v>
      </c>
      <c r="G6" s="8">
        <f t="shared" si="1"/>
        <v>3</v>
      </c>
      <c r="H6" s="6"/>
      <c r="I6" s="7"/>
      <c r="J6" s="8">
        <f t="shared" si="2"/>
        <v>0</v>
      </c>
      <c r="K6" s="6"/>
      <c r="L6" s="7"/>
      <c r="M6" s="8">
        <f t="shared" si="3"/>
        <v>0</v>
      </c>
      <c r="N6" s="6"/>
      <c r="O6" s="7"/>
      <c r="P6" s="8">
        <f t="shared" si="4"/>
        <v>0</v>
      </c>
      <c r="Q6" s="1"/>
      <c r="R6" s="6">
        <f t="shared" si="5"/>
        <v>3</v>
      </c>
      <c r="S6" s="9">
        <f t="shared" si="6"/>
        <v>1</v>
      </c>
      <c r="T6" s="9">
        <f t="shared" si="7"/>
        <v>4.8231511254019296E-3</v>
      </c>
      <c r="U6" s="9">
        <f>R6 / _xlfn.XLOOKUP(A6, Support!A:A, Support!AA:AA)</f>
        <v>0.33333333333333331</v>
      </c>
      <c r="W6" s="1"/>
    </row>
    <row r="7" spans="1:23" x14ac:dyDescent="0.25">
      <c r="A7" s="1" t="s">
        <v>142</v>
      </c>
      <c r="B7" s="6"/>
      <c r="C7" s="7"/>
      <c r="D7" s="8">
        <f t="shared" si="0"/>
        <v>0</v>
      </c>
      <c r="E7" s="6">
        <v>2</v>
      </c>
      <c r="F7" s="7">
        <v>1</v>
      </c>
      <c r="G7" s="8">
        <f t="shared" si="1"/>
        <v>2</v>
      </c>
      <c r="H7" s="6"/>
      <c r="I7" s="7"/>
      <c r="J7" s="8">
        <f t="shared" si="2"/>
        <v>0</v>
      </c>
      <c r="K7" s="6"/>
      <c r="L7" s="7"/>
      <c r="M7" s="8">
        <f t="shared" si="3"/>
        <v>0</v>
      </c>
      <c r="N7" s="6"/>
      <c r="O7" s="7"/>
      <c r="P7" s="8">
        <f t="shared" si="4"/>
        <v>0</v>
      </c>
      <c r="Q7" s="1"/>
      <c r="R7" s="6">
        <f t="shared" si="5"/>
        <v>2</v>
      </c>
      <c r="S7" s="9">
        <f t="shared" si="6"/>
        <v>1</v>
      </c>
      <c r="T7" s="9">
        <f t="shared" si="7"/>
        <v>3.2154340836012861E-3</v>
      </c>
      <c r="U7" s="9">
        <f>R7 / _xlfn.XLOOKUP(A7, Support!A:A, Support!AA:AA)</f>
        <v>0.4</v>
      </c>
      <c r="V7" s="1"/>
      <c r="W7" s="1"/>
    </row>
    <row r="8" spans="1:23" x14ac:dyDescent="0.25">
      <c r="A8" s="1" t="s">
        <v>113</v>
      </c>
      <c r="B8" s="6"/>
      <c r="C8" s="7"/>
      <c r="D8" s="8">
        <f t="shared" si="0"/>
        <v>0</v>
      </c>
      <c r="E8" s="6">
        <v>1</v>
      </c>
      <c r="F8" s="7">
        <v>1</v>
      </c>
      <c r="G8" s="8">
        <f t="shared" si="1"/>
        <v>1</v>
      </c>
      <c r="H8" s="6"/>
      <c r="I8" s="7"/>
      <c r="J8" s="8">
        <f t="shared" si="2"/>
        <v>0</v>
      </c>
      <c r="K8" s="6"/>
      <c r="L8" s="7"/>
      <c r="M8" s="8">
        <f t="shared" si="3"/>
        <v>0</v>
      </c>
      <c r="N8" s="6"/>
      <c r="O8" s="7"/>
      <c r="P8" s="8">
        <f t="shared" si="4"/>
        <v>0</v>
      </c>
      <c r="Q8" s="1"/>
      <c r="R8" s="6">
        <f t="shared" si="5"/>
        <v>1</v>
      </c>
      <c r="S8" s="9">
        <f t="shared" si="6"/>
        <v>1</v>
      </c>
      <c r="T8" s="9">
        <f t="shared" si="7"/>
        <v>1.6077170418006431E-3</v>
      </c>
      <c r="U8" s="9">
        <f>R8 / _xlfn.XLOOKUP(A8, Support!A:A, Support!AA:AA)</f>
        <v>7.6923076923076927E-2</v>
      </c>
      <c r="V8" s="1"/>
      <c r="W8" s="1"/>
    </row>
    <row r="9" spans="1:23" x14ac:dyDescent="0.25">
      <c r="A9" s="1" t="s">
        <v>134</v>
      </c>
      <c r="B9" s="6"/>
      <c r="C9" s="7"/>
      <c r="D9" s="8">
        <f t="shared" si="0"/>
        <v>0</v>
      </c>
      <c r="E9" s="6"/>
      <c r="F9" s="7"/>
      <c r="G9" s="8">
        <f t="shared" si="1"/>
        <v>0</v>
      </c>
      <c r="H9" s="6">
        <v>1</v>
      </c>
      <c r="I9" s="7">
        <v>1</v>
      </c>
      <c r="J9" s="8">
        <f t="shared" si="2"/>
        <v>1</v>
      </c>
      <c r="K9" s="6"/>
      <c r="L9" s="7"/>
      <c r="M9" s="8">
        <f t="shared" si="3"/>
        <v>0</v>
      </c>
      <c r="N9" s="6"/>
      <c r="O9" s="7"/>
      <c r="P9" s="8">
        <f t="shared" si="4"/>
        <v>0</v>
      </c>
      <c r="Q9" s="1"/>
      <c r="R9" s="6">
        <f t="shared" si="5"/>
        <v>1</v>
      </c>
      <c r="S9" s="9">
        <f t="shared" si="6"/>
        <v>1</v>
      </c>
      <c r="T9" s="9">
        <f t="shared" si="7"/>
        <v>1.6077170418006431E-3</v>
      </c>
      <c r="U9" s="9">
        <f>R9 / _xlfn.XLOOKUP(A9, Support!A:A, Support!AA:AA)</f>
        <v>1</v>
      </c>
      <c r="V9" s="1"/>
      <c r="W9" s="1"/>
    </row>
    <row r="10" spans="1:23" x14ac:dyDescent="0.25">
      <c r="A10" s="1" t="s">
        <v>184</v>
      </c>
      <c r="B10" s="6">
        <v>1</v>
      </c>
      <c r="C10" s="7">
        <v>1</v>
      </c>
      <c r="D10" s="8">
        <f t="shared" si="0"/>
        <v>1</v>
      </c>
      <c r="E10" s="6"/>
      <c r="F10" s="7"/>
      <c r="G10" s="8">
        <f t="shared" si="1"/>
        <v>0</v>
      </c>
      <c r="H10" s="6"/>
      <c r="I10" s="7"/>
      <c r="J10" s="8">
        <f t="shared" si="2"/>
        <v>0</v>
      </c>
      <c r="K10" s="6"/>
      <c r="L10" s="7"/>
      <c r="M10" s="8">
        <f t="shared" si="3"/>
        <v>0</v>
      </c>
      <c r="N10" s="6"/>
      <c r="O10" s="7"/>
      <c r="P10" s="8">
        <f t="shared" si="4"/>
        <v>0</v>
      </c>
      <c r="Q10" s="1"/>
      <c r="R10" s="6">
        <f t="shared" si="5"/>
        <v>1</v>
      </c>
      <c r="S10" s="9">
        <f t="shared" si="6"/>
        <v>1</v>
      </c>
      <c r="T10" s="9">
        <f t="shared" si="7"/>
        <v>1.6077170418006431E-3</v>
      </c>
      <c r="U10" s="9">
        <f>R10 / _xlfn.XLOOKUP(A10, Support!A:A, Support!AA:AA)</f>
        <v>1.8181818181818181E-2</v>
      </c>
      <c r="V10" s="1"/>
      <c r="W10" s="1"/>
    </row>
    <row r="11" spans="1:23" x14ac:dyDescent="0.25">
      <c r="A11" s="1" t="s">
        <v>118</v>
      </c>
      <c r="B11" s="6"/>
      <c r="C11" s="7"/>
      <c r="D11" s="8">
        <f t="shared" si="0"/>
        <v>0</v>
      </c>
      <c r="E11" s="6"/>
      <c r="F11" s="7"/>
      <c r="G11" s="8">
        <f t="shared" si="1"/>
        <v>0</v>
      </c>
      <c r="H11" s="6">
        <v>1</v>
      </c>
      <c r="I11" s="7">
        <v>1</v>
      </c>
      <c r="J11" s="8">
        <f t="shared" si="2"/>
        <v>1</v>
      </c>
      <c r="K11" s="6"/>
      <c r="L11" s="7"/>
      <c r="M11" s="8">
        <f t="shared" si="3"/>
        <v>0</v>
      </c>
      <c r="N11" s="6"/>
      <c r="O11" s="7"/>
      <c r="P11" s="8">
        <f t="shared" si="4"/>
        <v>0</v>
      </c>
      <c r="Q11" s="1"/>
      <c r="R11" s="6">
        <f t="shared" si="5"/>
        <v>1</v>
      </c>
      <c r="S11" s="9">
        <f t="shared" si="6"/>
        <v>1</v>
      </c>
      <c r="T11" s="9">
        <f t="shared" si="7"/>
        <v>1.6077170418006431E-3</v>
      </c>
      <c r="U11" s="9">
        <f>R11 / _xlfn.XLOOKUP(A11, Support!A:A, Support!AA:AA)</f>
        <v>0.16666666666666666</v>
      </c>
      <c r="V11" s="1"/>
      <c r="W11" s="1"/>
    </row>
    <row r="12" spans="1:23" x14ac:dyDescent="0.25">
      <c r="A12" s="1" t="s">
        <v>145</v>
      </c>
      <c r="B12" s="6"/>
      <c r="C12" s="7"/>
      <c r="D12" s="8">
        <f t="shared" si="0"/>
        <v>0</v>
      </c>
      <c r="E12" s="6">
        <v>1</v>
      </c>
      <c r="F12" s="7">
        <v>1</v>
      </c>
      <c r="G12" s="8">
        <f t="shared" si="1"/>
        <v>1</v>
      </c>
      <c r="H12" s="6"/>
      <c r="I12" s="7"/>
      <c r="J12" s="8">
        <f t="shared" si="2"/>
        <v>0</v>
      </c>
      <c r="K12" s="6"/>
      <c r="L12" s="7"/>
      <c r="M12" s="8">
        <f t="shared" si="3"/>
        <v>0</v>
      </c>
      <c r="N12" s="6"/>
      <c r="O12" s="7"/>
      <c r="P12" s="8">
        <f t="shared" si="4"/>
        <v>0</v>
      </c>
      <c r="Q12" s="1"/>
      <c r="R12" s="6">
        <f t="shared" si="5"/>
        <v>1</v>
      </c>
      <c r="S12" s="9">
        <f t="shared" si="6"/>
        <v>1</v>
      </c>
      <c r="T12" s="9">
        <f t="shared" si="7"/>
        <v>1.6077170418006431E-3</v>
      </c>
      <c r="U12" s="9">
        <f>R12 / _xlfn.XLOOKUP(A12, Support!A:A, Support!AA:AA)</f>
        <v>0.33333333333333331</v>
      </c>
      <c r="V12" s="1"/>
      <c r="W12" s="1"/>
    </row>
    <row r="13" spans="1:23" x14ac:dyDescent="0.25">
      <c r="A13" s="1" t="s">
        <v>71</v>
      </c>
      <c r="B13" s="6">
        <v>1</v>
      </c>
      <c r="C13" s="7">
        <v>1</v>
      </c>
      <c r="D13" s="8">
        <f t="shared" si="0"/>
        <v>1</v>
      </c>
      <c r="E13" s="6"/>
      <c r="F13" s="7"/>
      <c r="G13" s="8">
        <f t="shared" si="1"/>
        <v>0</v>
      </c>
      <c r="H13" s="6"/>
      <c r="I13" s="7"/>
      <c r="J13" s="8">
        <f t="shared" si="2"/>
        <v>0</v>
      </c>
      <c r="K13" s="6"/>
      <c r="L13" s="7"/>
      <c r="M13" s="8">
        <f t="shared" si="3"/>
        <v>0</v>
      </c>
      <c r="N13" s="6"/>
      <c r="O13" s="7"/>
      <c r="P13" s="8">
        <f t="shared" si="4"/>
        <v>0</v>
      </c>
      <c r="Q13" s="1"/>
      <c r="R13" s="6">
        <f t="shared" si="5"/>
        <v>1</v>
      </c>
      <c r="S13" s="9">
        <f t="shared" si="6"/>
        <v>1</v>
      </c>
      <c r="T13" s="9">
        <f t="shared" si="7"/>
        <v>1.6077170418006431E-3</v>
      </c>
      <c r="U13" s="9">
        <f>R13 / _xlfn.XLOOKUP(A13, Bottom!A:A, Bottom!AA:AA)</f>
        <v>1</v>
      </c>
      <c r="V13" s="1"/>
      <c r="W13" s="1"/>
    </row>
    <row r="14" spans="1:23" x14ac:dyDescent="0.25">
      <c r="A14" s="25" t="s">
        <v>34</v>
      </c>
      <c r="B14" s="6">
        <v>1</v>
      </c>
      <c r="C14" s="7">
        <v>1</v>
      </c>
      <c r="D14" s="8">
        <f t="shared" si="0"/>
        <v>1</v>
      </c>
      <c r="E14" s="6"/>
      <c r="F14" s="7"/>
      <c r="G14" s="8">
        <f t="shared" si="1"/>
        <v>0</v>
      </c>
      <c r="H14" s="6"/>
      <c r="I14" s="7"/>
      <c r="J14" s="8">
        <f t="shared" si="2"/>
        <v>0</v>
      </c>
      <c r="K14" s="6"/>
      <c r="L14" s="7"/>
      <c r="M14" s="8">
        <f t="shared" si="3"/>
        <v>0</v>
      </c>
      <c r="N14" s="6"/>
      <c r="O14" s="7"/>
      <c r="P14" s="8">
        <f t="shared" si="4"/>
        <v>0</v>
      </c>
      <c r="Q14" s="1"/>
      <c r="R14" s="6">
        <f t="shared" si="5"/>
        <v>1</v>
      </c>
      <c r="S14" s="9">
        <f t="shared" si="6"/>
        <v>1</v>
      </c>
      <c r="T14" s="9">
        <f t="shared" si="7"/>
        <v>1.6077170418006431E-3</v>
      </c>
      <c r="U14" s="9">
        <f>R14 / _xlfn.XLOOKUP(A14, Bottom!A:A, Bottom!AA:AA)</f>
        <v>0.16666666666666666</v>
      </c>
      <c r="V14" s="1"/>
      <c r="W14" s="1"/>
    </row>
    <row r="15" spans="1:23" x14ac:dyDescent="0.25">
      <c r="A15" s="1" t="s">
        <v>21</v>
      </c>
      <c r="B15" s="6">
        <v>1</v>
      </c>
      <c r="C15" s="7">
        <v>1</v>
      </c>
      <c r="D15" s="8">
        <f t="shared" si="0"/>
        <v>1</v>
      </c>
      <c r="E15" s="6"/>
      <c r="F15" s="7"/>
      <c r="G15" s="8">
        <f t="shared" si="1"/>
        <v>0</v>
      </c>
      <c r="H15" s="6"/>
      <c r="I15" s="7"/>
      <c r="J15" s="8">
        <f t="shared" si="2"/>
        <v>0</v>
      </c>
      <c r="K15" s="6"/>
      <c r="L15" s="7"/>
      <c r="M15" s="8">
        <f t="shared" si="3"/>
        <v>0</v>
      </c>
      <c r="N15" s="6"/>
      <c r="O15" s="7"/>
      <c r="P15" s="8">
        <f t="shared" si="4"/>
        <v>0</v>
      </c>
      <c r="Q15" s="1"/>
      <c r="R15" s="6">
        <f t="shared" si="5"/>
        <v>1</v>
      </c>
      <c r="S15" s="9">
        <f t="shared" si="6"/>
        <v>1</v>
      </c>
      <c r="T15" s="9">
        <f t="shared" si="7"/>
        <v>1.6077170418006431E-3</v>
      </c>
      <c r="U15" s="9">
        <f>R15 / _xlfn.XLOOKUP(A15, Support!A:A, Support!AA:AA)</f>
        <v>1</v>
      </c>
      <c r="V15" s="1"/>
      <c r="W15" s="1"/>
    </row>
    <row r="16" spans="1:23" x14ac:dyDescent="0.25">
      <c r="A16" s="1" t="s">
        <v>175</v>
      </c>
      <c r="B16" s="6">
        <v>4</v>
      </c>
      <c r="C16" s="7">
        <v>0.75</v>
      </c>
      <c r="D16" s="8">
        <f t="shared" si="0"/>
        <v>3</v>
      </c>
      <c r="E16" s="6">
        <v>5</v>
      </c>
      <c r="F16" s="7">
        <v>0.8</v>
      </c>
      <c r="G16" s="8">
        <f t="shared" si="1"/>
        <v>4</v>
      </c>
      <c r="H16" s="6">
        <v>3</v>
      </c>
      <c r="I16" s="7">
        <v>1</v>
      </c>
      <c r="J16" s="8">
        <f t="shared" si="2"/>
        <v>3</v>
      </c>
      <c r="K16" s="6"/>
      <c r="L16" s="7"/>
      <c r="M16" s="8">
        <f t="shared" si="3"/>
        <v>0</v>
      </c>
      <c r="N16" s="6"/>
      <c r="O16" s="7"/>
      <c r="P16" s="8">
        <f t="shared" si="4"/>
        <v>0</v>
      </c>
      <c r="Q16" s="13"/>
      <c r="R16" s="6">
        <f t="shared" si="5"/>
        <v>12</v>
      </c>
      <c r="S16" s="9">
        <f t="shared" si="6"/>
        <v>0.83333333333333337</v>
      </c>
      <c r="T16" s="9">
        <f t="shared" si="7"/>
        <v>1.9292604501607719E-2</v>
      </c>
      <c r="U16" s="9">
        <f>R16 / _xlfn.XLOOKUP(A16, Support!A:A, Support!AA:AA)</f>
        <v>0.20689655172413793</v>
      </c>
      <c r="V16" s="1"/>
      <c r="W16" s="1"/>
    </row>
    <row r="17" spans="1:23" x14ac:dyDescent="0.25">
      <c r="A17" s="1" t="s">
        <v>174</v>
      </c>
      <c r="B17" s="6">
        <v>5</v>
      </c>
      <c r="C17" s="7">
        <v>1</v>
      </c>
      <c r="D17" s="8">
        <f t="shared" si="0"/>
        <v>5</v>
      </c>
      <c r="E17" s="6"/>
      <c r="F17" s="7"/>
      <c r="G17" s="8">
        <f t="shared" si="1"/>
        <v>0</v>
      </c>
      <c r="H17" s="6">
        <v>3</v>
      </c>
      <c r="I17" s="7">
        <v>1</v>
      </c>
      <c r="J17" s="8">
        <f t="shared" si="2"/>
        <v>3</v>
      </c>
      <c r="K17" s="6">
        <v>3</v>
      </c>
      <c r="L17" s="7">
        <v>0.33300000000000002</v>
      </c>
      <c r="M17" s="8">
        <f t="shared" si="3"/>
        <v>0.99900000000000011</v>
      </c>
      <c r="N17" s="6"/>
      <c r="O17" s="7"/>
      <c r="P17" s="8">
        <f t="shared" si="4"/>
        <v>0</v>
      </c>
      <c r="Q17" s="1"/>
      <c r="R17" s="6">
        <f t="shared" si="5"/>
        <v>11</v>
      </c>
      <c r="S17" s="9">
        <f t="shared" si="6"/>
        <v>0.81809090909090909</v>
      </c>
      <c r="T17" s="9">
        <f t="shared" si="7"/>
        <v>1.7684887459807074E-2</v>
      </c>
      <c r="U17" s="9">
        <f>R17 / _xlfn.XLOOKUP(A17, Support!A:A, Support!AA:AA)</f>
        <v>0.3235294117647059</v>
      </c>
      <c r="V17" s="1"/>
      <c r="W17" s="1"/>
    </row>
    <row r="18" spans="1:23" x14ac:dyDescent="0.25">
      <c r="A18" s="1" t="s">
        <v>170</v>
      </c>
      <c r="B18" s="6">
        <v>11</v>
      </c>
      <c r="C18" s="7">
        <v>0.81799999999999995</v>
      </c>
      <c r="D18" s="8">
        <f t="shared" si="0"/>
        <v>8.9979999999999993</v>
      </c>
      <c r="E18" s="6">
        <v>5</v>
      </c>
      <c r="F18" s="7">
        <v>0.8</v>
      </c>
      <c r="G18" s="8">
        <f t="shared" si="1"/>
        <v>4</v>
      </c>
      <c r="H18" s="6"/>
      <c r="I18" s="7"/>
      <c r="J18" s="8">
        <f t="shared" si="2"/>
        <v>0</v>
      </c>
      <c r="K18" s="6"/>
      <c r="L18" s="7"/>
      <c r="M18" s="8">
        <f t="shared" si="3"/>
        <v>0</v>
      </c>
      <c r="N18" s="6"/>
      <c r="O18" s="7"/>
      <c r="P18" s="8">
        <f t="shared" si="4"/>
        <v>0</v>
      </c>
      <c r="Q18" s="1"/>
      <c r="R18" s="6">
        <f t="shared" si="5"/>
        <v>16</v>
      </c>
      <c r="S18" s="9">
        <f t="shared" si="6"/>
        <v>0.81237499999999996</v>
      </c>
      <c r="T18" s="9">
        <f t="shared" si="7"/>
        <v>2.5723472668810289E-2</v>
      </c>
      <c r="U18" s="9">
        <f>R18 / _xlfn.XLOOKUP(A18, Support!A:A, Support!AA:AA)</f>
        <v>9.5238095238095233E-2</v>
      </c>
      <c r="V18" s="1"/>
      <c r="W18" s="1"/>
    </row>
    <row r="19" spans="1:23" x14ac:dyDescent="0.25">
      <c r="A19" s="1" t="s">
        <v>147</v>
      </c>
      <c r="B19" s="6">
        <v>2</v>
      </c>
      <c r="C19" s="7">
        <v>1</v>
      </c>
      <c r="D19" s="8">
        <f t="shared" si="0"/>
        <v>2</v>
      </c>
      <c r="E19" s="6">
        <v>7</v>
      </c>
      <c r="F19" s="7">
        <v>0.71399999999999997</v>
      </c>
      <c r="G19" s="8">
        <f t="shared" si="1"/>
        <v>4.9979999999999993</v>
      </c>
      <c r="H19" s="6">
        <v>5</v>
      </c>
      <c r="I19" s="7">
        <v>1</v>
      </c>
      <c r="J19" s="8">
        <f t="shared" si="2"/>
        <v>5</v>
      </c>
      <c r="K19" s="6">
        <v>1</v>
      </c>
      <c r="L19" s="7">
        <v>0</v>
      </c>
      <c r="M19" s="8">
        <f t="shared" si="3"/>
        <v>0</v>
      </c>
      <c r="N19" s="6"/>
      <c r="O19" s="7"/>
      <c r="P19" s="8">
        <f t="shared" si="4"/>
        <v>0</v>
      </c>
      <c r="Q19" s="1"/>
      <c r="R19" s="6">
        <f t="shared" si="5"/>
        <v>15</v>
      </c>
      <c r="S19" s="9">
        <f t="shared" si="6"/>
        <v>0.79986666666666661</v>
      </c>
      <c r="T19" s="9">
        <f t="shared" si="7"/>
        <v>2.4115755627009645E-2</v>
      </c>
      <c r="U19" s="9">
        <f>R19 / _xlfn.XLOOKUP(A19, Support!A:A, Support!AA:AA)</f>
        <v>0.18518518518518517</v>
      </c>
      <c r="V19" s="1"/>
      <c r="W19" s="1"/>
    </row>
    <row r="20" spans="1:23" x14ac:dyDescent="0.25">
      <c r="A20" s="1" t="s">
        <v>168</v>
      </c>
      <c r="B20" s="6">
        <v>16</v>
      </c>
      <c r="C20" s="7">
        <v>0.81299999999999994</v>
      </c>
      <c r="D20" s="8">
        <f t="shared" si="0"/>
        <v>13.007999999999999</v>
      </c>
      <c r="E20" s="6">
        <v>7</v>
      </c>
      <c r="F20" s="7">
        <v>0.85699999999999998</v>
      </c>
      <c r="G20" s="8">
        <f t="shared" si="1"/>
        <v>5.9989999999999997</v>
      </c>
      <c r="H20" s="6">
        <v>12</v>
      </c>
      <c r="I20" s="7">
        <v>0.83299999999999996</v>
      </c>
      <c r="J20" s="8">
        <f t="shared" si="2"/>
        <v>9.9959999999999987</v>
      </c>
      <c r="K20" s="6">
        <v>4</v>
      </c>
      <c r="L20" s="7">
        <v>0.5</v>
      </c>
      <c r="M20" s="8">
        <f t="shared" si="3"/>
        <v>2</v>
      </c>
      <c r="N20" s="6"/>
      <c r="O20" s="7"/>
      <c r="P20" s="8">
        <f t="shared" si="4"/>
        <v>0</v>
      </c>
      <c r="Q20" s="1"/>
      <c r="R20" s="6">
        <f t="shared" si="5"/>
        <v>39</v>
      </c>
      <c r="S20" s="9">
        <f t="shared" si="6"/>
        <v>0.79494871794871791</v>
      </c>
      <c r="T20" s="9">
        <f t="shared" si="7"/>
        <v>6.2700964630225078E-2</v>
      </c>
      <c r="U20" s="9">
        <f>R20 / _xlfn.XLOOKUP(A20, Support!A:A, Support!AA:AA)</f>
        <v>0.20526315789473684</v>
      </c>
      <c r="V20" s="1"/>
      <c r="W20" s="1"/>
    </row>
    <row r="21" spans="1:23" x14ac:dyDescent="0.25">
      <c r="A21" s="1" t="s">
        <v>23</v>
      </c>
      <c r="B21" s="6">
        <v>1</v>
      </c>
      <c r="C21" s="7">
        <v>1</v>
      </c>
      <c r="D21" s="8">
        <f t="shared" si="0"/>
        <v>1</v>
      </c>
      <c r="E21" s="6"/>
      <c r="F21" s="7"/>
      <c r="G21" s="8">
        <f t="shared" si="1"/>
        <v>0</v>
      </c>
      <c r="H21" s="6">
        <v>3</v>
      </c>
      <c r="I21" s="7">
        <v>0.66700000000000004</v>
      </c>
      <c r="J21" s="8">
        <f t="shared" si="2"/>
        <v>2.0010000000000003</v>
      </c>
      <c r="K21" s="6"/>
      <c r="L21" s="7"/>
      <c r="M21" s="8">
        <f t="shared" si="3"/>
        <v>0</v>
      </c>
      <c r="N21" s="6"/>
      <c r="O21" s="7"/>
      <c r="P21" s="8">
        <f t="shared" si="4"/>
        <v>0</v>
      </c>
      <c r="Q21" s="1"/>
      <c r="R21" s="6">
        <f t="shared" si="5"/>
        <v>4</v>
      </c>
      <c r="S21" s="9">
        <f t="shared" si="6"/>
        <v>0.75025000000000008</v>
      </c>
      <c r="T21" s="9">
        <f t="shared" si="7"/>
        <v>6.4308681672025723E-3</v>
      </c>
      <c r="U21" s="9">
        <f>R21 / _xlfn.XLOOKUP(A21, Support!A:A, Support!AA:AA)</f>
        <v>0.33333333333333331</v>
      </c>
      <c r="V21" s="1"/>
      <c r="W21" s="1"/>
    </row>
    <row r="22" spans="1:23" x14ac:dyDescent="0.25">
      <c r="A22" s="1" t="s">
        <v>186</v>
      </c>
      <c r="B22" s="6"/>
      <c r="C22" s="7"/>
      <c r="D22" s="8">
        <f t="shared" si="0"/>
        <v>0</v>
      </c>
      <c r="E22" s="6">
        <v>5</v>
      </c>
      <c r="F22" s="7">
        <v>0.8</v>
      </c>
      <c r="G22" s="8">
        <f t="shared" si="1"/>
        <v>4</v>
      </c>
      <c r="H22" s="6">
        <v>3</v>
      </c>
      <c r="I22" s="7">
        <v>0.66700000000000004</v>
      </c>
      <c r="J22" s="8">
        <f t="shared" si="2"/>
        <v>2.0010000000000003</v>
      </c>
      <c r="K22" s="6"/>
      <c r="L22" s="7"/>
      <c r="M22" s="8">
        <f t="shared" si="3"/>
        <v>0</v>
      </c>
      <c r="N22" s="6"/>
      <c r="O22" s="7"/>
      <c r="P22" s="8">
        <f t="shared" si="4"/>
        <v>0</v>
      </c>
      <c r="Q22" s="1"/>
      <c r="R22" s="6">
        <f t="shared" si="5"/>
        <v>8</v>
      </c>
      <c r="S22" s="9">
        <f t="shared" si="6"/>
        <v>0.75012500000000004</v>
      </c>
      <c r="T22" s="9">
        <f t="shared" si="7"/>
        <v>1.2861736334405145E-2</v>
      </c>
      <c r="U22" s="9">
        <f>R22 / _xlfn.XLOOKUP(A22, Support!A:A, Support!AA:AA)</f>
        <v>7.5471698113207544E-2</v>
      </c>
      <c r="V22" s="1"/>
      <c r="W22" s="1"/>
    </row>
    <row r="23" spans="1:23" x14ac:dyDescent="0.25">
      <c r="A23" s="25" t="s">
        <v>81</v>
      </c>
      <c r="B23" s="6"/>
      <c r="C23" s="7"/>
      <c r="D23" s="8">
        <f t="shared" si="0"/>
        <v>0</v>
      </c>
      <c r="E23" s="6"/>
      <c r="F23" s="7"/>
      <c r="G23" s="8">
        <f t="shared" si="1"/>
        <v>0</v>
      </c>
      <c r="H23" s="6"/>
      <c r="I23" s="7"/>
      <c r="J23" s="8">
        <f t="shared" si="2"/>
        <v>0</v>
      </c>
      <c r="K23" s="6">
        <v>4</v>
      </c>
      <c r="L23" s="7">
        <v>0.75</v>
      </c>
      <c r="M23" s="8">
        <f t="shared" si="3"/>
        <v>3</v>
      </c>
      <c r="N23" s="6"/>
      <c r="O23" s="7"/>
      <c r="P23" s="8">
        <f t="shared" si="4"/>
        <v>0</v>
      </c>
      <c r="Q23" s="1"/>
      <c r="R23" s="6">
        <f t="shared" si="5"/>
        <v>4</v>
      </c>
      <c r="S23" s="9">
        <f t="shared" si="6"/>
        <v>0.75</v>
      </c>
      <c r="T23" s="9">
        <f t="shared" si="7"/>
        <v>6.4308681672025723E-3</v>
      </c>
      <c r="U23" s="9">
        <f>R23 / _xlfn.XLOOKUP(A23, Support!A:A, Support!AA:AA)</f>
        <v>8.8888888888888892E-2</v>
      </c>
      <c r="V23" s="1"/>
      <c r="W23" s="1"/>
    </row>
    <row r="24" spans="1:23" x14ac:dyDescent="0.25">
      <c r="A24" s="1" t="s">
        <v>172</v>
      </c>
      <c r="B24" s="6">
        <v>8</v>
      </c>
      <c r="C24" s="7">
        <v>0.75</v>
      </c>
      <c r="D24" s="8">
        <f t="shared" si="0"/>
        <v>6</v>
      </c>
      <c r="E24" s="6">
        <v>15</v>
      </c>
      <c r="F24" s="7">
        <v>0.8</v>
      </c>
      <c r="G24" s="8">
        <f t="shared" si="1"/>
        <v>12</v>
      </c>
      <c r="H24" s="6">
        <v>11</v>
      </c>
      <c r="I24" s="7">
        <v>0.72699999999999998</v>
      </c>
      <c r="J24" s="8">
        <f t="shared" si="2"/>
        <v>7.9969999999999999</v>
      </c>
      <c r="K24" s="6">
        <v>1</v>
      </c>
      <c r="L24" s="7">
        <v>0</v>
      </c>
      <c r="M24" s="8">
        <f t="shared" si="3"/>
        <v>0</v>
      </c>
      <c r="N24" s="6"/>
      <c r="O24" s="7"/>
      <c r="P24" s="8">
        <f t="shared" si="4"/>
        <v>0</v>
      </c>
      <c r="Q24" s="1"/>
      <c r="R24" s="6">
        <f t="shared" si="5"/>
        <v>35</v>
      </c>
      <c r="S24" s="9">
        <f t="shared" si="6"/>
        <v>0.74277142857142853</v>
      </c>
      <c r="T24" s="9">
        <f t="shared" si="7"/>
        <v>5.6270096463022508E-2</v>
      </c>
      <c r="U24" s="9">
        <f>R24 / _xlfn.XLOOKUP(A24, Support!A:A, Support!AA:AA)</f>
        <v>0.12915129151291513</v>
      </c>
      <c r="V24" s="1"/>
      <c r="W24" s="1"/>
    </row>
    <row r="25" spans="1:23" x14ac:dyDescent="0.25">
      <c r="A25" s="1" t="s">
        <v>181</v>
      </c>
      <c r="B25" s="6">
        <v>2</v>
      </c>
      <c r="C25" s="7">
        <v>1</v>
      </c>
      <c r="D25" s="8">
        <f t="shared" si="0"/>
        <v>2</v>
      </c>
      <c r="E25" s="6">
        <v>3</v>
      </c>
      <c r="F25" s="7">
        <v>1</v>
      </c>
      <c r="G25" s="8">
        <f t="shared" si="1"/>
        <v>3</v>
      </c>
      <c r="H25" s="6">
        <v>8</v>
      </c>
      <c r="I25" s="7">
        <v>0.625</v>
      </c>
      <c r="J25" s="8">
        <f t="shared" si="2"/>
        <v>5</v>
      </c>
      <c r="K25" s="6">
        <v>13</v>
      </c>
      <c r="L25" s="7">
        <v>0.69199999999999995</v>
      </c>
      <c r="M25" s="8">
        <f t="shared" si="3"/>
        <v>8.9959999999999987</v>
      </c>
      <c r="N25" s="6"/>
      <c r="O25" s="7"/>
      <c r="P25" s="8">
        <f t="shared" si="4"/>
        <v>0</v>
      </c>
      <c r="Q25" s="4"/>
      <c r="R25" s="6">
        <f t="shared" si="5"/>
        <v>26</v>
      </c>
      <c r="S25" s="9">
        <f t="shared" si="6"/>
        <v>0.73061538461538456</v>
      </c>
      <c r="T25" s="9">
        <f t="shared" si="7"/>
        <v>4.1800643086816719E-2</v>
      </c>
      <c r="U25" s="9">
        <f>R25 / _xlfn.XLOOKUP(A25, Support!A:A, Support!AA:AA)</f>
        <v>0.24074074074074073</v>
      </c>
      <c r="V25" s="1"/>
      <c r="W25" s="1"/>
    </row>
    <row r="26" spans="1:23" x14ac:dyDescent="0.25">
      <c r="A26" s="1" t="s">
        <v>169</v>
      </c>
      <c r="B26" s="6">
        <v>12</v>
      </c>
      <c r="C26" s="7">
        <v>0.83299999999999996</v>
      </c>
      <c r="D26" s="8">
        <f t="shared" si="0"/>
        <v>9.9959999999999987</v>
      </c>
      <c r="E26" s="6">
        <v>7</v>
      </c>
      <c r="F26" s="7">
        <v>0.85699999999999998</v>
      </c>
      <c r="G26" s="8">
        <f t="shared" si="1"/>
        <v>5.9989999999999997</v>
      </c>
      <c r="H26" s="6">
        <v>12</v>
      </c>
      <c r="I26" s="7">
        <v>0.75</v>
      </c>
      <c r="J26" s="8">
        <f t="shared" si="2"/>
        <v>9</v>
      </c>
      <c r="K26" s="6">
        <v>13</v>
      </c>
      <c r="L26" s="7">
        <v>0.53800000000000003</v>
      </c>
      <c r="M26" s="8">
        <f t="shared" si="3"/>
        <v>6.9940000000000007</v>
      </c>
      <c r="N26" s="6"/>
      <c r="O26" s="7"/>
      <c r="P26" s="8">
        <f t="shared" si="4"/>
        <v>0</v>
      </c>
      <c r="Q26" s="1"/>
      <c r="R26" s="6">
        <f t="shared" si="5"/>
        <v>44</v>
      </c>
      <c r="S26" s="9">
        <f t="shared" si="6"/>
        <v>0.72702272727272721</v>
      </c>
      <c r="T26" s="9">
        <f t="shared" si="7"/>
        <v>7.0739549839228297E-2</v>
      </c>
      <c r="U26" s="9">
        <f>R26 / _xlfn.XLOOKUP(A26, Support!A:A, Support!AA:AA)</f>
        <v>0.14193548387096774</v>
      </c>
      <c r="V26" s="1"/>
      <c r="W26" s="1"/>
    </row>
    <row r="27" spans="1:23" x14ac:dyDescent="0.25">
      <c r="A27" s="1" t="s">
        <v>31</v>
      </c>
      <c r="B27" s="6"/>
      <c r="C27" s="7"/>
      <c r="D27" s="8">
        <f t="shared" si="0"/>
        <v>0</v>
      </c>
      <c r="E27" s="6"/>
      <c r="F27" s="7"/>
      <c r="G27" s="8">
        <f t="shared" si="1"/>
        <v>0</v>
      </c>
      <c r="H27" s="6">
        <v>4</v>
      </c>
      <c r="I27" s="7">
        <v>0.5</v>
      </c>
      <c r="J27" s="8">
        <f t="shared" si="2"/>
        <v>2</v>
      </c>
      <c r="K27" s="6">
        <v>17</v>
      </c>
      <c r="L27" s="7">
        <v>0.70599999999999996</v>
      </c>
      <c r="M27" s="8">
        <f t="shared" si="3"/>
        <v>12.001999999999999</v>
      </c>
      <c r="N27" s="6"/>
      <c r="O27" s="7"/>
      <c r="P27" s="8">
        <f t="shared" si="4"/>
        <v>0</v>
      </c>
      <c r="Q27" s="1"/>
      <c r="R27" s="6">
        <f t="shared" si="5"/>
        <v>21</v>
      </c>
      <c r="S27" s="9">
        <f t="shared" si="6"/>
        <v>0.66676190476190467</v>
      </c>
      <c r="T27" s="9">
        <f t="shared" si="7"/>
        <v>3.3762057877813507E-2</v>
      </c>
      <c r="U27" s="9">
        <f>R27 / _xlfn.XLOOKUP(A27, Support!A:A, Support!AA:AA)</f>
        <v>0.16935483870967741</v>
      </c>
      <c r="V27" s="1"/>
      <c r="W27" s="1"/>
    </row>
    <row r="28" spans="1:23" x14ac:dyDescent="0.25">
      <c r="A28" s="1" t="s">
        <v>143</v>
      </c>
      <c r="B28" s="6"/>
      <c r="C28" s="7"/>
      <c r="D28" s="8">
        <f t="shared" si="0"/>
        <v>0</v>
      </c>
      <c r="E28" s="6">
        <v>2</v>
      </c>
      <c r="F28" s="7">
        <v>1</v>
      </c>
      <c r="G28" s="8">
        <f t="shared" si="1"/>
        <v>2</v>
      </c>
      <c r="H28" s="6">
        <v>1</v>
      </c>
      <c r="I28" s="7">
        <v>0</v>
      </c>
      <c r="J28" s="8">
        <f t="shared" si="2"/>
        <v>0</v>
      </c>
      <c r="K28" s="6"/>
      <c r="L28" s="7"/>
      <c r="M28" s="8">
        <f t="shared" si="3"/>
        <v>0</v>
      </c>
      <c r="N28" s="6"/>
      <c r="O28" s="7"/>
      <c r="P28" s="8">
        <f t="shared" si="4"/>
        <v>0</v>
      </c>
      <c r="Q28" s="1"/>
      <c r="R28" s="6">
        <f t="shared" si="5"/>
        <v>3</v>
      </c>
      <c r="S28" s="9">
        <f t="shared" si="6"/>
        <v>0.66666666666666663</v>
      </c>
      <c r="T28" s="9">
        <f t="shared" si="7"/>
        <v>4.8231511254019296E-3</v>
      </c>
      <c r="U28" s="9">
        <f>R28 / _xlfn.XLOOKUP(A28, Support!A:A, Support!AA:AA)</f>
        <v>3.896103896103896E-2</v>
      </c>
      <c r="V28" s="1"/>
      <c r="W28" s="1"/>
    </row>
    <row r="29" spans="1:23" x14ac:dyDescent="0.25">
      <c r="A29" s="1" t="s">
        <v>29</v>
      </c>
      <c r="B29" s="6">
        <v>8</v>
      </c>
      <c r="C29" s="7">
        <v>0.625</v>
      </c>
      <c r="D29" s="8">
        <f t="shared" si="0"/>
        <v>5</v>
      </c>
      <c r="E29" s="6"/>
      <c r="F29" s="7"/>
      <c r="G29" s="8">
        <f t="shared" si="1"/>
        <v>0</v>
      </c>
      <c r="H29" s="6">
        <v>1</v>
      </c>
      <c r="I29" s="7">
        <v>1</v>
      </c>
      <c r="J29" s="8">
        <f t="shared" si="2"/>
        <v>1</v>
      </c>
      <c r="K29" s="6">
        <v>5</v>
      </c>
      <c r="L29" s="7">
        <v>0.6</v>
      </c>
      <c r="M29" s="8">
        <f t="shared" si="3"/>
        <v>3</v>
      </c>
      <c r="N29" s="6"/>
      <c r="O29" s="7"/>
      <c r="P29" s="8">
        <f t="shared" si="4"/>
        <v>0</v>
      </c>
      <c r="Q29" s="1"/>
      <c r="R29" s="6">
        <f t="shared" si="5"/>
        <v>14</v>
      </c>
      <c r="S29" s="9">
        <f t="shared" si="6"/>
        <v>0.6428571428571429</v>
      </c>
      <c r="T29" s="9">
        <f t="shared" si="7"/>
        <v>2.2508038585209004E-2</v>
      </c>
      <c r="U29" s="9">
        <f>R29 / _xlfn.XLOOKUP(A29, Support!A:A, Support!AA:AA)</f>
        <v>7.0000000000000007E-2</v>
      </c>
      <c r="V29" s="1"/>
      <c r="W29" s="1"/>
    </row>
    <row r="30" spans="1:23" x14ac:dyDescent="0.25">
      <c r="A30" s="1" t="s">
        <v>179</v>
      </c>
      <c r="B30" s="6">
        <v>2</v>
      </c>
      <c r="C30" s="7">
        <v>1</v>
      </c>
      <c r="D30" s="8">
        <f t="shared" si="0"/>
        <v>2</v>
      </c>
      <c r="E30" s="6">
        <v>11</v>
      </c>
      <c r="F30" s="7">
        <v>0.54500000000000004</v>
      </c>
      <c r="G30" s="8">
        <f t="shared" si="1"/>
        <v>5.9950000000000001</v>
      </c>
      <c r="H30" s="6">
        <v>13</v>
      </c>
      <c r="I30" s="7">
        <v>0.61499999999999999</v>
      </c>
      <c r="J30" s="8">
        <f t="shared" si="2"/>
        <v>7.9950000000000001</v>
      </c>
      <c r="K30" s="6">
        <v>16</v>
      </c>
      <c r="L30" s="7">
        <v>0.68799999999999994</v>
      </c>
      <c r="M30" s="8">
        <f t="shared" si="3"/>
        <v>11.007999999999999</v>
      </c>
      <c r="N30" s="6"/>
      <c r="O30" s="7"/>
      <c r="P30" s="8">
        <f t="shared" si="4"/>
        <v>0</v>
      </c>
      <c r="Q30" s="1"/>
      <c r="R30" s="6">
        <f t="shared" si="5"/>
        <v>42</v>
      </c>
      <c r="S30" s="9">
        <f t="shared" si="6"/>
        <v>0.64280952380952372</v>
      </c>
      <c r="T30" s="9">
        <f t="shared" si="7"/>
        <v>6.7524115755627015E-2</v>
      </c>
      <c r="U30" s="9">
        <f>R30 / _xlfn.XLOOKUP(A30, Support!A:A, Support!AA:AA)</f>
        <v>8.8607594936708861E-2</v>
      </c>
      <c r="V30" s="1"/>
      <c r="W30" s="1"/>
    </row>
    <row r="31" spans="1:23" x14ac:dyDescent="0.25">
      <c r="A31" s="1" t="s">
        <v>91</v>
      </c>
      <c r="B31" s="6"/>
      <c r="C31" s="7"/>
      <c r="D31" s="8">
        <f t="shared" si="0"/>
        <v>0</v>
      </c>
      <c r="E31" s="6"/>
      <c r="F31" s="7"/>
      <c r="G31" s="8">
        <f t="shared" si="1"/>
        <v>0</v>
      </c>
      <c r="H31" s="6">
        <v>7</v>
      </c>
      <c r="I31" s="7">
        <v>0.85699999999999998</v>
      </c>
      <c r="J31" s="8">
        <f t="shared" si="2"/>
        <v>5.9989999999999997</v>
      </c>
      <c r="K31" s="6">
        <v>17</v>
      </c>
      <c r="L31" s="7">
        <v>0.53</v>
      </c>
      <c r="M31" s="8">
        <f t="shared" si="3"/>
        <v>9.01</v>
      </c>
      <c r="N31" s="6"/>
      <c r="O31" s="7"/>
      <c r="P31" s="8">
        <f t="shared" si="4"/>
        <v>0</v>
      </c>
      <c r="Q31" s="4"/>
      <c r="R31" s="6">
        <f t="shared" si="5"/>
        <v>24</v>
      </c>
      <c r="S31" s="9">
        <f t="shared" si="6"/>
        <v>0.62537500000000001</v>
      </c>
      <c r="T31" s="9">
        <f t="shared" si="7"/>
        <v>3.8585209003215437E-2</v>
      </c>
      <c r="U31" s="9">
        <f>R31 / _xlfn.XLOOKUP(A31, Support!A:A, Support!AA:AA)</f>
        <v>0.14285714285714285</v>
      </c>
      <c r="V31" s="1"/>
      <c r="W31" s="1"/>
    </row>
    <row r="32" spans="1:23" x14ac:dyDescent="0.25">
      <c r="A32" s="1" t="s">
        <v>80</v>
      </c>
      <c r="B32" s="6">
        <v>1</v>
      </c>
      <c r="C32" s="7">
        <v>0</v>
      </c>
      <c r="D32" s="8">
        <f t="shared" si="0"/>
        <v>0</v>
      </c>
      <c r="E32" s="6">
        <v>8</v>
      </c>
      <c r="F32" s="7">
        <v>0.625</v>
      </c>
      <c r="G32" s="8">
        <f t="shared" si="1"/>
        <v>5</v>
      </c>
      <c r="H32" s="6">
        <v>9</v>
      </c>
      <c r="I32" s="7">
        <v>0.55600000000000005</v>
      </c>
      <c r="J32" s="8">
        <f t="shared" si="2"/>
        <v>5.0040000000000004</v>
      </c>
      <c r="K32" s="6">
        <v>6</v>
      </c>
      <c r="L32" s="7">
        <v>0.83299999999999996</v>
      </c>
      <c r="M32" s="8">
        <f t="shared" si="3"/>
        <v>4.9979999999999993</v>
      </c>
      <c r="N32" s="6"/>
      <c r="O32" s="7"/>
      <c r="P32" s="8">
        <f t="shared" si="4"/>
        <v>0</v>
      </c>
      <c r="Q32" s="1"/>
      <c r="R32" s="6">
        <f t="shared" si="5"/>
        <v>24</v>
      </c>
      <c r="S32" s="9">
        <f t="shared" si="6"/>
        <v>0.62508333333333332</v>
      </c>
      <c r="T32" s="9">
        <f t="shared" si="7"/>
        <v>3.8585209003215437E-2</v>
      </c>
      <c r="U32" s="9">
        <f>R32 / _xlfn.XLOOKUP(A32, Support!A:A, Support!AA:AA)</f>
        <v>4.9281314168377825E-2</v>
      </c>
      <c r="V32" s="1"/>
      <c r="W32" s="1"/>
    </row>
    <row r="33" spans="1:23" x14ac:dyDescent="0.25">
      <c r="A33" s="1" t="s">
        <v>171</v>
      </c>
      <c r="B33" s="6">
        <v>10</v>
      </c>
      <c r="C33" s="7">
        <v>0.8</v>
      </c>
      <c r="D33" s="8">
        <f t="shared" si="0"/>
        <v>8</v>
      </c>
      <c r="E33" s="6">
        <v>7</v>
      </c>
      <c r="F33" s="7">
        <v>0.57099999999999995</v>
      </c>
      <c r="G33" s="8">
        <f t="shared" si="1"/>
        <v>3.9969999999999999</v>
      </c>
      <c r="H33" s="6">
        <v>1</v>
      </c>
      <c r="I33" s="7">
        <v>0</v>
      </c>
      <c r="J33" s="8">
        <f t="shared" si="2"/>
        <v>0</v>
      </c>
      <c r="K33" s="6">
        <v>3</v>
      </c>
      <c r="L33" s="7">
        <v>0.33300000000000002</v>
      </c>
      <c r="M33" s="8">
        <f t="shared" si="3"/>
        <v>0.99900000000000011</v>
      </c>
      <c r="N33" s="6"/>
      <c r="O33" s="7"/>
      <c r="P33" s="8">
        <f t="shared" si="4"/>
        <v>0</v>
      </c>
      <c r="Q33" s="1"/>
      <c r="R33" s="6">
        <f t="shared" si="5"/>
        <v>21</v>
      </c>
      <c r="S33" s="9">
        <f t="shared" si="6"/>
        <v>0.61885714285714288</v>
      </c>
      <c r="T33" s="9">
        <f t="shared" si="7"/>
        <v>3.3762057877813507E-2</v>
      </c>
      <c r="U33" s="9">
        <f>R33 / _xlfn.XLOOKUP(A33, Support!A:A, Support!AA:AA)</f>
        <v>0.20388349514563106</v>
      </c>
      <c r="V33" s="1"/>
      <c r="W33" s="1"/>
    </row>
    <row r="34" spans="1:23" x14ac:dyDescent="0.25">
      <c r="A34" s="1" t="s">
        <v>176</v>
      </c>
      <c r="B34" s="6">
        <v>3</v>
      </c>
      <c r="C34" s="7">
        <v>0.66700000000000004</v>
      </c>
      <c r="D34" s="8">
        <f t="shared" si="0"/>
        <v>2.0010000000000003</v>
      </c>
      <c r="E34" s="6">
        <v>20</v>
      </c>
      <c r="F34" s="7">
        <v>0.6</v>
      </c>
      <c r="G34" s="8">
        <f t="shared" si="1"/>
        <v>12</v>
      </c>
      <c r="H34" s="6">
        <v>7</v>
      </c>
      <c r="I34" s="7">
        <v>0.42799999999999999</v>
      </c>
      <c r="J34" s="8">
        <f t="shared" si="2"/>
        <v>2.996</v>
      </c>
      <c r="K34" s="6">
        <v>21</v>
      </c>
      <c r="L34" s="7">
        <v>0.66700000000000004</v>
      </c>
      <c r="M34" s="8">
        <f t="shared" si="3"/>
        <v>14.007000000000001</v>
      </c>
      <c r="N34" s="6"/>
      <c r="O34" s="7"/>
      <c r="P34" s="8">
        <f t="shared" si="4"/>
        <v>0</v>
      </c>
      <c r="Q34" s="4"/>
      <c r="R34" s="6">
        <f t="shared" si="5"/>
        <v>51</v>
      </c>
      <c r="S34" s="9">
        <f t="shared" si="6"/>
        <v>0.60792156862745106</v>
      </c>
      <c r="T34" s="9">
        <f t="shared" si="7"/>
        <v>8.1993569131832797E-2</v>
      </c>
      <c r="U34" s="9">
        <f>R34 / _xlfn.XLOOKUP(A34, Support!A:A, Support!AA:AA)</f>
        <v>8.0824088748019024E-2</v>
      </c>
      <c r="V34" s="1"/>
      <c r="W34" s="1"/>
    </row>
    <row r="35" spans="1:23" x14ac:dyDescent="0.25">
      <c r="A35" s="1" t="s">
        <v>90</v>
      </c>
      <c r="B35" s="6">
        <v>22</v>
      </c>
      <c r="C35" s="7">
        <v>0.86399999999999999</v>
      </c>
      <c r="D35" s="8">
        <f t="shared" ref="D35:D57" si="8">B35*C35</f>
        <v>19.007999999999999</v>
      </c>
      <c r="E35" s="6">
        <v>10</v>
      </c>
      <c r="F35" s="7">
        <v>0.3</v>
      </c>
      <c r="G35" s="8">
        <f t="shared" ref="G35:G57" si="9">E35*F35</f>
        <v>3</v>
      </c>
      <c r="H35" s="6">
        <v>13</v>
      </c>
      <c r="I35" s="7">
        <v>0.38500000000000001</v>
      </c>
      <c r="J35" s="8">
        <f t="shared" ref="J35:J57" si="10">H35*I35</f>
        <v>5.0049999999999999</v>
      </c>
      <c r="K35" s="6">
        <v>4</v>
      </c>
      <c r="L35" s="7">
        <v>0.5</v>
      </c>
      <c r="M35" s="8">
        <f t="shared" ref="M35:M57" si="11">K35*L35</f>
        <v>2</v>
      </c>
      <c r="N35" s="6"/>
      <c r="O35" s="7"/>
      <c r="P35" s="8">
        <f t="shared" ref="P35:P57" si="12">N35*O35</f>
        <v>0</v>
      </c>
      <c r="Q35" s="4"/>
      <c r="R35" s="6">
        <f t="shared" ref="R35:R57" si="13">B35+E35+H35+K35+N35</f>
        <v>49</v>
      </c>
      <c r="S35" s="9">
        <f t="shared" ref="S35:S57" si="14">(D35+G35+J35+M35+P35)/R35</f>
        <v>0.59210204081632645</v>
      </c>
      <c r="T35" s="9">
        <f t="shared" ref="T35:T57" si="15">R35/$V$3</f>
        <v>7.8778135048231515E-2</v>
      </c>
      <c r="U35" s="9">
        <f>R35 / _xlfn.XLOOKUP(A35, Support!A:A, Support!AA:AA)</f>
        <v>8.0065359477124176E-2</v>
      </c>
      <c r="V35" s="1"/>
      <c r="W35" s="1"/>
    </row>
    <row r="36" spans="1:23" x14ac:dyDescent="0.25">
      <c r="A36" s="1" t="s">
        <v>178</v>
      </c>
      <c r="B36" s="6">
        <v>3</v>
      </c>
      <c r="C36" s="7">
        <v>0.33300000000000002</v>
      </c>
      <c r="D36" s="8">
        <f t="shared" si="8"/>
        <v>0.99900000000000011</v>
      </c>
      <c r="E36" s="6">
        <v>1</v>
      </c>
      <c r="F36" s="7">
        <v>0</v>
      </c>
      <c r="G36" s="8">
        <f t="shared" si="9"/>
        <v>0</v>
      </c>
      <c r="H36" s="6">
        <v>11</v>
      </c>
      <c r="I36" s="7">
        <v>0.45500000000000002</v>
      </c>
      <c r="J36" s="8">
        <f t="shared" si="10"/>
        <v>5.0049999999999999</v>
      </c>
      <c r="K36" s="6">
        <v>7</v>
      </c>
      <c r="L36" s="7">
        <v>0.85699999999999998</v>
      </c>
      <c r="M36" s="8">
        <f t="shared" si="11"/>
        <v>5.9989999999999997</v>
      </c>
      <c r="N36" s="6"/>
      <c r="O36" s="7"/>
      <c r="P36" s="8">
        <f t="shared" si="12"/>
        <v>0</v>
      </c>
      <c r="Q36" s="1"/>
      <c r="R36" s="6">
        <f t="shared" si="13"/>
        <v>22</v>
      </c>
      <c r="S36" s="9">
        <f t="shared" si="14"/>
        <v>0.54559090909090913</v>
      </c>
      <c r="T36" s="9">
        <f t="shared" si="15"/>
        <v>3.5369774919614148E-2</v>
      </c>
      <c r="U36" s="9">
        <f>R36 / _xlfn.XLOOKUP(A36, Support!A:A, Support!AA:AA)</f>
        <v>4.4176706827309238E-2</v>
      </c>
      <c r="V36" s="1"/>
      <c r="W36" s="1"/>
    </row>
    <row r="37" spans="1:23" x14ac:dyDescent="0.25">
      <c r="A37" s="1" t="s">
        <v>182</v>
      </c>
      <c r="B37" s="6">
        <v>2</v>
      </c>
      <c r="C37" s="7">
        <v>1</v>
      </c>
      <c r="D37" s="8">
        <f t="shared" si="8"/>
        <v>2</v>
      </c>
      <c r="E37" s="6">
        <v>7</v>
      </c>
      <c r="F37" s="7">
        <v>0.28599999999999998</v>
      </c>
      <c r="G37" s="8">
        <f t="shared" si="9"/>
        <v>2.0019999999999998</v>
      </c>
      <c r="H37" s="6">
        <v>9</v>
      </c>
      <c r="I37" s="7">
        <v>0.44400000000000001</v>
      </c>
      <c r="J37" s="8">
        <f t="shared" si="10"/>
        <v>3.996</v>
      </c>
      <c r="K37" s="6">
        <v>10</v>
      </c>
      <c r="L37" s="7">
        <v>0.7</v>
      </c>
      <c r="M37" s="8">
        <f t="shared" si="11"/>
        <v>7</v>
      </c>
      <c r="N37" s="6"/>
      <c r="O37" s="7"/>
      <c r="P37" s="8">
        <f t="shared" si="12"/>
        <v>0</v>
      </c>
      <c r="Q37" s="1"/>
      <c r="R37" s="6">
        <f t="shared" si="13"/>
        <v>28</v>
      </c>
      <c r="S37" s="9">
        <f t="shared" si="14"/>
        <v>0.53564285714285709</v>
      </c>
      <c r="T37" s="9">
        <f t="shared" si="15"/>
        <v>4.5016077170418008E-2</v>
      </c>
      <c r="U37" s="9">
        <f>R37 / _xlfn.XLOOKUP(A37, Support!A:A, Support!AA:AA)</f>
        <v>0.10256410256410256</v>
      </c>
      <c r="V37" s="1"/>
      <c r="W37" s="1"/>
    </row>
    <row r="38" spans="1:23" x14ac:dyDescent="0.25">
      <c r="A38" s="1" t="s">
        <v>26</v>
      </c>
      <c r="B38" s="6">
        <v>1</v>
      </c>
      <c r="C38" s="7">
        <v>0</v>
      </c>
      <c r="D38" s="8">
        <f t="shared" si="8"/>
        <v>0</v>
      </c>
      <c r="E38" s="6"/>
      <c r="F38" s="7"/>
      <c r="G38" s="8">
        <f t="shared" si="9"/>
        <v>0</v>
      </c>
      <c r="H38" s="6">
        <v>3</v>
      </c>
      <c r="I38" s="7">
        <v>0.66700000000000004</v>
      </c>
      <c r="J38" s="8">
        <f t="shared" si="10"/>
        <v>2.0010000000000003</v>
      </c>
      <c r="K38" s="6"/>
      <c r="L38" s="7"/>
      <c r="M38" s="8">
        <f t="shared" si="11"/>
        <v>0</v>
      </c>
      <c r="N38" s="6"/>
      <c r="O38" s="7"/>
      <c r="P38" s="8">
        <f t="shared" si="12"/>
        <v>0</v>
      </c>
      <c r="Q38" s="1"/>
      <c r="R38" s="6">
        <f t="shared" si="13"/>
        <v>4</v>
      </c>
      <c r="S38" s="9">
        <f t="shared" si="14"/>
        <v>0.50025000000000008</v>
      </c>
      <c r="T38" s="9">
        <f t="shared" si="15"/>
        <v>6.4308681672025723E-3</v>
      </c>
      <c r="U38" s="9">
        <f>R38 / _xlfn.XLOOKUP(A38, Support!A:A, Support!AA:AA)</f>
        <v>0.8</v>
      </c>
      <c r="V38" s="1"/>
      <c r="W38" s="1"/>
    </row>
    <row r="39" spans="1:23" x14ac:dyDescent="0.25">
      <c r="A39" s="1" t="s">
        <v>173</v>
      </c>
      <c r="B39" s="6">
        <v>7</v>
      </c>
      <c r="C39" s="7">
        <v>0.42899999999999999</v>
      </c>
      <c r="D39" s="8">
        <f t="shared" si="8"/>
        <v>3.0030000000000001</v>
      </c>
      <c r="E39" s="6">
        <v>13</v>
      </c>
      <c r="F39" s="7">
        <v>0.46200000000000002</v>
      </c>
      <c r="G39" s="8">
        <f t="shared" si="9"/>
        <v>6.0060000000000002</v>
      </c>
      <c r="H39" s="6">
        <v>3</v>
      </c>
      <c r="I39" s="7">
        <v>0.33300000000000002</v>
      </c>
      <c r="J39" s="8">
        <f t="shared" si="10"/>
        <v>0.99900000000000011</v>
      </c>
      <c r="K39" s="6">
        <v>7</v>
      </c>
      <c r="L39" s="7">
        <v>0.71399999999999997</v>
      </c>
      <c r="M39" s="8">
        <f t="shared" si="11"/>
        <v>4.9979999999999993</v>
      </c>
      <c r="N39" s="6"/>
      <c r="O39" s="7"/>
      <c r="P39" s="8">
        <f t="shared" si="12"/>
        <v>0</v>
      </c>
      <c r="Q39" s="1"/>
      <c r="R39" s="6">
        <f t="shared" si="13"/>
        <v>30</v>
      </c>
      <c r="S39" s="9">
        <f t="shared" si="14"/>
        <v>0.50019999999999998</v>
      </c>
      <c r="T39" s="9">
        <f t="shared" si="15"/>
        <v>4.8231511254019289E-2</v>
      </c>
      <c r="U39" s="9">
        <f>R39 / _xlfn.XLOOKUP(A39, Support!A:A, Support!AA:AA)</f>
        <v>9.7402597402597407E-2</v>
      </c>
      <c r="V39" s="1"/>
      <c r="W39" s="1"/>
    </row>
    <row r="40" spans="1:23" x14ac:dyDescent="0.25">
      <c r="A40" s="1" t="s">
        <v>183</v>
      </c>
      <c r="B40" s="6">
        <v>2</v>
      </c>
      <c r="C40" s="7">
        <v>0.5</v>
      </c>
      <c r="D40" s="8">
        <f t="shared" si="8"/>
        <v>1</v>
      </c>
      <c r="E40" s="6">
        <v>3</v>
      </c>
      <c r="F40" s="7">
        <v>0.33300000000000002</v>
      </c>
      <c r="G40" s="8">
        <f t="shared" si="9"/>
        <v>0.99900000000000011</v>
      </c>
      <c r="H40" s="6"/>
      <c r="I40" s="7"/>
      <c r="J40" s="8">
        <f t="shared" si="10"/>
        <v>0</v>
      </c>
      <c r="K40" s="6">
        <v>3</v>
      </c>
      <c r="L40" s="7">
        <v>0.66700000000000004</v>
      </c>
      <c r="M40" s="8">
        <f t="shared" si="11"/>
        <v>2.0010000000000003</v>
      </c>
      <c r="N40" s="6"/>
      <c r="O40" s="7"/>
      <c r="P40" s="8">
        <f t="shared" si="12"/>
        <v>0</v>
      </c>
      <c r="Q40" s="1"/>
      <c r="R40" s="6">
        <f t="shared" si="13"/>
        <v>8</v>
      </c>
      <c r="S40" s="9">
        <f t="shared" si="14"/>
        <v>0.5</v>
      </c>
      <c r="T40" s="9">
        <f t="shared" si="15"/>
        <v>1.2861736334405145E-2</v>
      </c>
      <c r="U40" s="9">
        <f>R40 / _xlfn.XLOOKUP(A40, Support!A:A, Support!AA:AA)</f>
        <v>0.10666666666666667</v>
      </c>
    </row>
    <row r="41" spans="1:23" x14ac:dyDescent="0.25">
      <c r="A41" s="1" t="s">
        <v>122</v>
      </c>
      <c r="B41" s="6">
        <v>2</v>
      </c>
      <c r="C41" s="7">
        <v>0.5</v>
      </c>
      <c r="D41" s="8">
        <f t="shared" si="8"/>
        <v>1</v>
      </c>
      <c r="E41" s="6"/>
      <c r="F41" s="7"/>
      <c r="G41" s="8">
        <f t="shared" si="9"/>
        <v>0</v>
      </c>
      <c r="H41" s="6">
        <v>1</v>
      </c>
      <c r="I41" s="7">
        <v>0</v>
      </c>
      <c r="J41" s="8">
        <f t="shared" si="10"/>
        <v>0</v>
      </c>
      <c r="K41" s="6">
        <v>1</v>
      </c>
      <c r="L41" s="7">
        <v>1</v>
      </c>
      <c r="M41" s="8">
        <f t="shared" si="11"/>
        <v>1</v>
      </c>
      <c r="N41" s="6"/>
      <c r="O41" s="7"/>
      <c r="P41" s="8">
        <f t="shared" si="12"/>
        <v>0</v>
      </c>
      <c r="Q41" s="1"/>
      <c r="R41" s="6">
        <f t="shared" si="13"/>
        <v>4</v>
      </c>
      <c r="S41" s="9">
        <f t="shared" si="14"/>
        <v>0.5</v>
      </c>
      <c r="T41" s="9">
        <f t="shared" si="15"/>
        <v>6.4308681672025723E-3</v>
      </c>
      <c r="U41" s="9">
        <f>R41 / _xlfn.XLOOKUP(A41, Support!A:A, Support!AA:AA)</f>
        <v>0.15384615384615385</v>
      </c>
    </row>
    <row r="42" spans="1:23" x14ac:dyDescent="0.25">
      <c r="A42" s="1" t="s">
        <v>57</v>
      </c>
      <c r="B42" s="6">
        <v>1</v>
      </c>
      <c r="C42" s="7">
        <v>1</v>
      </c>
      <c r="D42" s="8">
        <f t="shared" si="8"/>
        <v>1</v>
      </c>
      <c r="E42" s="6"/>
      <c r="F42" s="7"/>
      <c r="G42" s="8">
        <f t="shared" si="9"/>
        <v>0</v>
      </c>
      <c r="H42" s="6">
        <v>1</v>
      </c>
      <c r="I42" s="7">
        <v>0</v>
      </c>
      <c r="J42" s="8">
        <f t="shared" si="10"/>
        <v>0</v>
      </c>
      <c r="K42" s="6"/>
      <c r="L42" s="7"/>
      <c r="M42" s="8">
        <f t="shared" si="11"/>
        <v>0</v>
      </c>
      <c r="N42" s="6"/>
      <c r="O42" s="7"/>
      <c r="P42" s="8">
        <f t="shared" si="12"/>
        <v>0</v>
      </c>
      <c r="Q42" s="1"/>
      <c r="R42" s="6">
        <f t="shared" si="13"/>
        <v>2</v>
      </c>
      <c r="S42" s="9">
        <f t="shared" si="14"/>
        <v>0.5</v>
      </c>
      <c r="T42" s="9">
        <f t="shared" si="15"/>
        <v>3.2154340836012861E-3</v>
      </c>
      <c r="U42" s="9">
        <f>R42 / _xlfn.XLOOKUP(A42, Support!A:A, Support!AA:AA)</f>
        <v>2</v>
      </c>
    </row>
    <row r="43" spans="1:23" x14ac:dyDescent="0.25">
      <c r="A43" s="1" t="s">
        <v>30</v>
      </c>
      <c r="B43" s="6"/>
      <c r="C43" s="7"/>
      <c r="D43" s="8">
        <f t="shared" si="8"/>
        <v>0</v>
      </c>
      <c r="E43" s="6">
        <v>1</v>
      </c>
      <c r="F43" s="7">
        <v>1</v>
      </c>
      <c r="G43" s="8">
        <f t="shared" si="9"/>
        <v>1</v>
      </c>
      <c r="H43" s="6"/>
      <c r="I43" s="7"/>
      <c r="J43" s="8">
        <f t="shared" si="10"/>
        <v>0</v>
      </c>
      <c r="K43" s="6">
        <v>1</v>
      </c>
      <c r="L43" s="7">
        <v>0</v>
      </c>
      <c r="M43" s="8">
        <f t="shared" si="11"/>
        <v>0</v>
      </c>
      <c r="N43" s="6"/>
      <c r="O43" s="7"/>
      <c r="P43" s="8">
        <f t="shared" si="12"/>
        <v>0</v>
      </c>
      <c r="Q43" s="1"/>
      <c r="R43" s="6">
        <f t="shared" si="13"/>
        <v>2</v>
      </c>
      <c r="S43" s="9">
        <f t="shared" si="14"/>
        <v>0.5</v>
      </c>
      <c r="T43" s="9">
        <f t="shared" si="15"/>
        <v>3.2154340836012861E-3</v>
      </c>
      <c r="U43" s="9">
        <f>R43 / _xlfn.XLOOKUP(A43, Support!A:A, Support!AA:AA)</f>
        <v>4.5454545454545456E-2</v>
      </c>
    </row>
    <row r="44" spans="1:23" x14ac:dyDescent="0.25">
      <c r="A44" s="1" t="s">
        <v>78</v>
      </c>
      <c r="B44" s="6">
        <v>2</v>
      </c>
      <c r="C44" s="7">
        <v>0.5</v>
      </c>
      <c r="D44" s="8">
        <f t="shared" si="8"/>
        <v>1</v>
      </c>
      <c r="E44" s="6"/>
      <c r="F44" s="7"/>
      <c r="G44" s="8">
        <f t="shared" si="9"/>
        <v>0</v>
      </c>
      <c r="H44" s="6"/>
      <c r="I44" s="7"/>
      <c r="J44" s="8">
        <f t="shared" si="10"/>
        <v>0</v>
      </c>
      <c r="K44" s="6"/>
      <c r="L44" s="7"/>
      <c r="M44" s="8">
        <f t="shared" si="11"/>
        <v>0</v>
      </c>
      <c r="N44" s="6"/>
      <c r="O44" s="7"/>
      <c r="P44" s="8">
        <f t="shared" si="12"/>
        <v>0</v>
      </c>
      <c r="Q44" s="1"/>
      <c r="R44" s="6">
        <f t="shared" si="13"/>
        <v>2</v>
      </c>
      <c r="S44" s="9">
        <f t="shared" si="14"/>
        <v>0.5</v>
      </c>
      <c r="T44" s="9">
        <f t="shared" si="15"/>
        <v>3.2154340836012861E-3</v>
      </c>
      <c r="U44" s="9">
        <f>R44 / _xlfn.XLOOKUP(A44, Support!A:A, Support!AA:AA)</f>
        <v>0.22222222222222221</v>
      </c>
    </row>
    <row r="45" spans="1:23" x14ac:dyDescent="0.25">
      <c r="A45" s="1" t="s">
        <v>17</v>
      </c>
      <c r="B45" s="6"/>
      <c r="C45" s="7"/>
      <c r="D45" s="8">
        <f t="shared" si="8"/>
        <v>0</v>
      </c>
      <c r="E45" s="6"/>
      <c r="F45" s="7"/>
      <c r="G45" s="8">
        <f t="shared" si="9"/>
        <v>0</v>
      </c>
      <c r="H45" s="6">
        <v>2</v>
      </c>
      <c r="I45" s="7">
        <v>0.5</v>
      </c>
      <c r="J45" s="8">
        <f t="shared" si="10"/>
        <v>1</v>
      </c>
      <c r="K45" s="6"/>
      <c r="L45" s="7"/>
      <c r="M45" s="8">
        <f t="shared" si="11"/>
        <v>0</v>
      </c>
      <c r="N45" s="6"/>
      <c r="O45" s="7"/>
      <c r="P45" s="8">
        <f t="shared" si="12"/>
        <v>0</v>
      </c>
      <c r="Q45" s="1"/>
      <c r="R45" s="6">
        <f t="shared" si="13"/>
        <v>2</v>
      </c>
      <c r="S45" s="9">
        <f t="shared" si="14"/>
        <v>0.5</v>
      </c>
      <c r="T45" s="9">
        <f t="shared" si="15"/>
        <v>3.2154340836012861E-3</v>
      </c>
      <c r="U45" s="9">
        <f>R45 / _xlfn.XLOOKUP(A45, Support!A:A, Support!AA:AA)</f>
        <v>1</v>
      </c>
    </row>
    <row r="46" spans="1:23" x14ac:dyDescent="0.25">
      <c r="A46" s="1" t="s">
        <v>180</v>
      </c>
      <c r="B46" s="6">
        <v>2</v>
      </c>
      <c r="C46" s="7">
        <v>0.5</v>
      </c>
      <c r="D46" s="8">
        <f t="shared" si="8"/>
        <v>1</v>
      </c>
      <c r="E46" s="6">
        <v>1</v>
      </c>
      <c r="F46" s="7">
        <v>0</v>
      </c>
      <c r="G46" s="8">
        <f t="shared" si="9"/>
        <v>0</v>
      </c>
      <c r="H46" s="6">
        <v>1</v>
      </c>
      <c r="I46" s="7">
        <v>1</v>
      </c>
      <c r="J46" s="8">
        <f t="shared" si="10"/>
        <v>1</v>
      </c>
      <c r="K46" s="6">
        <v>1</v>
      </c>
      <c r="L46" s="7">
        <v>0</v>
      </c>
      <c r="M46" s="8">
        <f t="shared" si="11"/>
        <v>0</v>
      </c>
      <c r="N46" s="6"/>
      <c r="O46" s="7"/>
      <c r="P46" s="8">
        <f t="shared" si="12"/>
        <v>0</v>
      </c>
      <c r="Q46" s="1"/>
      <c r="R46" s="6">
        <f t="shared" si="13"/>
        <v>5</v>
      </c>
      <c r="S46" s="9">
        <f t="shared" si="14"/>
        <v>0.4</v>
      </c>
      <c r="T46" s="9">
        <f t="shared" si="15"/>
        <v>8.0385852090032149E-3</v>
      </c>
      <c r="U46" s="9">
        <f>R46 / _xlfn.XLOOKUP(A46, Support!A:A, Support!AA:AA)</f>
        <v>0.19230769230769232</v>
      </c>
    </row>
    <row r="47" spans="1:23" x14ac:dyDescent="0.25">
      <c r="A47" s="1" t="s">
        <v>19</v>
      </c>
      <c r="B47" s="6">
        <v>1</v>
      </c>
      <c r="C47" s="7">
        <v>0</v>
      </c>
      <c r="D47" s="8">
        <f t="shared" si="8"/>
        <v>0</v>
      </c>
      <c r="E47" s="6"/>
      <c r="F47" s="7"/>
      <c r="G47" s="8">
        <f t="shared" si="9"/>
        <v>0</v>
      </c>
      <c r="H47" s="6">
        <v>2</v>
      </c>
      <c r="I47" s="7">
        <v>0.5</v>
      </c>
      <c r="J47" s="8">
        <f t="shared" si="10"/>
        <v>1</v>
      </c>
      <c r="K47" s="6"/>
      <c r="L47" s="7"/>
      <c r="M47" s="8">
        <f t="shared" si="11"/>
        <v>0</v>
      </c>
      <c r="N47" s="6"/>
      <c r="O47" s="7"/>
      <c r="P47" s="8">
        <f t="shared" si="12"/>
        <v>0</v>
      </c>
      <c r="Q47" s="1"/>
      <c r="R47" s="6">
        <f t="shared" si="13"/>
        <v>3</v>
      </c>
      <c r="S47" s="9">
        <f t="shared" si="14"/>
        <v>0.33333333333333331</v>
      </c>
      <c r="T47" s="9">
        <f t="shared" si="15"/>
        <v>4.8231511254019296E-3</v>
      </c>
      <c r="U47" s="9">
        <f>R47 / _xlfn.XLOOKUP(A47, Support!A:A, Support!AA:AA)</f>
        <v>0.375</v>
      </c>
    </row>
    <row r="48" spans="1:23" x14ac:dyDescent="0.25">
      <c r="A48" s="1" t="s">
        <v>127</v>
      </c>
      <c r="B48" s="6">
        <v>2</v>
      </c>
      <c r="C48" s="7">
        <v>0.5</v>
      </c>
      <c r="D48" s="8">
        <f t="shared" si="8"/>
        <v>1</v>
      </c>
      <c r="E48" s="6"/>
      <c r="F48" s="7"/>
      <c r="G48" s="8">
        <f t="shared" si="9"/>
        <v>0</v>
      </c>
      <c r="H48" s="6">
        <v>1</v>
      </c>
      <c r="I48" s="7">
        <v>0</v>
      </c>
      <c r="J48" s="8">
        <f t="shared" si="10"/>
        <v>0</v>
      </c>
      <c r="K48" s="6"/>
      <c r="L48" s="7"/>
      <c r="M48" s="8">
        <f t="shared" si="11"/>
        <v>0</v>
      </c>
      <c r="N48" s="6"/>
      <c r="O48" s="7"/>
      <c r="P48" s="8">
        <f t="shared" si="12"/>
        <v>0</v>
      </c>
      <c r="Q48" s="1"/>
      <c r="R48" s="6">
        <f t="shared" si="13"/>
        <v>3</v>
      </c>
      <c r="S48" s="9">
        <f t="shared" si="14"/>
        <v>0.33333333333333331</v>
      </c>
      <c r="T48" s="9">
        <f t="shared" si="15"/>
        <v>4.8231511254019296E-3</v>
      </c>
      <c r="U48" s="9">
        <f>R48 / _xlfn.XLOOKUP(A48, Support!A:A, Support!AA:AA)</f>
        <v>0.33333333333333331</v>
      </c>
    </row>
    <row r="49" spans="1:21" x14ac:dyDescent="0.25">
      <c r="A49" s="1" t="s">
        <v>177</v>
      </c>
      <c r="B49" s="6">
        <v>3</v>
      </c>
      <c r="C49" s="7">
        <v>0.33300000000000002</v>
      </c>
      <c r="D49" s="8">
        <f t="shared" si="8"/>
        <v>0.99900000000000011</v>
      </c>
      <c r="E49" s="6"/>
      <c r="F49" s="7"/>
      <c r="G49" s="8">
        <f t="shared" si="9"/>
        <v>0</v>
      </c>
      <c r="H49" s="6"/>
      <c r="I49" s="7"/>
      <c r="J49" s="8">
        <f t="shared" si="10"/>
        <v>0</v>
      </c>
      <c r="K49" s="6"/>
      <c r="L49" s="7"/>
      <c r="M49" s="8">
        <f t="shared" si="11"/>
        <v>0</v>
      </c>
      <c r="N49" s="6"/>
      <c r="O49" s="7"/>
      <c r="P49" s="8">
        <f t="shared" si="12"/>
        <v>0</v>
      </c>
      <c r="Q49" s="1"/>
      <c r="R49" s="6">
        <f t="shared" si="13"/>
        <v>3</v>
      </c>
      <c r="S49" s="9">
        <f t="shared" si="14"/>
        <v>0.33300000000000002</v>
      </c>
      <c r="T49" s="9">
        <f t="shared" si="15"/>
        <v>4.8231511254019296E-3</v>
      </c>
      <c r="U49" s="9">
        <f>R49 / _xlfn.XLOOKUP(A49, Support!A:A, Support!AA:AA)</f>
        <v>6.25E-2</v>
      </c>
    </row>
    <row r="50" spans="1:21" x14ac:dyDescent="0.25">
      <c r="A50" s="1" t="s">
        <v>77</v>
      </c>
      <c r="B50" s="6">
        <v>1</v>
      </c>
      <c r="C50" s="7">
        <v>0</v>
      </c>
      <c r="D50" s="8">
        <f t="shared" si="8"/>
        <v>0</v>
      </c>
      <c r="E50" s="6"/>
      <c r="F50" s="7"/>
      <c r="G50" s="8">
        <f t="shared" si="9"/>
        <v>0</v>
      </c>
      <c r="H50" s="6"/>
      <c r="I50" s="7"/>
      <c r="J50" s="8">
        <f t="shared" si="10"/>
        <v>0</v>
      </c>
      <c r="K50" s="6">
        <v>1</v>
      </c>
      <c r="L50" s="7">
        <v>0</v>
      </c>
      <c r="M50" s="8">
        <f t="shared" si="11"/>
        <v>0</v>
      </c>
      <c r="N50" s="6"/>
      <c r="O50" s="7"/>
      <c r="P50" s="8">
        <f t="shared" si="12"/>
        <v>0</v>
      </c>
      <c r="Q50" s="1"/>
      <c r="R50" s="6">
        <f t="shared" si="13"/>
        <v>2</v>
      </c>
      <c r="S50" s="9">
        <f t="shared" si="14"/>
        <v>0</v>
      </c>
      <c r="T50" s="9">
        <f t="shared" si="15"/>
        <v>3.2154340836012861E-3</v>
      </c>
      <c r="U50" s="9">
        <f>R50 / _xlfn.XLOOKUP(A50, Support!A:A, Support!AA:AA)</f>
        <v>0.125</v>
      </c>
    </row>
    <row r="51" spans="1:21" x14ac:dyDescent="0.25">
      <c r="A51" s="1" t="s">
        <v>112</v>
      </c>
      <c r="B51" s="6"/>
      <c r="C51" s="7"/>
      <c r="D51" s="8">
        <f t="shared" si="8"/>
        <v>0</v>
      </c>
      <c r="E51" s="6">
        <v>1</v>
      </c>
      <c r="F51" s="7">
        <v>0</v>
      </c>
      <c r="G51" s="8">
        <f t="shared" si="9"/>
        <v>0</v>
      </c>
      <c r="H51" s="6"/>
      <c r="I51" s="7"/>
      <c r="J51" s="8">
        <f t="shared" si="10"/>
        <v>0</v>
      </c>
      <c r="K51" s="6"/>
      <c r="L51" s="7"/>
      <c r="M51" s="8">
        <f t="shared" si="11"/>
        <v>0</v>
      </c>
      <c r="N51" s="6"/>
      <c r="O51" s="7"/>
      <c r="P51" s="8">
        <f t="shared" si="12"/>
        <v>0</v>
      </c>
      <c r="Q51" s="1"/>
      <c r="R51" s="6">
        <f t="shared" si="13"/>
        <v>1</v>
      </c>
      <c r="S51" s="9">
        <f t="shared" si="14"/>
        <v>0</v>
      </c>
      <c r="T51" s="9">
        <f t="shared" si="15"/>
        <v>1.6077170418006431E-3</v>
      </c>
      <c r="U51" s="9">
        <f>R51 / _xlfn.XLOOKUP(A51, Support!A:A, Support!AA:AA)</f>
        <v>0.14285714285714285</v>
      </c>
    </row>
    <row r="52" spans="1:21" x14ac:dyDescent="0.25">
      <c r="A52" s="19" t="s">
        <v>191</v>
      </c>
      <c r="B52" s="6"/>
      <c r="C52" s="7"/>
      <c r="D52" s="8">
        <f t="shared" si="8"/>
        <v>0</v>
      </c>
      <c r="E52" s="6"/>
      <c r="F52" s="7"/>
      <c r="G52" s="8">
        <f t="shared" si="9"/>
        <v>0</v>
      </c>
      <c r="H52" s="6">
        <v>1</v>
      </c>
      <c r="I52" s="7">
        <v>0</v>
      </c>
      <c r="J52" s="8">
        <f t="shared" si="10"/>
        <v>0</v>
      </c>
      <c r="K52" s="6"/>
      <c r="L52" s="7"/>
      <c r="M52" s="8">
        <f t="shared" si="11"/>
        <v>0</v>
      </c>
      <c r="N52" s="6"/>
      <c r="O52" s="7"/>
      <c r="P52" s="8">
        <f t="shared" si="12"/>
        <v>0</v>
      </c>
      <c r="Q52" s="1"/>
      <c r="R52" s="6">
        <f t="shared" si="13"/>
        <v>1</v>
      </c>
      <c r="S52" s="9">
        <f t="shared" si="14"/>
        <v>0</v>
      </c>
      <c r="T52" s="9">
        <f t="shared" si="15"/>
        <v>1.6077170418006431E-3</v>
      </c>
      <c r="U52" s="9">
        <f>R52 / _xlfn.XLOOKUP(A52, Support!A:A, Support!AA:AA)</f>
        <v>4.3478260869565216E-2</v>
      </c>
    </row>
    <row r="53" spans="1:21" x14ac:dyDescent="0.25">
      <c r="A53" s="1" t="s">
        <v>187</v>
      </c>
      <c r="B53" s="6"/>
      <c r="C53" s="7"/>
      <c r="D53" s="8">
        <f t="shared" si="8"/>
        <v>0</v>
      </c>
      <c r="E53" s="6">
        <v>1</v>
      </c>
      <c r="F53" s="7">
        <v>0</v>
      </c>
      <c r="G53" s="8">
        <f t="shared" si="9"/>
        <v>0</v>
      </c>
      <c r="H53" s="6"/>
      <c r="I53" s="7"/>
      <c r="J53" s="8">
        <f t="shared" si="10"/>
        <v>0</v>
      </c>
      <c r="K53" s="6"/>
      <c r="L53" s="7"/>
      <c r="M53" s="8">
        <f t="shared" si="11"/>
        <v>0</v>
      </c>
      <c r="N53" s="6"/>
      <c r="O53" s="7"/>
      <c r="P53" s="8">
        <f t="shared" si="12"/>
        <v>0</v>
      </c>
      <c r="Q53" s="1"/>
      <c r="R53" s="6">
        <f t="shared" si="13"/>
        <v>1</v>
      </c>
      <c r="S53" s="9">
        <f t="shared" si="14"/>
        <v>0</v>
      </c>
      <c r="T53" s="9">
        <f t="shared" si="15"/>
        <v>1.6077170418006431E-3</v>
      </c>
      <c r="U53" s="9">
        <f>R53 / _xlfn.XLOOKUP(A53, Support!A:A, Support!AA:AA)</f>
        <v>0.1111111111111111</v>
      </c>
    </row>
    <row r="54" spans="1:21" x14ac:dyDescent="0.25">
      <c r="A54" s="1" t="s">
        <v>185</v>
      </c>
      <c r="B54" s="6">
        <v>1</v>
      </c>
      <c r="C54" s="7">
        <v>0</v>
      </c>
      <c r="D54" s="8">
        <f t="shared" si="8"/>
        <v>0</v>
      </c>
      <c r="E54" s="6"/>
      <c r="F54" s="7"/>
      <c r="G54" s="8">
        <f t="shared" si="9"/>
        <v>0</v>
      </c>
      <c r="H54" s="6"/>
      <c r="I54" s="7"/>
      <c r="J54" s="8">
        <f t="shared" si="10"/>
        <v>0</v>
      </c>
      <c r="K54" s="6"/>
      <c r="L54" s="7"/>
      <c r="M54" s="8">
        <f t="shared" si="11"/>
        <v>0</v>
      </c>
      <c r="N54" s="6"/>
      <c r="O54" s="7"/>
      <c r="P54" s="8">
        <f t="shared" si="12"/>
        <v>0</v>
      </c>
      <c r="Q54" s="1"/>
      <c r="R54" s="6">
        <f t="shared" si="13"/>
        <v>1</v>
      </c>
      <c r="S54" s="9">
        <f t="shared" si="14"/>
        <v>0</v>
      </c>
      <c r="T54" s="9">
        <f t="shared" si="15"/>
        <v>1.6077170418006431E-3</v>
      </c>
      <c r="U54" s="9">
        <f>R54 / _xlfn.XLOOKUP(A54, Support!A:A, Support!AA:AA)</f>
        <v>0.1</v>
      </c>
    </row>
    <row r="55" spans="1:21" x14ac:dyDescent="0.25">
      <c r="A55" s="1" t="s">
        <v>144</v>
      </c>
      <c r="B55" s="6"/>
      <c r="C55" s="7"/>
      <c r="D55" s="8">
        <f t="shared" si="8"/>
        <v>0</v>
      </c>
      <c r="E55" s="6">
        <v>1</v>
      </c>
      <c r="F55" s="7">
        <v>0</v>
      </c>
      <c r="G55" s="8">
        <f t="shared" si="9"/>
        <v>0</v>
      </c>
      <c r="H55" s="6"/>
      <c r="I55" s="7"/>
      <c r="J55" s="8">
        <f t="shared" si="10"/>
        <v>0</v>
      </c>
      <c r="K55" s="6"/>
      <c r="L55" s="7"/>
      <c r="M55" s="8">
        <f t="shared" si="11"/>
        <v>0</v>
      </c>
      <c r="N55" s="6"/>
      <c r="O55" s="7"/>
      <c r="P55" s="8">
        <f t="shared" si="12"/>
        <v>0</v>
      </c>
      <c r="Q55" s="1"/>
      <c r="R55" s="6">
        <f t="shared" si="13"/>
        <v>1</v>
      </c>
      <c r="S55" s="9">
        <f t="shared" si="14"/>
        <v>0</v>
      </c>
      <c r="T55" s="9">
        <f t="shared" si="15"/>
        <v>1.6077170418006431E-3</v>
      </c>
      <c r="U55" s="9">
        <f>R55 / _xlfn.XLOOKUP(A55, Support!A:A, Support!AA:AA)</f>
        <v>0.5</v>
      </c>
    </row>
    <row r="56" spans="1:21" x14ac:dyDescent="0.25">
      <c r="A56" s="25" t="s">
        <v>141</v>
      </c>
      <c r="B56" s="6"/>
      <c r="C56" s="7"/>
      <c r="D56" s="8">
        <f t="shared" si="8"/>
        <v>0</v>
      </c>
      <c r="E56" s="6">
        <v>1</v>
      </c>
      <c r="F56" s="7">
        <v>0</v>
      </c>
      <c r="G56" s="8">
        <f t="shared" si="9"/>
        <v>0</v>
      </c>
      <c r="H56" s="6"/>
      <c r="I56" s="7"/>
      <c r="J56" s="8">
        <f t="shared" si="10"/>
        <v>0</v>
      </c>
      <c r="K56" s="6"/>
      <c r="L56" s="7"/>
      <c r="M56" s="8">
        <f t="shared" si="11"/>
        <v>0</v>
      </c>
      <c r="N56" s="6"/>
      <c r="O56" s="7"/>
      <c r="P56" s="8">
        <f t="shared" si="12"/>
        <v>0</v>
      </c>
      <c r="Q56" s="1"/>
      <c r="R56" s="6">
        <f t="shared" si="13"/>
        <v>1</v>
      </c>
      <c r="S56" s="9">
        <f t="shared" si="14"/>
        <v>0</v>
      </c>
      <c r="T56" s="9">
        <f t="shared" si="15"/>
        <v>1.6077170418006431E-3</v>
      </c>
      <c r="U56" s="9">
        <f>R56 / _xlfn.XLOOKUP(A56, Bottom!A:A, Bottom!AA:AA)</f>
        <v>2.2779043280182231E-3</v>
      </c>
    </row>
    <row r="57" spans="1:21" x14ac:dyDescent="0.25">
      <c r="A57" s="25" t="s">
        <v>52</v>
      </c>
      <c r="B57" s="6"/>
      <c r="C57" s="7"/>
      <c r="D57" s="8">
        <f t="shared" si="8"/>
        <v>0</v>
      </c>
      <c r="E57" s="6"/>
      <c r="F57" s="7"/>
      <c r="G57" s="8">
        <f t="shared" si="9"/>
        <v>0</v>
      </c>
      <c r="H57" s="6"/>
      <c r="I57" s="7"/>
      <c r="J57" s="8">
        <f t="shared" si="10"/>
        <v>0</v>
      </c>
      <c r="K57" s="6">
        <v>1</v>
      </c>
      <c r="L57" s="7">
        <v>0</v>
      </c>
      <c r="M57" s="8">
        <f t="shared" si="11"/>
        <v>0</v>
      </c>
      <c r="N57" s="6"/>
      <c r="O57" s="7"/>
      <c r="P57" s="8">
        <f t="shared" si="12"/>
        <v>0</v>
      </c>
      <c r="Q57" s="1"/>
      <c r="R57" s="6">
        <f t="shared" si="13"/>
        <v>1</v>
      </c>
      <c r="S57" s="9">
        <f t="shared" si="14"/>
        <v>0</v>
      </c>
      <c r="T57" s="9">
        <f t="shared" si="15"/>
        <v>1.6077170418006431E-3</v>
      </c>
      <c r="U57" s="9">
        <f>R57 / _xlfn.XLOOKUP(A57, Support!A:A, Support!AA:AA)</f>
        <v>1</v>
      </c>
    </row>
    <row r="58" spans="1:21" x14ac:dyDescent="0.25">
      <c r="B58" s="6"/>
      <c r="C58" s="7"/>
      <c r="D58" s="31"/>
      <c r="E58" s="6"/>
      <c r="F58" s="7"/>
      <c r="G58" s="31"/>
      <c r="H58" s="6"/>
      <c r="I58" s="7"/>
      <c r="J58" s="31"/>
      <c r="K58" s="6"/>
      <c r="L58" s="7"/>
      <c r="M58" s="31"/>
      <c r="N58" s="1"/>
      <c r="O58" s="1"/>
      <c r="P58" s="1"/>
      <c r="Q58" s="1"/>
      <c r="R58" s="6"/>
      <c r="S58" s="9"/>
      <c r="T58" s="10"/>
    </row>
    <row r="59" spans="1:21" x14ac:dyDescent="0.25">
      <c r="B59" s="6"/>
      <c r="C59" s="7"/>
      <c r="D59" s="31"/>
      <c r="E59" s="6"/>
      <c r="F59" s="7"/>
      <c r="G59" s="31"/>
      <c r="H59" s="6"/>
      <c r="I59" s="7"/>
      <c r="J59" s="31"/>
      <c r="K59" s="6"/>
      <c r="L59" s="7"/>
      <c r="M59" s="31"/>
      <c r="N59" s="1"/>
      <c r="O59" s="1"/>
      <c r="P59" s="1"/>
      <c r="Q59" s="1"/>
      <c r="R59" s="6"/>
      <c r="S59" s="9"/>
      <c r="T59" s="10"/>
    </row>
    <row r="60" spans="1:21" x14ac:dyDescent="0.25">
      <c r="B60" s="6"/>
      <c r="C60" s="7"/>
      <c r="D60" s="31"/>
      <c r="E60" s="6"/>
      <c r="F60" s="7"/>
      <c r="G60" s="31"/>
      <c r="H60" s="6"/>
      <c r="I60" s="7"/>
      <c r="J60" s="31"/>
      <c r="K60" s="6"/>
      <c r="L60" s="7"/>
      <c r="M60" s="31"/>
      <c r="N60" s="1"/>
      <c r="O60" s="1"/>
      <c r="P60" s="1"/>
      <c r="Q60" s="1"/>
      <c r="R60" s="6"/>
      <c r="S60" s="9"/>
      <c r="T60" s="10"/>
    </row>
  </sheetData>
  <sortState xmlns:xlrd2="http://schemas.microsoft.com/office/spreadsheetml/2017/richdata2" ref="A3:U57">
    <sortCondition descending="1" ref="S3:S57"/>
  </sortState>
  <pageMargins left="0.7" right="0.7" top="0.78740157499999996" bottom="0.78740157499999996" header="0.3" footer="0.3"/>
  <ignoredErrors>
    <ignoredError sqref="U56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55FACC-4693-490F-8EF8-96A056AEBD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72</vt:i4>
      </vt:variant>
    </vt:vector>
  </HeadingPairs>
  <TitlesOfParts>
    <vt:vector size="72" baseType="lpstr">
      <vt:lpstr>toAdd</vt:lpstr>
      <vt:lpstr>Top</vt:lpstr>
      <vt:lpstr>Jungle</vt:lpstr>
      <vt:lpstr>Mid</vt:lpstr>
      <vt:lpstr>Bottom</vt:lpstr>
      <vt:lpstr>Support</vt:lpstr>
      <vt:lpstr>Burdol</vt:lpstr>
      <vt:lpstr>Canna</vt:lpstr>
      <vt:lpstr>Clear</vt:lpstr>
      <vt:lpstr>DnDn</vt:lpstr>
      <vt:lpstr>Doran</vt:lpstr>
      <vt:lpstr>DuDu</vt:lpstr>
      <vt:lpstr>Kiin</vt:lpstr>
      <vt:lpstr>Kingen</vt:lpstr>
      <vt:lpstr>Morgan</vt:lpstr>
      <vt:lpstr>PerfecT</vt:lpstr>
      <vt:lpstr>Rascal</vt:lpstr>
      <vt:lpstr>Rich</vt:lpstr>
      <vt:lpstr>Siwoo</vt:lpstr>
      <vt:lpstr>Zeus</vt:lpstr>
      <vt:lpstr>Canyon</vt:lpstr>
      <vt:lpstr>Croco</vt:lpstr>
      <vt:lpstr>Cuzz</vt:lpstr>
      <vt:lpstr>GIDEON</vt:lpstr>
      <vt:lpstr>Lucid</vt:lpstr>
      <vt:lpstr>Oner</vt:lpstr>
      <vt:lpstr>Peanut</vt:lpstr>
      <vt:lpstr>Pyosik</vt:lpstr>
      <vt:lpstr>Raptor</vt:lpstr>
      <vt:lpstr>Sponge</vt:lpstr>
      <vt:lpstr>Sylvie</vt:lpstr>
      <vt:lpstr>UmTi</vt:lpstr>
      <vt:lpstr>Willer</vt:lpstr>
      <vt:lpstr>YoungJae</vt:lpstr>
      <vt:lpstr>Bdd</vt:lpstr>
      <vt:lpstr>Bulldog</vt:lpstr>
      <vt:lpstr>Chovy</vt:lpstr>
      <vt:lpstr>Clozer</vt:lpstr>
      <vt:lpstr>Faker</vt:lpstr>
      <vt:lpstr>FATE</vt:lpstr>
      <vt:lpstr>FIESTA</vt:lpstr>
      <vt:lpstr>Karis</vt:lpstr>
      <vt:lpstr>kyeahoo</vt:lpstr>
      <vt:lpstr>Showmaker</vt:lpstr>
      <vt:lpstr>Vicla</vt:lpstr>
      <vt:lpstr>Zeka</vt:lpstr>
      <vt:lpstr>Aiming</vt:lpstr>
      <vt:lpstr>Berserker</vt:lpstr>
      <vt:lpstr>Deft</vt:lpstr>
      <vt:lpstr>deokdam</vt:lpstr>
      <vt:lpstr>Envyy</vt:lpstr>
      <vt:lpstr>Gumayusi</vt:lpstr>
      <vt:lpstr>Hena</vt:lpstr>
      <vt:lpstr>Hype</vt:lpstr>
      <vt:lpstr>Jiwoo</vt:lpstr>
      <vt:lpstr>Peyz</vt:lpstr>
      <vt:lpstr>Ruler</vt:lpstr>
      <vt:lpstr>Teddy</vt:lpstr>
      <vt:lpstr>Viper</vt:lpstr>
      <vt:lpstr>Andil</vt:lpstr>
      <vt:lpstr>BeryL</vt:lpstr>
      <vt:lpstr>Delight</vt:lpstr>
      <vt:lpstr>Duro</vt:lpstr>
      <vt:lpstr>Effort</vt:lpstr>
      <vt:lpstr>Kael</vt:lpstr>
      <vt:lpstr>Kellin</vt:lpstr>
      <vt:lpstr>Lehends</vt:lpstr>
      <vt:lpstr>Life</vt:lpstr>
      <vt:lpstr>Peter</vt:lpstr>
      <vt:lpstr>Pleata</vt:lpstr>
      <vt:lpstr>Pollu</vt:lpstr>
      <vt:lpstr>Keria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Bischoff</dc:creator>
  <cp:lastModifiedBy>Oliver Bischoff</cp:lastModifiedBy>
  <dcterms:created xsi:type="dcterms:W3CDTF">2024-05-13T10:27:53Z</dcterms:created>
  <dcterms:modified xsi:type="dcterms:W3CDTF">2026-09-14T14:10:47Z</dcterms:modified>
</cp:coreProperties>
</file>